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360" activeTab="2"/>
  </bookViews>
  <sheets>
    <sheet name="概览" sheetId="3" r:id="rId1"/>
    <sheet name="数据汇总" sheetId="5" r:id="rId2"/>
    <sheet name="数据源" sheetId="1" r:id="rId3"/>
    <sheet name="代码" sheetId="4" r:id="rId4"/>
  </sheets>
  <definedNames>
    <definedName name="_xlnm._FilterDatabase" localSheetId="2" hidden="1">数据源!$A$1:$S$353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<sst xmlns="http://schemas.openxmlformats.org/spreadsheetml/2006/main" count="48" uniqueCount="36">
  <si>
    <t>手工单号</t>
  </si>
  <si>
    <t>发生日期</t>
  </si>
  <si>
    <t>配送站编码</t>
  </si>
  <si>
    <t>配送站名称</t>
  </si>
  <si>
    <t>骑手ID</t>
  </si>
  <si>
    <t>骑手名称</t>
  </si>
  <si>
    <t>扣款类目编码</t>
  </si>
  <si>
    <t>扣款类目名称</t>
  </si>
  <si>
    <t>扣款项编码</t>
  </si>
  <si>
    <t>扣款项名称</t>
  </si>
  <si>
    <t>扣款金额（元）</t>
  </si>
  <si>
    <t>关联单号</t>
  </si>
  <si>
    <t>备注</t>
  </si>
  <si>
    <t>状态</t>
  </si>
  <si>
    <t>计费状态</t>
  </si>
  <si>
    <t>计费状态详情</t>
  </si>
  <si>
    <t>录入人</t>
  </si>
  <si>
    <t>录入时间</t>
  </si>
  <si>
    <t>修改时间</t>
  </si>
  <si>
    <t>单价</t>
  </si>
  <si>
    <t>所有数据</t>
  </si>
  <si>
    <t>计费成功</t>
  </si>
  <si>
    <t>有效金额</t>
  </si>
  <si>
    <t>合计</t>
  </si>
  <si>
    <t>短袖</t>
  </si>
  <si>
    <t>规格</t>
  </si>
  <si>
    <t>数量</t>
  </si>
  <si>
    <t>冲锋衣</t>
  </si>
  <si>
    <t>M</t>
  </si>
  <si>
    <t>L</t>
  </si>
  <si>
    <t>XL</t>
  </si>
  <si>
    <t>2XL</t>
  </si>
  <si>
    <t>3XL</t>
  </si>
  <si>
    <t>4XL</t>
  </si>
  <si>
    <t>5XL</t>
  </si>
  <si>
    <t>剩余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</si>
</sst>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???0&quot;元&quot;"/>
  </numFmts>
  <fonts count="23">
    <font>
      <sz val="11"/>
      <color theme="1"/>
      <name val="宋体"/>
      <charset val="134"/>
      <scheme val="minor"/>
    </font>
    <font>
      <sz val="20"/>
      <color theme="1"/>
      <name val="Kaiti SC Regular"/>
      <charset val="134"/>
    </font>
    <font>
      <sz val="20"/>
      <color indexed="8"/>
      <name val="Kaiti SC Regular"/>
      <charset val="134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NumberFormat="1" applyFont="1" applyAlignment="1" applyProtection="1">
      <alignment horizontal="center" vertical="center"/>
    </xf>
    <xf numFmtId="0" fontId="3" fillId="2" borderId="0" xfId="0" applyNumberFormat="1" applyFont="1" applyFill="1" applyAlignment="1" applyProtection="1">
      <alignment horizontal="center" vertical="center"/>
    </xf>
    <xf numFmtId="0" fontId="3" fillId="3" borderId="0" xfId="0" applyNumberFormat="1" applyFont="1" applyFill="1" applyAlignment="1" applyProtection="1">
      <alignment horizontal="center" vertical="center"/>
    </xf>
    <xf numFmtId="0" fontId="3" fillId="4" borderId="0" xfId="0" applyNumberFormat="1" applyFont="1" applyFill="1" applyAlignment="1" applyProtection="1">
      <alignment horizontal="center" vertical="center"/>
    </xf>
    <xf numFmtId="0" fontId="3" fillId="2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17/06/relationships/rdRichValueStructure" Target="richData/rdrichvaluestructure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microsoft.com/office/2017/06/relationships/rdRichValue" Target="richData/rdrichvalue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S2"/>
  <sheetViews>
    <sheetView workbookViewId="0">
      <selection activeCell="A1" sqref="A1"/>
    </sheetView>
  </sheetViews>
  <sheetFormatPr defaultColWidth="18.4230769230769" defaultRowHeight="16.8" outlineLevelRow="1"/>
  <cols>
    <col min="1" max="1" width="10.3076923076923" style="9" customWidth="1"/>
    <col min="2" max="2" width="19.5384615384615" style="9" customWidth="1"/>
    <col min="3" max="3" width="12.7692307692308" style="9" customWidth="1"/>
    <col min="4" max="4" width="34.3846153846154" style="9" customWidth="1"/>
    <col min="5" max="5" width="8.69230769230769" style="10" customWidth="1"/>
    <col min="6" max="6" width="10.3076923076923" style="9" customWidth="1"/>
    <col min="7" max="8" width="15.1538461538462" style="9" customWidth="1"/>
    <col min="9" max="9" width="12.7692307692308" style="9" customWidth="1"/>
    <col min="10" max="10" width="15" style="9" customWidth="1"/>
    <col min="11" max="11" width="17.6153846153846" style="9" customWidth="1"/>
    <col min="12" max="12" width="10.3076923076923" style="9" customWidth="1"/>
    <col min="13" max="13" width="6" style="9" customWidth="1"/>
    <col min="14" max="15" width="10.3076923076923" style="9" customWidth="1"/>
    <col min="16" max="16" width="15.1538461538462" style="9" customWidth="1"/>
    <col min="17" max="17" width="23.4615384615385" style="9" customWidth="1"/>
    <col min="18" max="19" width="19.5384615384615" style="9" customWidth="1"/>
    <col min="20" max="20" width="10.3076923076923" style="9" customWidth="1"/>
    <col min="21" max="16382" width="18.4230769230769" style="9" customWidth="1"/>
    <col min="16383" max="16384" width="18.4230769230769" style="9"/>
  </cols>
  <sheetData>
    <row r="1" spans="1:19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">
      <c r="A2" s="11" vm="1" t="e" cm="1">
        <f t="array" ref="A2">_xlfn.LET(_xlpm.类目匹配,ISNUMBER(MATCH(数据源!J:J,数据汇总!$B$2:$B$6,0)),_xlpm.状态筛选,数据源!O:O="计费成功",_xlfn._xlws.SORT(_xlfn._xlws.FILTER(数据源!A:S,_xlpm.类目匹配*_xlpm.状态筛选),10,1))</f>
        <v>#VALUE!</v>
      </c>
    </row>
  </sheetData>
  <sheetProtection sheet="1" objects="1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B1:M20"/>
  <sheetViews>
    <sheetView workbookViewId="0">
      <selection activeCell="A1" sqref="A1"/>
    </sheetView>
  </sheetViews>
  <sheetFormatPr defaultColWidth="9.23076923076923" defaultRowHeight="28.8"/>
  <cols>
    <col min="1" max="1" width="9.23076923076923" style="4"/>
    <col min="2" max="2" width="15.7692307692308" style="4" customWidth="1"/>
    <col min="3" max="3" width="9.69230769230769" style="4" customWidth="1"/>
    <col min="4" max="6" width="18.3076923076923" style="4" customWidth="1"/>
    <col min="7" max="8" width="9.69230769230769" style="4" customWidth="1"/>
    <col min="9" max="9" width="15.7692307692308" style="4" customWidth="1"/>
    <col min="10" max="10" width="9.23076923076923" style="4"/>
    <col min="11" max="11" width="13.9230769230769" style="4" customWidth="1"/>
    <col min="12" max="13" width="9.69230769230769" style="4" customWidth="1"/>
    <col min="14" max="15" width="9.23076923076923" style="4"/>
    <col min="16" max="16" width="15.7692307692308" style="4"/>
    <col min="17" max="16384" width="9.23076923076923" style="4"/>
  </cols>
  <sheetData>
    <row r="1" spans="2:6">
      <c r="B1" s="5"/>
      <c r="C1" s="5" t="s">
        <v>19</v>
      </c>
      <c r="D1" s="5" t="s">
        <v>20</v>
      </c>
      <c r="E1" s="6" t="s">
        <v>21</v>
      </c>
      <c r="F1" s="5" t="s">
        <v>22</v>
      </c>
    </row>
    <row r="2" spans="2:6">
      <c r="B2" s="5" vm="2" t="e" cm="1">
        <f t="array" ref="B2">_xlfn._xlws.FILTER(代码!A1:A30,(ISNUMBER(SEARCH("短袖",代码!A1:A30)))+(ISNUMBER(SEARCH("头盔",代码!A1:A30)))+(ISNUMBER(SEARCH("冲锋衣",代码!A1:A30))))</f>
        <v>#VALUE!</v>
      </c>
      <c r="C2" s="5" t="str" cm="1">
        <f t="array" ref="C2:C6">IFERROR(_xlfn.XLOOKUP(B2:B6,代码!A:A,代码!B:B),"0")</f>
        <v>0</v>
      </c>
      <c r="D2" s="5" cm="1">
        <f t="array" ref="D2:D6">COUNTIF(数据源!$J:$J,B2:B6)</f>
        <v>0</v>
      </c>
      <c r="E2" s="6" cm="1">
        <f t="array" ref="E2:E6">COUNTIFS(数据源!$J:$J,$B2:B6,数据源!$O:$O,"计费成功")</f>
        <v>0</v>
      </c>
      <c r="F2" s="5" cm="1">
        <f t="array" ref="F2:F6">IFERROR(C2:C6*E2:E6,"")</f>
        <v>0</v>
      </c>
    </row>
    <row r="3" spans="2:6">
      <c r="B3" s="5"/>
      <c r="C3" s="5">
        <v>0</v>
      </c>
      <c r="D3" s="5">
        <v>0</v>
      </c>
      <c r="E3" s="6">
        <v>0</v>
      </c>
      <c r="F3" s="5">
        <v>0</v>
      </c>
    </row>
    <row r="4" spans="2:6">
      <c r="B4" s="5"/>
      <c r="C4" s="5">
        <v>0</v>
      </c>
      <c r="D4" s="5">
        <v>0</v>
      </c>
      <c r="E4" s="6">
        <v>0</v>
      </c>
      <c r="F4" s="5">
        <v>0</v>
      </c>
    </row>
    <row r="5" spans="2:6">
      <c r="B5" s="5"/>
      <c r="C5" s="5">
        <v>0</v>
      </c>
      <c r="D5" s="5">
        <v>0</v>
      </c>
      <c r="E5" s="6">
        <v>0</v>
      </c>
      <c r="F5" s="5">
        <v>0</v>
      </c>
    </row>
    <row r="6" spans="2:6">
      <c r="B6" s="5"/>
      <c r="C6" s="5">
        <v>0</v>
      </c>
      <c r="D6" s="5">
        <v>0</v>
      </c>
      <c r="E6" s="6">
        <v>0</v>
      </c>
      <c r="F6" s="5">
        <v>0</v>
      </c>
    </row>
    <row r="7" spans="2:6">
      <c r="B7" s="6" t="s">
        <v>23</v>
      </c>
      <c r="C7" s="6"/>
      <c r="D7" s="6">
        <f>SUM(_xlfn.ANCHORARRAY(D2))</f>
        <v>0</v>
      </c>
      <c r="E7" s="6">
        <f>SUM(_xlfn.ANCHORARRAY(E2))</f>
        <v>0</v>
      </c>
      <c r="F7" s="6">
        <f>SUM(F2:F6)</f>
        <v>0</v>
      </c>
    </row>
    <row r="12" spans="7:13">
      <c r="G12" s="5" t="s">
        <v>24</v>
      </c>
      <c r="H12" s="5" t="s">
        <v>25</v>
      </c>
      <c r="I12" s="5" t="s">
        <v>26</v>
      </c>
      <c r="K12" s="5" t="s">
        <v>27</v>
      </c>
      <c r="L12" s="5" t="s">
        <v>25</v>
      </c>
      <c r="M12" s="5" t="s">
        <v>26</v>
      </c>
    </row>
    <row r="13" spans="4:13">
      <c r="D13" s="5" t="s">
        <v>25</v>
      </c>
      <c r="E13" s="5" t="s">
        <v>26</v>
      </c>
      <c r="G13" s="5"/>
      <c r="H13" s="5" t="s">
        <v>28</v>
      </c>
      <c r="I13" s="8"/>
      <c r="K13" s="5"/>
      <c r="L13" s="5" t="s">
        <v>28</v>
      </c>
      <c r="M13" s="8"/>
    </row>
    <row r="14" spans="4:13">
      <c r="D14" s="5" vm="2" t="e" cm="1">
        <f t="array" ref="D14">_xlfn._xlws.FILTER(代码!A1:A30,(ISNUMBER(SEARCH("头盔",代码!A1:A30))))</f>
        <v>#VALUE!</v>
      </c>
      <c r="E14" s="5" cm="1">
        <f t="array" ref="E14:E15">COUNTIFS(数据源!$J:$J,D14:D15,数据源!$O:$O,"计费成功")</f>
        <v>0</v>
      </c>
      <c r="G14" s="5"/>
      <c r="H14" s="5" t="s">
        <v>29</v>
      </c>
      <c r="I14" s="8"/>
      <c r="K14" s="5"/>
      <c r="L14" s="5" t="s">
        <v>29</v>
      </c>
      <c r="M14" s="8"/>
    </row>
    <row r="15" spans="4:13">
      <c r="D15" s="5"/>
      <c r="E15" s="5">
        <v>0</v>
      </c>
      <c r="G15" s="5"/>
      <c r="H15" s="5" t="s">
        <v>30</v>
      </c>
      <c r="I15" s="8"/>
      <c r="K15" s="5"/>
      <c r="L15" s="5" t="s">
        <v>30</v>
      </c>
      <c r="M15" s="8"/>
    </row>
    <row r="16" spans="7:13">
      <c r="G16" s="5"/>
      <c r="H16" s="5" t="s">
        <v>31</v>
      </c>
      <c r="I16" s="8"/>
      <c r="K16" s="5"/>
      <c r="L16" s="5" t="s">
        <v>31</v>
      </c>
      <c r="M16" s="8"/>
    </row>
    <row r="17" spans="7:13">
      <c r="G17" s="5"/>
      <c r="H17" s="5" t="s">
        <v>32</v>
      </c>
      <c r="I17" s="8"/>
      <c r="K17" s="5"/>
      <c r="L17" s="5" t="s">
        <v>32</v>
      </c>
      <c r="M17" s="8"/>
    </row>
    <row r="18" spans="7:13">
      <c r="G18" s="5"/>
      <c r="H18" s="5" t="s">
        <v>33</v>
      </c>
      <c r="I18" s="8"/>
      <c r="K18" s="5"/>
      <c r="L18" s="5" t="s">
        <v>33</v>
      </c>
      <c r="M18" s="8"/>
    </row>
    <row r="19" spans="7:13">
      <c r="G19" s="5"/>
      <c r="H19" s="5" t="s">
        <v>34</v>
      </c>
      <c r="I19" s="8"/>
      <c r="K19" s="5"/>
      <c r="L19" s="5" t="s">
        <v>34</v>
      </c>
      <c r="M19" s="8"/>
    </row>
    <row r="20" spans="7:13">
      <c r="G20" s="5"/>
      <c r="H20" s="7" t="s">
        <v>35</v>
      </c>
      <c r="I20" s="7" cm="1">
        <f t="array" ref="I20">IFERROR(SUM(_xlfn._xlws.FILTER(E2:E6,ISNUMBER(SEARCH("短袖",B2:B6)))),0)-SUM(I13:I19)</f>
        <v>0</v>
      </c>
      <c r="K20" s="5"/>
      <c r="L20" s="7" t="s">
        <v>35</v>
      </c>
      <c r="M20" s="7" cm="1">
        <f t="array" ref="M20">IFERROR(SUM(_xlfn._xlws.FILTER(E2:E6,ISNUMBER(SEARCH("冲锋衣",B2:B6)))),0)-SUM(M13:M19)</f>
        <v>0</v>
      </c>
    </row>
  </sheetData>
  <sheetProtection sheet="1" objects="1"/>
  <mergeCells count="2">
    <mergeCell ref="G12:G20"/>
    <mergeCell ref="K12:K20"/>
  </mergeCells>
  <conditionalFormatting sqref="G1:XFD7 K8:XFD10 J11:XFD12 G12:I12 A1:F12 $A13:$XFD1048576">
    <cfRule type="notContainsBlanks" dxfId="0" priority="2">
      <formula>LEN(TRIM(A1))&gt;0</formula>
    </cfRule>
  </conditionalFormatting>
  <conditionalFormatting sqref="G8:J10">
    <cfRule type="notContainsBlanks" dxfId="0" priority="1">
      <formula>LEN(TRIM(G8))&gt;0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S353"/>
  <sheetViews>
    <sheetView tabSelected="1" workbookViewId="0">
      <selection activeCell="A1" sqref="A1"/>
    </sheetView>
  </sheetViews>
  <sheetFormatPr defaultColWidth="9.23076923076923" defaultRowHeight="28.8"/>
  <cols>
    <col min="1" max="1" width="18.3076923076923" style="2" customWidth="1"/>
    <col min="2" max="2" width="34.6153846153846" style="2" customWidth="1"/>
    <col min="3" max="3" width="22.6153846153846" style="2" customWidth="1"/>
    <col min="4" max="4" width="87.5384615384615" style="2" customWidth="1"/>
    <col min="5" max="5" width="14.9230769230769" style="2" customWidth="1"/>
    <col min="6" max="6" width="18.3076923076923" style="2" customWidth="1"/>
    <col min="7" max="8" width="26.9230769230769" style="2" customWidth="1"/>
    <col min="9" max="10" width="22.6153846153846" style="2" customWidth="1"/>
    <col min="11" max="11" width="31.2307692307692" style="2" customWidth="1"/>
    <col min="12" max="12" width="18.3076923076923" style="2" customWidth="1"/>
    <col min="13" max="13" width="9.69230769230769" style="2" customWidth="1"/>
    <col min="14" max="15" width="18.3076923076923" style="2" customWidth="1"/>
    <col min="16" max="16" width="26.9230769230769" style="2" customWidth="1"/>
    <col min="17" max="17" width="42.1538461538462" style="2" customWidth="1"/>
    <col min="18" max="19" width="34.6153846153846" style="2" customWidth="1"/>
    <col min="20" max="16384" width="9.23076923076923" style="2"/>
  </cols>
  <sheetData>
    <row r="1" spans="1:19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</sheetData>
  <conditionalFormatting sqref="O110">
    <cfRule type="containsText" dxfId="1" priority="6" operator="between" text="计费失败">
      <formula>NOT(ISERROR(SEARCH("计费失败",O110)))</formula>
    </cfRule>
  </conditionalFormatting>
  <conditionalFormatting sqref="O111">
    <cfRule type="containsText" dxfId="1" priority="5" operator="between" text="计费失败">
      <formula>NOT(ISERROR(SEARCH("计费失败",O111)))</formula>
    </cfRule>
  </conditionalFormatting>
  <conditionalFormatting sqref="O112">
    <cfRule type="containsText" dxfId="1" priority="4" operator="between" text="计费失败">
      <formula>NOT(ISERROR(SEARCH("计费失败",O112)))</formula>
    </cfRule>
  </conditionalFormatting>
  <conditionalFormatting sqref="O113:O120">
    <cfRule type="containsText" dxfId="1" priority="2" operator="between" text="计费失败">
      <formula>NOT(ISERROR(SEARCH("计费失败",O113)))</formula>
    </cfRule>
  </conditionalFormatting>
  <conditionalFormatting sqref="O124:O131">
    <cfRule type="containsText" dxfId="1" priority="1" operator="between" text="计费失败">
      <formula>NOT(ISERROR(SEARCH("计费失败",O124)))</formula>
    </cfRule>
  </conditionalFormatting>
  <conditionalFormatting sqref="O1:O109 O121:O123 O132:O1048576">
    <cfRule type="containsText" dxfId="1" priority="7" operator="between" text="计费失败">
      <formula>NOT(ISERROR(SEARCH("计费失败",O1)))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500"/>
  <sheetViews>
    <sheetView workbookViewId="0">
      <selection activeCell="A1" sqref="A1"/>
    </sheetView>
  </sheetViews>
  <sheetFormatPr defaultColWidth="9.23076923076923" defaultRowHeight="16.8" outlineLevelCol="2"/>
  <cols>
    <col min="1" max="1" width="26.5961538461538" customWidth="1"/>
    <col min="2" max="2" width="10.7692307692308"/>
    <col min="5" max="5" width="10.7692307692308"/>
  </cols>
  <sheetData>
    <row r="1" ht="17" spans="1:3">
      <c r="A1" vm="1" t="e" cm="1">
        <f t="array" ref="A1">_xlfn.UNIQUE(_xlfn._xlws.FILTER(数据源!J:J,数据源!J:J&lt;&gt;""))</f>
        <v>#VALUE!</v>
      </c>
      <c r="B1" s="1" t="str" cm="1">
        <f t="array" ref="B1:B20">_xlfn.LET(_xlpm.查找结果,_xlfn.XLOOKUP(A1:A20,数据源!J:J,数据源!K:K,NA()),IFERROR(ABS(_xlpm.查找结果),""))</f>
        <v/>
      </c>
      <c r="C1" cm="1">
        <f t="array" ref="C1:C500">数据源!K1:K500</f>
        <v>0</v>
      </c>
    </row>
    <row r="2" spans="2:3">
      <c r="B2">
        <v>0</v>
      </c>
      <c r="C2">
        <v>0</v>
      </c>
    </row>
    <row r="3" spans="2:3">
      <c r="B3">
        <v>0</v>
      </c>
      <c r="C3">
        <v>0</v>
      </c>
    </row>
    <row r="4" spans="2:3">
      <c r="B4">
        <v>0</v>
      </c>
      <c r="C4">
        <v>0</v>
      </c>
    </row>
    <row r="5" spans="2:3">
      <c r="B5">
        <v>0</v>
      </c>
      <c r="C5">
        <v>0</v>
      </c>
    </row>
    <row r="6" spans="2:3">
      <c r="B6">
        <v>0</v>
      </c>
      <c r="C6">
        <v>0</v>
      </c>
    </row>
    <row r="7" spans="2:3">
      <c r="B7">
        <v>0</v>
      </c>
      <c r="C7">
        <v>0</v>
      </c>
    </row>
    <row r="8" spans="2:3">
      <c r="B8">
        <v>0</v>
      </c>
      <c r="C8">
        <v>0</v>
      </c>
    </row>
    <row r="9" spans="2:3">
      <c r="B9">
        <v>0</v>
      </c>
      <c r="C9">
        <v>0</v>
      </c>
    </row>
    <row r="10" spans="2:3">
      <c r="B10">
        <v>0</v>
      </c>
      <c r="C10">
        <v>0</v>
      </c>
    </row>
    <row r="11" spans="2:3">
      <c r="B11">
        <v>0</v>
      </c>
      <c r="C11">
        <v>0</v>
      </c>
    </row>
    <row r="12" spans="2:3">
      <c r="B12">
        <v>0</v>
      </c>
      <c r="C12">
        <v>0</v>
      </c>
    </row>
    <row r="13" spans="2:3">
      <c r="B13">
        <v>0</v>
      </c>
      <c r="C13">
        <v>0</v>
      </c>
    </row>
    <row r="14" spans="2:3">
      <c r="B14">
        <v>0</v>
      </c>
      <c r="C14">
        <v>0</v>
      </c>
    </row>
    <row r="15" spans="2:3">
      <c r="B15">
        <v>0</v>
      </c>
      <c r="C15">
        <v>0</v>
      </c>
    </row>
    <row r="16" spans="2:3">
      <c r="B16">
        <v>0</v>
      </c>
      <c r="C16">
        <v>0</v>
      </c>
    </row>
    <row r="17" spans="2:3">
      <c r="B17">
        <v>0</v>
      </c>
      <c r="C17">
        <v>0</v>
      </c>
    </row>
    <row r="18" spans="2:3">
      <c r="B18">
        <v>0</v>
      </c>
      <c r="C18">
        <v>0</v>
      </c>
    </row>
    <row r="19" spans="2:3">
      <c r="B19">
        <v>0</v>
      </c>
      <c r="C19">
        <v>0</v>
      </c>
    </row>
    <row r="20" spans="2:3">
      <c r="B20">
        <v>0</v>
      </c>
      <c r="C20">
        <v>0</v>
      </c>
    </row>
    <row r="21" spans="3:3">
      <c r="C21">
        <v>0</v>
      </c>
    </row>
    <row r="22" spans="3:3">
      <c r="C22">
        <v>0</v>
      </c>
    </row>
    <row r="23" spans="3:3">
      <c r="C23">
        <v>0</v>
      </c>
    </row>
    <row r="24" spans="3:3">
      <c r="C24">
        <v>0</v>
      </c>
    </row>
    <row r="25" spans="3:3">
      <c r="C25">
        <v>0</v>
      </c>
    </row>
    <row r="26" spans="3:3">
      <c r="C26">
        <v>0</v>
      </c>
    </row>
    <row r="27" spans="3:3">
      <c r="C27">
        <v>0</v>
      </c>
    </row>
    <row r="28" spans="3:3">
      <c r="C28">
        <v>0</v>
      </c>
    </row>
    <row r="29" spans="3:3">
      <c r="C29">
        <v>0</v>
      </c>
    </row>
    <row r="30" spans="3:3">
      <c r="C30">
        <v>0</v>
      </c>
    </row>
    <row r="31" spans="3:3">
      <c r="C31">
        <v>0</v>
      </c>
    </row>
    <row r="32" spans="3:3">
      <c r="C32">
        <v>0</v>
      </c>
    </row>
    <row r="33" spans="3:3">
      <c r="C33">
        <v>0</v>
      </c>
    </row>
    <row r="34" spans="3:3">
      <c r="C34">
        <v>0</v>
      </c>
    </row>
    <row r="35" spans="3:3">
      <c r="C35">
        <v>0</v>
      </c>
    </row>
    <row r="36" spans="3:3">
      <c r="C36">
        <v>0</v>
      </c>
    </row>
    <row r="37" spans="3:3">
      <c r="C37">
        <v>0</v>
      </c>
    </row>
    <row r="38" spans="3:3">
      <c r="C38">
        <v>0</v>
      </c>
    </row>
    <row r="39" spans="3:3">
      <c r="C39">
        <v>0</v>
      </c>
    </row>
    <row r="40" spans="3:3">
      <c r="C40">
        <v>0</v>
      </c>
    </row>
    <row r="41" spans="3:3">
      <c r="C41">
        <v>0</v>
      </c>
    </row>
    <row r="42" spans="3:3">
      <c r="C42">
        <v>0</v>
      </c>
    </row>
    <row r="43" spans="3:3">
      <c r="C43">
        <v>0</v>
      </c>
    </row>
    <row r="44" spans="3:3">
      <c r="C44">
        <v>0</v>
      </c>
    </row>
    <row r="45" spans="3:3">
      <c r="C45">
        <v>0</v>
      </c>
    </row>
    <row r="46" spans="3:3">
      <c r="C46">
        <v>0</v>
      </c>
    </row>
    <row r="47" spans="3:3">
      <c r="C47">
        <v>0</v>
      </c>
    </row>
    <row r="48" spans="3:3">
      <c r="C48">
        <v>0</v>
      </c>
    </row>
    <row r="49" spans="3:3">
      <c r="C49">
        <v>0</v>
      </c>
    </row>
    <row r="50" spans="3:3">
      <c r="C50">
        <v>0</v>
      </c>
    </row>
    <row r="51" spans="3:3">
      <c r="C51">
        <v>0</v>
      </c>
    </row>
    <row r="52" spans="3:3">
      <c r="C52">
        <v>0</v>
      </c>
    </row>
    <row r="53" spans="3:3">
      <c r="C53">
        <v>0</v>
      </c>
    </row>
    <row r="54" spans="3:3">
      <c r="C54">
        <v>0</v>
      </c>
    </row>
    <row r="55" spans="3:3">
      <c r="C55">
        <v>0</v>
      </c>
    </row>
    <row r="56" spans="3:3">
      <c r="C56">
        <v>0</v>
      </c>
    </row>
    <row r="57" spans="3:3">
      <c r="C57">
        <v>0</v>
      </c>
    </row>
    <row r="58" spans="3:3">
      <c r="C58">
        <v>0</v>
      </c>
    </row>
    <row r="59" spans="3:3">
      <c r="C59">
        <v>0</v>
      </c>
    </row>
    <row r="60" spans="3:3">
      <c r="C60">
        <v>0</v>
      </c>
    </row>
    <row r="61" spans="3:3">
      <c r="C61">
        <v>0</v>
      </c>
    </row>
    <row r="62" spans="3:3">
      <c r="C62">
        <v>0</v>
      </c>
    </row>
    <row r="63" spans="3:3">
      <c r="C63">
        <v>0</v>
      </c>
    </row>
    <row r="64" spans="3:3">
      <c r="C64">
        <v>0</v>
      </c>
    </row>
    <row r="65" spans="3:3">
      <c r="C65">
        <v>0</v>
      </c>
    </row>
    <row r="66" spans="3:3">
      <c r="C66">
        <v>0</v>
      </c>
    </row>
    <row r="67" spans="3:3">
      <c r="C67">
        <v>0</v>
      </c>
    </row>
    <row r="68" spans="3:3">
      <c r="C68">
        <v>0</v>
      </c>
    </row>
    <row r="69" spans="3:3">
      <c r="C69">
        <v>0</v>
      </c>
    </row>
    <row r="70" spans="3:3">
      <c r="C70">
        <v>0</v>
      </c>
    </row>
    <row r="71" spans="3:3">
      <c r="C71">
        <v>0</v>
      </c>
    </row>
    <row r="72" spans="3:3">
      <c r="C72">
        <v>0</v>
      </c>
    </row>
    <row r="73" spans="3:3">
      <c r="C73">
        <v>0</v>
      </c>
    </row>
    <row r="74" spans="3:3">
      <c r="C74">
        <v>0</v>
      </c>
    </row>
    <row r="75" spans="3:3">
      <c r="C75">
        <v>0</v>
      </c>
    </row>
    <row r="76" spans="3:3">
      <c r="C76">
        <v>0</v>
      </c>
    </row>
    <row r="77" spans="3:3">
      <c r="C77">
        <v>0</v>
      </c>
    </row>
    <row r="78" spans="3:3">
      <c r="C78">
        <v>0</v>
      </c>
    </row>
    <row r="79" spans="3:3">
      <c r="C79">
        <v>0</v>
      </c>
    </row>
    <row r="80" spans="3:3">
      <c r="C80">
        <v>0</v>
      </c>
    </row>
    <row r="81" spans="3:3">
      <c r="C81">
        <v>0</v>
      </c>
    </row>
    <row r="82" spans="3:3">
      <c r="C82">
        <v>0</v>
      </c>
    </row>
    <row r="83" spans="3:3">
      <c r="C83">
        <v>0</v>
      </c>
    </row>
    <row r="84" spans="3:3">
      <c r="C84">
        <v>0</v>
      </c>
    </row>
    <row r="85" spans="3:3">
      <c r="C85">
        <v>0</v>
      </c>
    </row>
    <row r="86" spans="3:3">
      <c r="C86">
        <v>0</v>
      </c>
    </row>
    <row r="87" spans="3:3">
      <c r="C87">
        <v>0</v>
      </c>
    </row>
    <row r="88" spans="3:3">
      <c r="C88">
        <v>0</v>
      </c>
    </row>
    <row r="89" spans="3:3">
      <c r="C89">
        <v>0</v>
      </c>
    </row>
    <row r="90" spans="3:3">
      <c r="C90">
        <v>0</v>
      </c>
    </row>
    <row r="91" spans="3:3">
      <c r="C91">
        <v>0</v>
      </c>
    </row>
    <row r="92" spans="3:3">
      <c r="C92">
        <v>0</v>
      </c>
    </row>
    <row r="93" spans="3:3">
      <c r="C93">
        <v>0</v>
      </c>
    </row>
    <row r="94" spans="3:3">
      <c r="C94">
        <v>0</v>
      </c>
    </row>
    <row r="95" spans="3:3">
      <c r="C95">
        <v>0</v>
      </c>
    </row>
    <row r="96" spans="3:3">
      <c r="C96">
        <v>0</v>
      </c>
    </row>
    <row r="97" spans="3:3">
      <c r="C97">
        <v>0</v>
      </c>
    </row>
    <row r="98" spans="3:3">
      <c r="C98">
        <v>0</v>
      </c>
    </row>
    <row r="99" spans="3:3">
      <c r="C99">
        <v>0</v>
      </c>
    </row>
    <row r="100" spans="3:3">
      <c r="C100">
        <v>0</v>
      </c>
    </row>
    <row r="101" spans="3:3">
      <c r="C101">
        <v>0</v>
      </c>
    </row>
    <row r="102" spans="3:3">
      <c r="C102">
        <v>0</v>
      </c>
    </row>
    <row r="103" spans="3:3">
      <c r="C103">
        <v>0</v>
      </c>
    </row>
    <row r="104" spans="3:3">
      <c r="C104">
        <v>0</v>
      </c>
    </row>
    <row r="105" spans="3:3">
      <c r="C105">
        <v>0</v>
      </c>
    </row>
    <row r="106" spans="3:3">
      <c r="C106">
        <v>0</v>
      </c>
    </row>
    <row r="107" spans="3:3">
      <c r="C107">
        <v>0</v>
      </c>
    </row>
    <row r="108" spans="3:3">
      <c r="C108">
        <v>0</v>
      </c>
    </row>
    <row r="109" spans="3:3">
      <c r="C109">
        <v>0</v>
      </c>
    </row>
    <row r="110" spans="3:3">
      <c r="C110">
        <v>0</v>
      </c>
    </row>
    <row r="111" spans="3:3">
      <c r="C111">
        <v>0</v>
      </c>
    </row>
    <row r="112" spans="3:3">
      <c r="C112">
        <v>0</v>
      </c>
    </row>
    <row r="113" spans="3:3">
      <c r="C113">
        <v>0</v>
      </c>
    </row>
    <row r="114" spans="3:3">
      <c r="C114">
        <v>0</v>
      </c>
    </row>
    <row r="115" spans="3:3">
      <c r="C115">
        <v>0</v>
      </c>
    </row>
    <row r="116" spans="3:3">
      <c r="C116">
        <v>0</v>
      </c>
    </row>
    <row r="117" spans="3:3">
      <c r="C117">
        <v>0</v>
      </c>
    </row>
    <row r="118" spans="3:3">
      <c r="C118">
        <v>0</v>
      </c>
    </row>
    <row r="119" spans="3:3">
      <c r="C119">
        <v>0</v>
      </c>
    </row>
    <row r="120" spans="3:3">
      <c r="C120">
        <v>0</v>
      </c>
    </row>
    <row r="121" spans="3:3">
      <c r="C121">
        <v>0</v>
      </c>
    </row>
    <row r="122" spans="3:3">
      <c r="C122">
        <v>0</v>
      </c>
    </row>
    <row r="123" spans="3:3">
      <c r="C123">
        <v>0</v>
      </c>
    </row>
    <row r="124" spans="3:3">
      <c r="C124">
        <v>0</v>
      </c>
    </row>
    <row r="125" spans="3:3">
      <c r="C125">
        <v>0</v>
      </c>
    </row>
    <row r="126" spans="3:3">
      <c r="C126">
        <v>0</v>
      </c>
    </row>
    <row r="127" spans="3:3">
      <c r="C127">
        <v>0</v>
      </c>
    </row>
    <row r="128" spans="3:3">
      <c r="C128">
        <v>0</v>
      </c>
    </row>
    <row r="129" spans="3:3">
      <c r="C129">
        <v>0</v>
      </c>
    </row>
    <row r="130" spans="3:3">
      <c r="C130">
        <v>0</v>
      </c>
    </row>
    <row r="131" spans="3:3">
      <c r="C131">
        <v>0</v>
      </c>
    </row>
    <row r="132" spans="3:3">
      <c r="C132">
        <v>0</v>
      </c>
    </row>
    <row r="133" spans="3:3">
      <c r="C133">
        <v>0</v>
      </c>
    </row>
    <row r="134" spans="3:3">
      <c r="C134">
        <v>0</v>
      </c>
    </row>
    <row r="135" spans="3:3">
      <c r="C135">
        <v>0</v>
      </c>
    </row>
    <row r="136" spans="3:3">
      <c r="C136">
        <v>0</v>
      </c>
    </row>
    <row r="137" spans="3:3">
      <c r="C137">
        <v>0</v>
      </c>
    </row>
    <row r="138" spans="3:3">
      <c r="C138">
        <v>0</v>
      </c>
    </row>
    <row r="139" spans="3:3">
      <c r="C139">
        <v>0</v>
      </c>
    </row>
    <row r="140" spans="3:3">
      <c r="C140">
        <v>0</v>
      </c>
    </row>
    <row r="141" spans="3:3">
      <c r="C141">
        <v>0</v>
      </c>
    </row>
    <row r="142" spans="3:3">
      <c r="C142">
        <v>0</v>
      </c>
    </row>
    <row r="143" spans="3:3">
      <c r="C143">
        <v>0</v>
      </c>
    </row>
    <row r="144" spans="3:3">
      <c r="C144">
        <v>0</v>
      </c>
    </row>
    <row r="145" spans="3:3">
      <c r="C145">
        <v>0</v>
      </c>
    </row>
    <row r="146" spans="3:3">
      <c r="C146">
        <v>0</v>
      </c>
    </row>
    <row r="147" spans="3:3">
      <c r="C147">
        <v>0</v>
      </c>
    </row>
    <row r="148" spans="3:3">
      <c r="C148">
        <v>0</v>
      </c>
    </row>
    <row r="149" spans="3:3">
      <c r="C149">
        <v>0</v>
      </c>
    </row>
    <row r="150" spans="3:3">
      <c r="C150">
        <v>0</v>
      </c>
    </row>
    <row r="151" spans="3:3">
      <c r="C151">
        <v>0</v>
      </c>
    </row>
    <row r="152" spans="3:3">
      <c r="C152">
        <v>0</v>
      </c>
    </row>
    <row r="153" spans="3:3">
      <c r="C153">
        <v>0</v>
      </c>
    </row>
    <row r="154" spans="3:3">
      <c r="C154">
        <v>0</v>
      </c>
    </row>
    <row r="155" spans="3:3">
      <c r="C155">
        <v>0</v>
      </c>
    </row>
    <row r="156" spans="3:3">
      <c r="C156">
        <v>0</v>
      </c>
    </row>
    <row r="157" spans="3:3">
      <c r="C157">
        <v>0</v>
      </c>
    </row>
    <row r="158" spans="3:3">
      <c r="C158">
        <v>0</v>
      </c>
    </row>
    <row r="159" spans="3:3">
      <c r="C159">
        <v>0</v>
      </c>
    </row>
    <row r="160" spans="3:3">
      <c r="C160">
        <v>0</v>
      </c>
    </row>
    <row r="161" spans="3:3">
      <c r="C161">
        <v>0</v>
      </c>
    </row>
    <row r="162" spans="3:3">
      <c r="C162">
        <v>0</v>
      </c>
    </row>
    <row r="163" spans="3:3">
      <c r="C163">
        <v>0</v>
      </c>
    </row>
    <row r="164" spans="3:3">
      <c r="C164">
        <v>0</v>
      </c>
    </row>
    <row r="165" spans="3:3">
      <c r="C165">
        <v>0</v>
      </c>
    </row>
    <row r="166" spans="3:3">
      <c r="C166">
        <v>0</v>
      </c>
    </row>
    <row r="167" spans="3:3">
      <c r="C167">
        <v>0</v>
      </c>
    </row>
    <row r="168" spans="3:3">
      <c r="C168">
        <v>0</v>
      </c>
    </row>
    <row r="169" spans="3:3">
      <c r="C169">
        <v>0</v>
      </c>
    </row>
    <row r="170" spans="3:3">
      <c r="C170">
        <v>0</v>
      </c>
    </row>
    <row r="171" spans="3:3">
      <c r="C171">
        <v>0</v>
      </c>
    </row>
    <row r="172" spans="3:3">
      <c r="C172">
        <v>0</v>
      </c>
    </row>
    <row r="173" spans="3:3">
      <c r="C173">
        <v>0</v>
      </c>
    </row>
    <row r="174" spans="3:3">
      <c r="C174">
        <v>0</v>
      </c>
    </row>
    <row r="175" spans="3:3">
      <c r="C175">
        <v>0</v>
      </c>
    </row>
    <row r="176" spans="3:3">
      <c r="C176">
        <v>0</v>
      </c>
    </row>
    <row r="177" spans="3:3">
      <c r="C177">
        <v>0</v>
      </c>
    </row>
    <row r="178" spans="3:3">
      <c r="C178">
        <v>0</v>
      </c>
    </row>
    <row r="179" spans="3:3">
      <c r="C179">
        <v>0</v>
      </c>
    </row>
    <row r="180" spans="3:3">
      <c r="C180">
        <v>0</v>
      </c>
    </row>
    <row r="181" spans="3:3">
      <c r="C181">
        <v>0</v>
      </c>
    </row>
    <row r="182" spans="3:3">
      <c r="C182">
        <v>0</v>
      </c>
    </row>
    <row r="183" spans="3:3">
      <c r="C183">
        <v>0</v>
      </c>
    </row>
    <row r="184" spans="3:3">
      <c r="C184">
        <v>0</v>
      </c>
    </row>
    <row r="185" spans="3:3">
      <c r="C185">
        <v>0</v>
      </c>
    </row>
    <row r="186" spans="3:3">
      <c r="C186">
        <v>0</v>
      </c>
    </row>
    <row r="187" spans="3:3">
      <c r="C187">
        <v>0</v>
      </c>
    </row>
    <row r="188" spans="3:3">
      <c r="C188">
        <v>0</v>
      </c>
    </row>
    <row r="189" spans="3:3">
      <c r="C189">
        <v>0</v>
      </c>
    </row>
    <row r="190" spans="3:3">
      <c r="C190">
        <v>0</v>
      </c>
    </row>
    <row r="191" spans="3:3">
      <c r="C191">
        <v>0</v>
      </c>
    </row>
    <row r="192" spans="3:3">
      <c r="C192">
        <v>0</v>
      </c>
    </row>
    <row r="193" spans="3:3">
      <c r="C193">
        <v>0</v>
      </c>
    </row>
    <row r="194" spans="3:3">
      <c r="C194">
        <v>0</v>
      </c>
    </row>
    <row r="195" spans="3:3">
      <c r="C195">
        <v>0</v>
      </c>
    </row>
    <row r="196" spans="3:3">
      <c r="C196">
        <v>0</v>
      </c>
    </row>
    <row r="197" spans="3:3">
      <c r="C197">
        <v>0</v>
      </c>
    </row>
    <row r="198" spans="3:3">
      <c r="C198">
        <v>0</v>
      </c>
    </row>
    <row r="199" spans="3:3">
      <c r="C199">
        <v>0</v>
      </c>
    </row>
    <row r="200" spans="3:3">
      <c r="C200">
        <v>0</v>
      </c>
    </row>
    <row r="201" spans="3:3">
      <c r="C201">
        <v>0</v>
      </c>
    </row>
    <row r="202" spans="3:3">
      <c r="C202">
        <v>0</v>
      </c>
    </row>
    <row r="203" spans="3:3">
      <c r="C203">
        <v>0</v>
      </c>
    </row>
    <row r="204" spans="3:3">
      <c r="C204">
        <v>0</v>
      </c>
    </row>
    <row r="205" spans="3:3">
      <c r="C205">
        <v>0</v>
      </c>
    </row>
    <row r="206" spans="3:3">
      <c r="C206">
        <v>0</v>
      </c>
    </row>
    <row r="207" spans="3:3">
      <c r="C207">
        <v>0</v>
      </c>
    </row>
    <row r="208" spans="3:3">
      <c r="C208">
        <v>0</v>
      </c>
    </row>
    <row r="209" spans="3:3">
      <c r="C209">
        <v>0</v>
      </c>
    </row>
    <row r="210" spans="3:3">
      <c r="C210">
        <v>0</v>
      </c>
    </row>
    <row r="211" spans="3:3">
      <c r="C211">
        <v>0</v>
      </c>
    </row>
    <row r="212" spans="3:3">
      <c r="C212">
        <v>0</v>
      </c>
    </row>
    <row r="213" spans="3:3">
      <c r="C213">
        <v>0</v>
      </c>
    </row>
    <row r="214" spans="3:3">
      <c r="C214">
        <v>0</v>
      </c>
    </row>
    <row r="215" spans="3:3">
      <c r="C215">
        <v>0</v>
      </c>
    </row>
    <row r="216" spans="3:3">
      <c r="C216">
        <v>0</v>
      </c>
    </row>
    <row r="217" spans="3:3">
      <c r="C217">
        <v>0</v>
      </c>
    </row>
    <row r="218" spans="3:3">
      <c r="C218">
        <v>0</v>
      </c>
    </row>
    <row r="219" spans="3:3">
      <c r="C219">
        <v>0</v>
      </c>
    </row>
    <row r="220" spans="3:3">
      <c r="C220">
        <v>0</v>
      </c>
    </row>
    <row r="221" spans="3:3">
      <c r="C221">
        <v>0</v>
      </c>
    </row>
    <row r="222" spans="3:3">
      <c r="C222">
        <v>0</v>
      </c>
    </row>
    <row r="223" spans="3:3">
      <c r="C223">
        <v>0</v>
      </c>
    </row>
    <row r="224" spans="3:3">
      <c r="C224">
        <v>0</v>
      </c>
    </row>
    <row r="225" spans="3:3">
      <c r="C225">
        <v>0</v>
      </c>
    </row>
    <row r="226" spans="3:3">
      <c r="C226">
        <v>0</v>
      </c>
    </row>
    <row r="227" spans="3:3">
      <c r="C227">
        <v>0</v>
      </c>
    </row>
    <row r="228" spans="3:3">
      <c r="C228">
        <v>0</v>
      </c>
    </row>
    <row r="229" spans="3:3">
      <c r="C229">
        <v>0</v>
      </c>
    </row>
    <row r="230" spans="3:3">
      <c r="C230">
        <v>0</v>
      </c>
    </row>
    <row r="231" spans="3:3">
      <c r="C231">
        <v>0</v>
      </c>
    </row>
    <row r="232" spans="3:3">
      <c r="C232">
        <v>0</v>
      </c>
    </row>
    <row r="233" spans="3:3">
      <c r="C233">
        <v>0</v>
      </c>
    </row>
    <row r="234" spans="3:3">
      <c r="C234">
        <v>0</v>
      </c>
    </row>
    <row r="235" spans="3:3">
      <c r="C235">
        <v>0</v>
      </c>
    </row>
    <row r="236" spans="3:3">
      <c r="C236">
        <v>0</v>
      </c>
    </row>
    <row r="237" spans="3:3">
      <c r="C237">
        <v>0</v>
      </c>
    </row>
    <row r="238" spans="3:3">
      <c r="C238">
        <v>0</v>
      </c>
    </row>
    <row r="239" spans="3:3">
      <c r="C239">
        <v>0</v>
      </c>
    </row>
    <row r="240" spans="3:3">
      <c r="C240">
        <v>0</v>
      </c>
    </row>
    <row r="241" spans="3:3">
      <c r="C241">
        <v>0</v>
      </c>
    </row>
    <row r="242" spans="3:3">
      <c r="C242">
        <v>0</v>
      </c>
    </row>
    <row r="243" spans="3:3">
      <c r="C243">
        <v>0</v>
      </c>
    </row>
    <row r="244" spans="3:3">
      <c r="C244">
        <v>0</v>
      </c>
    </row>
    <row r="245" spans="3:3">
      <c r="C245">
        <v>0</v>
      </c>
    </row>
    <row r="246" spans="3:3">
      <c r="C246">
        <v>0</v>
      </c>
    </row>
    <row r="247" spans="3:3">
      <c r="C247">
        <v>0</v>
      </c>
    </row>
    <row r="248" spans="3:3">
      <c r="C248">
        <v>0</v>
      </c>
    </row>
    <row r="249" spans="3:3">
      <c r="C249">
        <v>0</v>
      </c>
    </row>
    <row r="250" spans="3:3">
      <c r="C250">
        <v>0</v>
      </c>
    </row>
    <row r="251" spans="3:3">
      <c r="C251">
        <v>0</v>
      </c>
    </row>
    <row r="252" spans="3:3">
      <c r="C252">
        <v>0</v>
      </c>
    </row>
    <row r="253" spans="3:3">
      <c r="C253">
        <v>0</v>
      </c>
    </row>
    <row r="254" spans="3:3">
      <c r="C254">
        <v>0</v>
      </c>
    </row>
    <row r="255" spans="3:3">
      <c r="C255">
        <v>0</v>
      </c>
    </row>
    <row r="256" spans="3:3">
      <c r="C256">
        <v>0</v>
      </c>
    </row>
    <row r="257" spans="3:3">
      <c r="C257">
        <v>0</v>
      </c>
    </row>
    <row r="258" spans="3:3">
      <c r="C258">
        <v>0</v>
      </c>
    </row>
    <row r="259" spans="3:3">
      <c r="C259">
        <v>0</v>
      </c>
    </row>
    <row r="260" spans="3:3">
      <c r="C260">
        <v>0</v>
      </c>
    </row>
    <row r="261" spans="3:3">
      <c r="C261">
        <v>0</v>
      </c>
    </row>
    <row r="262" spans="3:3">
      <c r="C262">
        <v>0</v>
      </c>
    </row>
    <row r="263" spans="3:3">
      <c r="C263">
        <v>0</v>
      </c>
    </row>
    <row r="264" spans="3:3">
      <c r="C264">
        <v>0</v>
      </c>
    </row>
    <row r="265" spans="3:3">
      <c r="C265">
        <v>0</v>
      </c>
    </row>
    <row r="266" spans="3:3">
      <c r="C266">
        <v>0</v>
      </c>
    </row>
    <row r="267" spans="3:3">
      <c r="C267">
        <v>0</v>
      </c>
    </row>
    <row r="268" spans="3:3">
      <c r="C268">
        <v>0</v>
      </c>
    </row>
    <row r="269" spans="3:3">
      <c r="C269">
        <v>0</v>
      </c>
    </row>
    <row r="270" spans="3:3">
      <c r="C270">
        <v>0</v>
      </c>
    </row>
    <row r="271" spans="3:3">
      <c r="C271">
        <v>0</v>
      </c>
    </row>
    <row r="272" spans="3:3">
      <c r="C272">
        <v>0</v>
      </c>
    </row>
    <row r="273" spans="3:3">
      <c r="C273">
        <v>0</v>
      </c>
    </row>
    <row r="274" spans="3:3">
      <c r="C274">
        <v>0</v>
      </c>
    </row>
    <row r="275" spans="3:3">
      <c r="C275">
        <v>0</v>
      </c>
    </row>
    <row r="276" spans="3:3">
      <c r="C276">
        <v>0</v>
      </c>
    </row>
    <row r="277" spans="3:3">
      <c r="C277">
        <v>0</v>
      </c>
    </row>
    <row r="278" spans="3:3">
      <c r="C278">
        <v>0</v>
      </c>
    </row>
    <row r="279" spans="3:3">
      <c r="C279">
        <v>0</v>
      </c>
    </row>
    <row r="280" spans="3:3">
      <c r="C280">
        <v>0</v>
      </c>
    </row>
    <row r="281" spans="3:3">
      <c r="C281">
        <v>0</v>
      </c>
    </row>
    <row r="282" spans="3:3">
      <c r="C282">
        <v>0</v>
      </c>
    </row>
    <row r="283" spans="3:3">
      <c r="C283">
        <v>0</v>
      </c>
    </row>
    <row r="284" spans="3:3">
      <c r="C284">
        <v>0</v>
      </c>
    </row>
    <row r="285" spans="3:3">
      <c r="C285">
        <v>0</v>
      </c>
    </row>
    <row r="286" spans="3:3">
      <c r="C286">
        <v>0</v>
      </c>
    </row>
    <row r="287" spans="3:3">
      <c r="C287">
        <v>0</v>
      </c>
    </row>
    <row r="288" spans="3:3">
      <c r="C288">
        <v>0</v>
      </c>
    </row>
    <row r="289" spans="3:3">
      <c r="C289">
        <v>0</v>
      </c>
    </row>
    <row r="290" spans="3:3">
      <c r="C290">
        <v>0</v>
      </c>
    </row>
    <row r="291" spans="3:3">
      <c r="C291">
        <v>0</v>
      </c>
    </row>
    <row r="292" spans="3:3">
      <c r="C292">
        <v>0</v>
      </c>
    </row>
    <row r="293" spans="3:3">
      <c r="C293">
        <v>0</v>
      </c>
    </row>
    <row r="294" spans="3:3">
      <c r="C294">
        <v>0</v>
      </c>
    </row>
    <row r="295" spans="3:3">
      <c r="C295">
        <v>0</v>
      </c>
    </row>
    <row r="296" spans="3:3">
      <c r="C296">
        <v>0</v>
      </c>
    </row>
    <row r="297" spans="3:3">
      <c r="C297">
        <v>0</v>
      </c>
    </row>
    <row r="298" spans="3:3">
      <c r="C298">
        <v>0</v>
      </c>
    </row>
    <row r="299" spans="3:3">
      <c r="C299">
        <v>0</v>
      </c>
    </row>
    <row r="300" spans="3:3">
      <c r="C300">
        <v>0</v>
      </c>
    </row>
    <row r="301" spans="3:3">
      <c r="C301">
        <v>0</v>
      </c>
    </row>
    <row r="302" spans="3:3">
      <c r="C302">
        <v>0</v>
      </c>
    </row>
    <row r="303" spans="3:3">
      <c r="C303">
        <v>0</v>
      </c>
    </row>
    <row r="304" spans="3:3">
      <c r="C304">
        <v>0</v>
      </c>
    </row>
    <row r="305" spans="3:3">
      <c r="C305">
        <v>0</v>
      </c>
    </row>
    <row r="306" spans="3:3">
      <c r="C306">
        <v>0</v>
      </c>
    </row>
    <row r="307" spans="3:3">
      <c r="C307">
        <v>0</v>
      </c>
    </row>
    <row r="308" spans="3:3">
      <c r="C308">
        <v>0</v>
      </c>
    </row>
    <row r="309" spans="3:3">
      <c r="C309">
        <v>0</v>
      </c>
    </row>
    <row r="310" spans="3:3">
      <c r="C310">
        <v>0</v>
      </c>
    </row>
    <row r="311" spans="3:3">
      <c r="C311">
        <v>0</v>
      </c>
    </row>
    <row r="312" spans="3:3">
      <c r="C312">
        <v>0</v>
      </c>
    </row>
    <row r="313" spans="3:3">
      <c r="C313">
        <v>0</v>
      </c>
    </row>
    <row r="314" spans="3:3">
      <c r="C314">
        <v>0</v>
      </c>
    </row>
    <row r="315" spans="3:3">
      <c r="C315">
        <v>0</v>
      </c>
    </row>
    <row r="316" spans="3:3">
      <c r="C316">
        <v>0</v>
      </c>
    </row>
    <row r="317" spans="3:3">
      <c r="C317">
        <v>0</v>
      </c>
    </row>
    <row r="318" spans="3:3">
      <c r="C318">
        <v>0</v>
      </c>
    </row>
    <row r="319" spans="3:3">
      <c r="C319">
        <v>0</v>
      </c>
    </row>
    <row r="320" spans="3:3">
      <c r="C320">
        <v>0</v>
      </c>
    </row>
    <row r="321" spans="3:3">
      <c r="C321">
        <v>0</v>
      </c>
    </row>
    <row r="322" spans="3:3">
      <c r="C322">
        <v>0</v>
      </c>
    </row>
    <row r="323" spans="3:3">
      <c r="C323">
        <v>0</v>
      </c>
    </row>
    <row r="324" spans="3:3">
      <c r="C324">
        <v>0</v>
      </c>
    </row>
    <row r="325" spans="3:3">
      <c r="C325">
        <v>0</v>
      </c>
    </row>
    <row r="326" spans="3:3">
      <c r="C326">
        <v>0</v>
      </c>
    </row>
    <row r="327" spans="3:3">
      <c r="C327">
        <v>0</v>
      </c>
    </row>
    <row r="328" spans="3:3">
      <c r="C328">
        <v>0</v>
      </c>
    </row>
    <row r="329" spans="3:3">
      <c r="C329">
        <v>0</v>
      </c>
    </row>
    <row r="330" spans="3:3">
      <c r="C330">
        <v>0</v>
      </c>
    </row>
    <row r="331" spans="3:3">
      <c r="C331">
        <v>0</v>
      </c>
    </row>
    <row r="332" spans="3:3">
      <c r="C332">
        <v>0</v>
      </c>
    </row>
    <row r="333" spans="3:3">
      <c r="C333">
        <v>0</v>
      </c>
    </row>
    <row r="334" spans="3:3">
      <c r="C334">
        <v>0</v>
      </c>
    </row>
    <row r="335" spans="3:3">
      <c r="C335">
        <v>0</v>
      </c>
    </row>
    <row r="336" spans="3:3">
      <c r="C336">
        <v>0</v>
      </c>
    </row>
    <row r="337" spans="3:3">
      <c r="C337">
        <v>0</v>
      </c>
    </row>
    <row r="338" spans="3:3">
      <c r="C338">
        <v>0</v>
      </c>
    </row>
    <row r="339" spans="3:3">
      <c r="C339">
        <v>0</v>
      </c>
    </row>
    <row r="340" spans="3:3">
      <c r="C340">
        <v>0</v>
      </c>
    </row>
    <row r="341" spans="3:3">
      <c r="C341">
        <v>0</v>
      </c>
    </row>
    <row r="342" spans="3:3">
      <c r="C342">
        <v>0</v>
      </c>
    </row>
    <row r="343" spans="3:3">
      <c r="C343">
        <v>0</v>
      </c>
    </row>
    <row r="344" spans="3:3">
      <c r="C344">
        <v>0</v>
      </c>
    </row>
    <row r="345" spans="3:3">
      <c r="C345">
        <v>0</v>
      </c>
    </row>
    <row r="346" spans="3:3">
      <c r="C346">
        <v>0</v>
      </c>
    </row>
    <row r="347" spans="3:3">
      <c r="C347">
        <v>0</v>
      </c>
    </row>
    <row r="348" spans="3:3">
      <c r="C348">
        <v>0</v>
      </c>
    </row>
    <row r="349" spans="3:3">
      <c r="C349">
        <v>0</v>
      </c>
    </row>
    <row r="350" spans="3:3">
      <c r="C350">
        <v>0</v>
      </c>
    </row>
    <row r="351" spans="3:3">
      <c r="C351">
        <v>0</v>
      </c>
    </row>
    <row r="352" spans="3:3">
      <c r="C352">
        <v>0</v>
      </c>
    </row>
    <row r="353" spans="3:3">
      <c r="C353">
        <v>0</v>
      </c>
    </row>
    <row r="354" spans="3:3">
      <c r="C354">
        <v>0</v>
      </c>
    </row>
    <row r="355" spans="3:3">
      <c r="C355">
        <v>0</v>
      </c>
    </row>
    <row r="356" spans="3:3">
      <c r="C356">
        <v>0</v>
      </c>
    </row>
    <row r="357" spans="3:3">
      <c r="C357">
        <v>0</v>
      </c>
    </row>
    <row r="358" spans="3:3">
      <c r="C358">
        <v>0</v>
      </c>
    </row>
    <row r="359" spans="3:3">
      <c r="C359">
        <v>0</v>
      </c>
    </row>
    <row r="360" spans="3:3">
      <c r="C360">
        <v>0</v>
      </c>
    </row>
    <row r="361" spans="3:3">
      <c r="C361">
        <v>0</v>
      </c>
    </row>
    <row r="362" spans="3:3">
      <c r="C362">
        <v>0</v>
      </c>
    </row>
    <row r="363" spans="3:3">
      <c r="C363">
        <v>0</v>
      </c>
    </row>
    <row r="364" spans="3:3">
      <c r="C364">
        <v>0</v>
      </c>
    </row>
    <row r="365" spans="3:3">
      <c r="C365">
        <v>0</v>
      </c>
    </row>
    <row r="366" spans="3:3">
      <c r="C366">
        <v>0</v>
      </c>
    </row>
    <row r="367" spans="3:3">
      <c r="C367">
        <v>0</v>
      </c>
    </row>
    <row r="368" spans="3:3">
      <c r="C368">
        <v>0</v>
      </c>
    </row>
    <row r="369" spans="3:3">
      <c r="C369">
        <v>0</v>
      </c>
    </row>
    <row r="370" spans="3:3">
      <c r="C370">
        <v>0</v>
      </c>
    </row>
    <row r="371" spans="3:3">
      <c r="C371">
        <v>0</v>
      </c>
    </row>
    <row r="372" spans="3:3">
      <c r="C372">
        <v>0</v>
      </c>
    </row>
    <row r="373" spans="3:3">
      <c r="C373">
        <v>0</v>
      </c>
    </row>
    <row r="374" spans="3:3">
      <c r="C374">
        <v>0</v>
      </c>
    </row>
    <row r="375" spans="3:3">
      <c r="C375">
        <v>0</v>
      </c>
    </row>
    <row r="376" spans="3:3">
      <c r="C376">
        <v>0</v>
      </c>
    </row>
    <row r="377" spans="3:3">
      <c r="C377">
        <v>0</v>
      </c>
    </row>
    <row r="378" spans="3:3">
      <c r="C378">
        <v>0</v>
      </c>
    </row>
    <row r="379" spans="3:3">
      <c r="C379">
        <v>0</v>
      </c>
    </row>
    <row r="380" spans="3:3">
      <c r="C380">
        <v>0</v>
      </c>
    </row>
    <row r="381" spans="3:3">
      <c r="C381">
        <v>0</v>
      </c>
    </row>
    <row r="382" spans="3:3">
      <c r="C382">
        <v>0</v>
      </c>
    </row>
    <row r="383" spans="3:3">
      <c r="C383">
        <v>0</v>
      </c>
    </row>
    <row r="384" spans="3:3">
      <c r="C384">
        <v>0</v>
      </c>
    </row>
    <row r="385" spans="3:3">
      <c r="C385">
        <v>0</v>
      </c>
    </row>
    <row r="386" spans="3:3">
      <c r="C386">
        <v>0</v>
      </c>
    </row>
    <row r="387" spans="3:3">
      <c r="C387">
        <v>0</v>
      </c>
    </row>
    <row r="388" spans="3:3">
      <c r="C388">
        <v>0</v>
      </c>
    </row>
    <row r="389" spans="3:3">
      <c r="C389">
        <v>0</v>
      </c>
    </row>
    <row r="390" spans="3:3">
      <c r="C390">
        <v>0</v>
      </c>
    </row>
    <row r="391" spans="3:3">
      <c r="C391">
        <v>0</v>
      </c>
    </row>
    <row r="392" spans="3:3">
      <c r="C392">
        <v>0</v>
      </c>
    </row>
    <row r="393" spans="3:3">
      <c r="C393">
        <v>0</v>
      </c>
    </row>
    <row r="394" spans="3:3">
      <c r="C394">
        <v>0</v>
      </c>
    </row>
    <row r="395" spans="3:3">
      <c r="C395">
        <v>0</v>
      </c>
    </row>
    <row r="396" spans="3:3">
      <c r="C396">
        <v>0</v>
      </c>
    </row>
    <row r="397" spans="3:3">
      <c r="C397">
        <v>0</v>
      </c>
    </row>
    <row r="398" spans="3:3">
      <c r="C398">
        <v>0</v>
      </c>
    </row>
    <row r="399" spans="3:3">
      <c r="C399">
        <v>0</v>
      </c>
    </row>
    <row r="400" spans="3:3">
      <c r="C400">
        <v>0</v>
      </c>
    </row>
    <row r="401" spans="3:3">
      <c r="C401">
        <v>0</v>
      </c>
    </row>
    <row r="402" spans="3:3">
      <c r="C402">
        <v>0</v>
      </c>
    </row>
    <row r="403" spans="3:3">
      <c r="C403">
        <v>0</v>
      </c>
    </row>
    <row r="404" spans="3:3">
      <c r="C404">
        <v>0</v>
      </c>
    </row>
    <row r="405" spans="3:3">
      <c r="C405">
        <v>0</v>
      </c>
    </row>
    <row r="406" spans="3:3">
      <c r="C406">
        <v>0</v>
      </c>
    </row>
    <row r="407" spans="3:3">
      <c r="C407">
        <v>0</v>
      </c>
    </row>
    <row r="408" spans="3:3">
      <c r="C408">
        <v>0</v>
      </c>
    </row>
    <row r="409" spans="3:3">
      <c r="C409">
        <v>0</v>
      </c>
    </row>
    <row r="410" spans="3:3">
      <c r="C410">
        <v>0</v>
      </c>
    </row>
    <row r="411" spans="3:3">
      <c r="C411">
        <v>0</v>
      </c>
    </row>
    <row r="412" spans="3:3">
      <c r="C412">
        <v>0</v>
      </c>
    </row>
    <row r="413" spans="3:3">
      <c r="C413">
        <v>0</v>
      </c>
    </row>
    <row r="414" spans="3:3">
      <c r="C414">
        <v>0</v>
      </c>
    </row>
    <row r="415" spans="3:3">
      <c r="C415">
        <v>0</v>
      </c>
    </row>
    <row r="416" spans="3:3">
      <c r="C416">
        <v>0</v>
      </c>
    </row>
    <row r="417" spans="3:3">
      <c r="C417">
        <v>0</v>
      </c>
    </row>
    <row r="418" spans="3:3">
      <c r="C418">
        <v>0</v>
      </c>
    </row>
    <row r="419" spans="3:3">
      <c r="C419">
        <v>0</v>
      </c>
    </row>
    <row r="420" spans="3:3">
      <c r="C420">
        <v>0</v>
      </c>
    </row>
    <row r="421" spans="3:3">
      <c r="C421">
        <v>0</v>
      </c>
    </row>
    <row r="422" spans="3:3">
      <c r="C422">
        <v>0</v>
      </c>
    </row>
    <row r="423" spans="3:3">
      <c r="C423">
        <v>0</v>
      </c>
    </row>
    <row r="424" spans="3:3">
      <c r="C424">
        <v>0</v>
      </c>
    </row>
    <row r="425" spans="3:3">
      <c r="C425">
        <v>0</v>
      </c>
    </row>
    <row r="426" spans="3:3">
      <c r="C426">
        <v>0</v>
      </c>
    </row>
    <row r="427" spans="3:3">
      <c r="C427">
        <v>0</v>
      </c>
    </row>
    <row r="428" spans="3:3">
      <c r="C428">
        <v>0</v>
      </c>
    </row>
    <row r="429" spans="3:3">
      <c r="C429">
        <v>0</v>
      </c>
    </row>
    <row r="430" spans="3:3">
      <c r="C430">
        <v>0</v>
      </c>
    </row>
    <row r="431" spans="3:3">
      <c r="C431">
        <v>0</v>
      </c>
    </row>
    <row r="432" spans="3:3">
      <c r="C432">
        <v>0</v>
      </c>
    </row>
    <row r="433" spans="3:3">
      <c r="C433">
        <v>0</v>
      </c>
    </row>
    <row r="434" spans="3:3">
      <c r="C434">
        <v>0</v>
      </c>
    </row>
    <row r="435" spans="3:3">
      <c r="C435">
        <v>0</v>
      </c>
    </row>
    <row r="436" spans="3:3">
      <c r="C436">
        <v>0</v>
      </c>
    </row>
    <row r="437" spans="3:3">
      <c r="C437">
        <v>0</v>
      </c>
    </row>
    <row r="438" spans="3:3">
      <c r="C438">
        <v>0</v>
      </c>
    </row>
    <row r="439" spans="3:3">
      <c r="C439">
        <v>0</v>
      </c>
    </row>
    <row r="440" spans="3:3">
      <c r="C440">
        <v>0</v>
      </c>
    </row>
    <row r="441" spans="3:3">
      <c r="C441">
        <v>0</v>
      </c>
    </row>
    <row r="442" spans="3:3">
      <c r="C442">
        <v>0</v>
      </c>
    </row>
    <row r="443" spans="3:3">
      <c r="C443">
        <v>0</v>
      </c>
    </row>
    <row r="444" spans="3:3">
      <c r="C444">
        <v>0</v>
      </c>
    </row>
    <row r="445" spans="3:3">
      <c r="C445">
        <v>0</v>
      </c>
    </row>
    <row r="446" spans="3:3">
      <c r="C446">
        <v>0</v>
      </c>
    </row>
    <row r="447" spans="3:3">
      <c r="C447">
        <v>0</v>
      </c>
    </row>
    <row r="448" spans="3:3">
      <c r="C448">
        <v>0</v>
      </c>
    </row>
    <row r="449" spans="3:3">
      <c r="C449">
        <v>0</v>
      </c>
    </row>
    <row r="450" spans="3:3">
      <c r="C450">
        <v>0</v>
      </c>
    </row>
    <row r="451" spans="3:3">
      <c r="C451">
        <v>0</v>
      </c>
    </row>
    <row r="452" spans="3:3">
      <c r="C452">
        <v>0</v>
      </c>
    </row>
    <row r="453" spans="3:3">
      <c r="C453">
        <v>0</v>
      </c>
    </row>
    <row r="454" spans="3:3">
      <c r="C454">
        <v>0</v>
      </c>
    </row>
    <row r="455" spans="3:3">
      <c r="C455">
        <v>0</v>
      </c>
    </row>
    <row r="456" spans="3:3">
      <c r="C456">
        <v>0</v>
      </c>
    </row>
    <row r="457" spans="3:3">
      <c r="C457">
        <v>0</v>
      </c>
    </row>
    <row r="458" spans="3:3">
      <c r="C458">
        <v>0</v>
      </c>
    </row>
    <row r="459" spans="3:3">
      <c r="C459">
        <v>0</v>
      </c>
    </row>
    <row r="460" spans="3:3">
      <c r="C460">
        <v>0</v>
      </c>
    </row>
    <row r="461" spans="3:3">
      <c r="C461">
        <v>0</v>
      </c>
    </row>
    <row r="462" spans="3:3">
      <c r="C462">
        <v>0</v>
      </c>
    </row>
    <row r="463" spans="3:3">
      <c r="C463">
        <v>0</v>
      </c>
    </row>
    <row r="464" spans="3:3">
      <c r="C464">
        <v>0</v>
      </c>
    </row>
    <row r="465" spans="3:3">
      <c r="C465">
        <v>0</v>
      </c>
    </row>
    <row r="466" spans="3:3">
      <c r="C466">
        <v>0</v>
      </c>
    </row>
    <row r="467" spans="3:3">
      <c r="C467">
        <v>0</v>
      </c>
    </row>
    <row r="468" spans="3:3">
      <c r="C468">
        <v>0</v>
      </c>
    </row>
    <row r="469" spans="3:3">
      <c r="C469">
        <v>0</v>
      </c>
    </row>
    <row r="470" spans="3:3">
      <c r="C470">
        <v>0</v>
      </c>
    </row>
    <row r="471" spans="3:3">
      <c r="C471">
        <v>0</v>
      </c>
    </row>
    <row r="472" spans="3:3">
      <c r="C472">
        <v>0</v>
      </c>
    </row>
    <row r="473" spans="3:3">
      <c r="C473">
        <v>0</v>
      </c>
    </row>
    <row r="474" spans="3:3">
      <c r="C474">
        <v>0</v>
      </c>
    </row>
    <row r="475" spans="3:3">
      <c r="C475">
        <v>0</v>
      </c>
    </row>
    <row r="476" spans="3:3">
      <c r="C476">
        <v>0</v>
      </c>
    </row>
    <row r="477" spans="3:3">
      <c r="C477">
        <v>0</v>
      </c>
    </row>
    <row r="478" spans="3:3">
      <c r="C478">
        <v>0</v>
      </c>
    </row>
    <row r="479" spans="3:3">
      <c r="C479">
        <v>0</v>
      </c>
    </row>
    <row r="480" spans="3:3">
      <c r="C480">
        <v>0</v>
      </c>
    </row>
    <row r="481" spans="3:3">
      <c r="C481">
        <v>0</v>
      </c>
    </row>
    <row r="482" spans="3:3">
      <c r="C482">
        <v>0</v>
      </c>
    </row>
    <row r="483" spans="3:3">
      <c r="C483">
        <v>0</v>
      </c>
    </row>
    <row r="484" spans="3:3">
      <c r="C484">
        <v>0</v>
      </c>
    </row>
    <row r="485" spans="3:3">
      <c r="C485">
        <v>0</v>
      </c>
    </row>
    <row r="486" spans="3:3">
      <c r="C486">
        <v>0</v>
      </c>
    </row>
    <row r="487" spans="3:3">
      <c r="C487">
        <v>0</v>
      </c>
    </row>
    <row r="488" spans="3:3">
      <c r="C488">
        <v>0</v>
      </c>
    </row>
    <row r="489" spans="3:3">
      <c r="C489">
        <v>0</v>
      </c>
    </row>
    <row r="490" spans="3:3">
      <c r="C490">
        <v>0</v>
      </c>
    </row>
    <row r="491" spans="3:3">
      <c r="C491">
        <v>0</v>
      </c>
    </row>
    <row r="492" spans="3:3">
      <c r="C492">
        <v>0</v>
      </c>
    </row>
    <row r="493" spans="3:3">
      <c r="C493">
        <v>0</v>
      </c>
    </row>
    <row r="494" spans="3:3">
      <c r="C494">
        <v>0</v>
      </c>
    </row>
    <row r="495" spans="3:3">
      <c r="C495">
        <v>0</v>
      </c>
    </row>
    <row r="496" spans="3:3">
      <c r="C496">
        <v>0</v>
      </c>
    </row>
    <row r="497" spans="3:3">
      <c r="C497">
        <v>0</v>
      </c>
    </row>
    <row r="498" spans="3:3">
      <c r="C498">
        <v>0</v>
      </c>
    </row>
    <row r="499" spans="3:3">
      <c r="C499">
        <v>0</v>
      </c>
    </row>
    <row r="500" spans="3:3">
      <c r="C500">
        <v>0</v>
      </c>
    </row>
  </sheetData>
  <sheetProtection sheet="1" object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5" master="" otherUserPermission="visible"/>
  <rangeList sheetStid="1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概览</vt:lpstr>
      <vt:lpstr>数据汇总</vt:lpstr>
      <vt:lpstr>数据源</vt:lpstr>
      <vt:lpstr>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lijinxing</dc:creator>
  <cp:lastModifiedBy>少星</cp:lastModifiedBy>
  <dcterms:created xsi:type="dcterms:W3CDTF">2025-05-24T23:32:00Z</dcterms:created>
  <dcterms:modified xsi:type="dcterms:W3CDTF">2025-08-17T13:42:56Z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7D4EF6B81EA0DA00128D296802BEA2ED_41</vt:lpwstr>
  </property>
  <property fmtid="{D5CDD505-2E9C-101B-9397-08002B2CF9AE}" pid="3" name="KSOProductBuildVer">
    <vt:lpwstr>2052-12.1.22218.22218</vt:lpwstr>
  </property>
</Properties>
</file>