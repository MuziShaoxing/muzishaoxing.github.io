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6760" tabRatio="820" activeTab="5"/>
  </bookViews>
  <sheets>
    <sheet name="概览" sheetId="21" r:id="rId1"/>
    <sheet name="区块图" sheetId="16" r:id="rId2"/>
    <sheet name="小时单" sheetId="17" r:id="rId3"/>
    <sheet name="半小时" sheetId="19" r:id="rId4"/>
    <sheet name="新人订单" sheetId="8" r:id="rId5"/>
    <sheet name="生鲜批次导出" sheetId="3" r:id="rId6"/>
    <sheet name="数字运营台" sheetId="5" r:id="rId7"/>
    <sheet name="骑手排行榜" sheetId="4" r:id="rId8"/>
    <sheet name="考勤" sheetId="25" r:id="rId9"/>
    <sheet name="代码池" sheetId="7" r:id="rId10"/>
    <sheet name="区块划分表" sheetId="22" r:id="rId11"/>
    <sheet name="注意事项" sheetId="23" r:id="rId12"/>
  </sheets>
  <definedNames>
    <definedName name="_xlnm._FilterDatabase" localSheetId="7" hidden="1">骑手排行榜!$A$1:$S$125</definedName>
    <definedName name="_xlnm._FilterDatabase" localSheetId="5" hidden="1">生鲜批次导出!$A$1:$AH$2726</definedName>
    <definedName name="_xlnm._FilterDatabase" localSheetId="8" hidden="1">考勤!$A$1:$P$57</definedName>
    <definedName name="_xlnm._FilterDatabase" localSheetId="9" hidden="1">代码池!$A$1:$JES$5000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<sst xmlns="http://schemas.openxmlformats.org/spreadsheetml/2006/main" count="130" uniqueCount="86">
  <si>
    <t>跑单明细</t>
  </si>
  <si>
    <t>订单统计</t>
  </si>
  <si>
    <t>完美履约</t>
  </si>
  <si>
    <t>配送SLA</t>
  </si>
  <si>
    <t>强制妥投</t>
  </si>
  <si>
    <t>二次妥投</t>
  </si>
  <si>
    <t xml:space="preserve">出勤 </t>
  </si>
  <si>
    <t>订单</t>
  </si>
  <si>
    <t>超时</t>
  </si>
  <si>
    <t>全职</t>
  </si>
  <si>
    <t>盒心全职</t>
  </si>
  <si>
    <t>盒心普通</t>
  </si>
  <si>
    <t>灵活</t>
  </si>
  <si>
    <t>合计</t>
  </si>
  <si>
    <t>订单分布与区块占比</t>
  </si>
  <si>
    <t>总单量</t>
  </si>
  <si>
    <t>有效单</t>
  </si>
  <si>
    <t>取消配送</t>
  </si>
  <si>
    <t>已完成</t>
  </si>
  <si>
    <t>单量</t>
  </si>
  <si>
    <t>占比</t>
  </si>
  <si>
    <t>光标放置此处 按键AIT+A</t>
  </si>
  <si>
    <t>小时</t>
  </si>
  <si>
    <t>时段单量</t>
  </si>
  <si>
    <t>时段人数</t>
  </si>
  <si>
    <t>时段效率</t>
  </si>
  <si>
    <t>半小时</t>
  </si>
  <si>
    <t>姓名</t>
  </si>
  <si>
    <t>工作时长</t>
  </si>
  <si>
    <t>履约分析</t>
  </si>
  <si>
    <t>当前顾客下单量</t>
  </si>
  <si>
    <t>配送完成单量</t>
  </si>
  <si>
    <t>完美履约：</t>
  </si>
  <si>
    <t>配送及时率：</t>
  </si>
  <si>
    <t>强制妥投：</t>
  </si>
  <si>
    <t>超时：</t>
  </si>
  <si>
    <t>单</t>
  </si>
  <si>
    <t>早高峰：</t>
  </si>
  <si>
    <t>人</t>
  </si>
  <si>
    <t>晚高峰：</t>
  </si>
  <si>
    <t>履约不达标原因：</t>
  </si>
  <si>
    <t>计费区块</t>
  </si>
  <si>
    <t>矫正序列</t>
  </si>
  <si>
    <t>分隔符</t>
  </si>
  <si>
    <t>工时</t>
  </si>
  <si>
    <t>效率</t>
  </si>
  <si>
    <t>早高峰</t>
  </si>
  <si>
    <t>午高峰</t>
  </si>
  <si>
    <t>晚高峰</t>
  </si>
  <si>
    <t>排名</t>
  </si>
  <si>
    <t>类型</t>
  </si>
  <si>
    <t>妥投数量</t>
  </si>
  <si>
    <t>考勤骑手.配送员姓名</t>
  </si>
  <si>
    <t>配送班次.班次开始时间</t>
  </si>
  <si>
    <t>配送班次.班次结束时间</t>
  </si>
  <si>
    <t>区块</t>
  </si>
  <si>
    <t>内环</t>
  </si>
  <si>
    <t>外环</t>
  </si>
  <si>
    <t>环外</t>
  </si>
  <si>
    <t>配送员类型</t>
  </si>
  <si>
    <t>自动检索区块</t>
  </si>
  <si>
    <t>固定区块</t>
  </si>
  <si>
    <t>序号</t>
  </si>
  <si>
    <t>错误</t>
  </si>
  <si>
    <t>如果区块信息反馈错误，请自行修改区块划分表。手动标注内外环顺序以及计费标准。（默认按照区块包含“内环，外环，环外”来排序定计费标准</t>
  </si>
  <si>
    <t>有效</t>
  </si>
  <si>
    <t>无效占比</t>
  </si>
  <si>
    <t>各职业单量区块占比</t>
  </si>
  <si>
    <t>注意事项：</t>
  </si>
  <si>
    <t>调整记录</t>
  </si>
  <si>
    <r>
      <rPr>
        <sz val="20"/>
        <color theme="1"/>
        <rFont val="Kaiti SC Regular"/>
        <charset val="134"/>
      </rPr>
      <t>1，绿色表格纯数据摘要</t>
    </r>
    <r>
      <rPr>
        <sz val="20"/>
        <color rgb="FFFF0000"/>
        <rFont val="Kaiti SC Regular"/>
        <charset val="134"/>
      </rPr>
      <t>仅阅读</t>
    </r>
    <r>
      <rPr>
        <sz val="20"/>
        <color theme="1"/>
        <rFont val="Kaiti SC Regular"/>
        <charset val="134"/>
      </rPr>
      <t>（自动刷新），默认不可编辑</t>
    </r>
  </si>
  <si>
    <t>2025-09-28:新增小时&amp;半小时出勤“多时段”骑手精确显示</t>
  </si>
  <si>
    <r>
      <rPr>
        <sz val="20"/>
        <color theme="1"/>
        <rFont val="Kaiti SC Regular"/>
        <charset val="134"/>
      </rPr>
      <t>2，如需编辑加密区域密码：</t>
    </r>
    <r>
      <rPr>
        <sz val="20"/>
        <color rgb="FFFF0000"/>
        <rFont val="Kaiti SC Regular"/>
        <charset val="134"/>
      </rPr>
      <t>1234或空（包括这里）</t>
    </r>
  </si>
  <si>
    <t>目前支持</t>
  </si>
  <si>
    <t>数据上限</t>
  </si>
  <si>
    <r>
      <rPr>
        <sz val="20"/>
        <color theme="1"/>
        <rFont val="Kaiti SC Regular"/>
        <charset val="134"/>
      </rPr>
      <t>3，蓝色表格是</t>
    </r>
    <r>
      <rPr>
        <sz val="20"/>
        <color rgb="FFFF0000"/>
        <rFont val="Kaiti SC Regular"/>
        <charset val="134"/>
      </rPr>
      <t>数据源</t>
    </r>
    <r>
      <rPr>
        <sz val="20"/>
        <color theme="1"/>
        <rFont val="Kaiti SC Regular"/>
        <charset val="134"/>
      </rPr>
      <t>，需导入指定数据。详见右侧截图</t>
    </r>
  </si>
  <si>
    <t>4，红色代码池，非理解别动！！！！</t>
  </si>
  <si>
    <r>
      <rPr>
        <sz val="20"/>
        <color theme="1"/>
        <rFont val="Kaiti SC Regular"/>
        <charset val="134"/>
      </rPr>
      <t>5，无论如何，</t>
    </r>
    <r>
      <rPr>
        <sz val="20"/>
        <color rgb="FFFF0000"/>
        <rFont val="Kaiti SC Regular"/>
        <charset val="134"/>
      </rPr>
      <t>不要删除单元格，</t>
    </r>
    <r>
      <rPr>
        <sz val="20"/>
        <color rgb="FF7030A0"/>
        <rFont val="Kaiti SC Regular"/>
        <charset val="134"/>
      </rPr>
      <t>请使用清空内容</t>
    </r>
  </si>
  <si>
    <t>人员</t>
  </si>
  <si>
    <r>
      <rPr>
        <sz val="20"/>
        <color theme="1"/>
        <rFont val="Kaiti SC Regular"/>
        <charset val="134"/>
      </rPr>
      <t>6，正常使用，无需解密，如运算错误，尝试</t>
    </r>
    <r>
      <rPr>
        <sz val="20"/>
        <color rgb="FFFFFF00"/>
        <rFont val="Kaiti SC Regular"/>
        <charset val="134"/>
      </rPr>
      <t>F9刷新</t>
    </r>
    <r>
      <rPr>
        <sz val="20"/>
        <color theme="1"/>
        <rFont val="Kaiti SC Regular"/>
        <charset val="134"/>
      </rPr>
      <t>，如果还不行，</t>
    </r>
    <r>
      <rPr>
        <sz val="20"/>
        <color rgb="FFFF0000"/>
        <rFont val="Kaiti SC Regular"/>
        <charset val="134"/>
      </rPr>
      <t>那就是数据源错误，看看首行列是不是A1</t>
    </r>
  </si>
  <si>
    <t>超过上述数值，需更改表格代码以做到完美支持</t>
  </si>
  <si>
    <r>
      <rPr>
        <sz val="20"/>
        <color theme="1"/>
        <rFont val="Kaiti SC Regular"/>
        <charset val="134"/>
      </rPr>
      <t>生鲜批次导出-</t>
    </r>
    <r>
      <rPr>
        <sz val="20"/>
        <color rgb="FFFF0000"/>
        <rFont val="Kaiti SC Regular"/>
        <charset val="134"/>
      </rPr>
      <t>总部-生鲜批次导出</t>
    </r>
  </si>
  <si>
    <t>数字运营台-Ctrl + A全选，仅粘贴文本</t>
  </si>
  <si>
    <r>
      <rPr>
        <sz val="20"/>
        <color theme="1"/>
        <rFont val="Kaiti SC Regular"/>
        <charset val="134"/>
      </rPr>
      <t>骑手排行榜-配送-</t>
    </r>
    <r>
      <rPr>
        <sz val="20"/>
        <color rgb="FFFF0000"/>
        <rFont val="Kaiti SC Regular"/>
        <charset val="134"/>
      </rPr>
      <t>数字运营台-骑手排行榜</t>
    </r>
  </si>
  <si>
    <r>
      <rPr>
        <sz val="20"/>
        <color theme="1"/>
        <rFont val="Kaiti SC Regular"/>
        <charset val="134"/>
      </rPr>
      <t>考勤-</t>
    </r>
    <r>
      <rPr>
        <sz val="20"/>
        <color theme="4"/>
        <rFont val="Kaiti SC Regular"/>
        <charset val="134"/>
      </rPr>
      <t>总部</t>
    </r>
    <r>
      <rPr>
        <sz val="20"/>
        <color rgb="FFFF0000"/>
        <rFont val="Kaiti SC Regular"/>
        <charset val="134"/>
      </rPr>
      <t>-配送排班合理性分析-</t>
    </r>
    <r>
      <rPr>
        <sz val="20"/>
        <color rgb="FFFFC000"/>
        <rFont val="Kaiti SC Regular"/>
        <charset val="134"/>
      </rPr>
      <t>骑手-班次维度考勤（导出）</t>
    </r>
  </si>
  <si>
    <t>区块划分表：如果区块图中区块信息反馈错误，请自行修改区块划分表。手动标注内外环顺序以及计费标准。（默认按照区块包含“内环，外环，环外”来排序定计费标准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</si>
</sst>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h:mm:ss;@"/>
    <numFmt numFmtId="178" formatCode="0_ "/>
    <numFmt numFmtId="179" formatCode="hh&quot;时&quot;"/>
    <numFmt numFmtId="180" formatCode="0&quot;小&quot;&quot;时&quot;"/>
    <numFmt numFmtId="181" formatCode="0.0_);[Red]\(0.0\)"/>
    <numFmt numFmtId="182" formatCode="0.0_ "/>
    <numFmt numFmtId="183" formatCode="0_);[Red]\(0\)"/>
    <numFmt numFmtId="184" formatCode="[$-F800]dddd\,\ mmmm\ dd\,\ yyyy"/>
    <numFmt numFmtId="185" formatCode="yyyy&quot;年&quot;m&quot;月&quot;d&quot;日&quot;;@"/>
  </numFmts>
  <fonts count="38">
    <font>
      <sz val="11"/>
      <color theme="1"/>
      <name val="等线"/>
      <charset val="134"/>
      <scheme val="minor"/>
    </font>
    <font>
      <sz val="20"/>
      <color theme="1"/>
      <name val="Kaiti SC Regular"/>
      <charset val="134"/>
    </font>
    <font>
      <sz val="20"/>
      <color rgb="FFFF0000"/>
      <name val="Kaiti SC Regular"/>
      <charset val="134"/>
    </font>
    <font>
      <sz val="20"/>
      <name val="Kaiti SC Regular"/>
      <charset val="134"/>
    </font>
    <font>
      <sz val="20"/>
      <color indexed="8"/>
      <name val="Kaiti SC Regular"/>
      <charset val="134"/>
    </font>
    <font>
      <sz val="20"/>
      <color rgb="FF333333"/>
      <name val="Kaiti SC Regular"/>
      <charset val="134"/>
    </font>
    <font>
      <u/>
      <sz val="20"/>
      <name val="Kaiti SC Regular"/>
      <charset val="134"/>
    </font>
    <font>
      <sz val="16"/>
      <color indexed="8"/>
      <name val="Kaiti SC Regular"/>
      <charset val="134"/>
    </font>
    <font>
      <sz val="16"/>
      <color theme="1"/>
      <name val="Kaiti SC Regular"/>
      <charset val="134"/>
    </font>
    <font>
      <sz val="48"/>
      <color theme="1"/>
      <name val="Kaiti SC Regular"/>
      <charset val="134"/>
    </font>
    <font>
      <sz val="72"/>
      <color theme="1"/>
      <name val="Kaiti SC Regular"/>
      <charset val="134"/>
    </font>
    <font>
      <sz val="36"/>
      <color theme="1"/>
      <name val="Kaiti SC Regular"/>
      <charset val="134"/>
    </font>
    <font>
      <sz val="28"/>
      <name val="Kaiti SC Regular"/>
      <charset val="134"/>
    </font>
    <font>
      <sz val="48"/>
      <name val="Kaiti SC Regular"/>
      <charset val="134"/>
    </font>
    <font>
      <sz val="18"/>
      <name val="Kaiti SC Regular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20"/>
      <color rgb="FF7030A0"/>
      <name val="Kaiti SC Regular"/>
      <charset val="134"/>
    </font>
    <font>
      <sz val="20"/>
      <color rgb="FFFFFF00"/>
      <name val="Kaiti SC Regular"/>
      <charset val="134"/>
    </font>
    <font>
      <sz val="20"/>
      <color theme="4"/>
      <name val="Kaiti SC Regular"/>
      <charset val="134"/>
    </font>
    <font>
      <sz val="20"/>
      <color rgb="FFFFC000"/>
      <name val="Kaiti SC Regular"/>
      <charset val="134"/>
    </font>
  </fonts>
  <fills count="4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31EFF"/>
        <bgColor indexed="64"/>
      </patternFill>
    </fill>
    <fill>
      <patternFill patternType="solid">
        <fgColor rgb="FF86F26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4" tint="0.799768059327982"/>
      </patternFill>
    </fill>
    <fill>
      <patternFill patternType="solid">
        <fgColor rgb="FF00B0F0"/>
        <bgColor theme="4" tint="0.79976805932798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EEEEEE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3" borderId="9" applyNumberFormat="0" applyAlignment="0" applyProtection="0">
      <alignment vertical="center"/>
    </xf>
    <xf numFmtId="0" fontId="24" fillId="14" borderId="10" applyNumberFormat="0" applyAlignment="0" applyProtection="0">
      <alignment vertical="center"/>
    </xf>
    <xf numFmtId="0" fontId="25" fillId="14" borderId="9" applyNumberFormat="0" applyAlignment="0" applyProtection="0">
      <alignment vertical="center"/>
    </xf>
    <xf numFmtId="0" fontId="26" fillId="15" borderId="11" applyNumberFormat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</cellStyleXfs>
  <cellXfs count="146">
    <xf numFmtId="0" fontId="0" fillId="0" borderId="0" xfId="0"/>
    <xf numFmtId="0" fontId="1" fillId="0" borderId="0" xfId="0" applyFont="1" applyAlignment="1" applyProtection="1">
      <alignment horizontal="left" vertical="center" wrapText="1"/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1" fillId="2" borderId="0" xfId="0" applyFont="1" applyFill="1" applyAlignment="1" applyProtection="1">
      <alignment horizontal="left" vertical="center"/>
      <protection hidden="1"/>
    </xf>
    <xf numFmtId="0" fontId="1" fillId="3" borderId="0" xfId="0" applyFont="1" applyFill="1" applyAlignment="1" applyProtection="1">
      <alignment horizontal="left" vertical="center"/>
      <protection hidden="1"/>
    </xf>
    <xf numFmtId="0" fontId="1" fillId="3" borderId="1" xfId="0" applyFont="1" applyFill="1" applyBorder="1" applyAlignment="1" applyProtection="1">
      <alignment horizontal="left" vertical="center"/>
      <protection hidden="1"/>
    </xf>
    <xf numFmtId="0" fontId="1" fillId="4" borderId="0" xfId="0" applyFont="1" applyFill="1" applyAlignment="1" applyProtection="1">
      <alignment horizontal="left" vertical="center" wrapText="1"/>
      <protection hidden="1"/>
    </xf>
    <xf numFmtId="0" fontId="2" fillId="5" borderId="1" xfId="0" applyFont="1" applyFill="1" applyBorder="1" applyAlignment="1" applyProtection="1">
      <alignment horizontal="center" vertical="center" wrapText="1"/>
      <protection hidden="1"/>
    </xf>
    <xf numFmtId="0" fontId="2" fillId="5" borderId="0" xfId="0" applyFont="1" applyFill="1" applyAlignment="1" applyProtection="1">
      <alignment horizontal="left" vertical="center" wrapText="1"/>
      <protection hidden="1"/>
    </xf>
    <xf numFmtId="0" fontId="2" fillId="6" borderId="0" xfId="0" applyFont="1" applyFill="1" applyAlignment="1" applyProtection="1">
      <alignment horizontal="left" vertical="center" wrapText="1"/>
      <protection hidden="1"/>
    </xf>
    <xf numFmtId="0" fontId="1" fillId="0" borderId="0" xfId="0" applyFont="1" applyFill="1" applyProtection="1">
      <protection hidden="1"/>
    </xf>
    <xf numFmtId="0" fontId="1" fillId="0" borderId="0" xfId="0" applyFont="1" applyFill="1" applyProtection="1">
      <protection locked="0"/>
    </xf>
    <xf numFmtId="0" fontId="1" fillId="0" borderId="0" xfId="0" applyFont="1" applyFill="1" applyProtection="1">
      <protection locked="0" hidden="1"/>
    </xf>
    <xf numFmtId="0" fontId="1" fillId="0" borderId="0" xfId="0" applyFont="1" applyAlignment="1">
      <alignment horizontal="center" vertical="center" shrinkToFit="1"/>
    </xf>
    <xf numFmtId="0" fontId="1" fillId="3" borderId="0" xfId="0" applyFont="1" applyFill="1" applyAlignment="1">
      <alignment horizontal="center" vertical="center" shrinkToFit="1"/>
    </xf>
    <xf numFmtId="9" fontId="1" fillId="2" borderId="0" xfId="0" applyNumberFormat="1" applyFont="1" applyFill="1" applyAlignment="1">
      <alignment horizontal="center" vertical="center" shrinkToFit="1"/>
    </xf>
    <xf numFmtId="9" fontId="1" fillId="0" borderId="0" xfId="0" applyNumberFormat="1" applyFont="1" applyAlignment="1">
      <alignment horizontal="center" vertical="center" shrinkToFit="1"/>
    </xf>
    <xf numFmtId="0" fontId="1" fillId="0" borderId="0" xfId="0" applyFont="1" applyFill="1" applyAlignment="1" applyProtection="1">
      <alignment horizontal="center" vertical="center" wrapText="1"/>
      <protection hidden="1"/>
    </xf>
    <xf numFmtId="10" fontId="1" fillId="0" borderId="0" xfId="0" applyNumberFormat="1" applyFont="1" applyAlignment="1">
      <alignment horizontal="center" vertical="center" shrinkToFit="1"/>
    </xf>
    <xf numFmtId="176" fontId="1" fillId="0" borderId="0" xfId="0" applyNumberFormat="1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177" fontId="1" fillId="0" borderId="0" xfId="0" applyNumberFormat="1" applyFont="1" applyAlignment="1" applyProtection="1">
      <alignment horizontal="center" vertical="center"/>
      <protection hidden="1"/>
    </xf>
    <xf numFmtId="178" fontId="1" fillId="0" borderId="0" xfId="0" applyNumberFormat="1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10" fontId="1" fillId="0" borderId="0" xfId="0" applyNumberFormat="1" applyFont="1" applyAlignment="1" applyProtection="1">
      <alignment horizontal="center" vertical="center"/>
      <protection hidden="1"/>
    </xf>
    <xf numFmtId="176" fontId="1" fillId="0" borderId="0" xfId="0" applyNumberFormat="1" applyFont="1" applyAlignment="1" applyProtection="1">
      <alignment horizontal="center" vertical="center" shrinkToFit="1"/>
      <protection hidden="1"/>
    </xf>
    <xf numFmtId="0" fontId="1" fillId="7" borderId="0" xfId="0" applyFont="1" applyFill="1" applyAlignment="1" applyProtection="1">
      <alignment horizontal="center" vertical="center"/>
      <protection hidden="1"/>
    </xf>
    <xf numFmtId="176" fontId="1" fillId="7" borderId="0" xfId="0" applyNumberFormat="1" applyFont="1" applyFill="1" applyAlignment="1" applyProtection="1">
      <alignment horizontal="center" vertical="center"/>
      <protection hidden="1"/>
    </xf>
    <xf numFmtId="177" fontId="1" fillId="7" borderId="0" xfId="0" applyNumberFormat="1" applyFont="1" applyFill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176" fontId="1" fillId="2" borderId="0" xfId="0" applyNumberFormat="1" applyFont="1" applyFill="1" applyAlignment="1" applyProtection="1">
      <alignment horizontal="center" vertical="center"/>
      <protection hidden="1"/>
    </xf>
    <xf numFmtId="179" fontId="1" fillId="0" borderId="0" xfId="0" applyNumberFormat="1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vertical="center" wrapText="1"/>
      <protection hidden="1"/>
    </xf>
    <xf numFmtId="178" fontId="1" fillId="7" borderId="0" xfId="0" applyNumberFormat="1" applyFont="1" applyFill="1" applyAlignment="1" applyProtection="1">
      <alignment horizontal="center" vertical="center"/>
      <protection hidden="1"/>
    </xf>
    <xf numFmtId="179" fontId="1" fillId="7" borderId="0" xfId="0" applyNumberFormat="1" applyFont="1" applyFill="1" applyAlignment="1" applyProtection="1">
      <alignment horizontal="center" vertical="center"/>
      <protection hidden="1"/>
    </xf>
    <xf numFmtId="176" fontId="1" fillId="3" borderId="0" xfId="0" applyNumberFormat="1" applyFont="1" applyFill="1" applyAlignment="1" applyProtection="1">
      <alignment horizontal="center" vertical="center"/>
      <protection hidden="1"/>
    </xf>
    <xf numFmtId="176" fontId="1" fillId="6" borderId="0" xfId="0" applyNumberFormat="1" applyFont="1" applyFill="1" applyAlignment="1" applyProtection="1">
      <alignment horizontal="center" vertical="center"/>
      <protection hidden="1"/>
    </xf>
    <xf numFmtId="176" fontId="1" fillId="8" borderId="0" xfId="0" applyNumberFormat="1" applyFont="1" applyFill="1" applyAlignment="1" applyProtection="1">
      <alignment horizontal="center" vertical="center"/>
      <protection hidden="1"/>
    </xf>
    <xf numFmtId="178" fontId="1" fillId="3" borderId="0" xfId="0" applyNumberFormat="1" applyFont="1" applyFill="1" applyAlignment="1" applyProtection="1">
      <alignment horizontal="center" vertical="center"/>
      <protection hidden="1"/>
    </xf>
    <xf numFmtId="178" fontId="1" fillId="6" borderId="0" xfId="0" applyNumberFormat="1" applyFont="1" applyFill="1" applyAlignment="1" applyProtection="1">
      <alignment horizontal="center" vertical="center"/>
      <protection hidden="1"/>
    </xf>
    <xf numFmtId="178" fontId="1" fillId="8" borderId="0" xfId="0" applyNumberFormat="1" applyFont="1" applyFill="1" applyAlignment="1" applyProtection="1">
      <alignment horizontal="center" vertical="center"/>
      <protection hidden="1"/>
    </xf>
    <xf numFmtId="178" fontId="1" fillId="0" borderId="0" xfId="0" applyNumberFormat="1" applyFont="1" applyAlignment="1" applyProtection="1">
      <alignment horizontal="center" vertical="center" wrapText="1"/>
      <protection hidden="1"/>
    </xf>
    <xf numFmtId="176" fontId="3" fillId="7" borderId="0" xfId="0" applyNumberFormat="1" applyFont="1" applyFill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176" fontId="1" fillId="7" borderId="0" xfId="0" applyNumberFormat="1" applyFont="1" applyFill="1" applyAlignment="1" applyProtection="1">
      <alignment horizontal="center" vertical="center" shrinkToFit="1"/>
      <protection hidden="1"/>
    </xf>
    <xf numFmtId="176" fontId="1" fillId="0" borderId="0" xfId="0" applyNumberFormat="1" applyFont="1" applyAlignment="1" applyProtection="1">
      <alignment horizontal="center" vertical="center" wrapText="1"/>
      <protection hidden="1"/>
    </xf>
    <xf numFmtId="10" fontId="1" fillId="7" borderId="0" xfId="0" applyNumberFormat="1" applyFont="1" applyFill="1" applyAlignment="1" applyProtection="1">
      <alignment horizontal="center" vertical="center"/>
      <protection hidden="1"/>
    </xf>
    <xf numFmtId="10" fontId="1" fillId="0" borderId="0" xfId="0" applyNumberFormat="1" applyFont="1" applyAlignment="1" applyProtection="1">
      <alignment horizontal="center" vertical="center" wrapText="1"/>
      <protection hidden="1"/>
    </xf>
    <xf numFmtId="178" fontId="1" fillId="0" borderId="0" xfId="0" applyNumberFormat="1" applyFont="1" applyAlignment="1" applyProtection="1">
      <alignment horizontal="center" vertical="center" shrinkToFit="1"/>
      <protection hidden="1"/>
    </xf>
    <xf numFmtId="10" fontId="1" fillId="0" borderId="0" xfId="0" applyNumberFormat="1" applyFont="1" applyAlignment="1" applyProtection="1">
      <alignment horizontal="center" vertical="center" shrinkToFit="1"/>
      <protection hidden="1"/>
    </xf>
    <xf numFmtId="176" fontId="1" fillId="9" borderId="0" xfId="0" applyNumberFormat="1" applyFont="1" applyFill="1" applyAlignment="1" applyProtection="1">
      <alignment horizontal="center" vertical="center" wrapText="1"/>
      <protection hidden="1"/>
    </xf>
    <xf numFmtId="176" fontId="1" fillId="9" borderId="0" xfId="0" applyNumberFormat="1" applyFont="1" applyFill="1" applyAlignment="1" applyProtection="1">
      <alignment horizontal="center" vertical="center"/>
      <protection hidden="1"/>
    </xf>
    <xf numFmtId="178" fontId="4" fillId="0" borderId="0" xfId="0" applyNumberFormat="1" applyFont="1" applyFill="1" applyAlignment="1" applyProtection="1">
      <alignment horizontal="center" vertical="center"/>
      <protection hidden="1"/>
    </xf>
    <xf numFmtId="178" fontId="4" fillId="0" borderId="0" xfId="0" applyNumberFormat="1" applyFont="1" applyFill="1" applyAlignment="1" applyProtection="1">
      <alignment horizontal="center"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" fontId="4" fillId="0" borderId="0" xfId="0" applyNumberFormat="1" applyFont="1" applyFill="1" applyAlignment="1" applyProtection="1">
      <alignment horizontal="center" vertical="center"/>
      <protection locked="0"/>
    </xf>
    <xf numFmtId="178" fontId="1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left" wrapText="1"/>
      <protection locked="0"/>
    </xf>
    <xf numFmtId="0" fontId="1" fillId="0" borderId="2" xfId="0" applyFont="1" applyBorder="1" applyAlignment="1" applyProtection="1">
      <alignment wrapText="1"/>
      <protection locked="0"/>
    </xf>
    <xf numFmtId="10" fontId="1" fillId="0" borderId="2" xfId="0" applyNumberFormat="1" applyFont="1" applyBorder="1" applyAlignment="1" applyProtection="1">
      <alignment wrapText="1"/>
      <protection locked="0"/>
    </xf>
    <xf numFmtId="178" fontId="1" fillId="0" borderId="2" xfId="0" applyNumberFormat="1" applyFont="1" applyBorder="1" applyAlignment="1" applyProtection="1">
      <alignment horizontal="center" vertical="center" wrapText="1"/>
      <protection locked="0"/>
    </xf>
    <xf numFmtId="0" fontId="1" fillId="0" borderId="0" xfId="0" applyFont="1" applyProtection="1"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 applyProtection="1">
      <alignment horizontal="center" vertical="center"/>
      <protection hidden="1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9" fontId="3" fillId="0" borderId="0" xfId="0" applyNumberFormat="1" applyFont="1" applyBorder="1" applyAlignment="1" applyProtection="1">
      <alignment horizontal="center" vertical="center" wrapText="1"/>
      <protection locked="0"/>
    </xf>
    <xf numFmtId="10" fontId="3" fillId="0" borderId="0" xfId="0" applyNumberFormat="1" applyFont="1" applyBorder="1" applyAlignment="1" applyProtection="1">
      <alignment horizontal="center" vertical="center"/>
      <protection locked="0"/>
    </xf>
    <xf numFmtId="9" fontId="3" fillId="0" borderId="0" xfId="0" applyNumberFormat="1" applyFont="1" applyBorder="1" applyAlignment="1" applyProtection="1">
      <alignment horizontal="center" vertical="center"/>
      <protection locked="0"/>
    </xf>
    <xf numFmtId="10" fontId="3" fillId="0" borderId="0" xfId="0" applyNumberFormat="1" applyFont="1" applyBorder="1" applyAlignment="1" applyProtection="1">
      <alignment horizontal="center" vertical="center" wrapText="1"/>
      <protection locked="0"/>
    </xf>
    <xf numFmtId="0" fontId="3" fillId="0" borderId="0" xfId="0" applyFont="1" applyFill="1" applyBorder="1" applyAlignment="1" applyProtection="1">
      <alignment horizontal="center" vertical="center" wrapText="1"/>
      <protection locked="0"/>
    </xf>
    <xf numFmtId="9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Alignment="1" applyProtection="1">
      <alignment horizontal="left" vertical="center"/>
      <protection hidden="1"/>
    </xf>
    <xf numFmtId="0" fontId="7" fillId="0" borderId="0" xfId="0" applyFont="1" applyFill="1" applyAlignment="1" applyProtection="1">
      <alignment horizontal="left" vertical="center"/>
      <protection locked="0"/>
    </xf>
    <xf numFmtId="21" fontId="7" fillId="0" borderId="0" xfId="0" applyNumberFormat="1" applyFont="1" applyFill="1" applyAlignment="1" applyProtection="1">
      <alignment horizontal="left"/>
      <protection locked="0"/>
    </xf>
    <xf numFmtId="0" fontId="1" fillId="0" borderId="0" xfId="0" applyFont="1" applyFill="1" applyBorder="1" applyAlignment="1" applyProtection="1">
      <alignment horizontal="center" vertical="top" shrinkToFit="1"/>
      <protection locked="0" hidden="1"/>
    </xf>
    <xf numFmtId="0" fontId="1" fillId="0" borderId="0" xfId="0" applyFont="1" applyFill="1" applyBorder="1" applyAlignment="1" applyProtection="1">
      <alignment horizontal="center" vertical="top" shrinkToFit="1"/>
      <protection hidden="1"/>
    </xf>
    <xf numFmtId="180" fontId="1" fillId="0" borderId="0" xfId="0" applyNumberFormat="1" applyFont="1" applyFill="1" applyBorder="1" applyAlignment="1" applyProtection="1">
      <alignment horizontal="center" vertical="top" shrinkToFit="1"/>
      <protection hidden="1"/>
    </xf>
    <xf numFmtId="0" fontId="1" fillId="0" borderId="0" xfId="0" applyFont="1" applyFill="1" applyBorder="1"/>
    <xf numFmtId="58" fontId="1" fillId="0" borderId="0" xfId="0" applyNumberFormat="1" applyFont="1" applyFill="1" applyBorder="1"/>
    <xf numFmtId="10" fontId="1" fillId="0" borderId="0" xfId="0" applyNumberFormat="1" applyFont="1" applyFill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 applyProtection="1">
      <alignment horizontal="left"/>
      <protection locked="0"/>
    </xf>
    <xf numFmtId="176" fontId="8" fillId="10" borderId="0" xfId="0" applyNumberFormat="1" applyFont="1" applyFill="1" applyAlignment="1" applyProtection="1">
      <alignment horizontal="center" vertical="center" shrinkToFit="1"/>
      <protection hidden="1"/>
    </xf>
    <xf numFmtId="0" fontId="8" fillId="5" borderId="0" xfId="0" applyFont="1" applyFill="1" applyAlignment="1" applyProtection="1">
      <alignment horizontal="center" vertical="center" shrinkToFit="1"/>
      <protection hidden="1"/>
    </xf>
    <xf numFmtId="178" fontId="8" fillId="5" borderId="0" xfId="0" applyNumberFormat="1" applyFont="1" applyFill="1" applyAlignment="1" applyProtection="1">
      <alignment horizontal="center" vertical="center" shrinkToFit="1"/>
      <protection hidden="1"/>
    </xf>
    <xf numFmtId="0" fontId="9" fillId="3" borderId="1" xfId="0" applyFont="1" applyFill="1" applyBorder="1" applyAlignment="1" applyProtection="1">
      <alignment horizontal="center" vertical="center" shrinkToFit="1"/>
      <protection hidden="1"/>
    </xf>
    <xf numFmtId="0" fontId="8" fillId="4" borderId="1" xfId="0" applyFont="1" applyFill="1" applyBorder="1" applyAlignment="1" applyProtection="1">
      <alignment horizontal="center" vertical="center" shrinkToFit="1"/>
      <protection hidden="1"/>
    </xf>
    <xf numFmtId="181" fontId="8" fillId="4" borderId="1" xfId="0" applyNumberFormat="1" applyFont="1" applyFill="1" applyBorder="1" applyAlignment="1" applyProtection="1">
      <alignment horizontal="center" vertical="center" shrinkToFit="1"/>
      <protection hidden="1"/>
    </xf>
    <xf numFmtId="176" fontId="8" fillId="11" borderId="1" xfId="0" applyNumberFormat="1" applyFont="1" applyFill="1" applyBorder="1" applyAlignment="1" applyProtection="1">
      <alignment horizontal="center" vertical="center" shrinkToFit="1"/>
      <protection hidden="1"/>
    </xf>
    <xf numFmtId="182" fontId="8" fillId="5" borderId="0" xfId="0" applyNumberFormat="1" applyFont="1" applyFill="1" applyAlignment="1" applyProtection="1">
      <alignment horizontal="center" vertical="center" shrinkToFit="1"/>
      <protection hidden="1"/>
    </xf>
    <xf numFmtId="183" fontId="8" fillId="4" borderId="1" xfId="0" applyNumberFormat="1" applyFont="1" applyFill="1" applyBorder="1" applyAlignment="1" applyProtection="1">
      <alignment horizontal="center" vertical="center" wrapText="1" shrinkToFit="1"/>
      <protection hidden="1"/>
    </xf>
    <xf numFmtId="183" fontId="8" fillId="4" borderId="1" xfId="0" applyNumberFormat="1" applyFont="1" applyFill="1" applyBorder="1" applyAlignment="1" applyProtection="1">
      <alignment horizontal="center" vertical="center" shrinkToFit="1"/>
      <protection hidden="1"/>
    </xf>
    <xf numFmtId="181" fontId="8" fillId="4" borderId="1" xfId="0" applyNumberFormat="1" applyFont="1" applyFill="1" applyBorder="1" applyAlignment="1" applyProtection="1">
      <alignment horizontal="center" vertical="center" wrapText="1" shrinkToFit="1"/>
      <protection hidden="1"/>
    </xf>
    <xf numFmtId="178" fontId="8" fillId="10" borderId="1" xfId="0" applyNumberFormat="1" applyFont="1" applyFill="1" applyBorder="1" applyAlignment="1" applyProtection="1">
      <alignment horizontal="center" vertical="center" shrinkToFit="1"/>
      <protection hidden="1"/>
    </xf>
    <xf numFmtId="178" fontId="8" fillId="5" borderId="1" xfId="0" applyNumberFormat="1" applyFont="1" applyFill="1" applyBorder="1" applyAlignment="1" applyProtection="1">
      <alignment horizontal="center" vertical="center" shrinkToFit="1"/>
      <protection hidden="1"/>
    </xf>
    <xf numFmtId="176" fontId="8" fillId="5" borderId="1" xfId="0" applyNumberFormat="1" applyFont="1" applyFill="1" applyBorder="1" applyAlignment="1" applyProtection="1">
      <alignment horizontal="center" vertical="center" shrinkToFit="1"/>
      <protection hidden="1"/>
    </xf>
    <xf numFmtId="179" fontId="1" fillId="0" borderId="0" xfId="0" applyNumberFormat="1" applyFont="1" applyFill="1" applyAlignment="1" applyProtection="1">
      <alignment horizontal="center" vertical="center" shrinkToFit="1"/>
      <protection hidden="1"/>
    </xf>
    <xf numFmtId="179" fontId="1" fillId="0" borderId="0" xfId="0" applyNumberFormat="1" applyFont="1" applyFill="1" applyAlignment="1">
      <alignment horizontal="center" vertical="center" shrinkToFit="1"/>
    </xf>
    <xf numFmtId="0" fontId="1" fillId="0" borderId="0" xfId="0" applyFont="1" applyFill="1" applyAlignment="1" applyProtection="1">
      <alignment horizontal="center" vertical="center" shrinkToFit="1"/>
      <protection hidden="1"/>
    </xf>
    <xf numFmtId="0" fontId="1" fillId="0" borderId="0" xfId="0" applyFont="1" applyFill="1" applyAlignment="1">
      <alignment horizontal="center" vertical="center" shrinkToFit="1"/>
    </xf>
    <xf numFmtId="0" fontId="9" fillId="3" borderId="0" xfId="0" applyFont="1" applyFill="1" applyAlignment="1" applyProtection="1">
      <alignment horizontal="center" vertical="center" shrinkToFit="1"/>
      <protection hidden="1"/>
    </xf>
    <xf numFmtId="0" fontId="1" fillId="2" borderId="0" xfId="0" applyFont="1" applyFill="1" applyAlignment="1" applyProtection="1">
      <alignment horizontal="center" vertical="center" shrinkToFit="1"/>
      <protection hidden="1"/>
    </xf>
    <xf numFmtId="181" fontId="1" fillId="2" borderId="0" xfId="0" applyNumberFormat="1" applyFont="1" applyFill="1" applyAlignment="1" applyProtection="1">
      <alignment horizontal="center" vertical="center" shrinkToFit="1"/>
      <protection hidden="1"/>
    </xf>
    <xf numFmtId="179" fontId="1" fillId="3" borderId="0" xfId="0" applyNumberFormat="1" applyFont="1" applyFill="1" applyAlignment="1" applyProtection="1">
      <alignment horizontal="center" vertical="center" shrinkToFit="1"/>
      <protection hidden="1"/>
    </xf>
    <xf numFmtId="182" fontId="1" fillId="0" borderId="0" xfId="0" applyNumberFormat="1" applyFont="1" applyFill="1" applyAlignment="1" applyProtection="1">
      <alignment horizontal="center" vertical="center" shrinkToFit="1"/>
      <protection hidden="1"/>
    </xf>
    <xf numFmtId="181" fontId="1" fillId="0" borderId="0" xfId="0" applyNumberFormat="1" applyFont="1" applyFill="1" applyAlignment="1" applyProtection="1">
      <alignment horizontal="center" vertical="center" shrinkToFit="1"/>
      <protection hidden="1"/>
    </xf>
    <xf numFmtId="10" fontId="10" fillId="0" borderId="0" xfId="0" applyNumberFormat="1" applyFont="1" applyFill="1" applyAlignment="1" applyProtection="1">
      <alignment horizontal="center" vertical="center"/>
      <protection hidden="1"/>
    </xf>
    <xf numFmtId="178" fontId="8" fillId="0" borderId="0" xfId="0" applyNumberFormat="1" applyFont="1" applyFill="1" applyAlignment="1" applyProtection="1">
      <alignment horizontal="center" vertical="center"/>
      <protection hidden="1"/>
    </xf>
    <xf numFmtId="10" fontId="8" fillId="0" borderId="0" xfId="0" applyNumberFormat="1" applyFont="1" applyFill="1" applyAlignment="1" applyProtection="1">
      <alignment horizontal="center" vertical="center"/>
      <protection hidden="1"/>
    </xf>
    <xf numFmtId="10" fontId="11" fillId="0" borderId="0" xfId="0" applyNumberFormat="1" applyFont="1" applyFill="1" applyAlignment="1" applyProtection="1">
      <alignment horizontal="center" vertical="center"/>
      <protection hidden="1"/>
    </xf>
    <xf numFmtId="0" fontId="8" fillId="0" borderId="0" xfId="0" applyFont="1" applyFill="1" applyAlignment="1" applyProtection="1">
      <alignment horizontal="center" vertical="center"/>
      <protection hidden="1"/>
    </xf>
    <xf numFmtId="10" fontId="10" fillId="0" borderId="0" xfId="0" applyNumberFormat="1" applyFont="1" applyFill="1" applyAlignment="1" applyProtection="1">
      <alignment horizontal="centerContinuous" vertical="center"/>
      <protection hidden="1"/>
    </xf>
    <xf numFmtId="178" fontId="10" fillId="0" borderId="0" xfId="0" applyNumberFormat="1" applyFont="1" applyFill="1" applyAlignment="1" applyProtection="1">
      <alignment horizontal="centerContinuous" vertical="center"/>
      <protection hidden="1"/>
    </xf>
    <xf numFmtId="178" fontId="8" fillId="0" borderId="1" xfId="0" applyNumberFormat="1" applyFont="1" applyFill="1" applyBorder="1" applyAlignment="1" applyProtection="1">
      <alignment horizontal="center" vertical="center"/>
      <protection hidden="1"/>
    </xf>
    <xf numFmtId="10" fontId="11" fillId="0" borderId="0" xfId="0" applyNumberFormat="1" applyFont="1" applyFill="1" applyAlignment="1" applyProtection="1">
      <alignment horizontal="centerContinuous" vertical="center"/>
      <protection hidden="1"/>
    </xf>
    <xf numFmtId="178" fontId="11" fillId="0" borderId="0" xfId="0" applyNumberFormat="1" applyFont="1" applyFill="1" applyAlignment="1" applyProtection="1">
      <alignment horizontal="centerContinuous" vertical="center"/>
      <protection hidden="1"/>
    </xf>
    <xf numFmtId="10" fontId="10" fillId="0" borderId="0" xfId="0" applyNumberFormat="1" applyFont="1" applyFill="1" applyAlignment="1" applyProtection="1">
      <alignment vertical="center"/>
      <protection hidden="1"/>
    </xf>
    <xf numFmtId="10" fontId="11" fillId="0" borderId="0" xfId="0" applyNumberFormat="1" applyFont="1" applyFill="1" applyAlignment="1" applyProtection="1">
      <alignment vertical="center"/>
      <protection hidden="1"/>
    </xf>
    <xf numFmtId="10" fontId="8" fillId="0" borderId="0" xfId="0" applyNumberFormat="1" applyFont="1" applyFill="1" applyAlignment="1" applyProtection="1">
      <alignment vertical="center"/>
      <protection hidden="1"/>
    </xf>
    <xf numFmtId="0" fontId="1" fillId="5" borderId="0" xfId="0" applyFont="1" applyFill="1" applyAlignment="1" applyProtection="1">
      <alignment horizontal="center" vertical="center" shrinkToFit="1"/>
      <protection hidden="1"/>
    </xf>
    <xf numFmtId="0" fontId="12" fillId="3" borderId="3" xfId="0" applyFont="1" applyFill="1" applyBorder="1" applyAlignment="1" applyProtection="1">
      <alignment horizontal="center" vertical="center" textRotation="255" shrinkToFit="1"/>
      <protection hidden="1"/>
    </xf>
    <xf numFmtId="184" fontId="1" fillId="6" borderId="1" xfId="0" applyNumberFormat="1" applyFont="1" applyFill="1" applyBorder="1" applyAlignment="1" applyProtection="1">
      <alignment horizontal="center" vertical="center" shrinkToFit="1"/>
      <protection hidden="1"/>
    </xf>
    <xf numFmtId="0" fontId="12" fillId="3" borderId="4" xfId="0" applyFont="1" applyFill="1" applyBorder="1" applyAlignment="1" applyProtection="1">
      <alignment horizontal="center" vertical="center" textRotation="255" shrinkToFit="1"/>
      <protection hidden="1"/>
    </xf>
    <xf numFmtId="0" fontId="1" fillId="6" borderId="1" xfId="0" applyFont="1" applyFill="1" applyBorder="1" applyAlignment="1" applyProtection="1">
      <alignment horizontal="center" vertical="center" shrinkToFit="1"/>
      <protection hidden="1"/>
    </xf>
    <xf numFmtId="10" fontId="3" fillId="2" borderId="1" xfId="0" applyNumberFormat="1" applyFont="1" applyFill="1" applyBorder="1" applyAlignment="1" applyProtection="1">
      <alignment horizontal="center" vertical="center" shrinkToFit="1"/>
      <protection hidden="1"/>
    </xf>
    <xf numFmtId="0" fontId="3" fillId="3" borderId="1" xfId="0" applyFont="1" applyFill="1" applyBorder="1" applyAlignment="1" applyProtection="1">
      <alignment horizontal="center" vertical="center" shrinkToFit="1"/>
      <protection hidden="1"/>
    </xf>
    <xf numFmtId="178" fontId="3" fillId="3" borderId="1" xfId="0" applyNumberFormat="1" applyFont="1" applyFill="1" applyBorder="1" applyAlignment="1" applyProtection="1">
      <alignment horizontal="center" vertical="center" shrinkToFit="1"/>
      <protection hidden="1"/>
    </xf>
    <xf numFmtId="0" fontId="12" fillId="3" borderId="5" xfId="0" applyFont="1" applyFill="1" applyBorder="1" applyAlignment="1" applyProtection="1">
      <alignment horizontal="center" vertical="center" textRotation="255" shrinkToFit="1"/>
      <protection hidden="1"/>
    </xf>
    <xf numFmtId="0" fontId="13" fillId="3" borderId="0" xfId="0" applyFont="1" applyFill="1" applyAlignment="1" applyProtection="1">
      <alignment horizontal="centerContinuous" vertical="center" shrinkToFit="1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3" fillId="5" borderId="0" xfId="0" applyFont="1" applyFill="1" applyAlignment="1" applyProtection="1">
      <alignment horizontal="center" vertical="center" shrinkToFit="1"/>
      <protection hidden="1"/>
    </xf>
    <xf numFmtId="0" fontId="1" fillId="0" borderId="0" xfId="0" applyFont="1" applyAlignment="1" applyProtection="1">
      <alignment horizontal="center" vertical="center" shrinkToFit="1"/>
      <protection hidden="1"/>
    </xf>
    <xf numFmtId="0" fontId="3" fillId="6" borderId="1" xfId="0" applyFont="1" applyFill="1" applyBorder="1" applyAlignment="1" applyProtection="1">
      <alignment horizontal="center" vertical="center" shrinkToFit="1"/>
      <protection hidden="1"/>
    </xf>
    <xf numFmtId="0" fontId="14" fillId="6" borderId="1" xfId="0" applyFont="1" applyFill="1" applyBorder="1" applyAlignment="1" applyProtection="1">
      <alignment horizontal="center" vertical="center" shrinkToFit="1"/>
      <protection hidden="1"/>
    </xf>
    <xf numFmtId="0" fontId="1" fillId="3" borderId="0" xfId="0" applyFont="1" applyFill="1" applyAlignment="1" applyProtection="1">
      <alignment horizontal="center" vertical="center" shrinkToFit="1"/>
      <protection hidden="1"/>
    </xf>
    <xf numFmtId="0" fontId="14" fillId="5" borderId="0" xfId="0" applyFont="1" applyFill="1" applyAlignment="1" applyProtection="1">
      <alignment horizontal="left" vertical="center" shrinkToFit="1"/>
      <protection hidden="1"/>
    </xf>
    <xf numFmtId="183" fontId="3" fillId="5" borderId="0" xfId="0" applyNumberFormat="1" applyFont="1" applyFill="1" applyAlignment="1" applyProtection="1">
      <alignment horizontal="center" vertical="center" shrinkToFit="1"/>
      <protection hidden="1"/>
    </xf>
    <xf numFmtId="0" fontId="1" fillId="0" borderId="0" xfId="0" applyFont="1" applyFill="1" applyAlignment="1" applyProtection="1">
      <alignment horizontal="center" vertical="center" shrinkToFit="1"/>
      <protection locked="0"/>
    </xf>
    <xf numFmtId="10" fontId="3" fillId="0" borderId="0" xfId="0" applyNumberFormat="1" applyFont="1" applyFill="1" applyBorder="1" applyAlignment="1" applyProtection="1">
      <alignment horizontal="center" vertical="center" shrinkToFit="1"/>
      <protection hidden="1"/>
    </xf>
    <xf numFmtId="185" fontId="3" fillId="5" borderId="0" xfId="0" applyNumberFormat="1" applyFont="1" applyFill="1" applyAlignment="1" applyProtection="1">
      <alignment horizontal="center" vertical="center" shrinkToFit="1"/>
      <protection hidden="1"/>
    </xf>
    <xf numFmtId="0" fontId="2" fillId="5" borderId="0" xfId="0" applyFont="1" applyFill="1" applyAlignment="1" applyProtection="1">
      <alignment horizontal="center" vertical="center" shrinkToFit="1"/>
      <protection hidden="1"/>
    </xf>
    <xf numFmtId="178" fontId="3" fillId="5" borderId="0" xfId="0" applyNumberFormat="1" applyFont="1" applyFill="1" applyAlignment="1" applyProtection="1">
      <alignment horizontal="center" vertical="center" shrinkToFit="1"/>
      <protection hidden="1"/>
    </xf>
    <xf numFmtId="10" fontId="3" fillId="5" borderId="0" xfId="0" applyNumberFormat="1" applyFont="1" applyFill="1" applyAlignment="1" applyProtection="1">
      <alignment horizontal="center" vertical="center" shrinkToFit="1"/>
      <protection hidden="1"/>
    </xf>
    <xf numFmtId="178" fontId="1" fillId="5" borderId="0" xfId="0" applyNumberFormat="1" applyFont="1" applyFill="1" applyAlignment="1" applyProtection="1">
      <alignment horizontal="center" vertical="center" shrinkToFit="1"/>
      <protection hidden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4">
    <dxf>
      <font>
        <color theme="1"/>
      </font>
      <fill>
        <patternFill patternType="solid">
          <bgColor theme="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7" tint="0.39985351115451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darkTrellis">
          <fgColor rgb="FFFF0000"/>
        </patternFill>
      </fill>
    </dxf>
    <dxf>
      <fill>
        <patternFill patternType="solid">
          <bgColor theme="4" tint="0.4"/>
        </patternFill>
      </fill>
    </dxf>
    <dxf>
      <fill>
        <patternFill patternType="lightGrid">
          <fgColor rgb="FFFF0000"/>
        </patternFill>
      </fill>
    </dxf>
    <dxf>
      <fill>
        <patternFill patternType="solid">
          <bgColor rgb="FF86F264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0086F264"/>
      <color rgb="00F31E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microsoft.com/office/2017/06/relationships/rdRichValue" Target="richData/rdrichvalue.xml"/><Relationship Id="rId17" Type="http://schemas.microsoft.com/office/2017/06/relationships/rdRichValueStructure" Target="richData/rdrichvaluestructure.xml"/><Relationship Id="rId16" Type="http://schemas.openxmlformats.org/officeDocument/2006/relationships/sheetMetadata" Target="metadata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customXml" Target="../customXml/item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richData/rdrichvalue.xml><?xml version="1.0" encoding="utf-8"?>
<rvData xmlns="http://schemas.microsoft.com/office/spreadsheetml/2017/richdata" count="1">
  <rv s="0">
    <v>13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propagated" t="b"/>
  </s>
</rvStructur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M250"/>
  <sheetViews>
    <sheetView showZeros="0" workbookViewId="0">
      <pane ySplit="11" topLeftCell="A12" activePane="bottomLeft" state="frozen"/>
      <selection/>
      <selection pane="bottomLeft" activeCell="A1" sqref="A1:A9"/>
    </sheetView>
  </sheetViews>
  <sheetFormatPr defaultColWidth="8.79464285714286" defaultRowHeight="28.8"/>
  <cols>
    <col min="1" max="1" width="14.6428571428571" style="121" customWidth="1"/>
    <col min="2" max="2" width="16.8571428571429" style="121" customWidth="1"/>
    <col min="3" max="3" width="15.9285714285714" style="121" customWidth="1"/>
    <col min="4" max="4" width="16.5" style="121" customWidth="1"/>
    <col min="5" max="5" width="12.5714285714286" style="121" customWidth="1"/>
    <col min="6" max="7" width="16.8571428571429" style="121" customWidth="1"/>
    <col min="8" max="8" width="8.79464285714286" style="121"/>
    <col min="9" max="9" width="16.8571428571429" style="121" customWidth="1"/>
    <col min="10" max="10" width="12.8571428571429" style="121" customWidth="1"/>
    <col min="11" max="16384" width="8.79464285714286" style="121"/>
  </cols>
  <sheetData>
    <row r="1" spans="1:13">
      <c r="A1" s="122" t="s">
        <v>0</v>
      </c>
      <c r="B1" s="123">
        <f ca="1">TODAY()</f>
        <v>45928</v>
      </c>
      <c r="C1" s="123"/>
      <c r="D1" s="123"/>
      <c r="E1" s="125" t="s">
        <v>1</v>
      </c>
      <c r="F1" s="125"/>
      <c r="G1" s="125"/>
      <c r="I1" s="100"/>
      <c r="J1" s="139"/>
      <c r="K1" s="100"/>
      <c r="L1" s="100"/>
      <c r="M1" s="100"/>
    </row>
    <row r="2" spans="1:13">
      <c r="A2" s="124"/>
      <c r="B2" s="125" t="s">
        <v>2</v>
      </c>
      <c r="C2" s="125" t="s">
        <v>3</v>
      </c>
      <c r="D2" s="125" t="str">
        <f>IF(ISNUMBER(SEARCH("前置仓",A10)),"仓5分钟","仓12分钟")</f>
        <v>仓12分钟</v>
      </c>
      <c r="E2" s="134" t="str">
        <f>IF(ISNUMBER(SEARCH("前置仓",A10)),"30分钟","40分钟")</f>
        <v>40分钟</v>
      </c>
      <c r="F2" s="135" t="s">
        <v>4</v>
      </c>
      <c r="G2" s="135" t="s">
        <v>5</v>
      </c>
      <c r="I2" s="100"/>
      <c r="J2" s="100"/>
      <c r="K2" s="100"/>
      <c r="L2" s="100"/>
      <c r="M2" s="100"/>
    </row>
    <row r="3" spans="1:10">
      <c r="A3" s="124"/>
      <c r="B3" s="126" t="e" cm="1">
        <f t="array" ref="B3">INDEX(数字运营台!$A:$A,MATCH(TRUE,ISNUMBER(SEARCH(B2,数字运营台!$A:$A)),0)+1)</f>
        <v>#N/A</v>
      </c>
      <c r="C3" s="126" t="e" cm="1">
        <f t="array" ref="C3">INDEX(数字运营台!$A:$A,MATCH(TRUE,ISNUMBER(SEARCH(C2,数字运营台!$A:$A)),0)+1)</f>
        <v>#N/A</v>
      </c>
      <c r="D3" s="126" t="e" cm="1">
        <f t="array" ref="D3">INDEX(数字运营台!$A:$A,MATCH(TRUE,ISNUMBER(SEARCH(D2,数字运营台!$A:$A)),0)+1)</f>
        <v>#N/A</v>
      </c>
      <c r="E3" s="126" t="e" cm="1">
        <f t="array" ref="E3">INDEX(数字运营台!$A:$A,MATCH(TRUE,ISNUMBER(SEARCH(E2,数字运营台!$A:$A)),0)+1)</f>
        <v>#N/A</v>
      </c>
      <c r="F3" s="126" t="e" cm="1">
        <f t="array" ref="F3">INDEX(数字运营台!$A:$A,MATCH(TRUE,ISNUMBER(SEARCH(F2,数字运营台!$A:$A)),0)+1)</f>
        <v>#N/A</v>
      </c>
      <c r="G3" s="126" t="e" cm="1">
        <f t="array" ref="G3">INDEX(数字运营台!$A:$A,MATCH(TRUE,ISNUMBER(SEARCH(G2,数字运营台!$A:$A)),0)+1)</f>
        <v>#N/A</v>
      </c>
      <c r="J3" s="140"/>
    </row>
    <row r="4" spans="1:7">
      <c r="A4" s="124"/>
      <c r="B4" s="127"/>
      <c r="C4" s="127" t="s">
        <v>6</v>
      </c>
      <c r="D4" s="127" t="s">
        <v>7</v>
      </c>
      <c r="E4" s="127" t="s">
        <v>8</v>
      </c>
      <c r="F4" s="127" t="s">
        <v>4</v>
      </c>
      <c r="G4" s="136" t="s">
        <v>5</v>
      </c>
    </row>
    <row r="5" spans="1:7">
      <c r="A5" s="124"/>
      <c r="B5" s="127" t="s">
        <v>9</v>
      </c>
      <c r="C5" s="128">
        <f>COUNTIF(骑手排行榜!$D:$D,B5)</f>
        <v>0</v>
      </c>
      <c r="D5" s="128">
        <f>SUMIF(骑手排行榜!$D:$D,$B5,骑手排行榜!$E:$E)</f>
        <v>0</v>
      </c>
      <c r="E5" s="128">
        <f>SUMIF(骑手排行榜!$D:$D,$B5,骑手排行榜!J:J)</f>
        <v>0</v>
      </c>
      <c r="F5" s="128">
        <f>SUMIF(骑手排行榜!$D:$D,$B5,骑手排行榜!K:K)</f>
        <v>0</v>
      </c>
      <c r="G5" s="128">
        <f>SUMIF(骑手排行榜!$D:$D,$B5,骑手排行榜!L:L)</f>
        <v>0</v>
      </c>
    </row>
    <row r="6" spans="1:7">
      <c r="A6" s="124"/>
      <c r="B6" s="127" t="s">
        <v>10</v>
      </c>
      <c r="C6" s="128">
        <f>COUNTIF(骑手排行榜!$D:$D,B6)</f>
        <v>0</v>
      </c>
      <c r="D6" s="128">
        <f>SUMIF(骑手排行榜!$D:$D,$B6,骑手排行榜!$E:$E)</f>
        <v>0</v>
      </c>
      <c r="E6" s="128">
        <f>SUMIF(骑手排行榜!$D:$D,$B6,骑手排行榜!J:J)</f>
        <v>0</v>
      </c>
      <c r="F6" s="128">
        <f>SUMIF(骑手排行榜!$D:$D,$B6,骑手排行榜!K:K)</f>
        <v>0</v>
      </c>
      <c r="G6" s="128">
        <f>SUMIF(骑手排行榜!$D:$D,$B6,骑手排行榜!L:L)</f>
        <v>0</v>
      </c>
    </row>
    <row r="7" spans="1:7">
      <c r="A7" s="124"/>
      <c r="B7" s="127" t="s">
        <v>11</v>
      </c>
      <c r="C7" s="128">
        <f>COUNTIF(骑手排行榜!$D:$D,B7)</f>
        <v>0</v>
      </c>
      <c r="D7" s="128">
        <f>SUMIF(骑手排行榜!$D:$D,$B7,骑手排行榜!$E:$E)</f>
        <v>0</v>
      </c>
      <c r="E7" s="128">
        <f>SUMIF(骑手排行榜!$D:$D,$B7,骑手排行榜!J:J)</f>
        <v>0</v>
      </c>
      <c r="F7" s="128">
        <f>SUMIF(骑手排行榜!$D:$D,$B7,骑手排行榜!K:K)</f>
        <v>0</v>
      </c>
      <c r="G7" s="128">
        <f>SUMIF(骑手排行榜!$D:$D,$B7,骑手排行榜!L:L)</f>
        <v>0</v>
      </c>
    </row>
    <row r="8" spans="1:7">
      <c r="A8" s="124"/>
      <c r="B8" s="127" t="s">
        <v>12</v>
      </c>
      <c r="C8" s="128">
        <f>COUNTIF(骑手排行榜!$D:$D,B8)</f>
        <v>0</v>
      </c>
      <c r="D8" s="128">
        <f>SUMIF(骑手排行榜!$D:$D,$B8,骑手排行榜!$E:$E)</f>
        <v>0</v>
      </c>
      <c r="E8" s="128">
        <f>SUMIF(骑手排行榜!$D:$D,$B8,骑手排行榜!J:J)</f>
        <v>0</v>
      </c>
      <c r="F8" s="128">
        <f>SUMIF(骑手排行榜!$D:$D,$B8,骑手排行榜!K:K)</f>
        <v>0</v>
      </c>
      <c r="G8" s="128">
        <f>SUMIF(骑手排行榜!$D:$D,$B8,骑手排行榜!L:L)</f>
        <v>0</v>
      </c>
    </row>
    <row r="9" spans="1:7">
      <c r="A9" s="129"/>
      <c r="B9" s="127" t="s">
        <v>13</v>
      </c>
      <c r="C9" s="128">
        <f>SUBTOTAL(9,C5:C8)</f>
        <v>0</v>
      </c>
      <c r="D9" s="128">
        <f>SUM(D5:D8)</f>
        <v>0</v>
      </c>
      <c r="E9" s="128">
        <f>SUM(E5:E8)</f>
        <v>0</v>
      </c>
      <c r="F9" s="128">
        <f>SUM(F5:F8)</f>
        <v>0</v>
      </c>
      <c r="G9" s="128">
        <f>SUM(G5:G8)</f>
        <v>0</v>
      </c>
    </row>
    <row r="10" ht="68" spans="1:7">
      <c r="A10" s="130">
        <f>生鲜批次导出!G2</f>
        <v>0</v>
      </c>
      <c r="B10" s="130"/>
      <c r="C10" s="130"/>
      <c r="D10" s="130"/>
      <c r="E10" s="130"/>
      <c r="F10" s="130"/>
      <c r="G10" s="130"/>
    </row>
    <row r="11" spans="1:7">
      <c r="A11" s="131" t="e" cm="1">
        <f t="array" ref="A11">_xlfn._xlws.SORT(_xlfn._xlws.FILTER(代码池!BR1:BX200,LEN(代码池!BU1:BU200)&gt;0),4,-1)</f>
        <v>#N/A</v>
      </c>
      <c r="B11" s="132"/>
      <c r="C11" s="132"/>
      <c r="D11" s="132"/>
      <c r="E11" s="132"/>
      <c r="F11" s="137"/>
      <c r="G11" s="137"/>
    </row>
    <row r="12" spans="1:7">
      <c r="A12" s="131"/>
      <c r="C12" s="132"/>
      <c r="D12" s="132"/>
      <c r="E12" s="138"/>
      <c r="F12" s="138"/>
      <c r="G12" s="138"/>
    </row>
    <row r="13" spans="1:7">
      <c r="A13" s="131"/>
      <c r="C13" s="132"/>
      <c r="D13" s="132"/>
      <c r="E13" s="138"/>
      <c r="F13" s="138"/>
      <c r="G13" s="138"/>
    </row>
    <row r="14" spans="1:7">
      <c r="A14" s="131"/>
      <c r="C14" s="132"/>
      <c r="D14" s="132"/>
      <c r="E14" s="138"/>
      <c r="F14" s="138"/>
      <c r="G14" s="138"/>
    </row>
    <row r="15" spans="1:7">
      <c r="A15" s="131"/>
      <c r="C15" s="132"/>
      <c r="D15" s="132"/>
      <c r="E15" s="138"/>
      <c r="F15" s="138"/>
      <c r="G15" s="138"/>
    </row>
    <row r="16" spans="1:7">
      <c r="A16" s="131"/>
      <c r="C16" s="132"/>
      <c r="D16" s="132"/>
      <c r="E16" s="138"/>
      <c r="F16" s="138"/>
      <c r="G16" s="138"/>
    </row>
    <row r="17" spans="1:7">
      <c r="A17" s="131"/>
      <c r="C17" s="132"/>
      <c r="D17" s="132"/>
      <c r="E17" s="138"/>
      <c r="F17" s="138"/>
      <c r="G17" s="138"/>
    </row>
    <row r="18" spans="1:7">
      <c r="A18" s="131"/>
      <c r="C18" s="132"/>
      <c r="D18" s="132"/>
      <c r="E18" s="138"/>
      <c r="F18" s="138"/>
      <c r="G18" s="138"/>
    </row>
    <row r="19" spans="1:7">
      <c r="A19" s="131"/>
      <c r="C19" s="132"/>
      <c r="D19" s="132"/>
      <c r="E19" s="138"/>
      <c r="F19" s="138"/>
      <c r="G19" s="138"/>
    </row>
    <row r="20" spans="1:7">
      <c r="A20" s="131"/>
      <c r="C20" s="132"/>
      <c r="D20" s="132"/>
      <c r="E20" s="138"/>
      <c r="F20" s="138"/>
      <c r="G20" s="138"/>
    </row>
    <row r="21" spans="1:7">
      <c r="A21" s="131"/>
      <c r="C21" s="132"/>
      <c r="D21" s="132"/>
      <c r="E21" s="138"/>
      <c r="F21" s="138"/>
      <c r="G21" s="138"/>
    </row>
    <row r="22" spans="1:7">
      <c r="A22" s="131"/>
      <c r="C22" s="132"/>
      <c r="D22" s="132"/>
      <c r="E22" s="138"/>
      <c r="F22" s="138"/>
      <c r="G22" s="138"/>
    </row>
    <row r="23" spans="1:7">
      <c r="A23" s="131"/>
      <c r="C23" s="132"/>
      <c r="D23" s="132"/>
      <c r="E23" s="138"/>
      <c r="F23" s="138"/>
      <c r="G23" s="138"/>
    </row>
    <row r="24" spans="1:7">
      <c r="A24" s="131"/>
      <c r="C24" s="132"/>
      <c r="D24" s="132"/>
      <c r="E24" s="138"/>
      <c r="F24" s="138"/>
      <c r="G24" s="138"/>
    </row>
    <row r="25" spans="1:7">
      <c r="A25" s="131"/>
      <c r="C25" s="132"/>
      <c r="D25" s="132"/>
      <c r="E25" s="138"/>
      <c r="F25" s="138"/>
      <c r="G25" s="138"/>
    </row>
    <row r="26" spans="1:7">
      <c r="A26" s="131"/>
      <c r="C26" s="132"/>
      <c r="D26" s="132"/>
      <c r="E26" s="138"/>
      <c r="F26" s="138"/>
      <c r="G26" s="138"/>
    </row>
    <row r="27" spans="1:7">
      <c r="A27" s="131"/>
      <c r="C27" s="132"/>
      <c r="D27" s="132"/>
      <c r="E27" s="138"/>
      <c r="F27" s="138"/>
      <c r="G27" s="138"/>
    </row>
    <row r="28" spans="1:7">
      <c r="A28" s="131"/>
      <c r="C28" s="132"/>
      <c r="D28" s="132"/>
      <c r="E28" s="138"/>
      <c r="F28" s="138"/>
      <c r="G28" s="138"/>
    </row>
    <row r="29" spans="1:7">
      <c r="A29" s="131"/>
      <c r="C29" s="132"/>
      <c r="D29" s="132"/>
      <c r="E29" s="138"/>
      <c r="F29" s="138"/>
      <c r="G29" s="138"/>
    </row>
    <row r="30" spans="1:7">
      <c r="A30" s="131"/>
      <c r="C30" s="132"/>
      <c r="D30" s="132"/>
      <c r="E30" s="138"/>
      <c r="F30" s="138"/>
      <c r="G30" s="138"/>
    </row>
    <row r="31" spans="1:7">
      <c r="A31" s="131"/>
      <c r="C31" s="132"/>
      <c r="D31" s="132"/>
      <c r="E31" s="138"/>
      <c r="F31" s="138"/>
      <c r="G31" s="138"/>
    </row>
    <row r="32" spans="1:7">
      <c r="A32" s="131"/>
      <c r="C32" s="132"/>
      <c r="D32" s="132"/>
      <c r="E32" s="138"/>
      <c r="F32" s="138"/>
      <c r="G32" s="138"/>
    </row>
    <row r="33" spans="1:7">
      <c r="A33" s="131"/>
      <c r="C33" s="132"/>
      <c r="D33" s="132"/>
      <c r="E33" s="138"/>
      <c r="F33" s="138"/>
      <c r="G33" s="138"/>
    </row>
    <row r="34" spans="1:7">
      <c r="A34" s="131"/>
      <c r="C34" s="132"/>
      <c r="D34" s="132"/>
      <c r="E34" s="138"/>
      <c r="F34" s="138"/>
      <c r="G34" s="138"/>
    </row>
    <row r="35" spans="1:7">
      <c r="A35" s="131"/>
      <c r="C35" s="132"/>
      <c r="D35" s="132"/>
      <c r="E35" s="138"/>
      <c r="F35" s="138"/>
      <c r="G35" s="138"/>
    </row>
    <row r="36" spans="1:7">
      <c r="A36" s="131"/>
      <c r="C36" s="132"/>
      <c r="D36" s="132"/>
      <c r="E36" s="138"/>
      <c r="F36" s="138"/>
      <c r="G36" s="138"/>
    </row>
    <row r="37" spans="1:7">
      <c r="A37" s="131"/>
      <c r="C37" s="132"/>
      <c r="D37" s="132"/>
      <c r="E37" s="138"/>
      <c r="F37" s="138"/>
      <c r="G37" s="138"/>
    </row>
    <row r="38" spans="1:7">
      <c r="A38" s="131"/>
      <c r="C38" s="132"/>
      <c r="D38" s="132"/>
      <c r="E38" s="138"/>
      <c r="F38" s="138"/>
      <c r="G38" s="138"/>
    </row>
    <row r="39" spans="1:7">
      <c r="A39" s="131"/>
      <c r="C39" s="132"/>
      <c r="D39" s="132"/>
      <c r="E39" s="138"/>
      <c r="F39" s="138"/>
      <c r="G39" s="138"/>
    </row>
    <row r="40" spans="1:7">
      <c r="A40" s="131"/>
      <c r="C40" s="132"/>
      <c r="D40" s="132"/>
      <c r="E40" s="138"/>
      <c r="F40" s="138"/>
      <c r="G40" s="138"/>
    </row>
    <row r="41" spans="1:7">
      <c r="A41" s="131"/>
      <c r="C41" s="132"/>
      <c r="D41" s="132"/>
      <c r="E41" s="138"/>
      <c r="F41" s="138"/>
      <c r="G41" s="138"/>
    </row>
    <row r="42" spans="1:7">
      <c r="A42" s="131"/>
      <c r="C42" s="132"/>
      <c r="D42" s="132"/>
      <c r="E42" s="138"/>
      <c r="F42" s="138"/>
      <c r="G42" s="138"/>
    </row>
    <row r="43" spans="1:7">
      <c r="A43" s="131"/>
      <c r="C43" s="132"/>
      <c r="D43" s="132"/>
      <c r="E43" s="138"/>
      <c r="F43" s="138"/>
      <c r="G43" s="138"/>
    </row>
    <row r="44" spans="1:7">
      <c r="A44" s="131"/>
      <c r="C44" s="132"/>
      <c r="D44" s="132"/>
      <c r="E44" s="138"/>
      <c r="F44" s="138"/>
      <c r="G44" s="138"/>
    </row>
    <row r="45" spans="1:7">
      <c r="A45" s="131"/>
      <c r="C45" s="132"/>
      <c r="D45" s="132"/>
      <c r="E45" s="138"/>
      <c r="F45" s="138"/>
      <c r="G45" s="138"/>
    </row>
    <row r="46" spans="1:7">
      <c r="A46" s="131"/>
      <c r="C46" s="132"/>
      <c r="D46" s="132"/>
      <c r="E46" s="138"/>
      <c r="F46" s="138"/>
      <c r="G46" s="138"/>
    </row>
    <row r="47" spans="1:7">
      <c r="A47" s="131"/>
      <c r="B47" s="133"/>
      <c r="C47" s="131"/>
      <c r="D47" s="132"/>
      <c r="E47" s="138"/>
      <c r="F47" s="138"/>
      <c r="G47" s="138"/>
    </row>
    <row r="48" spans="1:7">
      <c r="A48" s="131"/>
      <c r="B48" s="133"/>
      <c r="C48" s="131"/>
      <c r="D48" s="132"/>
      <c r="E48" s="138"/>
      <c r="F48" s="138"/>
      <c r="G48" s="138"/>
    </row>
    <row r="49" spans="1:7">
      <c r="A49" s="131"/>
      <c r="B49" s="133"/>
      <c r="C49" s="131"/>
      <c r="D49" s="132"/>
      <c r="E49" s="138"/>
      <c r="F49" s="138"/>
      <c r="G49" s="138"/>
    </row>
    <row r="50" spans="1:7">
      <c r="A50" s="131"/>
      <c r="B50" s="133"/>
      <c r="C50" s="131"/>
      <c r="D50" s="132"/>
      <c r="E50" s="138"/>
      <c r="F50" s="138"/>
      <c r="G50" s="138"/>
    </row>
    <row r="51" spans="1:7">
      <c r="A51" s="131"/>
      <c r="B51" s="133"/>
      <c r="C51" s="131"/>
      <c r="D51" s="132"/>
      <c r="E51" s="138"/>
      <c r="F51" s="138"/>
      <c r="G51" s="138"/>
    </row>
    <row r="52" spans="1:7">
      <c r="A52" s="131"/>
      <c r="B52" s="133"/>
      <c r="C52" s="131"/>
      <c r="D52" s="132"/>
      <c r="E52" s="138"/>
      <c r="F52" s="138"/>
      <c r="G52" s="138"/>
    </row>
    <row r="53" spans="1:7">
      <c r="A53" s="131"/>
      <c r="B53" s="133"/>
      <c r="C53" s="131"/>
      <c r="D53" s="132"/>
      <c r="E53" s="138"/>
      <c r="F53" s="138"/>
      <c r="G53" s="138"/>
    </row>
    <row r="54" spans="1:7">
      <c r="A54" s="131"/>
      <c r="B54" s="133"/>
      <c r="C54" s="131"/>
      <c r="D54" s="132"/>
      <c r="E54" s="138"/>
      <c r="F54" s="138"/>
      <c r="G54" s="138"/>
    </row>
    <row r="55" spans="1:7">
      <c r="A55" s="131"/>
      <c r="B55" s="133"/>
      <c r="C55" s="131"/>
      <c r="D55" s="132"/>
      <c r="E55" s="138"/>
      <c r="F55" s="138"/>
      <c r="G55" s="138"/>
    </row>
    <row r="56" spans="1:7">
      <c r="A56" s="131"/>
      <c r="B56" s="133"/>
      <c r="C56" s="131"/>
      <c r="D56" s="132"/>
      <c r="E56" s="138"/>
      <c r="F56" s="138"/>
      <c r="G56" s="138"/>
    </row>
    <row r="57" spans="1:7">
      <c r="A57" s="131"/>
      <c r="B57" s="133"/>
      <c r="C57" s="131"/>
      <c r="D57" s="132"/>
      <c r="E57" s="138"/>
      <c r="F57" s="138"/>
      <c r="G57" s="138"/>
    </row>
    <row r="58" spans="1:7">
      <c r="A58" s="132"/>
      <c r="C58" s="132"/>
      <c r="D58" s="132"/>
      <c r="E58" s="138"/>
      <c r="F58" s="138"/>
      <c r="G58" s="138"/>
    </row>
    <row r="59" spans="1:7">
      <c r="A59" s="132"/>
      <c r="C59" s="132"/>
      <c r="D59" s="132"/>
      <c r="E59" s="138"/>
      <c r="F59" s="138"/>
      <c r="G59" s="138"/>
    </row>
    <row r="60" spans="1:7">
      <c r="A60" s="132"/>
      <c r="C60" s="132"/>
      <c r="D60" s="132"/>
      <c r="E60" s="138"/>
      <c r="F60" s="138"/>
      <c r="G60" s="138"/>
    </row>
    <row r="61" spans="1:7">
      <c r="A61" s="132"/>
      <c r="C61" s="132"/>
      <c r="D61" s="132"/>
      <c r="E61" s="138"/>
      <c r="F61" s="138"/>
      <c r="G61" s="138"/>
    </row>
    <row r="62" spans="1:7">
      <c r="A62" s="132"/>
      <c r="C62" s="132"/>
      <c r="D62" s="132"/>
      <c r="E62" s="138"/>
      <c r="F62" s="138"/>
      <c r="G62" s="138"/>
    </row>
    <row r="63" spans="1:7">
      <c r="A63" s="132"/>
      <c r="C63" s="132"/>
      <c r="D63" s="132"/>
      <c r="E63" s="138"/>
      <c r="F63" s="138"/>
      <c r="G63" s="138"/>
    </row>
    <row r="64" spans="1:7">
      <c r="A64" s="132"/>
      <c r="C64" s="132"/>
      <c r="D64" s="132"/>
      <c r="E64" s="138"/>
      <c r="F64" s="138"/>
      <c r="G64" s="138"/>
    </row>
    <row r="65" spans="1:7">
      <c r="A65" s="132"/>
      <c r="C65" s="132"/>
      <c r="D65" s="132"/>
      <c r="E65" s="138"/>
      <c r="F65" s="138"/>
      <c r="G65" s="138"/>
    </row>
    <row r="66" spans="1:7">
      <c r="A66" s="132"/>
      <c r="C66" s="132"/>
      <c r="D66" s="132"/>
      <c r="E66" s="138"/>
      <c r="F66" s="138"/>
      <c r="G66" s="138"/>
    </row>
    <row r="67" spans="1:7">
      <c r="A67" s="132"/>
      <c r="C67" s="132"/>
      <c r="D67" s="132"/>
      <c r="E67" s="138"/>
      <c r="F67" s="138"/>
      <c r="G67" s="138"/>
    </row>
    <row r="68" spans="1:7">
      <c r="A68" s="132"/>
      <c r="C68" s="132"/>
      <c r="D68" s="132"/>
      <c r="E68" s="138"/>
      <c r="F68" s="138"/>
      <c r="G68" s="138"/>
    </row>
    <row r="69" spans="1:7">
      <c r="A69" s="132"/>
      <c r="C69" s="132"/>
      <c r="D69" s="132"/>
      <c r="E69" s="138"/>
      <c r="F69" s="138"/>
      <c r="G69" s="138"/>
    </row>
    <row r="70" spans="1:7">
      <c r="A70" s="132"/>
      <c r="C70" s="132"/>
      <c r="D70" s="132"/>
      <c r="E70" s="138"/>
      <c r="F70" s="138"/>
      <c r="G70" s="138"/>
    </row>
    <row r="71" spans="1:7">
      <c r="A71" s="132"/>
      <c r="C71" s="132"/>
      <c r="D71" s="132"/>
      <c r="E71" s="138"/>
      <c r="F71" s="138"/>
      <c r="G71" s="138"/>
    </row>
    <row r="72" spans="1:7">
      <c r="A72" s="132"/>
      <c r="C72" s="132"/>
      <c r="D72" s="132"/>
      <c r="E72" s="138"/>
      <c r="F72" s="138"/>
      <c r="G72" s="138"/>
    </row>
    <row r="73" spans="1:7">
      <c r="A73" s="132"/>
      <c r="C73" s="132"/>
      <c r="D73" s="132"/>
      <c r="E73" s="138"/>
      <c r="F73" s="138"/>
      <c r="G73" s="138"/>
    </row>
    <row r="74" spans="1:7">
      <c r="A74" s="132"/>
      <c r="C74" s="132"/>
      <c r="D74" s="132"/>
      <c r="E74" s="138"/>
      <c r="F74" s="138"/>
      <c r="G74" s="138"/>
    </row>
    <row r="75" spans="1:7">
      <c r="A75" s="132"/>
      <c r="C75" s="132"/>
      <c r="D75" s="132"/>
      <c r="E75" s="138"/>
      <c r="F75" s="138"/>
      <c r="G75" s="138"/>
    </row>
    <row r="76" spans="1:7">
      <c r="A76" s="132"/>
      <c r="C76" s="132"/>
      <c r="D76" s="132"/>
      <c r="E76" s="138"/>
      <c r="F76" s="138"/>
      <c r="G76" s="138"/>
    </row>
    <row r="77" spans="1:7">
      <c r="A77" s="132"/>
      <c r="C77" s="132"/>
      <c r="D77" s="132"/>
      <c r="E77" s="138"/>
      <c r="F77" s="138"/>
      <c r="G77" s="138"/>
    </row>
    <row r="78" spans="1:7">
      <c r="A78" s="132"/>
      <c r="C78" s="132"/>
      <c r="D78" s="132"/>
      <c r="E78" s="138"/>
      <c r="F78" s="138"/>
      <c r="G78" s="138"/>
    </row>
    <row r="79" spans="1:7">
      <c r="A79" s="132"/>
      <c r="C79" s="132"/>
      <c r="D79" s="132"/>
      <c r="E79" s="138"/>
      <c r="F79" s="138"/>
      <c r="G79" s="138"/>
    </row>
    <row r="80" spans="1:7">
      <c r="A80" s="132"/>
      <c r="C80" s="132"/>
      <c r="D80" s="132"/>
      <c r="E80" s="138"/>
      <c r="F80" s="138"/>
      <c r="G80" s="138"/>
    </row>
    <row r="81" spans="1:7">
      <c r="A81" s="132"/>
      <c r="C81" s="132"/>
      <c r="D81" s="132"/>
      <c r="E81" s="138"/>
      <c r="F81" s="138"/>
      <c r="G81" s="138"/>
    </row>
    <row r="82" spans="1:7">
      <c r="A82" s="132"/>
      <c r="C82" s="132"/>
      <c r="D82" s="132"/>
      <c r="E82" s="138"/>
      <c r="F82" s="138"/>
      <c r="G82" s="138"/>
    </row>
    <row r="83" spans="1:7">
      <c r="A83" s="132"/>
      <c r="C83" s="132"/>
      <c r="D83" s="132"/>
      <c r="E83" s="138"/>
      <c r="F83" s="138"/>
      <c r="G83" s="138"/>
    </row>
    <row r="84" spans="1:7">
      <c r="A84" s="132"/>
      <c r="C84" s="132"/>
      <c r="D84" s="132"/>
      <c r="E84" s="138"/>
      <c r="F84" s="138"/>
      <c r="G84" s="138"/>
    </row>
    <row r="85" spans="1:7">
      <c r="A85" s="132"/>
      <c r="C85" s="132"/>
      <c r="D85" s="132"/>
      <c r="E85" s="138"/>
      <c r="F85" s="138"/>
      <c r="G85" s="138"/>
    </row>
    <row r="86" spans="1:7">
      <c r="A86" s="132"/>
      <c r="C86" s="132"/>
      <c r="D86" s="132"/>
      <c r="E86" s="138"/>
      <c r="F86" s="138"/>
      <c r="G86" s="138"/>
    </row>
    <row r="87" spans="3:7">
      <c r="C87" s="132"/>
      <c r="D87" s="132"/>
      <c r="E87" s="138"/>
      <c r="F87" s="138"/>
      <c r="G87" s="138"/>
    </row>
    <row r="88" spans="3:7">
      <c r="C88" s="132"/>
      <c r="D88" s="132"/>
      <c r="E88" s="138"/>
      <c r="F88" s="138"/>
      <c r="G88" s="138"/>
    </row>
    <row r="89" spans="3:7">
      <c r="C89" s="132"/>
      <c r="D89" s="132"/>
      <c r="E89" s="138"/>
      <c r="F89" s="138"/>
      <c r="G89" s="138"/>
    </row>
    <row r="90" spans="3:7">
      <c r="C90" s="132"/>
      <c r="D90" s="132"/>
      <c r="E90" s="138"/>
      <c r="F90" s="138"/>
      <c r="G90" s="138"/>
    </row>
    <row r="91" spans="3:7">
      <c r="C91" s="132"/>
      <c r="D91" s="132"/>
      <c r="E91" s="138"/>
      <c r="F91" s="138"/>
      <c r="G91" s="138"/>
    </row>
    <row r="92" spans="3:7">
      <c r="C92" s="132"/>
      <c r="D92" s="132"/>
      <c r="E92" s="138"/>
      <c r="F92" s="138"/>
      <c r="G92" s="138"/>
    </row>
    <row r="93" spans="3:7">
      <c r="C93" s="132"/>
      <c r="D93" s="132"/>
      <c r="E93" s="138"/>
      <c r="F93" s="138"/>
      <c r="G93" s="138"/>
    </row>
    <row r="94" spans="3:7">
      <c r="C94" s="132"/>
      <c r="D94" s="132"/>
      <c r="E94" s="138"/>
      <c r="F94" s="138"/>
      <c r="G94" s="138"/>
    </row>
    <row r="95" spans="3:7">
      <c r="C95" s="132"/>
      <c r="D95" s="132"/>
      <c r="E95" s="138"/>
      <c r="F95" s="138"/>
      <c r="G95" s="138"/>
    </row>
    <row r="96" spans="3:7">
      <c r="C96" s="132"/>
      <c r="D96" s="132"/>
      <c r="E96" s="138"/>
      <c r="F96" s="138"/>
      <c r="G96" s="138"/>
    </row>
    <row r="97" spans="2:7">
      <c r="B97" s="132"/>
      <c r="C97" s="132"/>
      <c r="D97" s="132"/>
      <c r="E97" s="138"/>
      <c r="F97" s="138"/>
      <c r="G97" s="138"/>
    </row>
    <row r="98" spans="2:7">
      <c r="B98" s="132"/>
      <c r="C98" s="132"/>
      <c r="D98" s="132"/>
      <c r="E98" s="138"/>
      <c r="F98" s="138"/>
      <c r="G98" s="138"/>
    </row>
    <row r="99" spans="2:7">
      <c r="B99" s="132"/>
      <c r="C99" s="132"/>
      <c r="D99" s="132"/>
      <c r="E99" s="138"/>
      <c r="F99" s="138"/>
      <c r="G99" s="138"/>
    </row>
    <row r="100" spans="2:7">
      <c r="B100" s="132"/>
      <c r="C100" s="132"/>
      <c r="D100" s="132"/>
      <c r="E100" s="138"/>
      <c r="F100" s="138"/>
      <c r="G100" s="138"/>
    </row>
    <row r="101" spans="3:7">
      <c r="C101" s="132"/>
      <c r="D101" s="132"/>
      <c r="E101" s="138"/>
      <c r="F101" s="138"/>
      <c r="G101" s="138"/>
    </row>
    <row r="102" spans="2:7">
      <c r="B102" s="132"/>
      <c r="C102" s="132"/>
      <c r="D102" s="132"/>
      <c r="E102" s="138"/>
      <c r="F102" s="138"/>
      <c r="G102" s="138"/>
    </row>
    <row r="103" spans="2:7">
      <c r="B103" s="132"/>
      <c r="C103" s="132"/>
      <c r="D103" s="132"/>
      <c r="E103" s="138"/>
      <c r="F103" s="138"/>
      <c r="G103" s="138"/>
    </row>
    <row r="104" spans="2:7">
      <c r="B104" s="132"/>
      <c r="C104" s="132"/>
      <c r="D104" s="132"/>
      <c r="E104" s="138"/>
      <c r="F104" s="138"/>
      <c r="G104" s="138"/>
    </row>
    <row r="105" spans="2:7">
      <c r="B105" s="132"/>
      <c r="C105" s="132"/>
      <c r="D105" s="132"/>
      <c r="E105" s="138"/>
      <c r="F105" s="138"/>
      <c r="G105" s="138"/>
    </row>
    <row r="106" spans="2:7">
      <c r="B106" s="132"/>
      <c r="C106" s="132"/>
      <c r="D106" s="132"/>
      <c r="E106" s="138"/>
      <c r="F106" s="138"/>
      <c r="G106" s="138"/>
    </row>
    <row r="107" spans="2:7">
      <c r="B107" s="132"/>
      <c r="C107" s="132"/>
      <c r="D107" s="132"/>
      <c r="E107" s="138"/>
      <c r="F107" s="138"/>
      <c r="G107" s="138"/>
    </row>
    <row r="108" spans="2:7">
      <c r="B108" s="132"/>
      <c r="C108" s="132"/>
      <c r="D108" s="132"/>
      <c r="E108" s="138"/>
      <c r="F108" s="138"/>
      <c r="G108" s="138"/>
    </row>
    <row r="109" spans="2:7">
      <c r="B109" s="132"/>
      <c r="C109" s="132"/>
      <c r="D109" s="132"/>
      <c r="E109" s="138"/>
      <c r="F109" s="138"/>
      <c r="G109" s="138"/>
    </row>
    <row r="110" spans="2:7">
      <c r="B110" s="132"/>
      <c r="C110" s="132"/>
      <c r="D110" s="132"/>
      <c r="E110" s="138"/>
      <c r="F110" s="138"/>
      <c r="G110" s="138"/>
    </row>
    <row r="111" spans="2:7">
      <c r="B111" s="132"/>
      <c r="C111" s="132"/>
      <c r="D111" s="132"/>
      <c r="E111" s="138"/>
      <c r="F111" s="138"/>
      <c r="G111" s="138"/>
    </row>
    <row r="112" spans="2:7">
      <c r="B112" s="132"/>
      <c r="C112" s="132"/>
      <c r="D112" s="132"/>
      <c r="E112" s="138"/>
      <c r="F112" s="138"/>
      <c r="G112" s="138"/>
    </row>
    <row r="113" spans="2:7">
      <c r="B113" s="132"/>
      <c r="C113" s="132"/>
      <c r="D113" s="132"/>
      <c r="E113" s="138"/>
      <c r="F113" s="138"/>
      <c r="G113" s="138"/>
    </row>
    <row r="114" spans="2:7">
      <c r="B114" s="132"/>
      <c r="C114" s="132"/>
      <c r="D114" s="132"/>
      <c r="E114" s="138"/>
      <c r="F114" s="138"/>
      <c r="G114" s="138"/>
    </row>
    <row r="115" spans="2:7">
      <c r="B115" s="132"/>
      <c r="C115" s="132"/>
      <c r="D115" s="132"/>
      <c r="E115" s="138"/>
      <c r="F115" s="138"/>
      <c r="G115" s="138"/>
    </row>
    <row r="116" spans="2:7">
      <c r="B116" s="132"/>
      <c r="C116" s="132"/>
      <c r="D116" s="132"/>
      <c r="E116" s="138"/>
      <c r="F116" s="138"/>
      <c r="G116" s="138"/>
    </row>
    <row r="117" spans="2:7">
      <c r="B117" s="132"/>
      <c r="C117" s="132"/>
      <c r="D117" s="132"/>
      <c r="E117" s="138"/>
      <c r="F117" s="138"/>
      <c r="G117" s="138"/>
    </row>
    <row r="118" spans="2:7">
      <c r="B118" s="132"/>
      <c r="C118" s="132"/>
      <c r="D118" s="132"/>
      <c r="E118" s="138"/>
      <c r="F118" s="138"/>
      <c r="G118" s="138"/>
    </row>
    <row r="119" spans="2:7">
      <c r="B119" s="132"/>
      <c r="C119" s="132"/>
      <c r="D119" s="132"/>
      <c r="E119" s="138"/>
      <c r="F119" s="138"/>
      <c r="G119" s="138"/>
    </row>
    <row r="120" spans="2:7">
      <c r="B120" s="132"/>
      <c r="C120" s="132"/>
      <c r="D120" s="132"/>
      <c r="E120" s="138"/>
      <c r="F120" s="138"/>
      <c r="G120" s="138"/>
    </row>
    <row r="121" spans="2:7">
      <c r="B121" s="132"/>
      <c r="C121" s="132"/>
      <c r="D121" s="132"/>
      <c r="E121" s="138"/>
      <c r="F121" s="138"/>
      <c r="G121" s="138"/>
    </row>
    <row r="122" spans="2:7">
      <c r="B122" s="132"/>
      <c r="C122" s="132"/>
      <c r="D122" s="132"/>
      <c r="E122" s="138"/>
      <c r="F122" s="138"/>
      <c r="G122" s="138"/>
    </row>
    <row r="123" spans="2:7">
      <c r="B123" s="132"/>
      <c r="C123" s="132"/>
      <c r="D123" s="132"/>
      <c r="E123" s="138"/>
      <c r="F123" s="138"/>
      <c r="G123" s="138"/>
    </row>
    <row r="124" spans="2:7">
      <c r="B124" s="132"/>
      <c r="C124" s="132"/>
      <c r="D124" s="132"/>
      <c r="E124" s="138"/>
      <c r="F124" s="138"/>
      <c r="G124" s="138"/>
    </row>
    <row r="125" spans="2:7">
      <c r="B125" s="132"/>
      <c r="C125" s="132"/>
      <c r="D125" s="132"/>
      <c r="E125" s="138"/>
      <c r="F125" s="138"/>
      <c r="G125" s="138"/>
    </row>
    <row r="126" spans="2:7">
      <c r="B126" s="132"/>
      <c r="C126" s="132"/>
      <c r="D126" s="132"/>
      <c r="E126" s="138"/>
      <c r="F126" s="138"/>
      <c r="G126" s="138"/>
    </row>
    <row r="127" spans="2:7">
      <c r="B127" s="132"/>
      <c r="C127" s="132"/>
      <c r="D127" s="132"/>
      <c r="E127" s="138"/>
      <c r="F127" s="138"/>
      <c r="G127" s="138"/>
    </row>
    <row r="128" spans="2:7">
      <c r="B128" s="132"/>
      <c r="C128" s="132"/>
      <c r="D128" s="132"/>
      <c r="E128" s="138"/>
      <c r="F128" s="138"/>
      <c r="G128" s="138"/>
    </row>
    <row r="129" spans="2:7">
      <c r="B129" s="132"/>
      <c r="C129" s="132"/>
      <c r="D129" s="132"/>
      <c r="E129" s="138"/>
      <c r="F129" s="138"/>
      <c r="G129" s="138"/>
    </row>
    <row r="130" spans="2:7">
      <c r="B130" s="132"/>
      <c r="C130" s="132"/>
      <c r="D130" s="132"/>
      <c r="E130" s="138"/>
      <c r="F130" s="138"/>
      <c r="G130" s="138"/>
    </row>
    <row r="131" spans="2:7">
      <c r="B131" s="132"/>
      <c r="C131" s="132"/>
      <c r="D131" s="132"/>
      <c r="E131" s="138"/>
      <c r="F131" s="138"/>
      <c r="G131" s="138"/>
    </row>
    <row r="132" spans="2:7">
      <c r="B132" s="132"/>
      <c r="C132" s="132"/>
      <c r="D132" s="132"/>
      <c r="E132" s="138"/>
      <c r="F132" s="138"/>
      <c r="G132" s="138"/>
    </row>
    <row r="133" spans="2:7">
      <c r="B133" s="132"/>
      <c r="C133" s="132"/>
      <c r="D133" s="132"/>
      <c r="E133" s="138"/>
      <c r="F133" s="138"/>
      <c r="G133" s="138"/>
    </row>
    <row r="134" spans="2:7">
      <c r="B134" s="132"/>
      <c r="C134" s="132"/>
      <c r="D134" s="132"/>
      <c r="E134" s="138"/>
      <c r="F134" s="138"/>
      <c r="G134" s="138"/>
    </row>
    <row r="135" spans="2:7">
      <c r="B135" s="132"/>
      <c r="C135" s="132"/>
      <c r="D135" s="132"/>
      <c r="E135" s="138"/>
      <c r="F135" s="138"/>
      <c r="G135" s="138"/>
    </row>
    <row r="136" spans="2:7">
      <c r="B136" s="132"/>
      <c r="C136" s="132"/>
      <c r="D136" s="132"/>
      <c r="E136" s="138"/>
      <c r="F136" s="138"/>
      <c r="G136" s="138"/>
    </row>
    <row r="137" spans="2:7">
      <c r="B137" s="132"/>
      <c r="C137" s="132"/>
      <c r="D137" s="132"/>
      <c r="E137" s="138"/>
      <c r="F137" s="138"/>
      <c r="G137" s="138"/>
    </row>
    <row r="138" spans="2:7">
      <c r="B138" s="132"/>
      <c r="C138" s="132"/>
      <c r="D138" s="132"/>
      <c r="E138" s="138"/>
      <c r="F138" s="138"/>
      <c r="G138" s="138"/>
    </row>
    <row r="139" spans="2:7">
      <c r="B139" s="132"/>
      <c r="C139" s="132"/>
      <c r="D139" s="132"/>
      <c r="E139" s="138"/>
      <c r="F139" s="138"/>
      <c r="G139" s="138"/>
    </row>
    <row r="140" spans="2:7">
      <c r="B140" s="132"/>
      <c r="C140" s="132"/>
      <c r="D140" s="132"/>
      <c r="E140" s="138"/>
      <c r="F140" s="138"/>
      <c r="G140" s="138"/>
    </row>
    <row r="141" spans="2:7">
      <c r="B141" s="132"/>
      <c r="C141" s="132"/>
      <c r="D141" s="132"/>
      <c r="E141" s="138"/>
      <c r="F141" s="138"/>
      <c r="G141" s="138"/>
    </row>
    <row r="142" spans="2:7">
      <c r="B142" s="132"/>
      <c r="C142" s="132"/>
      <c r="D142" s="132"/>
      <c r="E142" s="138"/>
      <c r="F142" s="138"/>
      <c r="G142" s="138"/>
    </row>
    <row r="143" spans="2:7">
      <c r="B143" s="132"/>
      <c r="C143" s="132"/>
      <c r="D143" s="132"/>
      <c r="E143" s="138"/>
      <c r="F143" s="138"/>
      <c r="G143" s="138"/>
    </row>
    <row r="144" spans="2:7">
      <c r="B144" s="132"/>
      <c r="C144" s="132"/>
      <c r="D144" s="132"/>
      <c r="E144" s="138"/>
      <c r="F144" s="138"/>
      <c r="G144" s="138"/>
    </row>
    <row r="145" spans="2:7">
      <c r="B145" s="132"/>
      <c r="C145" s="132"/>
      <c r="D145" s="132"/>
      <c r="E145" s="138"/>
      <c r="F145" s="138"/>
      <c r="G145" s="138"/>
    </row>
    <row r="146" spans="2:7">
      <c r="B146" s="132"/>
      <c r="C146" s="132"/>
      <c r="D146" s="132"/>
      <c r="E146" s="138"/>
      <c r="F146" s="138"/>
      <c r="G146" s="138"/>
    </row>
    <row r="147" spans="2:7">
      <c r="B147" s="132"/>
      <c r="C147" s="132"/>
      <c r="D147" s="132"/>
      <c r="E147" s="138"/>
      <c r="F147" s="138"/>
      <c r="G147" s="138"/>
    </row>
    <row r="148" spans="2:7">
      <c r="B148" s="132"/>
      <c r="C148" s="132"/>
      <c r="D148" s="132"/>
      <c r="E148" s="138"/>
      <c r="F148" s="138"/>
      <c r="G148" s="138"/>
    </row>
    <row r="149" spans="2:7">
      <c r="B149" s="132"/>
      <c r="C149" s="132"/>
      <c r="D149" s="132"/>
      <c r="E149" s="138"/>
      <c r="F149" s="138"/>
      <c r="G149" s="138"/>
    </row>
    <row r="150" spans="2:7">
      <c r="B150" s="132"/>
      <c r="C150" s="132"/>
      <c r="D150" s="132"/>
      <c r="E150" s="138"/>
      <c r="F150" s="138"/>
      <c r="G150" s="138"/>
    </row>
    <row r="151" spans="2:7">
      <c r="B151" s="132"/>
      <c r="C151" s="132"/>
      <c r="D151" s="132"/>
      <c r="E151" s="138"/>
      <c r="F151" s="138"/>
      <c r="G151" s="138"/>
    </row>
    <row r="152" spans="2:7">
      <c r="B152" s="132"/>
      <c r="C152" s="132"/>
      <c r="D152" s="132"/>
      <c r="E152" s="138"/>
      <c r="F152" s="138"/>
      <c r="G152" s="138"/>
    </row>
    <row r="153" spans="2:7">
      <c r="B153" s="132"/>
      <c r="C153" s="132"/>
      <c r="D153" s="132"/>
      <c r="E153" s="138"/>
      <c r="F153" s="138"/>
      <c r="G153" s="138"/>
    </row>
    <row r="154" spans="2:7">
      <c r="B154" s="132"/>
      <c r="C154" s="132"/>
      <c r="D154" s="132"/>
      <c r="E154" s="138"/>
      <c r="F154" s="138"/>
      <c r="G154" s="138"/>
    </row>
    <row r="155" spans="2:7">
      <c r="B155" s="132"/>
      <c r="C155" s="132"/>
      <c r="D155" s="132"/>
      <c r="E155" s="138"/>
      <c r="F155" s="138"/>
      <c r="G155" s="138"/>
    </row>
    <row r="156" spans="2:7">
      <c r="B156" s="132"/>
      <c r="C156" s="132"/>
      <c r="D156" s="132"/>
      <c r="E156" s="138"/>
      <c r="F156" s="138"/>
      <c r="G156" s="138"/>
    </row>
    <row r="157" spans="2:7">
      <c r="B157" s="132"/>
      <c r="C157" s="132"/>
      <c r="D157" s="132"/>
      <c r="E157" s="138"/>
      <c r="F157" s="138"/>
      <c r="G157" s="138"/>
    </row>
    <row r="158" spans="2:7">
      <c r="B158" s="132"/>
      <c r="C158" s="132"/>
      <c r="D158" s="132"/>
      <c r="E158" s="138"/>
      <c r="F158" s="138"/>
      <c r="G158" s="138"/>
    </row>
    <row r="159" spans="2:7">
      <c r="B159" s="132"/>
      <c r="C159" s="132"/>
      <c r="D159" s="132"/>
      <c r="E159" s="138"/>
      <c r="F159" s="138"/>
      <c r="G159" s="138"/>
    </row>
    <row r="160" spans="2:7">
      <c r="B160" s="132"/>
      <c r="C160" s="132"/>
      <c r="D160" s="132"/>
      <c r="E160" s="138"/>
      <c r="F160" s="138"/>
      <c r="G160" s="138"/>
    </row>
    <row r="161" spans="2:7">
      <c r="B161" s="132"/>
      <c r="C161" s="132"/>
      <c r="D161" s="132"/>
      <c r="E161" s="138"/>
      <c r="F161" s="138"/>
      <c r="G161" s="138"/>
    </row>
    <row r="162" spans="2:7">
      <c r="B162" s="132"/>
      <c r="C162" s="132"/>
      <c r="D162" s="132"/>
      <c r="E162" s="138"/>
      <c r="F162" s="138"/>
      <c r="G162" s="138"/>
    </row>
    <row r="163" spans="2:7">
      <c r="B163" s="132"/>
      <c r="C163" s="132"/>
      <c r="D163" s="132"/>
      <c r="E163" s="138"/>
      <c r="F163" s="138"/>
      <c r="G163" s="138"/>
    </row>
    <row r="164" spans="2:7">
      <c r="B164" s="132"/>
      <c r="C164" s="132"/>
      <c r="D164" s="132"/>
      <c r="E164" s="138"/>
      <c r="F164" s="138"/>
      <c r="G164" s="138"/>
    </row>
    <row r="165" spans="2:7">
      <c r="B165" s="132"/>
      <c r="C165" s="132"/>
      <c r="D165" s="132"/>
      <c r="E165" s="138"/>
      <c r="F165" s="138"/>
      <c r="G165" s="138"/>
    </row>
    <row r="166" spans="2:7">
      <c r="B166" s="132"/>
      <c r="C166" s="132"/>
      <c r="D166" s="132"/>
      <c r="E166" s="138"/>
      <c r="F166" s="138"/>
      <c r="G166" s="138"/>
    </row>
    <row r="167" spans="2:7">
      <c r="B167" s="132"/>
      <c r="C167" s="132"/>
      <c r="D167" s="132"/>
      <c r="E167" s="138"/>
      <c r="F167" s="138"/>
      <c r="G167" s="138"/>
    </row>
    <row r="168" spans="2:7">
      <c r="B168" s="132"/>
      <c r="C168" s="132"/>
      <c r="D168" s="132"/>
      <c r="E168" s="138"/>
      <c r="F168" s="138"/>
      <c r="G168" s="138"/>
    </row>
    <row r="169" spans="2:7">
      <c r="B169" s="132"/>
      <c r="C169" s="132"/>
      <c r="D169" s="132"/>
      <c r="E169" s="138"/>
      <c r="F169" s="138"/>
      <c r="G169" s="138"/>
    </row>
    <row r="170" spans="2:7">
      <c r="B170" s="132"/>
      <c r="C170" s="132"/>
      <c r="D170" s="132"/>
      <c r="E170" s="138"/>
      <c r="F170" s="138"/>
      <c r="G170" s="138"/>
    </row>
    <row r="171" spans="2:7">
      <c r="B171" s="132"/>
      <c r="C171" s="132"/>
      <c r="D171" s="132"/>
      <c r="E171" s="138"/>
      <c r="F171" s="138"/>
      <c r="G171" s="138"/>
    </row>
    <row r="172" spans="2:7">
      <c r="B172" s="132"/>
      <c r="C172" s="132"/>
      <c r="D172" s="132"/>
      <c r="E172" s="138"/>
      <c r="F172" s="138"/>
      <c r="G172" s="138"/>
    </row>
    <row r="173" spans="2:7">
      <c r="B173" s="132"/>
      <c r="C173" s="132"/>
      <c r="D173" s="132"/>
      <c r="E173" s="138"/>
      <c r="F173" s="138"/>
      <c r="G173" s="138"/>
    </row>
    <row r="174" spans="2:7">
      <c r="B174" s="132"/>
      <c r="C174" s="132"/>
      <c r="D174" s="132"/>
      <c r="E174" s="138"/>
      <c r="F174" s="138"/>
      <c r="G174" s="138"/>
    </row>
    <row r="175" spans="2:7">
      <c r="B175" s="132"/>
      <c r="C175" s="132"/>
      <c r="D175" s="132"/>
      <c r="E175" s="138"/>
      <c r="F175" s="138"/>
      <c r="G175" s="138"/>
    </row>
    <row r="176" spans="2:7">
      <c r="B176" s="132"/>
      <c r="C176" s="132"/>
      <c r="D176" s="132"/>
      <c r="E176" s="138"/>
      <c r="F176" s="138"/>
      <c r="G176" s="138"/>
    </row>
    <row r="177" spans="2:7">
      <c r="B177" s="132"/>
      <c r="C177" s="132"/>
      <c r="D177" s="132"/>
      <c r="E177" s="138"/>
      <c r="F177" s="138"/>
      <c r="G177" s="138"/>
    </row>
    <row r="178" spans="2:7">
      <c r="B178" s="132"/>
      <c r="C178" s="132"/>
      <c r="D178" s="132"/>
      <c r="E178" s="138"/>
      <c r="F178" s="138"/>
      <c r="G178" s="138"/>
    </row>
    <row r="179" spans="2:7">
      <c r="B179" s="132"/>
      <c r="C179" s="132"/>
      <c r="D179" s="132"/>
      <c r="E179" s="138"/>
      <c r="F179" s="138"/>
      <c r="G179" s="138"/>
    </row>
    <row r="180" spans="2:7">
      <c r="B180" s="132"/>
      <c r="C180" s="132"/>
      <c r="D180" s="132"/>
      <c r="E180" s="138"/>
      <c r="F180" s="138"/>
      <c r="G180" s="138"/>
    </row>
    <row r="181" spans="2:7">
      <c r="B181" s="132"/>
      <c r="C181" s="132"/>
      <c r="D181" s="132"/>
      <c r="E181" s="138"/>
      <c r="F181" s="138"/>
      <c r="G181" s="138"/>
    </row>
    <row r="182" spans="2:7">
      <c r="B182" s="132"/>
      <c r="C182" s="132"/>
      <c r="D182" s="132"/>
      <c r="E182" s="138"/>
      <c r="F182" s="138"/>
      <c r="G182" s="138"/>
    </row>
    <row r="183" spans="2:7">
      <c r="B183" s="132"/>
      <c r="C183" s="132"/>
      <c r="D183" s="132"/>
      <c r="E183" s="138"/>
      <c r="F183" s="138"/>
      <c r="G183" s="138"/>
    </row>
    <row r="184" spans="2:7">
      <c r="B184" s="132"/>
      <c r="C184" s="132"/>
      <c r="D184" s="132"/>
      <c r="E184" s="138"/>
      <c r="F184" s="138"/>
      <c r="G184" s="138"/>
    </row>
    <row r="185" spans="2:7">
      <c r="B185" s="132"/>
      <c r="C185" s="132"/>
      <c r="D185" s="132"/>
      <c r="E185" s="138"/>
      <c r="F185" s="138"/>
      <c r="G185" s="138"/>
    </row>
    <row r="186" spans="2:7">
      <c r="B186" s="132"/>
      <c r="C186" s="132"/>
      <c r="D186" s="132"/>
      <c r="E186" s="138"/>
      <c r="F186" s="138"/>
      <c r="G186" s="138"/>
    </row>
    <row r="187" spans="2:7">
      <c r="B187" s="132"/>
      <c r="C187" s="132"/>
      <c r="D187" s="132"/>
      <c r="E187" s="138"/>
      <c r="F187" s="138"/>
      <c r="G187" s="138"/>
    </row>
    <row r="188" spans="2:7">
      <c r="B188" s="132"/>
      <c r="C188" s="132"/>
      <c r="D188" s="132"/>
      <c r="E188" s="138"/>
      <c r="F188" s="138"/>
      <c r="G188" s="138"/>
    </row>
    <row r="189" spans="2:7">
      <c r="B189" s="132"/>
      <c r="C189" s="132"/>
      <c r="D189" s="132"/>
      <c r="E189" s="138"/>
      <c r="F189" s="138"/>
      <c r="G189" s="138"/>
    </row>
    <row r="190" spans="2:7">
      <c r="B190" s="132"/>
      <c r="C190" s="132"/>
      <c r="D190" s="132"/>
      <c r="E190" s="138"/>
      <c r="F190" s="138"/>
      <c r="G190" s="138"/>
    </row>
    <row r="191" spans="2:7">
      <c r="B191" s="132"/>
      <c r="C191" s="132"/>
      <c r="D191" s="132"/>
      <c r="E191" s="138"/>
      <c r="F191" s="138"/>
      <c r="G191" s="138"/>
    </row>
    <row r="192" spans="2:7">
      <c r="B192" s="132"/>
      <c r="C192" s="132"/>
      <c r="D192" s="132"/>
      <c r="E192" s="138"/>
      <c r="F192" s="138"/>
      <c r="G192" s="138"/>
    </row>
    <row r="193" spans="2:7">
      <c r="B193" s="132"/>
      <c r="C193" s="132"/>
      <c r="D193" s="132"/>
      <c r="E193" s="138"/>
      <c r="F193" s="138"/>
      <c r="G193" s="138"/>
    </row>
    <row r="194" spans="2:7">
      <c r="B194" s="132"/>
      <c r="C194" s="132"/>
      <c r="D194" s="132"/>
      <c r="E194" s="138"/>
      <c r="F194" s="138"/>
      <c r="G194" s="138"/>
    </row>
    <row r="195" spans="2:7">
      <c r="B195" s="132"/>
      <c r="C195" s="132"/>
      <c r="D195" s="132"/>
      <c r="E195" s="138"/>
      <c r="F195" s="138"/>
      <c r="G195" s="138"/>
    </row>
    <row r="196" spans="2:7">
      <c r="B196" s="132"/>
      <c r="C196" s="132"/>
      <c r="D196" s="132"/>
      <c r="E196" s="138"/>
      <c r="F196" s="138"/>
      <c r="G196" s="138"/>
    </row>
    <row r="197" spans="2:7">
      <c r="B197" s="132"/>
      <c r="C197" s="132"/>
      <c r="D197" s="132"/>
      <c r="E197" s="138"/>
      <c r="F197" s="138"/>
      <c r="G197" s="138"/>
    </row>
    <row r="198" spans="2:7">
      <c r="B198" s="132"/>
      <c r="C198" s="132"/>
      <c r="D198" s="132"/>
      <c r="E198" s="138"/>
      <c r="F198" s="138"/>
      <c r="G198" s="138"/>
    </row>
    <row r="199" spans="2:7">
      <c r="B199" s="132"/>
      <c r="C199" s="132"/>
      <c r="D199" s="132"/>
      <c r="E199" s="138"/>
      <c r="F199" s="138"/>
      <c r="G199" s="138"/>
    </row>
    <row r="200" spans="2:7">
      <c r="B200" s="132"/>
      <c r="C200" s="132"/>
      <c r="D200" s="132"/>
      <c r="E200" s="138"/>
      <c r="F200" s="138"/>
      <c r="G200" s="138"/>
    </row>
    <row r="201" spans="2:7">
      <c r="B201" s="132"/>
      <c r="C201" s="132"/>
      <c r="D201" s="132"/>
      <c r="E201" s="138"/>
      <c r="F201" s="138"/>
      <c r="G201" s="138"/>
    </row>
    <row r="202" spans="2:7">
      <c r="B202" s="132"/>
      <c r="C202" s="132"/>
      <c r="D202" s="132"/>
      <c r="E202" s="138"/>
      <c r="F202" s="138"/>
      <c r="G202" s="138"/>
    </row>
    <row r="203" spans="2:7">
      <c r="B203" s="132"/>
      <c r="C203" s="132"/>
      <c r="D203" s="132"/>
      <c r="E203" s="138"/>
      <c r="F203" s="138"/>
      <c r="G203" s="138"/>
    </row>
    <row r="204" spans="2:7">
      <c r="B204" s="132"/>
      <c r="C204" s="132"/>
      <c r="D204" s="132"/>
      <c r="E204" s="138"/>
      <c r="F204" s="138"/>
      <c r="G204" s="138"/>
    </row>
    <row r="205" spans="2:7">
      <c r="B205" s="132"/>
      <c r="C205" s="132"/>
      <c r="D205" s="132"/>
      <c r="E205" s="138"/>
      <c r="F205" s="138"/>
      <c r="G205" s="138"/>
    </row>
    <row r="206" spans="2:7">
      <c r="B206" s="132"/>
      <c r="C206" s="132"/>
      <c r="D206" s="132"/>
      <c r="E206" s="138"/>
      <c r="F206" s="138"/>
      <c r="G206" s="138"/>
    </row>
    <row r="207" spans="2:7">
      <c r="B207" s="132"/>
      <c r="C207" s="132"/>
      <c r="D207" s="132"/>
      <c r="E207" s="138"/>
      <c r="F207" s="138"/>
      <c r="G207" s="138"/>
    </row>
    <row r="208" spans="2:7">
      <c r="B208" s="132"/>
      <c r="C208" s="132"/>
      <c r="D208" s="132"/>
      <c r="E208" s="138"/>
      <c r="F208" s="138"/>
      <c r="G208" s="138"/>
    </row>
    <row r="209" spans="2:7">
      <c r="B209" s="132"/>
      <c r="C209" s="132"/>
      <c r="D209" s="132"/>
      <c r="E209" s="138"/>
      <c r="F209" s="138"/>
      <c r="G209" s="138"/>
    </row>
    <row r="210" spans="2:7">
      <c r="B210" s="132"/>
      <c r="C210" s="132"/>
      <c r="D210" s="132"/>
      <c r="E210" s="138"/>
      <c r="F210" s="138"/>
      <c r="G210" s="138"/>
    </row>
    <row r="211" spans="2:7">
      <c r="B211" s="132"/>
      <c r="C211" s="132"/>
      <c r="D211" s="132"/>
      <c r="E211" s="138"/>
      <c r="F211" s="138"/>
      <c r="G211" s="138"/>
    </row>
    <row r="212" spans="2:7">
      <c r="B212" s="132"/>
      <c r="C212" s="132"/>
      <c r="D212" s="132"/>
      <c r="E212" s="132"/>
      <c r="F212" s="132"/>
      <c r="G212" s="132"/>
    </row>
    <row r="213" spans="2:7">
      <c r="B213" s="132"/>
      <c r="C213" s="132"/>
      <c r="D213" s="132"/>
      <c r="E213" s="132"/>
      <c r="F213" s="132"/>
      <c r="G213" s="132"/>
    </row>
    <row r="214" spans="2:7">
      <c r="B214" s="141"/>
      <c r="C214" s="141"/>
      <c r="D214" s="141"/>
      <c r="E214" s="132"/>
      <c r="F214" s="132"/>
      <c r="G214" s="132"/>
    </row>
    <row r="215" spans="2:7">
      <c r="B215" s="132"/>
      <c r="C215" s="132"/>
      <c r="D215" s="132"/>
      <c r="E215" s="132"/>
      <c r="F215" s="132"/>
      <c r="G215" s="132"/>
    </row>
    <row r="216" spans="2:7">
      <c r="B216" s="132"/>
      <c r="C216" s="142"/>
      <c r="D216" s="132"/>
      <c r="E216" s="132"/>
      <c r="F216" s="144"/>
      <c r="G216" s="144"/>
    </row>
    <row r="217" spans="2:7">
      <c r="B217" s="132"/>
      <c r="C217" s="132"/>
      <c r="D217" s="132"/>
      <c r="E217" s="132"/>
      <c r="F217" s="132"/>
      <c r="G217" s="132"/>
    </row>
    <row r="218" spans="2:7">
      <c r="B218" s="132"/>
      <c r="C218" s="143"/>
      <c r="D218" s="144"/>
      <c r="E218" s="143"/>
      <c r="F218" s="144"/>
      <c r="G218" s="143"/>
    </row>
    <row r="219" spans="2:7">
      <c r="B219" s="132"/>
      <c r="C219" s="143"/>
      <c r="D219" s="144"/>
      <c r="E219" s="143"/>
      <c r="F219" s="144"/>
      <c r="G219" s="143"/>
    </row>
    <row r="220" spans="2:7">
      <c r="B220" s="132"/>
      <c r="C220" s="143"/>
      <c r="D220" s="144"/>
      <c r="E220" s="143"/>
      <c r="F220" s="144"/>
      <c r="G220" s="143"/>
    </row>
    <row r="221" spans="2:7">
      <c r="B221" s="132"/>
      <c r="C221" s="143"/>
      <c r="D221" s="144"/>
      <c r="E221" s="143"/>
      <c r="F221" s="144"/>
      <c r="G221" s="143"/>
    </row>
    <row r="222" spans="2:7">
      <c r="B222" s="132"/>
      <c r="C222" s="143"/>
      <c r="D222" s="144"/>
      <c r="E222" s="143"/>
      <c r="F222" s="145"/>
      <c r="G222" s="145"/>
    </row>
    <row r="238" spans="1:1">
      <c r="A238" s="121" t="str">
        <f>IF(ISBLANK(B238),"",COUNTA($B$12:B238))</f>
        <v/>
      </c>
    </row>
    <row r="239" spans="1:1">
      <c r="A239" s="121" t="str">
        <f>IF(ISBLANK(B239),"",COUNTA($B$12:B239))</f>
        <v/>
      </c>
    </row>
    <row r="240" spans="1:1">
      <c r="A240" s="121" t="str">
        <f>IF(ISBLANK(B240),"",COUNTA($B$12:B240))</f>
        <v/>
      </c>
    </row>
    <row r="241" spans="1:1">
      <c r="A241" s="121" t="str">
        <f>IF(ISBLANK(B241),"",COUNTA($B$12:B241))</f>
        <v/>
      </c>
    </row>
    <row r="242" spans="1:1">
      <c r="A242" s="121" t="str">
        <f>IF(ISBLANK(B242),"",COUNTA($B$12:B242))</f>
        <v/>
      </c>
    </row>
    <row r="243" spans="1:1">
      <c r="A243" s="121" t="str">
        <f>IF(ISBLANK(B243),"",COUNTA($B$12:B243))</f>
        <v/>
      </c>
    </row>
    <row r="244" spans="1:1">
      <c r="A244" s="121" t="str">
        <f>IF(ISBLANK(B244),"",COUNTA($B$12:B244))</f>
        <v/>
      </c>
    </row>
    <row r="245" spans="1:1">
      <c r="A245" s="121" t="str">
        <f>IF(ISBLANK(B245),"",COUNTA($B$12:B245))</f>
        <v/>
      </c>
    </row>
    <row r="246" spans="1:1">
      <c r="A246" s="121" t="str">
        <f>IF(ISBLANK(B246),"",COUNTA($B$12:B246))</f>
        <v/>
      </c>
    </row>
    <row r="247" spans="1:1">
      <c r="A247" s="121" t="str">
        <f>IF(ISBLANK(B247),"",COUNTA($B$12:B247))</f>
        <v/>
      </c>
    </row>
    <row r="248" spans="1:1">
      <c r="A248" s="121" t="str">
        <f>IF(ISBLANK(B248),"",COUNTA($B$12:B248))</f>
        <v/>
      </c>
    </row>
    <row r="249" spans="1:1">
      <c r="A249" s="121" t="str">
        <f>IF(ISBLANK(B249),"",COUNTA($B$12:B249))</f>
        <v/>
      </c>
    </row>
    <row r="250" spans="1:1">
      <c r="A250" s="121" t="str">
        <f>IF(ISBLANK(B250),"",COUNTA($B$12:B250))</f>
        <v/>
      </c>
    </row>
  </sheetData>
  <sheetProtection sheet="1" objects="1"/>
  <mergeCells count="11">
    <mergeCell ref="B1:D1"/>
    <mergeCell ref="E1:G1"/>
    <mergeCell ref="I2:M2"/>
    <mergeCell ref="A10:G10"/>
    <mergeCell ref="B213:G213"/>
    <mergeCell ref="C214:D214"/>
    <mergeCell ref="E214:G214"/>
    <mergeCell ref="C217:D217"/>
    <mergeCell ref="E217:F217"/>
    <mergeCell ref="F222:G222"/>
    <mergeCell ref="A1:A9"/>
  </mergeCells>
  <conditionalFormatting sqref="C5:C9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{094c19c2-ab67-4592-b553-078008b2109a}</x14:id>
        </ext>
      </extLst>
    </cfRule>
  </conditionalFormatting>
  <conditionalFormatting sqref="D5:D9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{af65c835-19a3-46b4-a5d0-5457225e3c72}</x14:id>
        </ext>
      </extLst>
    </cfRule>
  </conditionalFormatting>
  <conditionalFormatting sqref="E5:E9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{0fdbccc4-5fe6-4103-982e-e81c7c0ee186}</x14:id>
        </ext>
      </extLst>
    </cfRule>
  </conditionalFormatting>
  <conditionalFormatting sqref="F5:F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{6dc828a8-0b5e-4b7b-aa34-6d9b917e546c}</x14:id>
        </ext>
      </extLst>
    </cfRule>
  </conditionalFormatting>
  <conditionalFormatting sqref="G5:G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{5cf9ffd2-9469-4bae-8a15-4255dbc5b67c}</x14:id>
        </ext>
      </extLst>
    </cfRule>
  </conditionalFormatting>
  <conditionalFormatting sqref="A11:G150">
    <cfRule type="notContainsBlanks" dxfId="0" priority="18">
      <formula>LEN(TRIM(A11))&gt;0</formula>
    </cfRule>
  </conditionalFormatting>
  <dataValidations count="1">
    <dataValidation type="list" allowBlank="1" showInputMessage="1" showErrorMessage="1" sqref="J1">
      <formula1>"前置仓,生鲜店"</formula1>
    </dataValidation>
  </dataValidations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4c19c2-ab67-4592-b553-078008b2109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C5:C9</xm:sqref>
        </x14:conditionalFormatting>
        <x14:conditionalFormatting xmlns:xm="http://schemas.microsoft.com/office/excel/2006/main">
          <x14:cfRule type="dataBar" id="{af65c835-19a3-46b4-a5d0-5457225e3c7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D5:D9</xm:sqref>
        </x14:conditionalFormatting>
        <x14:conditionalFormatting xmlns:xm="http://schemas.microsoft.com/office/excel/2006/main">
          <x14:cfRule type="dataBar" id="{0fdbccc4-5fe6-4103-982e-e81c7c0ee18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E5:E9</xm:sqref>
        </x14:conditionalFormatting>
        <x14:conditionalFormatting xmlns:xm="http://schemas.microsoft.com/office/excel/2006/main">
          <x14:cfRule type="dataBar" id="{6dc828a8-0b5e-4b7b-aa34-6d9b917e546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F5:F9</xm:sqref>
        </x14:conditionalFormatting>
        <x14:conditionalFormatting xmlns:xm="http://schemas.microsoft.com/office/excel/2006/main">
          <x14:cfRule type="dataBar" id="{5cf9ffd2-9469-4bae-8a15-4255dbc5b67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G5:G9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W6"/>
  <sheetViews>
    <sheetView showZeros="0" workbookViewId="0">
      <pane ySplit="6" topLeftCell="A7" activePane="bottomLeft" state="frozen"/>
      <selection/>
      <selection pane="bottomLeft" activeCell="D5" sqref="D5"/>
    </sheetView>
  </sheetViews>
  <sheetFormatPr defaultColWidth="2.97321428571429" defaultRowHeight="23.2" outlineLevelRow="5"/>
  <cols>
    <col min="1" max="1" width="7.42857142857143" style="109" customWidth="1"/>
    <col min="2" max="3" width="10.2857142857143" style="109" customWidth="1"/>
    <col min="4" max="4" width="16.7142857142857" style="112" customWidth="1"/>
    <col min="5" max="5" width="10.2857142857143" style="112" customWidth="1"/>
    <col min="6" max="6" width="16.7142857142857" style="112" customWidth="1"/>
    <col min="7" max="31" width="13.5" style="112" customWidth="1"/>
    <col min="32" max="16384" width="2.97321428571429" style="112" customWidth="1"/>
  </cols>
  <sheetData>
    <row r="1" s="108" customFormat="1" ht="101.6" spans="1:23">
      <c r="A1" s="113" t="s">
        <v>14</v>
      </c>
      <c r="B1" s="114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08"/>
      <c r="T1" s="118"/>
      <c r="U1" s="118"/>
      <c r="V1" s="118"/>
      <c r="W1" s="113"/>
    </row>
    <row r="2" spans="1:6">
      <c r="A2" s="115"/>
      <c r="B2" s="109" t="s">
        <v>15</v>
      </c>
      <c r="C2" s="109" t="s">
        <v>16</v>
      </c>
      <c r="D2" s="112" t="s">
        <v>17</v>
      </c>
      <c r="E2" s="112" t="s">
        <v>18</v>
      </c>
      <c r="F2" s="109" t="str" cm="1">
        <f t="array" ref="F2:F4">TRANSPOSE(_xlfn._xlws.FILTER(代码池!CD1:CF24,LEN(代码池!CD1:CD24)&gt;0))</f>
        <v>区块</v>
      </c>
    </row>
    <row r="3" s="109" customFormat="1" spans="1:6">
      <c r="A3" s="109" t="s">
        <v>19</v>
      </c>
      <c r="B3" s="109">
        <f>COUNTIF(生鲜批次导出!$H:$H,"*")-1</f>
        <v>-1</v>
      </c>
      <c r="C3" s="109">
        <f>COUNTIF(生鲜批次导出!$AB:$AB,"*妥投")</f>
        <v>0</v>
      </c>
      <c r="D3" s="109">
        <f>(COUNTIF(生鲜批次导出!$AB:$AB,D2))</f>
        <v>0</v>
      </c>
      <c r="E3" s="109">
        <f>(COUNTIF(生鲜批次导出!$AB:$AB,E2))</f>
        <v>0</v>
      </c>
      <c r="F3" s="109" t="str">
        <v>单量</v>
      </c>
    </row>
    <row r="4" s="110" customFormat="1" spans="1:6">
      <c r="A4" s="110" t="s">
        <v>20</v>
      </c>
      <c r="B4" s="109">
        <v>1</v>
      </c>
      <c r="C4" s="110">
        <f>COUNTIF(生鲜批次导出!$AB:$AB,"*妥投")/(COUNTIF(生鲜批次导出!$AB:$AB,"*")-1)</f>
        <v>0</v>
      </c>
      <c r="D4" s="110">
        <f>(COUNTIF(生鲜批次导出!$AB:$AB,D2))/(COUNTIF(生鲜批次导出!$H:$H,"*")-1)</f>
        <v>0</v>
      </c>
      <c r="E4" s="110">
        <f>(COUNTIF(生鲜批次导出!$AB:$AB,E2))/(COUNTIF(生鲜批次导出!$H:$H,"*")-1)</f>
        <v>0</v>
      </c>
      <c r="F4" s="110" t="str">
        <v>占比</v>
      </c>
    </row>
    <row r="5" s="111" customFormat="1" ht="51.2" spans="1:23">
      <c r="A5" s="116" t="s">
        <v>21</v>
      </c>
      <c r="B5" s="117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T5" s="119"/>
      <c r="U5" s="119"/>
      <c r="V5" s="119"/>
      <c r="W5" s="116"/>
    </row>
    <row r="6" spans="1:22">
      <c r="A6" s="109" t="e" cm="1">
        <f t="array" ref="A6">_xlfn.LET(_xlpm.数据范围,代码池!CH1:DI200,_xlpm.表头,代码池!CH1:DI1,_xlpm.列数,COLUMNS(_xlpm.数据范围),_xlpm.序列,_xlfn.SEQUENCE(1,_xlpm.列数),_xlpm.是否含表头,--(LEN(TRIM(_xlpm.表头))&gt;0),_xlpm.包含的列,_xlfn._xlws.FILTER(_xlpm.序列,_xlpm.是否含表头),_xlpm.筛选后的数据,_xlfn._xlws.FILTER(_xlpm.数据范围,LEN(代码池!CL1:CL200)&gt;0),_xlpm.清洗后的数据,INDEX(_xlpm.筛选后的数据,_xlfn.SEQUENCE(ROWS(_xlpm.筛选后的数据)),_xlpm.包含的列),_xlfn._xlws.SORT(_xlpm.清洗后的数据,5,-1))</f>
        <v>#VALUE!</v>
      </c>
      <c r="T6" s="120"/>
      <c r="U6" s="120"/>
      <c r="V6" s="120"/>
    </row>
  </sheetData>
  <sheetProtection sheet="1" objects="1"/>
  <conditionalFormatting sqref="D2:D300">
    <cfRule type="containsText" dxfId="1" priority="16" operator="between" text="灵活">
      <formula>NOT(ISERROR(SEARCH("灵活",D2)))</formula>
    </cfRule>
    <cfRule type="containsText" dxfId="2" priority="17" operator="between" text="盒心普通">
      <formula>NOT(ISERROR(SEARCH("盒心普通",D2)))</formula>
    </cfRule>
    <cfRule type="containsText" dxfId="3" priority="18" operator="between" text="全职">
      <formula>NOT(ISERROR(SEARCH("全职",D2)))</formula>
    </cfRule>
  </conditionalFormatting>
  <conditionalFormatting sqref="$A1:$XFD4">
    <cfRule type="expression" dxfId="3" priority="2">
      <formula>INDIRECT(ADDRESS(3,COLUMN()))&lt;&gt;""</formula>
    </cfRule>
  </conditionalFormatting>
  <conditionalFormatting sqref="$A1:$XFD500">
    <cfRule type="notContainsBlanks" dxfId="4" priority="20">
      <formula>LEN(TRIM(A1))&gt;0</formula>
    </cfRule>
  </conditionalFormatting>
  <conditionalFormatting sqref="$A5:$XFD6">
    <cfRule type="expression" dxfId="2" priority="1">
      <formula>INDIRECT(ADDRESS(3,COLUMN()))&lt;&gt;""</formula>
    </cfRule>
  </conditionalFormatting>
  <conditionalFormatting sqref="A7:E300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{7cccfe3a-e668-4082-adaa-77b34b624a54}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ccfe3a-e668-4082-adaa-77b34b624a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A7:E300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区块图!G7</xm:f>
              <xm:sqref>G7</xm:sqref>
            </x14:sparkline>
            <x14:sparkline>
              <xm:f>区块图!H7</xm:f>
              <xm:sqref>H7</xm:sqref>
            </x14:sparkline>
            <x14:sparkline>
              <xm:f>区块图!I7</xm:f>
              <xm:sqref>I7</xm:sqref>
            </x14:sparkline>
            <x14:sparkline>
              <xm:f>区块图!J7</xm:f>
              <xm:sqref>J7</xm:sqref>
            </x14:sparkline>
            <x14:sparkline>
              <xm:f>区块图!K7</xm:f>
              <xm:sqref>K7</xm:sqref>
            </x14:sparkline>
            <x14:sparkline>
              <xm:f>区块图!L7</xm:f>
              <xm:sqref>L7</xm:sqref>
            </x14:sparkline>
            <x14:sparkline>
              <xm:f>区块图!M7</xm:f>
              <xm:sqref>M7</xm:sqref>
            </x14:sparkline>
            <x14:sparkline>
              <xm:f>区块图!N7</xm:f>
              <xm:sqref>N7</xm:sqref>
            </x14:sparkline>
            <x14:sparkline>
              <xm:f>区块图!O7</xm:f>
              <xm:sqref>O7</xm:sqref>
            </x14:sparkline>
            <x14:sparkline>
              <xm:f>区块图!P7</xm:f>
              <xm:sqref>P7</xm:sqref>
            </x14:sparkline>
            <x14:sparkline>
              <xm:f>区块图!Q7</xm:f>
              <xm:sqref>Q7</xm:sqref>
            </x14:sparkline>
            <x14:sparkline>
              <xm:f>区块图!R7</xm:f>
              <xm:sqref>R7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T150"/>
  <sheetViews>
    <sheetView showZeros="0" workbookViewId="0">
      <pane xSplit="4" ySplit="4" topLeftCell="E5" activePane="bottomRight" state="frozen"/>
      <selection/>
      <selection pane="topRight"/>
      <selection pane="bottomLeft"/>
      <selection pane="bottomRight" activeCell="A1" sqref="A1:C3"/>
    </sheetView>
  </sheetViews>
  <sheetFormatPr defaultColWidth="20.4464285714286" defaultRowHeight="28.8"/>
  <cols>
    <col min="1" max="2" width="9.0625" style="100" customWidth="1"/>
    <col min="3" max="3" width="10.0982142857143" style="100" customWidth="1"/>
    <col min="4" max="4" width="20.8303571428571" style="101" customWidth="1"/>
    <col min="5" max="20" width="8.66964285714286" style="101" customWidth="1"/>
    <col min="21" max="21" width="20.4464285714286" style="101" customWidth="1"/>
    <col min="22" max="16384" width="20.4464285714286" style="101"/>
  </cols>
  <sheetData>
    <row r="1" s="98" customFormat="1" spans="1:20">
      <c r="A1" s="102" t="s">
        <v>22</v>
      </c>
      <c r="B1" s="102"/>
      <c r="C1" s="102"/>
      <c r="D1" s="103" t="s">
        <v>23</v>
      </c>
      <c r="E1" s="100" cm="1">
        <f t="array" ref="E1:T1">_xlfn.BYCOL(E5:T150,_xleta.SUM)</f>
        <v>0</v>
      </c>
      <c r="F1" s="100">
        <v>0</v>
      </c>
      <c r="G1" s="100">
        <v>0</v>
      </c>
      <c r="H1" s="100">
        <v>0</v>
      </c>
      <c r="I1" s="100">
        <v>0</v>
      </c>
      <c r="J1" s="100">
        <v>0</v>
      </c>
      <c r="K1" s="100">
        <v>0</v>
      </c>
      <c r="L1" s="100">
        <v>0</v>
      </c>
      <c r="M1" s="100">
        <v>0</v>
      </c>
      <c r="N1" s="100">
        <v>0</v>
      </c>
      <c r="O1" s="100">
        <v>0</v>
      </c>
      <c r="P1" s="100">
        <v>0</v>
      </c>
      <c r="Q1" s="100">
        <v>0</v>
      </c>
      <c r="R1" s="100">
        <v>0</v>
      </c>
      <c r="S1" s="100">
        <v>0</v>
      </c>
      <c r="T1" s="100">
        <v>0</v>
      </c>
    </row>
    <row r="2" spans="1:20">
      <c r="A2" s="102"/>
      <c r="B2" s="102"/>
      <c r="C2" s="102"/>
      <c r="D2" s="103" t="s">
        <v>24</v>
      </c>
      <c r="E2" s="100" cm="1">
        <f t="array" ref="E2:T2">_xlfn.BYCOL(E5:T50,_xlfn.LAMBDA(_xlpm.col,IFERROR(COUNTIF(_xlpm.col,"&gt;0"),0)))</f>
        <v>0</v>
      </c>
      <c r="F2" s="100">
        <v>0</v>
      </c>
      <c r="G2" s="100">
        <v>0</v>
      </c>
      <c r="H2" s="100">
        <v>0</v>
      </c>
      <c r="I2" s="100">
        <v>0</v>
      </c>
      <c r="J2" s="100">
        <v>0</v>
      </c>
      <c r="K2" s="100">
        <v>0</v>
      </c>
      <c r="L2" s="100">
        <v>0</v>
      </c>
      <c r="M2" s="100">
        <v>0</v>
      </c>
      <c r="N2" s="100">
        <v>0</v>
      </c>
      <c r="O2" s="100">
        <v>0</v>
      </c>
      <c r="P2" s="100">
        <v>0</v>
      </c>
      <c r="Q2" s="100">
        <v>0</v>
      </c>
      <c r="R2" s="100">
        <v>0</v>
      </c>
      <c r="S2" s="100">
        <v>0</v>
      </c>
      <c r="T2" s="100">
        <v>0</v>
      </c>
    </row>
    <row r="3" spans="1:20">
      <c r="A3" s="102"/>
      <c r="B3" s="102"/>
      <c r="C3" s="102"/>
      <c r="D3" s="104" t="s">
        <v>25</v>
      </c>
      <c r="E3" s="107" t="str" cm="1">
        <f t="array" ref="E3:T3">IFERROR(E1:T1/E2:T2,"")</f>
        <v/>
      </c>
      <c r="F3" s="107" t="str">
        <v/>
      </c>
      <c r="G3" s="107" t="str">
        <v/>
      </c>
      <c r="H3" s="107" t="str">
        <v/>
      </c>
      <c r="I3" s="107" t="str">
        <v/>
      </c>
      <c r="J3" s="107" t="str">
        <v/>
      </c>
      <c r="K3" s="107" t="str">
        <v/>
      </c>
      <c r="L3" s="107" t="str">
        <v/>
      </c>
      <c r="M3" s="107" t="str">
        <v/>
      </c>
      <c r="N3" s="107" t="str">
        <v/>
      </c>
      <c r="O3" s="107" t="str">
        <v/>
      </c>
      <c r="P3" s="107" t="str">
        <v/>
      </c>
      <c r="Q3" s="107" t="str">
        <v/>
      </c>
      <c r="R3" s="107" t="str">
        <v/>
      </c>
      <c r="S3" s="107" t="str">
        <v/>
      </c>
      <c r="T3" s="107" t="str">
        <v/>
      </c>
    </row>
    <row r="4" s="99" customFormat="1" spans="1:20">
      <c r="A4" s="105" t="str" cm="1">
        <f t="array" ref="A4:T4">_xlfn._xlws.SORT(_xlfn._xlws.FILTER(代码池!I1:AB200,LEN(代码池!I1:I200)&gt;0),1,-1)</f>
        <v>单量</v>
      </c>
      <c r="B4" s="105" t="str">
        <v>工时</v>
      </c>
      <c r="C4" s="105" t="str">
        <v>效率</v>
      </c>
      <c r="D4" s="105" vm="1" t="e">
        <v>#VALUE!</v>
      </c>
      <c r="E4" s="105">
        <v>0.291666666666667</v>
      </c>
      <c r="F4" s="105">
        <v>0.333333333333333</v>
      </c>
      <c r="G4" s="105">
        <v>0.375</v>
      </c>
      <c r="H4" s="105">
        <v>0.416666666666667</v>
      </c>
      <c r="I4" s="105">
        <v>0.458333333333333</v>
      </c>
      <c r="J4" s="105">
        <v>0.5</v>
      </c>
      <c r="K4" s="105">
        <v>0.541666666666667</v>
      </c>
      <c r="L4" s="105">
        <v>0.583333333333333</v>
      </c>
      <c r="M4" s="105">
        <v>0.625</v>
      </c>
      <c r="N4" s="105">
        <v>0.666666666666667</v>
      </c>
      <c r="O4" s="105">
        <v>0.708333333333333</v>
      </c>
      <c r="P4" s="105">
        <v>0.75</v>
      </c>
      <c r="Q4" s="105">
        <v>0.791666666666667</v>
      </c>
      <c r="R4" s="105">
        <v>0.833333333333333</v>
      </c>
      <c r="S4" s="105">
        <v>0.875</v>
      </c>
      <c r="T4" s="105">
        <v>0.916666666666667</v>
      </c>
    </row>
    <row r="5" spans="3:3">
      <c r="C5" s="106"/>
    </row>
    <row r="6" spans="3:3">
      <c r="C6" s="106"/>
    </row>
    <row r="7" spans="3:3">
      <c r="C7" s="106"/>
    </row>
    <row r="8" spans="3:3">
      <c r="C8" s="106"/>
    </row>
    <row r="9" spans="3:3">
      <c r="C9" s="106"/>
    </row>
    <row r="10" spans="3:3">
      <c r="C10" s="106"/>
    </row>
    <row r="11" spans="3:3">
      <c r="C11" s="106"/>
    </row>
    <row r="12" spans="3:3">
      <c r="C12" s="106"/>
    </row>
    <row r="13" spans="3:3">
      <c r="C13" s="106"/>
    </row>
    <row r="14" spans="3:3">
      <c r="C14" s="106"/>
    </row>
    <row r="15" spans="3:3">
      <c r="C15" s="106"/>
    </row>
    <row r="16" spans="3:3">
      <c r="C16" s="106"/>
    </row>
    <row r="17" spans="3:3">
      <c r="C17" s="106"/>
    </row>
    <row r="18" spans="3:3">
      <c r="C18" s="106"/>
    </row>
    <row r="19" spans="3:3">
      <c r="C19" s="106"/>
    </row>
    <row r="20" spans="3:3">
      <c r="C20" s="106"/>
    </row>
    <row r="21" spans="3:3">
      <c r="C21" s="106"/>
    </row>
    <row r="22" spans="3:3">
      <c r="C22" s="106"/>
    </row>
    <row r="23" spans="3:3">
      <c r="C23" s="106"/>
    </row>
    <row r="24" spans="3:3">
      <c r="C24" s="106"/>
    </row>
    <row r="25" spans="3:3">
      <c r="C25" s="106"/>
    </row>
    <row r="26" spans="3:3">
      <c r="C26" s="106"/>
    </row>
    <row r="27" spans="3:3">
      <c r="C27" s="106"/>
    </row>
    <row r="28" spans="3:3">
      <c r="C28" s="106"/>
    </row>
    <row r="29" spans="3:3">
      <c r="C29" s="106"/>
    </row>
    <row r="30" spans="3:3">
      <c r="C30" s="106"/>
    </row>
    <row r="31" spans="3:3">
      <c r="C31" s="106"/>
    </row>
    <row r="32" spans="3:3">
      <c r="C32" s="106"/>
    </row>
    <row r="33" spans="3:3">
      <c r="C33" s="106"/>
    </row>
    <row r="34" spans="3:3">
      <c r="C34" s="106"/>
    </row>
    <row r="35" spans="3:3">
      <c r="C35" s="106"/>
    </row>
    <row r="36" spans="3:3">
      <c r="C36" s="106"/>
    </row>
    <row r="37" spans="3:3">
      <c r="C37" s="106"/>
    </row>
    <row r="38" spans="3:3">
      <c r="C38" s="106"/>
    </row>
    <row r="39" spans="3:3">
      <c r="C39" s="106"/>
    </row>
    <row r="40" spans="3:3">
      <c r="C40" s="106"/>
    </row>
    <row r="41" spans="3:3">
      <c r="C41" s="106"/>
    </row>
    <row r="42" spans="3:3">
      <c r="C42" s="106"/>
    </row>
    <row r="43" spans="3:3">
      <c r="C43" s="106"/>
    </row>
    <row r="44" spans="3:3">
      <c r="C44" s="106"/>
    </row>
    <row r="45" spans="3:3">
      <c r="C45" s="106"/>
    </row>
    <row r="46" spans="3:3">
      <c r="C46" s="106"/>
    </row>
    <row r="47" spans="3:3">
      <c r="C47" s="106"/>
    </row>
    <row r="48" spans="3:3">
      <c r="C48" s="106"/>
    </row>
    <row r="49" spans="3:3">
      <c r="C49" s="106"/>
    </row>
    <row r="50" spans="3:3">
      <c r="C50" s="106"/>
    </row>
    <row r="51" spans="3:3">
      <c r="C51" s="106"/>
    </row>
    <row r="52" spans="3:3">
      <c r="C52" s="106"/>
    </row>
    <row r="53" spans="3:3">
      <c r="C53" s="106"/>
    </row>
    <row r="54" spans="3:3">
      <c r="C54" s="106"/>
    </row>
    <row r="55" spans="3:3">
      <c r="C55" s="106"/>
    </row>
    <row r="56" spans="3:3">
      <c r="C56" s="106"/>
    </row>
    <row r="57" spans="3:3">
      <c r="C57" s="106"/>
    </row>
    <row r="58" spans="3:3">
      <c r="C58" s="106"/>
    </row>
    <row r="59" spans="3:3">
      <c r="C59" s="106"/>
    </row>
    <row r="60" spans="3:3">
      <c r="C60" s="106"/>
    </row>
    <row r="61" spans="3:3">
      <c r="C61" s="106"/>
    </row>
    <row r="62" spans="3:3">
      <c r="C62" s="106"/>
    </row>
    <row r="63" spans="3:3">
      <c r="C63" s="106"/>
    </row>
    <row r="64" spans="3:3">
      <c r="C64" s="106"/>
    </row>
    <row r="65" spans="3:3">
      <c r="C65" s="106"/>
    </row>
    <row r="66" spans="3:3">
      <c r="C66" s="106"/>
    </row>
    <row r="67" spans="3:3">
      <c r="C67" s="106"/>
    </row>
    <row r="68" spans="3:3">
      <c r="C68" s="106"/>
    </row>
    <row r="69" spans="3:3">
      <c r="C69" s="106"/>
    </row>
    <row r="70" spans="3:3">
      <c r="C70" s="106"/>
    </row>
    <row r="71" spans="3:3">
      <c r="C71" s="106"/>
    </row>
    <row r="72" spans="3:3">
      <c r="C72" s="106"/>
    </row>
    <row r="73" spans="3:3">
      <c r="C73" s="106"/>
    </row>
    <row r="74" spans="3:3">
      <c r="C74" s="106"/>
    </row>
    <row r="75" spans="3:3">
      <c r="C75" s="106"/>
    </row>
    <row r="76" spans="3:3">
      <c r="C76" s="106"/>
    </row>
    <row r="77" spans="3:3">
      <c r="C77" s="106"/>
    </row>
    <row r="78" spans="3:3">
      <c r="C78" s="106"/>
    </row>
    <row r="79" spans="3:3">
      <c r="C79" s="106"/>
    </row>
    <row r="80" spans="3:3">
      <c r="C80" s="106"/>
    </row>
    <row r="81" spans="3:3">
      <c r="C81" s="106"/>
    </row>
    <row r="82" spans="3:3">
      <c r="C82" s="106"/>
    </row>
    <row r="83" spans="3:3">
      <c r="C83" s="106"/>
    </row>
    <row r="84" spans="3:3">
      <c r="C84" s="106"/>
    </row>
    <row r="85" spans="3:3">
      <c r="C85" s="106"/>
    </row>
    <row r="86" spans="3:3">
      <c r="C86" s="106"/>
    </row>
    <row r="87" spans="3:3">
      <c r="C87" s="106"/>
    </row>
    <row r="88" spans="3:3">
      <c r="C88" s="106"/>
    </row>
    <row r="89" spans="3:3">
      <c r="C89" s="106"/>
    </row>
    <row r="90" spans="3:3">
      <c r="C90" s="106"/>
    </row>
    <row r="91" spans="3:3">
      <c r="C91" s="106"/>
    </row>
    <row r="92" spans="3:3">
      <c r="C92" s="106"/>
    </row>
    <row r="93" spans="3:3">
      <c r="C93" s="106"/>
    </row>
    <row r="94" spans="3:3">
      <c r="C94" s="106"/>
    </row>
    <row r="95" spans="3:3">
      <c r="C95" s="106"/>
    </row>
    <row r="96" spans="3:3">
      <c r="C96" s="106"/>
    </row>
    <row r="97" spans="3:3">
      <c r="C97" s="106"/>
    </row>
    <row r="98" spans="3:3">
      <c r="C98" s="106"/>
    </row>
    <row r="99" spans="3:3">
      <c r="C99" s="106"/>
    </row>
    <row r="100" spans="3:3">
      <c r="C100" s="106"/>
    </row>
    <row r="101" spans="3:3">
      <c r="C101" s="106"/>
    </row>
    <row r="102" spans="3:3">
      <c r="C102" s="106"/>
    </row>
    <row r="103" spans="3:3">
      <c r="C103" s="106"/>
    </row>
    <row r="104" spans="3:3">
      <c r="C104" s="106"/>
    </row>
    <row r="105" spans="3:3">
      <c r="C105" s="106"/>
    </row>
    <row r="106" spans="3:3">
      <c r="C106" s="106"/>
    </row>
    <row r="107" spans="3:3">
      <c r="C107" s="106"/>
    </row>
    <row r="108" spans="3:3">
      <c r="C108" s="106"/>
    </row>
    <row r="109" spans="3:3">
      <c r="C109" s="106"/>
    </row>
    <row r="110" spans="3:3">
      <c r="C110" s="106"/>
    </row>
    <row r="111" spans="3:3">
      <c r="C111" s="106"/>
    </row>
    <row r="112" spans="3:3">
      <c r="C112" s="106"/>
    </row>
    <row r="113" spans="3:3">
      <c r="C113" s="106"/>
    </row>
    <row r="114" spans="3:3">
      <c r="C114" s="106"/>
    </row>
    <row r="115" spans="3:3">
      <c r="C115" s="106"/>
    </row>
    <row r="116" spans="3:3">
      <c r="C116" s="106"/>
    </row>
    <row r="117" spans="3:3">
      <c r="C117" s="106"/>
    </row>
    <row r="118" spans="3:3">
      <c r="C118" s="106"/>
    </row>
    <row r="119" spans="3:3">
      <c r="C119" s="106"/>
    </row>
    <row r="120" spans="3:3">
      <c r="C120" s="106"/>
    </row>
    <row r="121" spans="3:3">
      <c r="C121" s="106"/>
    </row>
    <row r="122" spans="3:3">
      <c r="C122" s="106"/>
    </row>
    <row r="123" spans="3:3">
      <c r="C123" s="106"/>
    </row>
    <row r="124" spans="3:3">
      <c r="C124" s="106"/>
    </row>
    <row r="125" spans="3:3">
      <c r="C125" s="106"/>
    </row>
    <row r="126" spans="3:3">
      <c r="C126" s="106"/>
    </row>
    <row r="127" spans="3:3">
      <c r="C127" s="106"/>
    </row>
    <row r="128" spans="3:3">
      <c r="C128" s="106"/>
    </row>
    <row r="129" spans="3:3">
      <c r="C129" s="106"/>
    </row>
    <row r="130" spans="3:3">
      <c r="C130" s="106"/>
    </row>
    <row r="131" spans="3:3">
      <c r="C131" s="106"/>
    </row>
    <row r="132" spans="3:3">
      <c r="C132" s="106"/>
    </row>
    <row r="133" spans="3:3">
      <c r="C133" s="106"/>
    </row>
    <row r="134" spans="3:3">
      <c r="C134" s="106"/>
    </row>
    <row r="135" spans="3:3">
      <c r="C135" s="106"/>
    </row>
    <row r="136" spans="3:3">
      <c r="C136" s="106"/>
    </row>
    <row r="137" spans="3:3">
      <c r="C137" s="106"/>
    </row>
    <row r="138" spans="3:3">
      <c r="C138" s="106"/>
    </row>
    <row r="139" spans="3:3">
      <c r="C139" s="106"/>
    </row>
    <row r="140" spans="3:3">
      <c r="C140" s="106"/>
    </row>
    <row r="141" spans="3:3">
      <c r="C141" s="106"/>
    </row>
    <row r="142" spans="3:3">
      <c r="C142" s="106"/>
    </row>
    <row r="143" spans="3:3">
      <c r="C143" s="106"/>
    </row>
    <row r="144" spans="3:3">
      <c r="C144" s="106"/>
    </row>
    <row r="145" spans="3:3">
      <c r="C145" s="106"/>
    </row>
    <row r="146" spans="3:3">
      <c r="C146" s="106"/>
    </row>
    <row r="147" spans="3:3">
      <c r="C147" s="106"/>
    </row>
    <row r="148" spans="3:3">
      <c r="C148" s="106"/>
    </row>
    <row r="149" spans="3:3">
      <c r="C149" s="106"/>
    </row>
    <row r="150" spans="3:3">
      <c r="C150" s="106"/>
    </row>
  </sheetData>
  <sheetProtection sheet="1" objects="1"/>
  <mergeCells count="1">
    <mergeCell ref="A1:C3"/>
  </mergeCells>
  <conditionalFormatting sqref="E1:T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T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T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$1:A$1048576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{85fb9232-732c-4f93-8282-e558568bf948}</x14:id>
        </ext>
      </extLst>
    </cfRule>
  </conditionalFormatting>
  <conditionalFormatting sqref="B$1:B$1048576">
    <cfRule type="iconSet" priority="6">
      <iconSet iconSet="3Symbols2">
        <cfvo type="percent" val="0"/>
        <cfvo type="percent" val="33"/>
        <cfvo type="percent" val="67"/>
      </iconSet>
    </cfRule>
  </conditionalFormatting>
  <conditionalFormatting sqref="C$1:C$1048576">
    <cfRule type="iconSet" priority="7">
      <iconSet iconSet="3Symbols2">
        <cfvo type="percent" val="0"/>
        <cfvo type="num" val="3"/>
        <cfvo type="num" val="5"/>
      </iconSet>
    </cfRule>
  </conditionalFormatting>
  <conditionalFormatting sqref="$A1:$XFD1048576">
    <cfRule type="notContainsBlanks" dxfId="4" priority="12">
      <formula>LEN(TRIM(A1))&gt;0</formula>
    </cfRule>
  </conditionalFormatting>
  <conditionalFormatting sqref="E5:T250">
    <cfRule type="expression" dxfId="5" priority="2">
      <formula>AND(SUMPRODUCT((代码池!$BZ:$BZ=$D5)*(E$4&gt;=代码池!$CA:$CA)*(E$4&lt;=代码池!$CB:$CB))&gt;0,E5=0)</formula>
    </cfRule>
    <cfRule type="expression" dxfId="3" priority="3">
      <formula>SUMPRODUCT((代码池!$BZ:$BZ=$D5)*(E$4&gt;=代码池!$CA:$CA)*(E$4&lt;=代码池!$CB:$CB))&gt;0</formula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fb9232-732c-4f93-8282-e558568bf9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A$1:A$1048576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AL100"/>
  <sheetViews>
    <sheetView showZeros="0" workbookViewId="0">
      <pane xSplit="4" ySplit="4" topLeftCell="E5" activePane="bottomRight" state="frozen"/>
      <selection/>
      <selection pane="topRight"/>
      <selection pane="bottomLeft"/>
      <selection pane="bottomRight" activeCell="A1" sqref="A1:C3"/>
    </sheetView>
  </sheetViews>
  <sheetFormatPr defaultColWidth="10.8660714285714" defaultRowHeight="23.2"/>
  <cols>
    <col min="1" max="3" width="7.42857142857143" style="85" customWidth="1"/>
    <col min="4" max="4" width="13.5" style="85" customWidth="1"/>
    <col min="5" max="9" width="6.42857142857143" style="85" customWidth="1"/>
    <col min="10" max="34" width="7.78571428571429" style="85" customWidth="1"/>
    <col min="35" max="35" width="7.78571428571429" style="86" customWidth="1"/>
    <col min="36" max="37" width="10.2857142857143" style="86" customWidth="1"/>
    <col min="38" max="38" width="10.2857142857143" style="85" customWidth="1"/>
    <col min="39" max="16384" width="10.8660714285714" style="85"/>
  </cols>
  <sheetData>
    <row r="1" spans="1:38">
      <c r="A1" s="87" t="s">
        <v>26</v>
      </c>
      <c r="B1" s="87"/>
      <c r="C1" s="87"/>
      <c r="D1" s="88" t="s">
        <v>23</v>
      </c>
      <c r="E1" s="92" cm="1">
        <f t="array" ref="E1:AL1">_xlfn.BYCOL(E5:AL150,_xleta.SUM)</f>
        <v>0</v>
      </c>
      <c r="F1" s="93">
        <v>0</v>
      </c>
      <c r="G1" s="93">
        <v>0</v>
      </c>
      <c r="H1" s="93">
        <v>0</v>
      </c>
      <c r="I1" s="93">
        <v>0</v>
      </c>
      <c r="J1" s="93">
        <v>0</v>
      </c>
      <c r="K1" s="93">
        <v>0</v>
      </c>
      <c r="L1" s="93">
        <v>0</v>
      </c>
      <c r="M1" s="93">
        <v>0</v>
      </c>
      <c r="N1" s="93">
        <v>0</v>
      </c>
      <c r="O1" s="93">
        <v>0</v>
      </c>
      <c r="P1" s="93">
        <v>0</v>
      </c>
      <c r="Q1" s="93">
        <v>0</v>
      </c>
      <c r="R1" s="93">
        <v>0</v>
      </c>
      <c r="S1" s="93">
        <v>0</v>
      </c>
      <c r="T1" s="93">
        <v>0</v>
      </c>
      <c r="U1" s="93">
        <v>0</v>
      </c>
      <c r="V1" s="93">
        <v>0</v>
      </c>
      <c r="W1" s="93">
        <v>0</v>
      </c>
      <c r="X1" s="93">
        <v>0</v>
      </c>
      <c r="Y1" s="93">
        <v>0</v>
      </c>
      <c r="Z1" s="93">
        <v>0</v>
      </c>
      <c r="AA1" s="93">
        <v>0</v>
      </c>
      <c r="AB1" s="93">
        <v>0</v>
      </c>
      <c r="AC1" s="93">
        <v>0</v>
      </c>
      <c r="AD1" s="93">
        <v>0</v>
      </c>
      <c r="AE1" s="93">
        <v>0</v>
      </c>
      <c r="AF1" s="93">
        <v>0</v>
      </c>
      <c r="AG1" s="93">
        <v>0</v>
      </c>
      <c r="AH1" s="93">
        <v>0</v>
      </c>
      <c r="AI1" s="93">
        <v>0</v>
      </c>
      <c r="AJ1" s="93">
        <v>0</v>
      </c>
      <c r="AK1" s="93">
        <v>0</v>
      </c>
      <c r="AL1" s="93">
        <v>0</v>
      </c>
    </row>
    <row r="2" spans="1:38">
      <c r="A2" s="87"/>
      <c r="B2" s="87"/>
      <c r="C2" s="87"/>
      <c r="D2" s="88" t="s">
        <v>24</v>
      </c>
      <c r="E2" s="92" cm="1">
        <f t="array" ref="E2:AL2">_xlfn.BYCOL(E5:AL150,_xlfn.LAMBDA(_xlpm.col,IFERROR(COUNTIF(_xlpm.col,"&gt;0"),0)))</f>
        <v>0</v>
      </c>
      <c r="F2" s="93">
        <v>0</v>
      </c>
      <c r="G2" s="93">
        <v>0</v>
      </c>
      <c r="H2" s="93">
        <v>0</v>
      </c>
      <c r="I2" s="93">
        <v>0</v>
      </c>
      <c r="J2" s="93">
        <v>0</v>
      </c>
      <c r="K2" s="93">
        <v>0</v>
      </c>
      <c r="L2" s="93">
        <v>0</v>
      </c>
      <c r="M2" s="93">
        <v>0</v>
      </c>
      <c r="N2" s="93">
        <v>0</v>
      </c>
      <c r="O2" s="93">
        <v>0</v>
      </c>
      <c r="P2" s="93">
        <v>0</v>
      </c>
      <c r="Q2" s="93">
        <v>0</v>
      </c>
      <c r="R2" s="93">
        <v>0</v>
      </c>
      <c r="S2" s="93">
        <v>0</v>
      </c>
      <c r="T2" s="93">
        <v>0</v>
      </c>
      <c r="U2" s="93">
        <v>0</v>
      </c>
      <c r="V2" s="93">
        <v>0</v>
      </c>
      <c r="W2" s="93">
        <v>0</v>
      </c>
      <c r="X2" s="93">
        <v>0</v>
      </c>
      <c r="Y2" s="93">
        <v>0</v>
      </c>
      <c r="Z2" s="93">
        <v>0</v>
      </c>
      <c r="AA2" s="93">
        <v>0</v>
      </c>
      <c r="AB2" s="93">
        <v>0</v>
      </c>
      <c r="AC2" s="93">
        <v>0</v>
      </c>
      <c r="AD2" s="93">
        <v>0</v>
      </c>
      <c r="AE2" s="93">
        <v>0</v>
      </c>
      <c r="AF2" s="93">
        <v>0</v>
      </c>
      <c r="AG2" s="93">
        <v>0</v>
      </c>
      <c r="AH2" s="93">
        <v>0</v>
      </c>
      <c r="AI2" s="93">
        <v>0</v>
      </c>
      <c r="AJ2" s="93">
        <v>0</v>
      </c>
      <c r="AK2" s="93">
        <v>0</v>
      </c>
      <c r="AL2" s="93">
        <v>0</v>
      </c>
    </row>
    <row r="3" ht="24" spans="1:38">
      <c r="A3" s="87"/>
      <c r="B3" s="87"/>
      <c r="C3" s="87"/>
      <c r="D3" s="89" t="s">
        <v>25</v>
      </c>
      <c r="E3" s="94" t="str" cm="1">
        <f t="array" ref="E3:AL3">IFERROR(E1:AL1/E2:AL2,"")</f>
        <v/>
      </c>
      <c r="F3" s="89" t="str">
        <v/>
      </c>
      <c r="G3" s="89" t="str">
        <v/>
      </c>
      <c r="H3" s="89" t="str">
        <v/>
      </c>
      <c r="I3" s="89" t="str">
        <v/>
      </c>
      <c r="J3" s="89" t="str">
        <v/>
      </c>
      <c r="K3" s="89" t="str">
        <v/>
      </c>
      <c r="L3" s="89" t="str">
        <v/>
      </c>
      <c r="M3" s="89" t="str">
        <v/>
      </c>
      <c r="N3" s="89" t="str">
        <v/>
      </c>
      <c r="O3" s="89" t="str">
        <v/>
      </c>
      <c r="P3" s="89" t="str">
        <v/>
      </c>
      <c r="Q3" s="89" t="str">
        <v/>
      </c>
      <c r="R3" s="89" t="str">
        <v/>
      </c>
      <c r="S3" s="89" t="str">
        <v/>
      </c>
      <c r="T3" s="89" t="str">
        <v/>
      </c>
      <c r="U3" s="89" t="str">
        <v/>
      </c>
      <c r="V3" s="89" t="str">
        <v/>
      </c>
      <c r="W3" s="89" t="str">
        <v/>
      </c>
      <c r="X3" s="89" t="str">
        <v/>
      </c>
      <c r="Y3" s="89" t="str">
        <v/>
      </c>
      <c r="Z3" s="89" t="str">
        <v/>
      </c>
      <c r="AA3" s="89" t="str">
        <v/>
      </c>
      <c r="AB3" s="89" t="str">
        <v/>
      </c>
      <c r="AC3" s="89" t="str">
        <v/>
      </c>
      <c r="AD3" s="89" t="str">
        <v/>
      </c>
      <c r="AE3" s="89" t="str">
        <v/>
      </c>
      <c r="AF3" s="89" t="str">
        <v/>
      </c>
      <c r="AG3" s="89" t="str">
        <v/>
      </c>
      <c r="AH3" s="89" t="str">
        <v/>
      </c>
      <c r="AI3" s="89" t="str">
        <v/>
      </c>
      <c r="AJ3" s="89" t="str">
        <v/>
      </c>
      <c r="AK3" s="89" t="str">
        <v/>
      </c>
      <c r="AL3" s="89" t="str">
        <v/>
      </c>
    </row>
    <row r="4" s="84" customFormat="1" spans="1:38">
      <c r="A4" s="90" t="str" cm="1">
        <f t="array" ref="A4:AL4">_xlfn._xlws.SORT(_xlfn._xlws.FILTER(代码池!AE1:BP200,LEN(代码池!AE1:AE200)&gt;0),1,-1)</f>
        <v>单量</v>
      </c>
      <c r="B4" s="90" t="str">
        <v>工时</v>
      </c>
      <c r="C4" s="90" t="str">
        <v>效率</v>
      </c>
      <c r="D4" s="90" vm="1" t="e">
        <v>#VALUE!</v>
      </c>
      <c r="E4" s="90">
        <v>0.3125</v>
      </c>
      <c r="F4" s="90">
        <v>0.333333333333333</v>
      </c>
      <c r="G4" s="90">
        <v>0.354166666666667</v>
      </c>
      <c r="H4" s="90">
        <v>0.375</v>
      </c>
      <c r="I4" s="90">
        <v>0.395833333333333</v>
      </c>
      <c r="J4" s="90">
        <v>0.416666666666667</v>
      </c>
      <c r="K4" s="90">
        <v>0.4375</v>
      </c>
      <c r="L4" s="90">
        <v>0.458333333333333</v>
      </c>
      <c r="M4" s="90">
        <v>0.479166666666667</v>
      </c>
      <c r="N4" s="90">
        <v>0.5</v>
      </c>
      <c r="O4" s="90">
        <v>0.520833333333333</v>
      </c>
      <c r="P4" s="90">
        <v>0.541666666666667</v>
      </c>
      <c r="Q4" s="90">
        <v>0.5625</v>
      </c>
      <c r="R4" s="90">
        <v>0.583333333333333</v>
      </c>
      <c r="S4" s="90">
        <v>0.604166666666667</v>
      </c>
      <c r="T4" s="90">
        <v>0.625</v>
      </c>
      <c r="U4" s="90">
        <v>0.645833333333333</v>
      </c>
      <c r="V4" s="90">
        <v>0.666666666666667</v>
      </c>
      <c r="W4" s="90">
        <v>0.6875</v>
      </c>
      <c r="X4" s="90">
        <v>0.708333333333333</v>
      </c>
      <c r="Y4" s="90">
        <v>0.729166666666667</v>
      </c>
      <c r="Z4" s="90">
        <v>0.75</v>
      </c>
      <c r="AA4" s="90">
        <v>0.770833333333333</v>
      </c>
      <c r="AB4" s="90">
        <v>0.791666666666667</v>
      </c>
      <c r="AC4" s="90">
        <v>0.8125</v>
      </c>
      <c r="AD4" s="90">
        <v>0.833333333333333</v>
      </c>
      <c r="AE4" s="90">
        <v>0.854166666666667</v>
      </c>
      <c r="AF4" s="90">
        <v>0.875</v>
      </c>
      <c r="AG4" s="90">
        <v>0.895833333333333</v>
      </c>
      <c r="AH4" s="90">
        <v>0.916666666666667</v>
      </c>
      <c r="AI4" s="90">
        <v>0.9375</v>
      </c>
      <c r="AJ4" s="95" t="str">
        <v>早高峰</v>
      </c>
      <c r="AK4" s="96" t="str">
        <v>午高峰</v>
      </c>
      <c r="AL4" s="97" t="str">
        <v>晚高峰</v>
      </c>
    </row>
    <row r="5" spans="2:3">
      <c r="B5" s="91"/>
      <c r="C5" s="91"/>
    </row>
    <row r="6" spans="2:3">
      <c r="B6" s="91"/>
      <c r="C6" s="91"/>
    </row>
    <row r="7" spans="2:3">
      <c r="B7" s="91"/>
      <c r="C7" s="91"/>
    </row>
    <row r="8" spans="2:3">
      <c r="B8" s="91"/>
      <c r="C8" s="91"/>
    </row>
    <row r="9" spans="2:3">
      <c r="B9" s="91"/>
      <c r="C9" s="91"/>
    </row>
    <row r="10" spans="2:3">
      <c r="B10" s="91"/>
      <c r="C10" s="91"/>
    </row>
    <row r="11" spans="2:3">
      <c r="B11" s="91"/>
      <c r="C11" s="91"/>
    </row>
    <row r="12" spans="2:3">
      <c r="B12" s="91"/>
      <c r="C12" s="91"/>
    </row>
    <row r="13" spans="2:3">
      <c r="B13" s="91"/>
      <c r="C13" s="91"/>
    </row>
    <row r="14" spans="2:3">
      <c r="B14" s="91"/>
      <c r="C14" s="91"/>
    </row>
    <row r="15" spans="2:3">
      <c r="B15" s="91"/>
      <c r="C15" s="91"/>
    </row>
    <row r="16" spans="2:3">
      <c r="B16" s="91"/>
      <c r="C16" s="91"/>
    </row>
    <row r="17" spans="2:3">
      <c r="B17" s="91"/>
      <c r="C17" s="91"/>
    </row>
    <row r="18" spans="2:3">
      <c r="B18" s="91"/>
      <c r="C18" s="91"/>
    </row>
    <row r="19" spans="2:3">
      <c r="B19" s="91"/>
      <c r="C19" s="91"/>
    </row>
    <row r="20" spans="2:3">
      <c r="B20" s="91"/>
      <c r="C20" s="91"/>
    </row>
    <row r="21" spans="2:3">
      <c r="B21" s="91"/>
      <c r="C21" s="91"/>
    </row>
    <row r="22" spans="2:3">
      <c r="B22" s="91"/>
      <c r="C22" s="91"/>
    </row>
    <row r="23" spans="2:3">
      <c r="B23" s="91"/>
      <c r="C23" s="91"/>
    </row>
    <row r="24" spans="2:3">
      <c r="B24" s="91"/>
      <c r="C24" s="91"/>
    </row>
    <row r="25" spans="2:3">
      <c r="B25" s="91"/>
      <c r="C25" s="91"/>
    </row>
    <row r="26" spans="2:3">
      <c r="B26" s="91"/>
      <c r="C26" s="91"/>
    </row>
    <row r="27" spans="2:3">
      <c r="B27" s="91"/>
      <c r="C27" s="91"/>
    </row>
    <row r="28" spans="2:3">
      <c r="B28" s="91"/>
      <c r="C28" s="91"/>
    </row>
    <row r="29" spans="2:3">
      <c r="B29" s="91"/>
      <c r="C29" s="91"/>
    </row>
    <row r="30" spans="2:3">
      <c r="B30" s="91"/>
      <c r="C30" s="91"/>
    </row>
    <row r="31" spans="2:3">
      <c r="B31" s="91"/>
      <c r="C31" s="91"/>
    </row>
    <row r="32" spans="2:3">
      <c r="B32" s="91"/>
      <c r="C32" s="91"/>
    </row>
    <row r="33" spans="2:3">
      <c r="B33" s="91"/>
      <c r="C33" s="91"/>
    </row>
    <row r="34" spans="2:3">
      <c r="B34" s="91"/>
      <c r="C34" s="91"/>
    </row>
    <row r="35" spans="2:3">
      <c r="B35" s="91"/>
      <c r="C35" s="91"/>
    </row>
    <row r="36" spans="2:3">
      <c r="B36" s="91"/>
      <c r="C36" s="91"/>
    </row>
    <row r="37" spans="2:3">
      <c r="B37" s="91"/>
      <c r="C37" s="91"/>
    </row>
    <row r="38" spans="2:3">
      <c r="B38" s="91"/>
      <c r="C38" s="91"/>
    </row>
    <row r="39" spans="2:3">
      <c r="B39" s="91"/>
      <c r="C39" s="91"/>
    </row>
    <row r="40" spans="2:3">
      <c r="B40" s="91"/>
      <c r="C40" s="91"/>
    </row>
    <row r="41" spans="2:3">
      <c r="B41" s="91"/>
      <c r="C41" s="91"/>
    </row>
    <row r="42" spans="2:3">
      <c r="B42" s="91"/>
      <c r="C42" s="91"/>
    </row>
    <row r="43" spans="2:3">
      <c r="B43" s="91"/>
      <c r="C43" s="91"/>
    </row>
    <row r="44" spans="2:3">
      <c r="B44" s="91"/>
      <c r="C44" s="91"/>
    </row>
    <row r="45" spans="2:3">
      <c r="B45" s="91"/>
      <c r="C45" s="91"/>
    </row>
    <row r="46" spans="2:3">
      <c r="B46" s="91"/>
      <c r="C46" s="91"/>
    </row>
    <row r="47" spans="2:3">
      <c r="B47" s="91"/>
      <c r="C47" s="91"/>
    </row>
    <row r="48" spans="2:3">
      <c r="B48" s="91"/>
      <c r="C48" s="91"/>
    </row>
    <row r="49" spans="2:3">
      <c r="B49" s="91"/>
      <c r="C49" s="91"/>
    </row>
    <row r="50" spans="2:3">
      <c r="B50" s="91"/>
      <c r="C50" s="91"/>
    </row>
    <row r="51" spans="2:3">
      <c r="B51" s="91"/>
      <c r="C51" s="91"/>
    </row>
    <row r="52" spans="2:3">
      <c r="B52" s="91"/>
      <c r="C52" s="91"/>
    </row>
    <row r="53" spans="2:3">
      <c r="B53" s="91"/>
      <c r="C53" s="91"/>
    </row>
    <row r="54" spans="2:3">
      <c r="B54" s="91"/>
      <c r="C54" s="91"/>
    </row>
    <row r="55" spans="2:3">
      <c r="B55" s="91"/>
      <c r="C55" s="91"/>
    </row>
    <row r="56" spans="2:3">
      <c r="B56" s="91"/>
      <c r="C56" s="91"/>
    </row>
    <row r="57" spans="2:3">
      <c r="B57" s="91"/>
      <c r="C57" s="91"/>
    </row>
    <row r="58" spans="2:3">
      <c r="B58" s="91"/>
      <c r="C58" s="91"/>
    </row>
    <row r="59" spans="2:3">
      <c r="B59" s="91"/>
      <c r="C59" s="91"/>
    </row>
    <row r="60" spans="2:3">
      <c r="B60" s="91"/>
      <c r="C60" s="91"/>
    </row>
    <row r="61" spans="2:3">
      <c r="B61" s="91"/>
      <c r="C61" s="91"/>
    </row>
    <row r="62" spans="2:3">
      <c r="B62" s="91"/>
      <c r="C62" s="91"/>
    </row>
    <row r="63" spans="2:3">
      <c r="B63" s="91"/>
      <c r="C63" s="91"/>
    </row>
    <row r="64" spans="2:3">
      <c r="B64" s="91"/>
      <c r="C64" s="91"/>
    </row>
    <row r="65" spans="2:3">
      <c r="B65" s="91"/>
      <c r="C65" s="91"/>
    </row>
    <row r="66" spans="2:3">
      <c r="B66" s="91"/>
      <c r="C66" s="91"/>
    </row>
    <row r="67" spans="2:3">
      <c r="B67" s="91"/>
      <c r="C67" s="91"/>
    </row>
    <row r="68" spans="2:3">
      <c r="B68" s="91"/>
      <c r="C68" s="91"/>
    </row>
    <row r="69" spans="2:3">
      <c r="B69" s="91"/>
      <c r="C69" s="91"/>
    </row>
    <row r="70" spans="2:3">
      <c r="B70" s="91"/>
      <c r="C70" s="91"/>
    </row>
    <row r="71" spans="2:3">
      <c r="B71" s="91"/>
      <c r="C71" s="91"/>
    </row>
    <row r="72" spans="2:3">
      <c r="B72" s="91"/>
      <c r="C72" s="91"/>
    </row>
    <row r="73" spans="2:3">
      <c r="B73" s="91"/>
      <c r="C73" s="91"/>
    </row>
    <row r="74" spans="2:3">
      <c r="B74" s="91"/>
      <c r="C74" s="91"/>
    </row>
    <row r="75" spans="2:3">
      <c r="B75" s="91"/>
      <c r="C75" s="91"/>
    </row>
    <row r="76" spans="2:3">
      <c r="B76" s="91"/>
      <c r="C76" s="91"/>
    </row>
    <row r="77" spans="2:3">
      <c r="B77" s="91"/>
      <c r="C77" s="91"/>
    </row>
    <row r="78" spans="2:3">
      <c r="B78" s="91"/>
      <c r="C78" s="91"/>
    </row>
    <row r="79" spans="2:3">
      <c r="B79" s="91"/>
      <c r="C79" s="91"/>
    </row>
    <row r="80" spans="2:3">
      <c r="B80" s="91"/>
      <c r="C80" s="91"/>
    </row>
    <row r="81" spans="2:3">
      <c r="B81" s="91"/>
      <c r="C81" s="91"/>
    </row>
    <row r="82" spans="2:3">
      <c r="B82" s="91"/>
      <c r="C82" s="91"/>
    </row>
    <row r="83" spans="2:3">
      <c r="B83" s="91"/>
      <c r="C83" s="91"/>
    </row>
    <row r="84" spans="2:3">
      <c r="B84" s="91"/>
      <c r="C84" s="91"/>
    </row>
    <row r="85" spans="2:3">
      <c r="B85" s="91"/>
      <c r="C85" s="91"/>
    </row>
    <row r="86" spans="2:3">
      <c r="B86" s="91"/>
      <c r="C86" s="91"/>
    </row>
    <row r="87" spans="2:3">
      <c r="B87" s="91"/>
      <c r="C87" s="91"/>
    </row>
    <row r="88" spans="2:3">
      <c r="B88" s="91"/>
      <c r="C88" s="91"/>
    </row>
    <row r="89" spans="2:3">
      <c r="B89" s="91"/>
      <c r="C89" s="91"/>
    </row>
    <row r="90" spans="2:3">
      <c r="B90" s="91"/>
      <c r="C90" s="91"/>
    </row>
    <row r="91" spans="2:3">
      <c r="B91" s="91"/>
      <c r="C91" s="91"/>
    </row>
    <row r="92" spans="2:3">
      <c r="B92" s="91"/>
      <c r="C92" s="91"/>
    </row>
    <row r="93" spans="2:3">
      <c r="B93" s="91"/>
      <c r="C93" s="91"/>
    </row>
    <row r="94" spans="2:3">
      <c r="B94" s="91"/>
      <c r="C94" s="91"/>
    </row>
    <row r="95" spans="2:3">
      <c r="B95" s="91"/>
      <c r="C95" s="91"/>
    </row>
    <row r="96" spans="2:3">
      <c r="B96" s="91"/>
      <c r="C96" s="91"/>
    </row>
    <row r="97" spans="2:3">
      <c r="B97" s="91"/>
      <c r="C97" s="91"/>
    </row>
    <row r="98" spans="2:3">
      <c r="B98" s="91"/>
      <c r="C98" s="91"/>
    </row>
    <row r="99" spans="2:3">
      <c r="B99" s="91"/>
      <c r="C99" s="91"/>
    </row>
    <row r="100" spans="2:3">
      <c r="B100" s="91"/>
      <c r="C100" s="91"/>
    </row>
  </sheetData>
  <sheetProtection sheet="1" objects="1"/>
  <mergeCells count="1">
    <mergeCell ref="A1:C3"/>
  </mergeCells>
  <conditionalFormatting sqref="E1:AI1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2:AI2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3:AI3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$1:A$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{18f14c05-a4b1-4dab-91da-8b940a7cc71b}</x14:id>
        </ext>
      </extLst>
    </cfRule>
  </conditionalFormatting>
  <conditionalFormatting sqref="B$1:B$1048576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C$1:C$1048576">
    <cfRule type="iconSet" priority="26">
      <iconSet iconSet="3Symbols2">
        <cfvo type="percent" val="0"/>
        <cfvo type="num" val="1.5"/>
        <cfvo type="num" val="2.5"/>
      </iconSet>
    </cfRule>
  </conditionalFormatting>
  <conditionalFormatting sqref="$A1:$XFD1048576">
    <cfRule type="notContainsBlanks" dxfId="4" priority="18">
      <formula>LEN(TRIM(A1))&gt;0</formula>
    </cfRule>
  </conditionalFormatting>
  <conditionalFormatting sqref="AJ4:AL900">
    <cfRule type="notContainsBlanks" dxfId="6" priority="29">
      <formula>LEN(TRIM(AJ4))&gt;0</formula>
    </cfRule>
  </conditionalFormatting>
  <conditionalFormatting sqref="E5:AJ250">
    <cfRule type="expression" dxfId="7" priority="17">
      <formula>AND(SUMPRODUCT((代码池!$BZ:$BZ=$D5)*(E$4&gt;=代码池!$CA:$CA)*(E$4&lt;=代码池!$CB:$CB))&gt;0,E5=0)</formula>
    </cfRule>
    <cfRule type="expression" dxfId="8" priority="19">
      <formula>SUMPRODUCT((代码池!$BZ:$BZ=$D5)*(E$4&gt;=代码池!$CA:$CA)*(E$4&lt;=代码池!$CB:$CB))&gt;0</formula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f14c05-a4b1-4dab-91da-8b940a7cc7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A$1:A$1048576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H67"/>
  <sheetViews>
    <sheetView showZeros="0" workbookViewId="0">
      <selection activeCell="A1" sqref="A1"/>
    </sheetView>
  </sheetViews>
  <sheetFormatPr defaultColWidth="8.79464285714286" defaultRowHeight="28.8" outlineLevelCol="7"/>
  <cols>
    <col min="1" max="1" width="9" style="76" customWidth="1"/>
    <col min="2" max="2" width="9" style="77" customWidth="1"/>
    <col min="3" max="3" width="16.8571428571429" style="78" customWidth="1"/>
    <col min="4" max="4" width="8.79464285714286" style="77"/>
    <col min="5" max="5" width="28.7857142857143" style="77" customWidth="1"/>
    <col min="6" max="6" width="14.3571428571429" style="77" customWidth="1"/>
    <col min="7" max="7" width="24.8571428571429" style="77" customWidth="1"/>
    <col min="8" max="8" width="11.4285714285714" style="77" customWidth="1"/>
    <col min="9" max="16384" width="8.79464285714286" style="77"/>
  </cols>
  <sheetData>
    <row r="1" spans="1:8">
      <c r="A1" s="77" t="s">
        <v>27</v>
      </c>
      <c r="B1" s="77" t="s">
        <v>19</v>
      </c>
      <c r="C1" s="78" t="s">
        <v>28</v>
      </c>
      <c r="E1" s="79">
        <f>生鲜批次导出!G2</f>
        <v>0</v>
      </c>
      <c r="F1" s="80">
        <f ca="1">NOW()</f>
        <v>45928.8058101852</v>
      </c>
      <c r="G1" s="79" t="s">
        <v>29</v>
      </c>
      <c r="H1" s="79"/>
    </row>
    <row r="2" spans="2:8">
      <c r="B2" s="77" t="str">
        <f>IFERROR(VLOOKUP(A2,代码池!G2:K150,3,FALSE),"")</f>
        <v/>
      </c>
      <c r="C2" s="78" t="str">
        <f>IFERROR(VLOOKUP(A2,代码池!G:K,4,FALSE),"")</f>
        <v/>
      </c>
      <c r="E2" s="79" t="s">
        <v>30</v>
      </c>
      <c r="F2" s="79" t="e" cm="1">
        <f t="array" ref="F2">INDEX(数字运营台!$A:$A,MATCH(TRUE,ISNUMBER(SEARCH(E2,数字运营台!$A:$A)),0)+1)</f>
        <v>#N/A</v>
      </c>
      <c r="G2" s="79" t="s">
        <v>31</v>
      </c>
      <c r="H2" s="79" t="e" cm="1">
        <f t="array" ref="H2">INDEX(数字运营台!$A:$A,MATCH(TRUE,ISNUMBER(SEARCH(G2,数字运营台!$A:$A)),0)+1)</f>
        <v>#N/A</v>
      </c>
    </row>
    <row r="3" spans="2:8">
      <c r="B3" s="77" t="str">
        <f>IFERROR(VLOOKUP(A3,代码池!G3:K151,3,FALSE),"")</f>
        <v/>
      </c>
      <c r="C3" s="78" t="str">
        <f>IFERROR(VLOOKUP(A3,代码池!G:K,4,FALSE),"")</f>
        <v/>
      </c>
      <c r="E3" s="79" t="s">
        <v>32</v>
      </c>
      <c r="F3" s="81" t="e">
        <f>概览!B3</f>
        <v>#N/A</v>
      </c>
      <c r="G3" s="79" t="s">
        <v>33</v>
      </c>
      <c r="H3" s="81" t="e">
        <f>概览!C3</f>
        <v>#N/A</v>
      </c>
    </row>
    <row r="4" spans="2:8">
      <c r="B4" s="77" t="str">
        <f>IFERROR(VLOOKUP(A4,代码池!G4:K152,3,FALSE),"")</f>
        <v/>
      </c>
      <c r="C4" s="78" t="str">
        <f>IFERROR(VLOOKUP(A4,代码池!G:K,4,FALSE),"")</f>
        <v/>
      </c>
      <c r="E4" s="79" t="s">
        <v>34</v>
      </c>
      <c r="F4" s="81" t="e">
        <f>概览!F3</f>
        <v>#N/A</v>
      </c>
      <c r="G4" s="79" t="s">
        <v>5</v>
      </c>
      <c r="H4" s="81" t="e">
        <f>概览!G3</f>
        <v>#N/A</v>
      </c>
    </row>
    <row r="5" spans="2:8">
      <c r="B5" s="77" t="str">
        <f>IFERROR(VLOOKUP(A5,代码池!G5:K153,3,FALSE),"")</f>
        <v/>
      </c>
      <c r="C5" s="78" t="str">
        <f>IFERROR(VLOOKUP(A5,代码池!G:K,4,FALSE),"")</f>
        <v/>
      </c>
      <c r="E5" s="79" t="s">
        <v>35</v>
      </c>
      <c r="F5" s="79">
        <f>概览!E9</f>
        <v>0</v>
      </c>
      <c r="G5" s="79" t="s">
        <v>36</v>
      </c>
      <c r="H5" s="81"/>
    </row>
    <row r="6" spans="2:8">
      <c r="B6" s="77" t="str">
        <f>IFERROR(VLOOKUP(A6,代码池!G6:K154,3,FALSE),"")</f>
        <v/>
      </c>
      <c r="C6" s="78" t="str">
        <f>IFERROR(VLOOKUP(A6,代码池!G:K,4,FALSE),"")</f>
        <v/>
      </c>
      <c r="E6" s="79" t="s">
        <v>37</v>
      </c>
      <c r="F6" s="79">
        <f>半小时!AJ2</f>
        <v>0</v>
      </c>
      <c r="G6" s="79" t="s">
        <v>38</v>
      </c>
      <c r="H6" s="79"/>
    </row>
    <row r="7" spans="2:8">
      <c r="B7" s="77" t="str">
        <f>IFERROR(VLOOKUP(A7,代码池!G7:K155,3,FALSE),"")</f>
        <v/>
      </c>
      <c r="C7" s="78" t="str">
        <f>IFERROR(VLOOKUP(A7,代码池!G:K,4,FALSE),"")</f>
        <v/>
      </c>
      <c r="E7" s="79" t="s">
        <v>39</v>
      </c>
      <c r="F7" s="79">
        <f>半小时!AL2</f>
        <v>0</v>
      </c>
      <c r="G7" s="79" t="s">
        <v>38</v>
      </c>
      <c r="H7" s="79"/>
    </row>
    <row r="8" spans="2:8">
      <c r="B8" s="77" t="str">
        <f>IFERROR(VLOOKUP(A8,代码池!G8:K156,3,FALSE),"")</f>
        <v/>
      </c>
      <c r="C8" s="78" t="str">
        <f>IFERROR(VLOOKUP(A8,代码池!G:K,4,FALSE),"")</f>
        <v/>
      </c>
      <c r="E8" s="82" t="s">
        <v>40</v>
      </c>
      <c r="F8" s="82"/>
      <c r="G8" s="82"/>
      <c r="H8" s="82"/>
    </row>
    <row r="9" spans="2:8">
      <c r="B9" s="77" t="str">
        <f>IFERROR(VLOOKUP(A9,代码池!G9:K157,3,FALSE),"")</f>
        <v/>
      </c>
      <c r="C9" s="78" t="str">
        <f>IFERROR(VLOOKUP(A9,代码池!G:K,4,FALSE),"")</f>
        <v/>
      </c>
      <c r="E9" s="83"/>
      <c r="F9" s="83"/>
      <c r="G9" s="83"/>
      <c r="H9" s="83"/>
    </row>
    <row r="10" spans="2:8">
      <c r="B10" s="77" t="str">
        <f>IFERROR(VLOOKUP(A10,代码池!G10:K158,3,FALSE),"")</f>
        <v/>
      </c>
      <c r="C10" s="78" t="str">
        <f>IFERROR(VLOOKUP(A10,代码池!G:K,4,FALSE),"")</f>
        <v/>
      </c>
      <c r="E10" s="83"/>
      <c r="F10" s="83"/>
      <c r="G10" s="83"/>
      <c r="H10" s="83"/>
    </row>
    <row r="11" spans="2:8">
      <c r="B11" s="77" t="str">
        <f>IFERROR(VLOOKUP(A11,代码池!G11:K159,3,FALSE),"")</f>
        <v/>
      </c>
      <c r="C11" s="78" t="str">
        <f>IFERROR(VLOOKUP(A11,代码池!G:K,4,FALSE),"")</f>
        <v/>
      </c>
      <c r="E11" s="83"/>
      <c r="F11" s="83"/>
      <c r="G11" s="83"/>
      <c r="H11" s="83"/>
    </row>
    <row r="12" spans="2:8">
      <c r="B12" s="77" t="str">
        <f>IFERROR(VLOOKUP(A12,代码池!G12:K160,3,FALSE),"")</f>
        <v/>
      </c>
      <c r="C12" s="78" t="str">
        <f>IFERROR(VLOOKUP(A12,代码池!G:K,4,FALSE),"")</f>
        <v/>
      </c>
      <c r="E12" s="83"/>
      <c r="F12" s="83"/>
      <c r="G12" s="83"/>
      <c r="H12" s="83"/>
    </row>
    <row r="13" spans="2:8">
      <c r="B13" s="77" t="str">
        <f>IFERROR(VLOOKUP(A13,代码池!G13:K161,3,FALSE),"")</f>
        <v/>
      </c>
      <c r="C13" s="78" t="str">
        <f>IFERROR(VLOOKUP(A13,代码池!G:K,4,FALSE),"")</f>
        <v/>
      </c>
      <c r="E13" s="83"/>
      <c r="F13" s="83"/>
      <c r="G13" s="83"/>
      <c r="H13" s="83"/>
    </row>
    <row r="14" spans="2:8">
      <c r="B14" s="77" t="str">
        <f>IFERROR(VLOOKUP(A14,代码池!G14:K162,3,FALSE),"")</f>
        <v/>
      </c>
      <c r="C14" s="78" t="str">
        <f>IFERROR(VLOOKUP(A14,代码池!G:K,4,FALSE),"")</f>
        <v/>
      </c>
      <c r="E14" s="83"/>
      <c r="F14" s="83"/>
      <c r="G14" s="83"/>
      <c r="H14" s="83"/>
    </row>
    <row r="15" spans="2:8">
      <c r="B15" s="77" t="str">
        <f>IFERROR(VLOOKUP(A15,代码池!G15:K163,3,FALSE),"")</f>
        <v/>
      </c>
      <c r="C15" s="78" t="str">
        <f>IFERROR(VLOOKUP(A15,代码池!G:K,4,FALSE),"")</f>
        <v/>
      </c>
      <c r="E15" s="83"/>
      <c r="F15" s="83"/>
      <c r="G15" s="83"/>
      <c r="H15" s="83"/>
    </row>
    <row r="16" spans="2:8">
      <c r="B16" s="77" t="str">
        <f>IFERROR(VLOOKUP(A16,代码池!G16:K164,3,FALSE),"")</f>
        <v/>
      </c>
      <c r="C16" s="78" t="str">
        <f>IFERROR(VLOOKUP(A16,代码池!G:K,4,FALSE),"")</f>
        <v/>
      </c>
      <c r="E16" s="83"/>
      <c r="F16" s="83"/>
      <c r="G16" s="83"/>
      <c r="H16" s="83"/>
    </row>
    <row r="17" spans="2:8">
      <c r="B17" s="77" t="str">
        <f>IFERROR(VLOOKUP(A17,代码池!G17:K165,3,FALSE),"")</f>
        <v/>
      </c>
      <c r="C17" s="78" t="str">
        <f>IFERROR(VLOOKUP(A17,代码池!G:K,4,FALSE),"")</f>
        <v/>
      </c>
      <c r="E17" s="83"/>
      <c r="F17" s="83"/>
      <c r="G17" s="83"/>
      <c r="H17" s="83"/>
    </row>
    <row r="18" spans="2:8">
      <c r="B18" s="77" t="str">
        <f>IFERROR(VLOOKUP(A18,代码池!G18:K166,3,FALSE),"")</f>
        <v/>
      </c>
      <c r="C18" s="78" t="str">
        <f>IFERROR(VLOOKUP(A18,代码池!G:K,4,FALSE),"")</f>
        <v/>
      </c>
      <c r="E18" s="83"/>
      <c r="F18" s="83"/>
      <c r="G18" s="83"/>
      <c r="H18" s="83"/>
    </row>
    <row r="19" spans="2:8">
      <c r="B19" s="77" t="str">
        <f>IFERROR(VLOOKUP(A19,代码池!G19:K167,3,FALSE),"")</f>
        <v/>
      </c>
      <c r="C19" s="78" t="str">
        <f>IFERROR(VLOOKUP(A19,代码池!G:K,4,FALSE),"")</f>
        <v/>
      </c>
      <c r="E19" s="83"/>
      <c r="F19" s="83"/>
      <c r="G19" s="83"/>
      <c r="H19" s="83"/>
    </row>
    <row r="20" spans="2:8">
      <c r="B20" s="77" t="str">
        <f>IFERROR(VLOOKUP(A20,代码池!G20:K168,3,FALSE),"")</f>
        <v/>
      </c>
      <c r="C20" s="78" t="str">
        <f>IFERROR(VLOOKUP(A20,代码池!G:K,4,FALSE),"")</f>
        <v/>
      </c>
      <c r="E20" s="83"/>
      <c r="F20" s="83"/>
      <c r="G20" s="83"/>
      <c r="H20" s="83"/>
    </row>
    <row r="21" spans="3:8">
      <c r="C21" s="78" t="str">
        <f>IFERROR(VLOOKUP(A21,代码池!G:K,4,FALSE),"")</f>
        <v/>
      </c>
      <c r="E21" s="83"/>
      <c r="F21" s="83"/>
      <c r="G21" s="83"/>
      <c r="H21" s="83"/>
    </row>
    <row r="22" spans="3:8">
      <c r="C22" s="78" t="str">
        <f>IFERROR(VLOOKUP(A22,代码池!G:K,4,FALSE),"")</f>
        <v/>
      </c>
      <c r="E22" s="83"/>
      <c r="F22" s="83"/>
      <c r="G22" s="83"/>
      <c r="H22" s="83"/>
    </row>
    <row r="23" spans="3:8">
      <c r="C23" s="78" t="str">
        <f>IFERROR(VLOOKUP(A23,代码池!G:K,4,FALSE),"")</f>
        <v/>
      </c>
      <c r="E23" s="83"/>
      <c r="F23" s="83"/>
      <c r="G23" s="83"/>
      <c r="H23" s="83"/>
    </row>
    <row r="24" spans="3:3">
      <c r="C24" s="78" t="str">
        <f>IFERROR(VLOOKUP(A24,代码池!G:K,4,FALSE),"")</f>
        <v/>
      </c>
    </row>
    <row r="25" spans="3:3">
      <c r="C25" s="78" t="str">
        <f>IFERROR(VLOOKUP(A25,代码池!G:K,4,FALSE),"")</f>
        <v/>
      </c>
    </row>
    <row r="26" spans="3:3">
      <c r="C26" s="78" t="str">
        <f>IFERROR(VLOOKUP(A26,代码池!G:K,4,FALSE),"")</f>
        <v/>
      </c>
    </row>
    <row r="27" spans="3:3">
      <c r="C27" s="78" t="str">
        <f>IFERROR(VLOOKUP(A27,代码池!G:K,4,FALSE),"")</f>
        <v/>
      </c>
    </row>
    <row r="28" spans="3:3">
      <c r="C28" s="78" t="str">
        <f>IFERROR(VLOOKUP(A28,代码池!G:K,4,FALSE),"")</f>
        <v/>
      </c>
    </row>
    <row r="29" spans="3:3">
      <c r="C29" s="78" t="str">
        <f>IFERROR(VLOOKUP(A29,代码池!G:K,4,FALSE),"")</f>
        <v/>
      </c>
    </row>
    <row r="30" spans="3:3">
      <c r="C30" s="78" t="str">
        <f>IFERROR(VLOOKUP(A30,代码池!G:K,4,FALSE),"")</f>
        <v/>
      </c>
    </row>
    <row r="31" spans="3:3">
      <c r="C31" s="78" t="str">
        <f>IFERROR(VLOOKUP(A31,代码池!G:K,4,FALSE),"")</f>
        <v/>
      </c>
    </row>
    <row r="32" spans="3:3">
      <c r="C32" s="78" t="str">
        <f>IFERROR(VLOOKUP(A32,代码池!G:K,4,FALSE),"")</f>
        <v/>
      </c>
    </row>
    <row r="33" spans="3:3">
      <c r="C33" s="78" t="str">
        <f>IFERROR(VLOOKUP(A33,代码池!G:K,4,FALSE),"")</f>
        <v/>
      </c>
    </row>
    <row r="34" spans="3:3">
      <c r="C34" s="78" t="str">
        <f>IFERROR(VLOOKUP(A34,代码池!G:K,4,FALSE),"")</f>
        <v/>
      </c>
    </row>
    <row r="35" spans="3:3">
      <c r="C35" s="78" t="str">
        <f>IFERROR(VLOOKUP(A35,代码池!G:K,4,FALSE),"")</f>
        <v/>
      </c>
    </row>
    <row r="36" spans="3:3">
      <c r="C36" s="78" t="str">
        <f>IFERROR(VLOOKUP(A36,代码池!G:K,4,FALSE),"")</f>
        <v/>
      </c>
    </row>
    <row r="37" spans="3:3">
      <c r="C37" s="78" t="str">
        <f>IFERROR(VLOOKUP(A37,代码池!G:K,4,FALSE),"")</f>
        <v/>
      </c>
    </row>
    <row r="38" spans="3:3">
      <c r="C38" s="78" t="str">
        <f>IFERROR(VLOOKUP(A38,代码池!G:K,4,FALSE),"")</f>
        <v/>
      </c>
    </row>
    <row r="39" spans="3:3">
      <c r="C39" s="78" t="str">
        <f>IFERROR(VLOOKUP(A39,代码池!G:K,4,FALSE),"")</f>
        <v/>
      </c>
    </row>
    <row r="40" spans="3:3">
      <c r="C40" s="78" t="str">
        <f>IFERROR(VLOOKUP(A40,代码池!G:K,4,FALSE),"")</f>
        <v/>
      </c>
    </row>
    <row r="41" spans="3:3">
      <c r="C41" s="78" t="str">
        <f>IFERROR(VLOOKUP(A41,代码池!G:K,4,FALSE),"")</f>
        <v/>
      </c>
    </row>
    <row r="42" spans="3:3">
      <c r="C42" s="78" t="str">
        <f>IFERROR(VLOOKUP(A42,代码池!G:K,4,FALSE),"")</f>
        <v/>
      </c>
    </row>
    <row r="43" spans="3:3">
      <c r="C43" s="78" t="str">
        <f>IFERROR(VLOOKUP(A43,代码池!G:K,4,FALSE),"")</f>
        <v/>
      </c>
    </row>
    <row r="44" spans="3:3">
      <c r="C44" s="78" t="str">
        <f>IFERROR(VLOOKUP(A44,代码池!G:K,4,FALSE),"")</f>
        <v/>
      </c>
    </row>
    <row r="45" spans="3:3">
      <c r="C45" s="78" t="str">
        <f>IFERROR(VLOOKUP(A45,代码池!G:K,4,FALSE),"")</f>
        <v/>
      </c>
    </row>
    <row r="46" spans="3:3">
      <c r="C46" s="78" t="str">
        <f>IFERROR(VLOOKUP(A46,代码池!G:K,4,FALSE),"")</f>
        <v/>
      </c>
    </row>
    <row r="47" spans="3:3">
      <c r="C47" s="78" t="str">
        <f>IFERROR(VLOOKUP(A47,代码池!G:K,4,FALSE),"")</f>
        <v/>
      </c>
    </row>
    <row r="48" spans="3:3">
      <c r="C48" s="78" t="str">
        <f>IFERROR(VLOOKUP(A48,代码池!G:K,4,FALSE),"")</f>
        <v/>
      </c>
    </row>
    <row r="49" spans="3:3">
      <c r="C49" s="78" t="str">
        <f>IFERROR(VLOOKUP(A49,代码池!G:K,4,FALSE),"")</f>
        <v/>
      </c>
    </row>
    <row r="50" spans="3:3">
      <c r="C50" s="78" t="str">
        <f>IFERROR(VLOOKUP(A50,代码池!G:K,4,FALSE),"")</f>
        <v/>
      </c>
    </row>
    <row r="51" spans="3:3">
      <c r="C51" s="78" t="str">
        <f>IFERROR(VLOOKUP(A51,代码池!G:K,4,FALSE),"")</f>
        <v/>
      </c>
    </row>
    <row r="52" spans="3:3">
      <c r="C52" s="78" t="str">
        <f>IFERROR(VLOOKUP(A52,代码池!G:K,4,FALSE),"")</f>
        <v/>
      </c>
    </row>
    <row r="53" spans="3:3">
      <c r="C53" s="78" t="str">
        <f>IFERROR(VLOOKUP(A53,代码池!G:K,4,FALSE),"")</f>
        <v/>
      </c>
    </row>
    <row r="54" spans="3:3">
      <c r="C54" s="78" t="str">
        <f>IFERROR(VLOOKUP(A54,代码池!G:K,4,FALSE),"")</f>
        <v/>
      </c>
    </row>
    <row r="55" spans="3:3">
      <c r="C55" s="78" t="str">
        <f>IFERROR(VLOOKUP(A55,代码池!G:K,4,FALSE),"")</f>
        <v/>
      </c>
    </row>
    <row r="56" spans="3:3">
      <c r="C56" s="78" t="str">
        <f>IFERROR(VLOOKUP(A56,代码池!G:K,4,FALSE),"")</f>
        <v/>
      </c>
    </row>
    <row r="57" spans="3:3">
      <c r="C57" s="78" t="str">
        <f>IFERROR(VLOOKUP(A57,代码池!G:K,4,FALSE),"")</f>
        <v/>
      </c>
    </row>
    <row r="58" spans="3:3">
      <c r="C58" s="78" t="str">
        <f>IFERROR(VLOOKUP(A58,代码池!G:K,4,FALSE),"")</f>
        <v/>
      </c>
    </row>
    <row r="59" spans="3:3">
      <c r="C59" s="78" t="str">
        <f>IFERROR(VLOOKUP(A59,代码池!G:K,4,FALSE),"")</f>
        <v/>
      </c>
    </row>
    <row r="60" spans="3:3">
      <c r="C60" s="78" t="str">
        <f>IFERROR(VLOOKUP(A60,代码池!G:K,4,FALSE),"")</f>
        <v/>
      </c>
    </row>
    <row r="61" spans="3:3">
      <c r="C61" s="78" t="str">
        <f>IFERROR(VLOOKUP(A61,代码池!G:K,4,FALSE),"")</f>
        <v/>
      </c>
    </row>
    <row r="62" spans="3:3">
      <c r="C62" s="78" t="str">
        <f>IFERROR(VLOOKUP(A62,代码池!G:K,4,FALSE),"")</f>
        <v/>
      </c>
    </row>
    <row r="63" spans="3:3">
      <c r="C63" s="78" t="str">
        <f>IFERROR(VLOOKUP(A63,代码池!G:K,4,FALSE),"")</f>
        <v/>
      </c>
    </row>
    <row r="64" spans="3:3">
      <c r="C64" s="78" t="str">
        <f>IFERROR(VLOOKUP(A64,代码池!G:K,4,FALSE),"")</f>
        <v/>
      </c>
    </row>
    <row r="65" spans="3:3">
      <c r="C65" s="78" t="str">
        <f>IFERROR(VLOOKUP(A65,代码池!G:K,4,FALSE),"")</f>
        <v/>
      </c>
    </row>
    <row r="66" spans="3:3">
      <c r="C66" s="78" t="str">
        <f>IFERROR(VLOOKUP(A66,代码池!G:K,4,FALSE),"")</f>
        <v/>
      </c>
    </row>
    <row r="67" spans="3:3">
      <c r="C67" s="78" t="str">
        <f>IFERROR(VLOOKUP(A67,代码池!G:K,4,FALSE),"")</f>
        <v/>
      </c>
    </row>
  </sheetData>
  <sheetProtection sheet="1" objects="1"/>
  <sortState ref="A1:C10">
    <sortCondition ref="B4:B10" descending="1"/>
  </sortState>
  <mergeCells count="16"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</mergeCells>
  <conditionalFormatting sqref="A1:D23 I1:XFD23 $A24:$XFD1048576">
    <cfRule type="notContainsBlanks" dxfId="4" priority="1">
      <formula>LEN(TRIM(A1))&gt;0</formula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00B0F0"/>
  </sheetPr>
  <dimension ref="A2:AH3339"/>
  <sheetViews>
    <sheetView tabSelected="1" workbookViewId="0">
      <selection activeCell="A1" sqref="A1"/>
    </sheetView>
  </sheetViews>
  <sheetFormatPr defaultColWidth="8.35714285714286" defaultRowHeight="23.2"/>
  <cols>
    <col min="1" max="2" width="28" style="74" customWidth="1"/>
    <col min="3" max="3" width="29.5714285714286" style="74" customWidth="1"/>
    <col min="4" max="4" width="42.3571428571429" style="74" customWidth="1"/>
    <col min="5" max="5" width="16.7142857142857" style="74" customWidth="1"/>
    <col min="6" max="6" width="13.5" style="74" customWidth="1"/>
    <col min="7" max="7" width="42.2142857142857" style="74" customWidth="1"/>
    <col min="8" max="8" width="13.5" style="74" customWidth="1"/>
    <col min="9" max="9" width="73.1428571428571" style="74" customWidth="1"/>
    <col min="10" max="10" width="33.9285714285714" style="74" customWidth="1"/>
    <col min="11" max="11" width="33.8571428571429" style="74" customWidth="1"/>
    <col min="12" max="12" width="16.7142857142857" style="74" customWidth="1"/>
    <col min="13" max="13" width="53.9285714285714" style="74" customWidth="1"/>
    <col min="14" max="14" width="26.2857142857143" style="74" customWidth="1"/>
    <col min="15" max="15" width="29.4285714285714" style="74" customWidth="1"/>
    <col min="16" max="16" width="26.2857142857143" style="74" customWidth="1"/>
    <col min="17" max="17" width="23.0714285714286" style="74" customWidth="1"/>
    <col min="18" max="18" width="26.2857142857143" style="74" customWidth="1"/>
    <col min="19" max="20" width="25.2142857142857" style="74" customWidth="1"/>
    <col min="21" max="21" width="23.0714285714286" style="74" customWidth="1"/>
    <col min="22" max="22" width="26.2857142857143" style="74" customWidth="1"/>
    <col min="23" max="23" width="29.4285714285714" style="74" customWidth="1"/>
    <col min="24" max="26" width="26.2857142857143" style="74" customWidth="1"/>
    <col min="27" max="28" width="13.5" style="74" customWidth="1"/>
    <col min="29" max="29" width="29.4285714285714" style="74" customWidth="1"/>
    <col min="30" max="30" width="16.7142857142857" style="74" customWidth="1"/>
    <col min="31" max="31" width="17.4285714285714" style="74" customWidth="1"/>
    <col min="32" max="32" width="47.5714285714286" style="74" customWidth="1"/>
    <col min="33" max="33" width="13.5" style="74" customWidth="1"/>
    <col min="34" max="34" width="23.0714285714286" style="74" customWidth="1"/>
    <col min="35" max="16384" width="8.35714285714286" style="73"/>
  </cols>
  <sheetData>
    <row r="2" s="73" customFormat="1" spans="1:34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5"/>
      <c r="P2" s="74"/>
      <c r="Q2" s="75"/>
      <c r="R2" s="74"/>
      <c r="S2" s="74"/>
      <c r="T2" s="74"/>
      <c r="U2" s="75"/>
      <c r="V2" s="74"/>
      <c r="W2" s="75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</row>
    <row r="3" s="73" customFormat="1" spans="1:34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5"/>
      <c r="P3" s="74"/>
      <c r="Q3" s="75"/>
      <c r="R3" s="74"/>
      <c r="S3" s="74"/>
      <c r="T3" s="74"/>
      <c r="U3" s="75"/>
      <c r="V3" s="74"/>
      <c r="W3" s="75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</row>
    <row r="4" s="73" customFormat="1" spans="1:34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5"/>
      <c r="P4" s="74"/>
      <c r="Q4" s="75"/>
      <c r="R4" s="74"/>
      <c r="S4" s="74"/>
      <c r="T4" s="74"/>
      <c r="U4" s="75"/>
      <c r="V4" s="74"/>
      <c r="W4" s="75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</row>
    <row r="5" s="73" customFormat="1" spans="1:34">
      <c r="A5" s="74"/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5"/>
      <c r="P5" s="74"/>
      <c r="Q5" s="75"/>
      <c r="R5" s="74"/>
      <c r="S5" s="74"/>
      <c r="T5" s="74"/>
      <c r="U5" s="75"/>
      <c r="V5" s="74"/>
      <c r="W5" s="75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</row>
    <row r="6" s="73" customFormat="1" spans="1:34">
      <c r="A6" s="74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5"/>
      <c r="P6" s="74"/>
      <c r="Q6" s="75"/>
      <c r="R6" s="74"/>
      <c r="S6" s="74"/>
      <c r="T6" s="74"/>
      <c r="U6" s="75"/>
      <c r="V6" s="74"/>
      <c r="W6" s="75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</row>
    <row r="7" s="73" customFormat="1" spans="1:34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5"/>
      <c r="P7" s="74"/>
      <c r="Q7" s="75"/>
      <c r="R7" s="74"/>
      <c r="S7" s="74"/>
      <c r="T7" s="74"/>
      <c r="U7" s="75"/>
      <c r="V7" s="74"/>
      <c r="W7" s="75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</row>
    <row r="8" s="73" customFormat="1" spans="1:34">
      <c r="A8" s="74"/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5"/>
      <c r="P8" s="74"/>
      <c r="Q8" s="75"/>
      <c r="R8" s="74"/>
      <c r="S8" s="74"/>
      <c r="T8" s="74"/>
      <c r="U8" s="75"/>
      <c r="V8" s="74"/>
      <c r="W8" s="75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</row>
    <row r="9" s="73" customFormat="1" spans="1:34">
      <c r="A9" s="74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5"/>
      <c r="P9" s="74"/>
      <c r="Q9" s="75"/>
      <c r="R9" s="74"/>
      <c r="S9" s="74"/>
      <c r="T9" s="74"/>
      <c r="U9" s="75"/>
      <c r="V9" s="74"/>
      <c r="W9" s="75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</row>
    <row r="10" s="73" customFormat="1" spans="1:34">
      <c r="A10" s="74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5"/>
      <c r="P10" s="74"/>
      <c r="Q10" s="75"/>
      <c r="R10" s="74"/>
      <c r="S10" s="74"/>
      <c r="T10" s="74"/>
      <c r="U10" s="75"/>
      <c r="V10" s="74"/>
      <c r="W10" s="75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</row>
    <row r="11" s="73" customFormat="1" spans="1:34">
      <c r="A11" s="74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5"/>
      <c r="P11" s="74"/>
      <c r="Q11" s="75"/>
      <c r="R11" s="74"/>
      <c r="S11" s="74"/>
      <c r="T11" s="74"/>
      <c r="U11" s="75"/>
      <c r="V11" s="74"/>
      <c r="W11" s="75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</row>
    <row r="12" s="73" customFormat="1" spans="1:34">
      <c r="A12" s="74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5"/>
      <c r="P12" s="74"/>
      <c r="Q12" s="75"/>
      <c r="R12" s="74"/>
      <c r="S12" s="74"/>
      <c r="T12" s="74"/>
      <c r="U12" s="75"/>
      <c r="V12" s="74"/>
      <c r="W12" s="75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</row>
    <row r="13" s="73" customFormat="1" spans="1:34">
      <c r="A13" s="74"/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5"/>
      <c r="P13" s="74"/>
      <c r="Q13" s="75"/>
      <c r="R13" s="74"/>
      <c r="S13" s="74"/>
      <c r="T13" s="74"/>
      <c r="U13" s="75"/>
      <c r="V13" s="74"/>
      <c r="W13" s="75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</row>
    <row r="14" s="73" customFormat="1" spans="1:34">
      <c r="A14" s="74"/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5"/>
      <c r="P14" s="74"/>
      <c r="Q14" s="75"/>
      <c r="R14" s="74"/>
      <c r="S14" s="74"/>
      <c r="T14" s="74"/>
      <c r="U14" s="75"/>
      <c r="V14" s="74"/>
      <c r="W14" s="75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</row>
    <row r="15" s="73" customFormat="1" spans="1:34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5"/>
      <c r="P15" s="74"/>
      <c r="Q15" s="75"/>
      <c r="R15" s="74"/>
      <c r="S15" s="74"/>
      <c r="T15" s="74"/>
      <c r="U15" s="75"/>
      <c r="V15" s="74"/>
      <c r="W15" s="75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</row>
    <row r="16" s="73" customFormat="1" spans="1:34">
      <c r="A16" s="74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5"/>
      <c r="P16" s="74"/>
      <c r="Q16" s="75"/>
      <c r="R16" s="74"/>
      <c r="S16" s="74"/>
      <c r="T16" s="74"/>
      <c r="U16" s="75"/>
      <c r="V16" s="74"/>
      <c r="W16" s="75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</row>
    <row r="17" s="73" customFormat="1" spans="1:34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5"/>
      <c r="P17" s="74"/>
      <c r="Q17" s="75"/>
      <c r="R17" s="74"/>
      <c r="S17" s="74"/>
      <c r="T17" s="74"/>
      <c r="U17" s="75"/>
      <c r="V17" s="74"/>
      <c r="W17" s="75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</row>
    <row r="18" s="73" customFormat="1" spans="1:34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5"/>
      <c r="P18" s="74"/>
      <c r="Q18" s="75"/>
      <c r="R18" s="74"/>
      <c r="S18" s="74"/>
      <c r="T18" s="74"/>
      <c r="U18" s="75"/>
      <c r="V18" s="74"/>
      <c r="W18" s="75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</row>
    <row r="19" s="73" customFormat="1" spans="1:34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5"/>
      <c r="P19" s="74"/>
      <c r="Q19" s="75"/>
      <c r="R19" s="74"/>
      <c r="S19" s="74"/>
      <c r="T19" s="74"/>
      <c r="U19" s="75"/>
      <c r="V19" s="74"/>
      <c r="W19" s="75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</row>
    <row r="20" s="73" customFormat="1" spans="1:34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5"/>
      <c r="P20" s="74"/>
      <c r="Q20" s="75"/>
      <c r="R20" s="74"/>
      <c r="S20" s="74"/>
      <c r="T20" s="74"/>
      <c r="U20" s="75"/>
      <c r="V20" s="74"/>
      <c r="W20" s="75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</row>
    <row r="21" s="73" customFormat="1" spans="1:34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5"/>
      <c r="P21" s="74"/>
      <c r="Q21" s="75"/>
      <c r="R21" s="74"/>
      <c r="S21" s="74"/>
      <c r="T21" s="74"/>
      <c r="U21" s="75"/>
      <c r="V21" s="74"/>
      <c r="W21" s="75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</row>
    <row r="22" s="73" customFormat="1" spans="1:34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5"/>
      <c r="P22" s="74"/>
      <c r="Q22" s="75"/>
      <c r="R22" s="74"/>
      <c r="S22" s="74"/>
      <c r="T22" s="74"/>
      <c r="U22" s="75"/>
      <c r="V22" s="74"/>
      <c r="W22" s="75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</row>
    <row r="23" s="73" customFormat="1" spans="1:34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5"/>
      <c r="P23" s="74"/>
      <c r="Q23" s="75"/>
      <c r="R23" s="74"/>
      <c r="S23" s="74"/>
      <c r="T23" s="74"/>
      <c r="U23" s="75"/>
      <c r="V23" s="74"/>
      <c r="W23" s="75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</row>
    <row r="24" s="73" customFormat="1" spans="1:34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5"/>
      <c r="P24" s="74"/>
      <c r="Q24" s="75"/>
      <c r="R24" s="74"/>
      <c r="S24" s="74"/>
      <c r="T24" s="74"/>
      <c r="U24" s="75"/>
      <c r="V24" s="74"/>
      <c r="W24" s="75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</row>
    <row r="25" s="73" customFormat="1" spans="1:34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5"/>
      <c r="P25" s="74"/>
      <c r="Q25" s="75"/>
      <c r="R25" s="74"/>
      <c r="S25" s="74"/>
      <c r="T25" s="74"/>
      <c r="U25" s="75"/>
      <c r="V25" s="74"/>
      <c r="W25" s="75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</row>
    <row r="26" s="73" customFormat="1" spans="1:34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5"/>
      <c r="P26" s="74"/>
      <c r="Q26" s="75"/>
      <c r="R26" s="74"/>
      <c r="S26" s="74"/>
      <c r="T26" s="74"/>
      <c r="U26" s="75"/>
      <c r="V26" s="74"/>
      <c r="W26" s="75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</row>
    <row r="27" s="73" customFormat="1" spans="1:34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5"/>
      <c r="P27" s="74"/>
      <c r="Q27" s="75"/>
      <c r="R27" s="74"/>
      <c r="S27" s="74"/>
      <c r="T27" s="74"/>
      <c r="U27" s="75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</row>
    <row r="28" s="73" customFormat="1" spans="1:34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5"/>
      <c r="P28" s="74"/>
      <c r="Q28" s="75"/>
      <c r="R28" s="74"/>
      <c r="S28" s="74"/>
      <c r="T28" s="74"/>
      <c r="U28" s="75"/>
      <c r="V28" s="74"/>
      <c r="W28" s="75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</row>
    <row r="29" s="73" customFormat="1" spans="1:34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5"/>
      <c r="P29" s="74"/>
      <c r="Q29" s="75"/>
      <c r="R29" s="74"/>
      <c r="S29" s="74"/>
      <c r="T29" s="74"/>
      <c r="U29" s="75"/>
      <c r="V29" s="74"/>
      <c r="W29" s="75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</row>
    <row r="30" s="73" customFormat="1" spans="1:34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5"/>
      <c r="P30" s="74"/>
      <c r="Q30" s="75"/>
      <c r="R30" s="74"/>
      <c r="S30" s="74"/>
      <c r="T30" s="74"/>
      <c r="U30" s="75"/>
      <c r="V30" s="74"/>
      <c r="W30" s="75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</row>
    <row r="31" s="73" customFormat="1" spans="1:34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5"/>
      <c r="P31" s="74"/>
      <c r="Q31" s="75"/>
      <c r="R31" s="74"/>
      <c r="S31" s="74"/>
      <c r="T31" s="74"/>
      <c r="U31" s="75"/>
      <c r="V31" s="74"/>
      <c r="W31" s="75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</row>
    <row r="32" s="73" customFormat="1" spans="1:34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5"/>
      <c r="P32" s="74"/>
      <c r="Q32" s="75"/>
      <c r="R32" s="74"/>
      <c r="S32" s="74"/>
      <c r="T32" s="74"/>
      <c r="U32" s="75"/>
      <c r="V32" s="74"/>
      <c r="W32" s="75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</row>
    <row r="33" s="73" customFormat="1" spans="1:34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5"/>
      <c r="P33" s="74"/>
      <c r="Q33" s="75"/>
      <c r="R33" s="74"/>
      <c r="S33" s="74"/>
      <c r="T33" s="74"/>
      <c r="U33" s="75"/>
      <c r="V33" s="74"/>
      <c r="W33" s="75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</row>
    <row r="34" s="73" customFormat="1" spans="1:34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5"/>
      <c r="P34" s="74"/>
      <c r="Q34" s="75"/>
      <c r="R34" s="74"/>
      <c r="S34" s="74"/>
      <c r="T34" s="74"/>
      <c r="U34" s="75"/>
      <c r="V34" s="74"/>
      <c r="W34" s="75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</row>
    <row r="35" s="73" customFormat="1" spans="1:34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5"/>
      <c r="P35" s="74"/>
      <c r="Q35" s="75"/>
      <c r="R35" s="74"/>
      <c r="S35" s="74"/>
      <c r="T35" s="74"/>
      <c r="U35" s="75"/>
      <c r="V35" s="74"/>
      <c r="W35" s="75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</row>
    <row r="36" s="73" customFormat="1" spans="1:34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5"/>
      <c r="P36" s="74"/>
      <c r="Q36" s="75"/>
      <c r="R36" s="74"/>
      <c r="S36" s="74"/>
      <c r="T36" s="74"/>
      <c r="U36" s="75"/>
      <c r="V36" s="74"/>
      <c r="W36" s="75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</row>
    <row r="37" s="73" customFormat="1" spans="1:34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5"/>
      <c r="P37" s="74"/>
      <c r="Q37" s="75"/>
      <c r="R37" s="74"/>
      <c r="S37" s="74"/>
      <c r="T37" s="74"/>
      <c r="U37" s="75"/>
      <c r="V37" s="74"/>
      <c r="W37" s="75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</row>
    <row r="38" s="73" customFormat="1" spans="1:34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5"/>
      <c r="P38" s="74"/>
      <c r="Q38" s="75"/>
      <c r="R38" s="74"/>
      <c r="S38" s="74"/>
      <c r="T38" s="74"/>
      <c r="U38" s="75"/>
      <c r="V38" s="74"/>
      <c r="W38" s="75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</row>
    <row r="39" s="73" customFormat="1" spans="1:34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5"/>
      <c r="P39" s="74"/>
      <c r="Q39" s="75"/>
      <c r="R39" s="74"/>
      <c r="S39" s="74"/>
      <c r="T39" s="74"/>
      <c r="U39" s="75"/>
      <c r="V39" s="74"/>
      <c r="W39" s="75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</row>
    <row r="40" s="73" customFormat="1" spans="1:34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5"/>
      <c r="P40" s="74"/>
      <c r="Q40" s="75"/>
      <c r="R40" s="74"/>
      <c r="S40" s="74"/>
      <c r="T40" s="74"/>
      <c r="U40" s="75"/>
      <c r="V40" s="74"/>
      <c r="W40" s="75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</row>
    <row r="41" s="73" customFormat="1" spans="1:34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5"/>
      <c r="P41" s="74"/>
      <c r="Q41" s="75"/>
      <c r="R41" s="74"/>
      <c r="S41" s="74"/>
      <c r="T41" s="74"/>
      <c r="U41" s="75"/>
      <c r="V41" s="74"/>
      <c r="W41" s="75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</row>
    <row r="42" s="73" customFormat="1" spans="1:34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5"/>
      <c r="P42" s="74"/>
      <c r="Q42" s="75"/>
      <c r="R42" s="74"/>
      <c r="S42" s="74"/>
      <c r="T42" s="74"/>
      <c r="U42" s="75"/>
      <c r="V42" s="74"/>
      <c r="W42" s="75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</row>
    <row r="43" s="73" customFormat="1" spans="1:34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5"/>
      <c r="P43" s="74"/>
      <c r="Q43" s="75"/>
      <c r="R43" s="74"/>
      <c r="S43" s="74"/>
      <c r="T43" s="74"/>
      <c r="U43" s="75"/>
      <c r="V43" s="74"/>
      <c r="W43" s="75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</row>
    <row r="44" s="73" customFormat="1" spans="1:34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5"/>
      <c r="P44" s="74"/>
      <c r="Q44" s="75"/>
      <c r="R44" s="74"/>
      <c r="S44" s="74"/>
      <c r="T44" s="74"/>
      <c r="U44" s="75"/>
      <c r="V44" s="74"/>
      <c r="W44" s="75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</row>
    <row r="45" s="73" customFormat="1" spans="1:34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5"/>
      <c r="P45" s="74"/>
      <c r="Q45" s="75"/>
      <c r="R45" s="74"/>
      <c r="S45" s="74"/>
      <c r="T45" s="74"/>
      <c r="U45" s="75"/>
      <c r="V45" s="74"/>
      <c r="W45" s="75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</row>
    <row r="46" s="73" customFormat="1" spans="1:34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5"/>
      <c r="P46" s="74"/>
      <c r="Q46" s="75"/>
      <c r="R46" s="74"/>
      <c r="S46" s="74"/>
      <c r="T46" s="74"/>
      <c r="U46" s="75"/>
      <c r="V46" s="74"/>
      <c r="W46" s="75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</row>
    <row r="47" s="73" customFormat="1" spans="1:34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5"/>
      <c r="P47" s="74"/>
      <c r="Q47" s="75"/>
      <c r="R47" s="74"/>
      <c r="S47" s="74"/>
      <c r="T47" s="74"/>
      <c r="U47" s="75"/>
      <c r="V47" s="74"/>
      <c r="W47" s="75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</row>
    <row r="48" s="73" customFormat="1" spans="1:34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5"/>
      <c r="P48" s="74"/>
      <c r="Q48" s="75"/>
      <c r="R48" s="74"/>
      <c r="S48" s="74"/>
      <c r="T48" s="74"/>
      <c r="U48" s="75"/>
      <c r="V48" s="74"/>
      <c r="W48" s="75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</row>
    <row r="49" s="73" customFormat="1" spans="1:34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5"/>
      <c r="P49" s="74"/>
      <c r="Q49" s="75"/>
      <c r="R49" s="74"/>
      <c r="S49" s="74"/>
      <c r="T49" s="74"/>
      <c r="U49" s="75"/>
      <c r="V49" s="74"/>
      <c r="W49" s="75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</row>
    <row r="50" s="73" customFormat="1" spans="1:34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5"/>
      <c r="P50" s="74"/>
      <c r="Q50" s="75"/>
      <c r="R50" s="74"/>
      <c r="S50" s="74"/>
      <c r="T50" s="74"/>
      <c r="U50" s="75"/>
      <c r="V50" s="74"/>
      <c r="W50" s="75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</row>
    <row r="51" s="73" customFormat="1" spans="1:34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5"/>
      <c r="P51" s="74"/>
      <c r="Q51" s="75"/>
      <c r="R51" s="74"/>
      <c r="S51" s="74"/>
      <c r="T51" s="74"/>
      <c r="U51" s="75"/>
      <c r="V51" s="74"/>
      <c r="W51" s="75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</row>
    <row r="52" s="73" customFormat="1" spans="1:34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5"/>
      <c r="P52" s="74"/>
      <c r="Q52" s="75"/>
      <c r="R52" s="74"/>
      <c r="S52" s="74"/>
      <c r="T52" s="74"/>
      <c r="U52" s="75"/>
      <c r="V52" s="74"/>
      <c r="W52" s="75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</row>
    <row r="53" s="73" customFormat="1" spans="1:34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5"/>
      <c r="P53" s="74"/>
      <c r="Q53" s="75"/>
      <c r="R53" s="74"/>
      <c r="S53" s="74"/>
      <c r="T53" s="74"/>
      <c r="U53" s="75"/>
      <c r="V53" s="74"/>
      <c r="W53" s="75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</row>
    <row r="54" s="73" customFormat="1" spans="1:34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5"/>
      <c r="P54" s="74"/>
      <c r="Q54" s="75"/>
      <c r="R54" s="74"/>
      <c r="S54" s="74"/>
      <c r="T54" s="74"/>
      <c r="U54" s="75"/>
      <c r="V54" s="74"/>
      <c r="W54" s="75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</row>
    <row r="55" s="73" customFormat="1" spans="1:34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5"/>
      <c r="P55" s="74"/>
      <c r="Q55" s="75"/>
      <c r="R55" s="74"/>
      <c r="S55" s="74"/>
      <c r="T55" s="74"/>
      <c r="U55" s="75"/>
      <c r="V55" s="74"/>
      <c r="W55" s="75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</row>
    <row r="56" s="73" customFormat="1" spans="1:34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5"/>
      <c r="P56" s="74"/>
      <c r="Q56" s="75"/>
      <c r="R56" s="74"/>
      <c r="S56" s="74"/>
      <c r="T56" s="74"/>
      <c r="U56" s="75"/>
      <c r="V56" s="74"/>
      <c r="W56" s="75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</row>
    <row r="57" s="73" customFormat="1" spans="1:34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5"/>
      <c r="P57" s="74"/>
      <c r="Q57" s="75"/>
      <c r="R57" s="74"/>
      <c r="S57" s="74"/>
      <c r="T57" s="74"/>
      <c r="U57" s="75"/>
      <c r="V57" s="74"/>
      <c r="W57" s="75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</row>
    <row r="58" s="73" customFormat="1" spans="1:34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5"/>
      <c r="P58" s="74"/>
      <c r="Q58" s="75"/>
      <c r="R58" s="74"/>
      <c r="S58" s="74"/>
      <c r="T58" s="74"/>
      <c r="U58" s="75"/>
      <c r="V58" s="74"/>
      <c r="W58" s="75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</row>
    <row r="59" s="73" customFormat="1" spans="1:34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5"/>
      <c r="P59" s="74"/>
      <c r="Q59" s="75"/>
      <c r="R59" s="74"/>
      <c r="S59" s="74"/>
      <c r="T59" s="74"/>
      <c r="U59" s="75"/>
      <c r="V59" s="74"/>
      <c r="W59" s="75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</row>
    <row r="60" s="73" customFormat="1" spans="1:34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5"/>
      <c r="P60" s="74"/>
      <c r="Q60" s="75"/>
      <c r="R60" s="74"/>
      <c r="S60" s="74"/>
      <c r="T60" s="74"/>
      <c r="U60" s="75"/>
      <c r="V60" s="74"/>
      <c r="W60" s="75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</row>
    <row r="61" s="73" customFormat="1" spans="1:34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5"/>
      <c r="P61" s="74"/>
      <c r="Q61" s="75"/>
      <c r="R61" s="74"/>
      <c r="S61" s="74"/>
      <c r="T61" s="74"/>
      <c r="U61" s="75"/>
      <c r="V61" s="74"/>
      <c r="W61" s="75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</row>
    <row r="62" s="73" customFormat="1" spans="1:34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5"/>
      <c r="P62" s="74"/>
      <c r="Q62" s="75"/>
      <c r="R62" s="74"/>
      <c r="S62" s="74"/>
      <c r="T62" s="74"/>
      <c r="U62" s="75"/>
      <c r="V62" s="74"/>
      <c r="W62" s="75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</row>
    <row r="63" s="73" customFormat="1" spans="1:34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5"/>
      <c r="P63" s="74"/>
      <c r="Q63" s="75"/>
      <c r="R63" s="74"/>
      <c r="S63" s="74"/>
      <c r="T63" s="74"/>
      <c r="U63" s="75"/>
      <c r="V63" s="74"/>
      <c r="W63" s="75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</row>
    <row r="64" s="73" customFormat="1" spans="1:34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5"/>
      <c r="P64" s="74"/>
      <c r="Q64" s="75"/>
      <c r="R64" s="74"/>
      <c r="S64" s="74"/>
      <c r="T64" s="74"/>
      <c r="U64" s="75"/>
      <c r="V64" s="74"/>
      <c r="W64" s="75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</row>
    <row r="65" s="73" customFormat="1" spans="1:34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5"/>
      <c r="P65" s="74"/>
      <c r="Q65" s="75"/>
      <c r="R65" s="74"/>
      <c r="S65" s="74"/>
      <c r="T65" s="74"/>
      <c r="U65" s="75"/>
      <c r="V65" s="74"/>
      <c r="W65" s="75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</row>
    <row r="66" s="73" customFormat="1" spans="1:34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5"/>
      <c r="P66" s="74"/>
      <c r="Q66" s="75"/>
      <c r="R66" s="74"/>
      <c r="S66" s="74"/>
      <c r="T66" s="74"/>
      <c r="U66" s="75"/>
      <c r="V66" s="74"/>
      <c r="W66" s="75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</row>
    <row r="67" s="73" customFormat="1" spans="1:34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5"/>
      <c r="P67" s="74"/>
      <c r="Q67" s="75"/>
      <c r="R67" s="74"/>
      <c r="S67" s="74"/>
      <c r="T67" s="74"/>
      <c r="U67" s="75"/>
      <c r="V67" s="74"/>
      <c r="W67" s="75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</row>
    <row r="68" s="73" customFormat="1" spans="1:34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5"/>
      <c r="P68" s="74"/>
      <c r="Q68" s="75"/>
      <c r="R68" s="74"/>
      <c r="S68" s="74"/>
      <c r="T68" s="74"/>
      <c r="U68" s="75"/>
      <c r="V68" s="74"/>
      <c r="W68" s="75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</row>
    <row r="69" s="73" customFormat="1" spans="1:34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5"/>
      <c r="P69" s="74"/>
      <c r="Q69" s="75"/>
      <c r="R69" s="74"/>
      <c r="S69" s="74"/>
      <c r="T69" s="74"/>
      <c r="U69" s="75"/>
      <c r="V69" s="74"/>
      <c r="W69" s="75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</row>
    <row r="70" s="73" customFormat="1" spans="1:34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5"/>
      <c r="P70" s="74"/>
      <c r="Q70" s="75"/>
      <c r="R70" s="74"/>
      <c r="S70" s="74"/>
      <c r="T70" s="74"/>
      <c r="U70" s="75"/>
      <c r="V70" s="74"/>
      <c r="W70" s="75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</row>
    <row r="71" s="73" customFormat="1" spans="1:34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5"/>
      <c r="P71" s="74"/>
      <c r="Q71" s="75"/>
      <c r="R71" s="74"/>
      <c r="S71" s="74"/>
      <c r="T71" s="74"/>
      <c r="U71" s="75"/>
      <c r="V71" s="74"/>
      <c r="W71" s="75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</row>
    <row r="72" s="73" customFormat="1" spans="1:34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5"/>
      <c r="P72" s="74"/>
      <c r="Q72" s="75"/>
      <c r="R72" s="74"/>
      <c r="S72" s="74"/>
      <c r="T72" s="74"/>
      <c r="U72" s="75"/>
      <c r="V72" s="74"/>
      <c r="W72" s="75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</row>
    <row r="74" s="73" customFormat="1" spans="1:34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5"/>
      <c r="P74" s="74"/>
      <c r="Q74" s="75"/>
      <c r="R74" s="74"/>
      <c r="S74" s="74"/>
      <c r="T74" s="74"/>
      <c r="U74" s="75"/>
      <c r="V74" s="74"/>
      <c r="W74" s="75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</row>
    <row r="75" s="73" customFormat="1" spans="1:34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5"/>
      <c r="P75" s="74"/>
      <c r="Q75" s="75"/>
      <c r="R75" s="74"/>
      <c r="S75" s="74"/>
      <c r="T75" s="74"/>
      <c r="U75" s="75"/>
      <c r="V75" s="74"/>
      <c r="W75" s="75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</row>
    <row r="76" s="73" customFormat="1" spans="1:34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5"/>
      <c r="P76" s="74"/>
      <c r="Q76" s="75"/>
      <c r="R76" s="74"/>
      <c r="S76" s="74"/>
      <c r="T76" s="74"/>
      <c r="U76" s="75"/>
      <c r="V76" s="74"/>
      <c r="W76" s="75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</row>
    <row r="77" s="73" customFormat="1" spans="1:34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5"/>
      <c r="P77" s="74"/>
      <c r="Q77" s="75"/>
      <c r="R77" s="74"/>
      <c r="S77" s="74"/>
      <c r="T77" s="74"/>
      <c r="U77" s="75"/>
      <c r="V77" s="74"/>
      <c r="W77" s="75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</row>
    <row r="78" s="73" customFormat="1" spans="1:34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5"/>
      <c r="P78" s="74"/>
      <c r="Q78" s="75"/>
      <c r="R78" s="74"/>
      <c r="S78" s="74"/>
      <c r="T78" s="74"/>
      <c r="U78" s="75"/>
      <c r="V78" s="74"/>
      <c r="W78" s="75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</row>
    <row r="79" s="73" customFormat="1" spans="1:34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5"/>
      <c r="P79" s="74"/>
      <c r="Q79" s="75"/>
      <c r="R79" s="74"/>
      <c r="S79" s="74"/>
      <c r="T79" s="74"/>
      <c r="U79" s="75"/>
      <c r="V79" s="74"/>
      <c r="W79" s="75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</row>
    <row r="81" s="73" customFormat="1" spans="1:34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5"/>
      <c r="P81" s="74"/>
      <c r="Q81" s="75"/>
      <c r="R81" s="74"/>
      <c r="S81" s="74"/>
      <c r="T81" s="74"/>
      <c r="U81" s="75"/>
      <c r="V81" s="74"/>
      <c r="W81" s="75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</row>
    <row r="82" s="73" customFormat="1" spans="1:34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5"/>
      <c r="P82" s="74"/>
      <c r="Q82" s="75"/>
      <c r="R82" s="74"/>
      <c r="S82" s="74"/>
      <c r="T82" s="74"/>
      <c r="U82" s="75"/>
      <c r="V82" s="74"/>
      <c r="W82" s="75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</row>
    <row r="83" s="73" customFormat="1" spans="1:34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5"/>
      <c r="P83" s="74"/>
      <c r="Q83" s="75"/>
      <c r="R83" s="74"/>
      <c r="S83" s="74"/>
      <c r="T83" s="74"/>
      <c r="U83" s="75"/>
      <c r="V83" s="74"/>
      <c r="W83" s="75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</row>
    <row r="84" s="73" customFormat="1" spans="1:34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5"/>
      <c r="P84" s="74"/>
      <c r="Q84" s="75"/>
      <c r="R84" s="74"/>
      <c r="S84" s="74"/>
      <c r="T84" s="74"/>
      <c r="U84" s="75"/>
      <c r="V84" s="74"/>
      <c r="W84" s="75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</row>
    <row r="85" s="73" customFormat="1" spans="1:34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5"/>
      <c r="P85" s="74"/>
      <c r="Q85" s="75"/>
      <c r="R85" s="74"/>
      <c r="S85" s="74"/>
      <c r="T85" s="74"/>
      <c r="U85" s="75"/>
      <c r="V85" s="74"/>
      <c r="W85" s="75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</row>
    <row r="86" s="73" customFormat="1" spans="1:34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5"/>
      <c r="P86" s="74"/>
      <c r="Q86" s="75"/>
      <c r="R86" s="74"/>
      <c r="S86" s="74"/>
      <c r="T86" s="74"/>
      <c r="U86" s="75"/>
      <c r="V86" s="74"/>
      <c r="W86" s="75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</row>
    <row r="87" s="73" customFormat="1" spans="1:34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5"/>
      <c r="P87" s="74"/>
      <c r="Q87" s="75"/>
      <c r="R87" s="74"/>
      <c r="S87" s="74"/>
      <c r="T87" s="74"/>
      <c r="U87" s="75"/>
      <c r="V87" s="74"/>
      <c r="W87" s="75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</row>
    <row r="88" s="73" customFormat="1" spans="1:34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5"/>
      <c r="P88" s="74"/>
      <c r="Q88" s="75"/>
      <c r="R88" s="74"/>
      <c r="S88" s="74"/>
      <c r="T88" s="74"/>
      <c r="U88" s="75"/>
      <c r="V88" s="74"/>
      <c r="W88" s="75"/>
      <c r="X88" s="74"/>
      <c r="Y88" s="74"/>
      <c r="Z88" s="74"/>
      <c r="AA88" s="74"/>
      <c r="AB88" s="74"/>
      <c r="AC88" s="74"/>
      <c r="AD88" s="74"/>
      <c r="AE88" s="74"/>
      <c r="AF88" s="74"/>
      <c r="AG88" s="74"/>
      <c r="AH88" s="74"/>
    </row>
    <row r="89" s="73" customFormat="1" spans="1:34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5"/>
      <c r="P89" s="74"/>
      <c r="Q89" s="75"/>
      <c r="R89" s="74"/>
      <c r="S89" s="74"/>
      <c r="T89" s="74"/>
      <c r="U89" s="75"/>
      <c r="V89" s="74"/>
      <c r="W89" s="75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</row>
    <row r="90" s="73" customFormat="1" spans="1:34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5"/>
      <c r="P90" s="74"/>
      <c r="Q90" s="75"/>
      <c r="R90" s="74"/>
      <c r="S90" s="74"/>
      <c r="T90" s="74"/>
      <c r="U90" s="75"/>
      <c r="V90" s="74"/>
      <c r="W90" s="75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</row>
    <row r="91" s="73" customFormat="1" spans="1:34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5"/>
      <c r="P91" s="74"/>
      <c r="Q91" s="75"/>
      <c r="R91" s="74"/>
      <c r="S91" s="74"/>
      <c r="T91" s="74"/>
      <c r="U91" s="75"/>
      <c r="V91" s="74"/>
      <c r="W91" s="75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</row>
    <row r="92" s="73" customFormat="1" spans="1:34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5"/>
      <c r="P92" s="74"/>
      <c r="Q92" s="75"/>
      <c r="R92" s="74"/>
      <c r="S92" s="74"/>
      <c r="T92" s="74"/>
      <c r="U92" s="75"/>
      <c r="V92" s="74"/>
      <c r="W92" s="75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</row>
    <row r="93" s="73" customFormat="1" spans="1:34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5"/>
      <c r="P93" s="74"/>
      <c r="Q93" s="75"/>
      <c r="R93" s="74"/>
      <c r="S93" s="74"/>
      <c r="T93" s="74"/>
      <c r="U93" s="75"/>
      <c r="V93" s="74"/>
      <c r="W93" s="75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</row>
    <row r="94" s="73" customFormat="1" spans="1:34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5"/>
      <c r="P94" s="74"/>
      <c r="Q94" s="75"/>
      <c r="R94" s="74"/>
      <c r="S94" s="74"/>
      <c r="T94" s="74"/>
      <c r="U94" s="75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</row>
    <row r="95" s="73" customFormat="1" spans="1:34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5"/>
      <c r="P95" s="74"/>
      <c r="Q95" s="75"/>
      <c r="R95" s="74"/>
      <c r="S95" s="74"/>
      <c r="T95" s="74"/>
      <c r="U95" s="75"/>
      <c r="V95" s="74"/>
      <c r="W95" s="75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</row>
    <row r="96" s="73" customFormat="1" spans="1:34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5"/>
      <c r="P96" s="74"/>
      <c r="Q96" s="75"/>
      <c r="R96" s="74"/>
      <c r="S96" s="74"/>
      <c r="T96" s="74"/>
      <c r="U96" s="75"/>
      <c r="V96" s="74"/>
      <c r="W96" s="75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</row>
    <row r="97" s="73" customFormat="1" spans="1:34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5"/>
      <c r="P97" s="74"/>
      <c r="Q97" s="75"/>
      <c r="R97" s="74"/>
      <c r="S97" s="74"/>
      <c r="T97" s="74"/>
      <c r="U97" s="75"/>
      <c r="V97" s="74"/>
      <c r="W97" s="75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</row>
    <row r="98" s="73" customFormat="1" spans="1:34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5"/>
      <c r="P98" s="74"/>
      <c r="Q98" s="75"/>
      <c r="R98" s="74"/>
      <c r="S98" s="74"/>
      <c r="T98" s="74"/>
      <c r="U98" s="75"/>
      <c r="V98" s="74"/>
      <c r="W98" s="75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</row>
    <row r="99" s="73" customFormat="1" spans="1:34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5"/>
      <c r="P99" s="74"/>
      <c r="Q99" s="75"/>
      <c r="R99" s="74"/>
      <c r="S99" s="74"/>
      <c r="T99" s="74"/>
      <c r="U99" s="75"/>
      <c r="V99" s="74"/>
      <c r="W99" s="75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</row>
    <row r="100" s="73" customFormat="1" spans="1:34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5"/>
      <c r="P100" s="74"/>
      <c r="Q100" s="75"/>
      <c r="R100" s="74"/>
      <c r="S100" s="74"/>
      <c r="T100" s="74"/>
      <c r="U100" s="75"/>
      <c r="V100" s="74"/>
      <c r="W100" s="75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</row>
    <row r="101" s="73" customFormat="1" spans="1:34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5"/>
      <c r="P101" s="74"/>
      <c r="Q101" s="75"/>
      <c r="R101" s="74"/>
      <c r="S101" s="74"/>
      <c r="T101" s="74"/>
      <c r="U101" s="75"/>
      <c r="V101" s="74"/>
      <c r="W101" s="75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</row>
    <row r="102" s="73" customFormat="1" spans="1:34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5"/>
      <c r="P102" s="74"/>
      <c r="Q102" s="75"/>
      <c r="R102" s="74"/>
      <c r="S102" s="74"/>
      <c r="T102" s="74"/>
      <c r="U102" s="75"/>
      <c r="V102" s="74"/>
      <c r="W102" s="75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</row>
    <row r="103" s="73" customFormat="1" spans="1:34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5"/>
      <c r="P103" s="74"/>
      <c r="Q103" s="75"/>
      <c r="R103" s="74"/>
      <c r="S103" s="74"/>
      <c r="T103" s="74"/>
      <c r="U103" s="75"/>
      <c r="V103" s="74"/>
      <c r="W103" s="75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</row>
    <row r="104" s="73" customFormat="1" spans="1:34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5"/>
      <c r="P104" s="74"/>
      <c r="Q104" s="75"/>
      <c r="R104" s="74"/>
      <c r="S104" s="74"/>
      <c r="T104" s="74"/>
      <c r="U104" s="75"/>
      <c r="V104" s="74"/>
      <c r="W104" s="75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</row>
    <row r="105" s="73" customFormat="1" spans="1:34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5"/>
      <c r="P105" s="74"/>
      <c r="Q105" s="75"/>
      <c r="R105" s="74"/>
      <c r="S105" s="74"/>
      <c r="T105" s="74"/>
      <c r="U105" s="75"/>
      <c r="V105" s="74"/>
      <c r="W105" s="75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</row>
    <row r="106" s="73" customFormat="1" spans="1:34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5"/>
      <c r="P106" s="74"/>
      <c r="Q106" s="75"/>
      <c r="R106" s="74"/>
      <c r="S106" s="74"/>
      <c r="T106" s="74"/>
      <c r="U106" s="75"/>
      <c r="V106" s="74"/>
      <c r="W106" s="75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</row>
    <row r="107" s="73" customFormat="1" spans="1:34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5"/>
      <c r="P107" s="74"/>
      <c r="Q107" s="75"/>
      <c r="R107" s="74"/>
      <c r="S107" s="74"/>
      <c r="T107" s="74"/>
      <c r="U107" s="75"/>
      <c r="V107" s="74"/>
      <c r="W107" s="75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</row>
    <row r="108" s="73" customFormat="1" spans="1:34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5"/>
      <c r="P108" s="74"/>
      <c r="Q108" s="75"/>
      <c r="R108" s="74"/>
      <c r="S108" s="74"/>
      <c r="T108" s="74"/>
      <c r="U108" s="75"/>
      <c r="V108" s="74"/>
      <c r="W108" s="75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</row>
    <row r="109" s="73" customFormat="1" spans="1:34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5"/>
      <c r="P109" s="74"/>
      <c r="Q109" s="75"/>
      <c r="R109" s="74"/>
      <c r="S109" s="74"/>
      <c r="T109" s="74"/>
      <c r="U109" s="75"/>
      <c r="V109" s="74"/>
      <c r="W109" s="75"/>
      <c r="X109" s="74"/>
      <c r="Y109" s="74"/>
      <c r="Z109" s="74"/>
      <c r="AA109" s="74"/>
      <c r="AB109" s="74"/>
      <c r="AC109" s="74"/>
      <c r="AD109" s="74"/>
      <c r="AE109" s="74"/>
      <c r="AF109" s="74"/>
      <c r="AG109" s="74"/>
      <c r="AH109" s="74"/>
    </row>
    <row r="110" s="73" customFormat="1" spans="1:34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5"/>
      <c r="P110" s="74"/>
      <c r="Q110" s="75"/>
      <c r="R110" s="74"/>
      <c r="S110" s="74"/>
      <c r="T110" s="74"/>
      <c r="U110" s="75"/>
      <c r="V110" s="74"/>
      <c r="W110" s="75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</row>
    <row r="111" s="73" customFormat="1" spans="1:34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5"/>
      <c r="P111" s="74"/>
      <c r="Q111" s="75"/>
      <c r="R111" s="74"/>
      <c r="S111" s="74"/>
      <c r="T111" s="74"/>
      <c r="U111" s="75"/>
      <c r="V111" s="74"/>
      <c r="W111" s="75"/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4"/>
    </row>
    <row r="112" s="73" customFormat="1" spans="1:34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5"/>
      <c r="P112" s="74"/>
      <c r="Q112" s="75"/>
      <c r="R112" s="74"/>
      <c r="S112" s="74"/>
      <c r="T112" s="74"/>
      <c r="U112" s="75"/>
      <c r="V112" s="74"/>
      <c r="W112" s="75"/>
      <c r="X112" s="74"/>
      <c r="Y112" s="74"/>
      <c r="Z112" s="74"/>
      <c r="AA112" s="74"/>
      <c r="AB112" s="74"/>
      <c r="AC112" s="74"/>
      <c r="AD112" s="74"/>
      <c r="AE112" s="74"/>
      <c r="AF112" s="74"/>
      <c r="AG112" s="74"/>
      <c r="AH112" s="74"/>
    </row>
    <row r="114" s="73" customFormat="1" spans="1:34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5"/>
      <c r="P114" s="74"/>
      <c r="Q114" s="75"/>
      <c r="R114" s="74"/>
      <c r="S114" s="74"/>
      <c r="T114" s="74"/>
      <c r="U114" s="75"/>
      <c r="V114" s="74"/>
      <c r="W114" s="75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</row>
    <row r="115" s="73" customFormat="1" spans="1:34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5"/>
      <c r="P115" s="74"/>
      <c r="Q115" s="75"/>
      <c r="R115" s="74"/>
      <c r="S115" s="74"/>
      <c r="T115" s="74"/>
      <c r="U115" s="75"/>
      <c r="V115" s="74"/>
      <c r="W115" s="75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</row>
    <row r="116" s="73" customFormat="1" spans="1:34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5"/>
      <c r="P116" s="74"/>
      <c r="Q116" s="75"/>
      <c r="R116" s="74"/>
      <c r="S116" s="74"/>
      <c r="T116" s="74"/>
      <c r="U116" s="75"/>
      <c r="V116" s="74"/>
      <c r="W116" s="75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</row>
    <row r="117" s="73" customFormat="1" spans="1:34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5"/>
      <c r="P117" s="74"/>
      <c r="Q117" s="75"/>
      <c r="R117" s="74"/>
      <c r="S117" s="74"/>
      <c r="T117" s="74"/>
      <c r="U117" s="75"/>
      <c r="V117" s="74"/>
      <c r="W117" s="75"/>
      <c r="X117" s="74"/>
      <c r="Y117" s="74"/>
      <c r="Z117" s="74"/>
      <c r="AA117" s="74"/>
      <c r="AB117" s="74"/>
      <c r="AC117" s="74"/>
      <c r="AD117" s="74"/>
      <c r="AE117" s="74"/>
      <c r="AF117" s="74"/>
      <c r="AG117" s="74"/>
      <c r="AH117" s="74"/>
    </row>
    <row r="118" s="73" customFormat="1" spans="1:34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5"/>
      <c r="P118" s="74"/>
      <c r="Q118" s="75"/>
      <c r="R118" s="74"/>
      <c r="S118" s="74"/>
      <c r="T118" s="74"/>
      <c r="U118" s="75"/>
      <c r="V118" s="74"/>
      <c r="W118" s="75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</row>
    <row r="119" s="73" customFormat="1" spans="1:34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5"/>
      <c r="P119" s="74"/>
      <c r="Q119" s="75"/>
      <c r="R119" s="74"/>
      <c r="S119" s="74"/>
      <c r="T119" s="74"/>
      <c r="U119" s="75"/>
      <c r="V119" s="74"/>
      <c r="W119" s="75"/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  <c r="AH119" s="74"/>
    </row>
    <row r="120" s="73" customFormat="1" spans="1:34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5"/>
      <c r="P120" s="74"/>
      <c r="Q120" s="75"/>
      <c r="R120" s="74"/>
      <c r="S120" s="74"/>
      <c r="T120" s="74"/>
      <c r="U120" s="75"/>
      <c r="V120" s="74"/>
      <c r="W120" s="75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</row>
    <row r="121" s="73" customFormat="1" spans="1:34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5"/>
      <c r="P121" s="74"/>
      <c r="Q121" s="75"/>
      <c r="R121" s="74"/>
      <c r="S121" s="74"/>
      <c r="T121" s="74"/>
      <c r="U121" s="75"/>
      <c r="V121" s="74"/>
      <c r="W121" s="75"/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74"/>
    </row>
    <row r="122" s="73" customFormat="1" spans="1:34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5"/>
      <c r="P122" s="74"/>
      <c r="Q122" s="75"/>
      <c r="R122" s="74"/>
      <c r="S122" s="74"/>
      <c r="T122" s="74"/>
      <c r="U122" s="75"/>
      <c r="V122" s="74"/>
      <c r="W122" s="75"/>
      <c r="X122" s="74"/>
      <c r="Y122" s="74"/>
      <c r="Z122" s="74"/>
      <c r="AA122" s="74"/>
      <c r="AB122" s="74"/>
      <c r="AC122" s="74"/>
      <c r="AD122" s="74"/>
      <c r="AE122" s="74"/>
      <c r="AF122" s="74"/>
      <c r="AG122" s="74"/>
      <c r="AH122" s="74"/>
    </row>
    <row r="123" s="73" customFormat="1" spans="1:34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5"/>
      <c r="P123" s="74"/>
      <c r="Q123" s="75"/>
      <c r="R123" s="74"/>
      <c r="S123" s="74"/>
      <c r="T123" s="74"/>
      <c r="U123" s="75"/>
      <c r="V123" s="74"/>
      <c r="W123" s="75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</row>
    <row r="124" s="73" customFormat="1" spans="1:34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5"/>
      <c r="P124" s="74"/>
      <c r="Q124" s="75"/>
      <c r="R124" s="74"/>
      <c r="S124" s="74"/>
      <c r="T124" s="74"/>
      <c r="U124" s="75"/>
      <c r="V124" s="74"/>
      <c r="W124" s="75"/>
      <c r="X124" s="74"/>
      <c r="Y124" s="74"/>
      <c r="Z124" s="74"/>
      <c r="AA124" s="74"/>
      <c r="AB124" s="74"/>
      <c r="AC124" s="74"/>
      <c r="AD124" s="74"/>
      <c r="AE124" s="74"/>
      <c r="AF124" s="74"/>
      <c r="AG124" s="74"/>
      <c r="AH124" s="74"/>
    </row>
    <row r="126" s="73" customFormat="1" spans="1:34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5"/>
      <c r="P126" s="74"/>
      <c r="Q126" s="75"/>
      <c r="R126" s="74"/>
      <c r="S126" s="74"/>
      <c r="T126" s="74"/>
      <c r="U126" s="75"/>
      <c r="V126" s="74"/>
      <c r="W126" s="75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</row>
    <row r="127" s="73" customFormat="1" spans="1:34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5"/>
      <c r="P127" s="74"/>
      <c r="Q127" s="75"/>
      <c r="R127" s="74"/>
      <c r="S127" s="74"/>
      <c r="T127" s="74"/>
      <c r="U127" s="75"/>
      <c r="V127" s="74"/>
      <c r="W127" s="75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</row>
    <row r="128" s="73" customFormat="1" spans="1:34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5"/>
      <c r="P128" s="74"/>
      <c r="Q128" s="75"/>
      <c r="R128" s="74"/>
      <c r="S128" s="74"/>
      <c r="T128" s="74"/>
      <c r="U128" s="75"/>
      <c r="V128" s="74"/>
      <c r="W128" s="75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</row>
    <row r="129" s="73" customFormat="1" spans="1:34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5"/>
      <c r="P129" s="74"/>
      <c r="Q129" s="75"/>
      <c r="R129" s="74"/>
      <c r="S129" s="74"/>
      <c r="T129" s="74"/>
      <c r="U129" s="75"/>
      <c r="V129" s="74"/>
      <c r="W129" s="75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</row>
    <row r="130" s="73" customFormat="1" spans="1:34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5"/>
      <c r="P130" s="74"/>
      <c r="Q130" s="75"/>
      <c r="R130" s="74"/>
      <c r="S130" s="74"/>
      <c r="T130" s="74"/>
      <c r="U130" s="75"/>
      <c r="V130" s="74"/>
      <c r="W130" s="75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</row>
    <row r="131" s="73" customFormat="1" spans="1:34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5"/>
      <c r="P131" s="74"/>
      <c r="Q131" s="75"/>
      <c r="R131" s="74"/>
      <c r="S131" s="74"/>
      <c r="T131" s="74"/>
      <c r="U131" s="75"/>
      <c r="V131" s="74"/>
      <c r="W131" s="75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</row>
    <row r="132" s="73" customFormat="1" spans="1:34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5"/>
      <c r="P132" s="74"/>
      <c r="Q132" s="75"/>
      <c r="R132" s="74"/>
      <c r="S132" s="74"/>
      <c r="T132" s="74"/>
      <c r="U132" s="75"/>
      <c r="V132" s="74"/>
      <c r="W132" s="75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</row>
    <row r="133" s="73" customFormat="1" spans="1:34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5"/>
      <c r="P133" s="74"/>
      <c r="Q133" s="75"/>
      <c r="R133" s="74"/>
      <c r="S133" s="74"/>
      <c r="T133" s="74"/>
      <c r="U133" s="75"/>
      <c r="V133" s="74"/>
      <c r="W133" s="75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</row>
    <row r="134" s="73" customFormat="1" spans="1:34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5"/>
      <c r="P134" s="74"/>
      <c r="Q134" s="75"/>
      <c r="R134" s="74"/>
      <c r="S134" s="74"/>
      <c r="T134" s="74"/>
      <c r="U134" s="75"/>
      <c r="V134" s="74"/>
      <c r="W134" s="75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</row>
    <row r="135" s="73" customFormat="1" spans="1:34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5"/>
      <c r="P135" s="74"/>
      <c r="Q135" s="75"/>
      <c r="R135" s="74"/>
      <c r="S135" s="74"/>
      <c r="T135" s="74"/>
      <c r="U135" s="75"/>
      <c r="V135" s="74"/>
      <c r="W135" s="75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</row>
    <row r="136" s="73" customFormat="1" spans="1:34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5"/>
      <c r="P136" s="74"/>
      <c r="Q136" s="75"/>
      <c r="R136" s="74"/>
      <c r="S136" s="74"/>
      <c r="T136" s="74"/>
      <c r="U136" s="75"/>
      <c r="V136" s="74"/>
      <c r="W136" s="75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</row>
    <row r="137" s="73" customFormat="1" spans="1:34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5"/>
      <c r="P137" s="74"/>
      <c r="Q137" s="75"/>
      <c r="R137" s="74"/>
      <c r="S137" s="74"/>
      <c r="T137" s="74"/>
      <c r="U137" s="75"/>
      <c r="V137" s="74"/>
      <c r="W137" s="75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</row>
    <row r="138" s="73" customFormat="1" spans="1:34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5"/>
      <c r="P138" s="74"/>
      <c r="Q138" s="75"/>
      <c r="R138" s="74"/>
      <c r="S138" s="74"/>
      <c r="T138" s="74"/>
      <c r="U138" s="75"/>
      <c r="V138" s="74"/>
      <c r="W138" s="75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</row>
    <row r="139" s="73" customFormat="1" spans="1:34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5"/>
      <c r="P139" s="74"/>
      <c r="Q139" s="75"/>
      <c r="R139" s="74"/>
      <c r="S139" s="74"/>
      <c r="T139" s="74"/>
      <c r="U139" s="75"/>
      <c r="V139" s="74"/>
      <c r="W139" s="75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</row>
    <row r="140" s="73" customFormat="1" spans="1:34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5"/>
      <c r="P140" s="74"/>
      <c r="Q140" s="75"/>
      <c r="R140" s="74"/>
      <c r="S140" s="74"/>
      <c r="T140" s="74"/>
      <c r="U140" s="75"/>
      <c r="V140" s="74"/>
      <c r="W140" s="75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</row>
    <row r="141" s="73" customFormat="1" spans="1:34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5"/>
      <c r="P141" s="74"/>
      <c r="Q141" s="75"/>
      <c r="R141" s="74"/>
      <c r="S141" s="74"/>
      <c r="T141" s="74"/>
      <c r="U141" s="75"/>
      <c r="V141" s="74"/>
      <c r="W141" s="75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</row>
    <row r="142" s="73" customFormat="1" spans="1:34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5"/>
      <c r="P142" s="74"/>
      <c r="Q142" s="75"/>
      <c r="R142" s="74"/>
      <c r="S142" s="74"/>
      <c r="T142" s="74"/>
      <c r="U142" s="75"/>
      <c r="V142" s="74"/>
      <c r="W142" s="75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</row>
    <row r="143" s="73" customFormat="1" spans="1:34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5"/>
      <c r="P143" s="74"/>
      <c r="Q143" s="75"/>
      <c r="R143" s="74"/>
      <c r="S143" s="74"/>
      <c r="T143" s="74"/>
      <c r="U143" s="75"/>
      <c r="V143" s="74"/>
      <c r="W143" s="75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</row>
    <row r="144" s="73" customFormat="1" spans="1:34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5"/>
      <c r="P144" s="74"/>
      <c r="Q144" s="75"/>
      <c r="R144" s="74"/>
      <c r="S144" s="74"/>
      <c r="T144" s="74"/>
      <c r="U144" s="75"/>
      <c r="V144" s="74"/>
      <c r="W144" s="75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</row>
    <row r="145" s="73" customFormat="1" spans="1:34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5"/>
      <c r="P145" s="74"/>
      <c r="Q145" s="75"/>
      <c r="R145" s="74"/>
      <c r="S145" s="74"/>
      <c r="T145" s="74"/>
      <c r="U145" s="75"/>
      <c r="V145" s="74"/>
      <c r="W145" s="75"/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  <c r="AH145" s="74"/>
    </row>
    <row r="146" s="73" customFormat="1" spans="1:34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5"/>
      <c r="P146" s="74"/>
      <c r="Q146" s="75"/>
      <c r="R146" s="74"/>
      <c r="S146" s="74"/>
      <c r="T146" s="74"/>
      <c r="U146" s="75"/>
      <c r="V146" s="74"/>
      <c r="W146" s="75"/>
      <c r="X146" s="74"/>
      <c r="Y146" s="74"/>
      <c r="Z146" s="74"/>
      <c r="AA146" s="74"/>
      <c r="AB146" s="74"/>
      <c r="AC146" s="74"/>
      <c r="AD146" s="74"/>
      <c r="AE146" s="74"/>
      <c r="AF146" s="74"/>
      <c r="AG146" s="74"/>
      <c r="AH146" s="74"/>
    </row>
    <row r="147" s="73" customFormat="1" spans="1:34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5"/>
      <c r="P147" s="74"/>
      <c r="Q147" s="75"/>
      <c r="R147" s="74"/>
      <c r="S147" s="74"/>
      <c r="T147" s="74"/>
      <c r="U147" s="75"/>
      <c r="V147" s="74"/>
      <c r="W147" s="75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  <c r="AH147" s="74"/>
    </row>
    <row r="148" s="73" customFormat="1" spans="1:34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5"/>
      <c r="P148" s="74"/>
      <c r="Q148" s="75"/>
      <c r="R148" s="74"/>
      <c r="S148" s="74"/>
      <c r="T148" s="74"/>
      <c r="U148" s="75"/>
      <c r="V148" s="74"/>
      <c r="W148" s="75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</row>
    <row r="149" s="73" customFormat="1" spans="1:34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5"/>
      <c r="P149" s="74"/>
      <c r="Q149" s="75"/>
      <c r="R149" s="74"/>
      <c r="S149" s="74"/>
      <c r="T149" s="74"/>
      <c r="U149" s="75"/>
      <c r="V149" s="74"/>
      <c r="W149" s="75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</row>
    <row r="150" s="73" customFormat="1" spans="1:34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5"/>
      <c r="P150" s="74"/>
      <c r="Q150" s="75"/>
      <c r="R150" s="74"/>
      <c r="S150" s="74"/>
      <c r="T150" s="74"/>
      <c r="U150" s="75"/>
      <c r="V150" s="74"/>
      <c r="W150" s="75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</row>
    <row r="151" s="73" customFormat="1" spans="1:34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5"/>
      <c r="P151" s="74"/>
      <c r="Q151" s="75"/>
      <c r="R151" s="74"/>
      <c r="S151" s="74"/>
      <c r="T151" s="74"/>
      <c r="U151" s="75"/>
      <c r="V151" s="74"/>
      <c r="W151" s="75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</row>
    <row r="152" s="73" customFormat="1" spans="1:34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5"/>
      <c r="P152" s="74"/>
      <c r="Q152" s="75"/>
      <c r="R152" s="74"/>
      <c r="S152" s="74"/>
      <c r="T152" s="74"/>
      <c r="U152" s="75"/>
      <c r="V152" s="74"/>
      <c r="W152" s="75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</row>
    <row r="153" s="73" customFormat="1" spans="1:34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5"/>
      <c r="P153" s="74"/>
      <c r="Q153" s="75"/>
      <c r="R153" s="74"/>
      <c r="S153" s="74"/>
      <c r="T153" s="74"/>
      <c r="U153" s="75"/>
      <c r="V153" s="74"/>
      <c r="W153" s="75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  <c r="AH153" s="74"/>
    </row>
    <row r="154" s="73" customFormat="1" spans="1:34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5"/>
      <c r="P154" s="74"/>
      <c r="Q154" s="75"/>
      <c r="R154" s="74"/>
      <c r="S154" s="74"/>
      <c r="T154" s="74"/>
      <c r="U154" s="75"/>
      <c r="V154" s="74"/>
      <c r="W154" s="75"/>
      <c r="X154" s="74"/>
      <c r="Y154" s="74"/>
      <c r="Z154" s="74"/>
      <c r="AA154" s="74"/>
      <c r="AB154" s="74"/>
      <c r="AC154" s="74"/>
      <c r="AD154" s="74"/>
      <c r="AE154" s="74"/>
      <c r="AF154" s="74"/>
      <c r="AG154" s="74"/>
      <c r="AH154" s="74"/>
    </row>
    <row r="155" s="73" customFormat="1" spans="1:34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5"/>
      <c r="P155" s="74"/>
      <c r="Q155" s="75"/>
      <c r="R155" s="74"/>
      <c r="S155" s="74"/>
      <c r="T155" s="74"/>
      <c r="U155" s="75"/>
      <c r="V155" s="74"/>
      <c r="W155" s="75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  <c r="AH155" s="74"/>
    </row>
    <row r="156" s="73" customFormat="1" spans="1:34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5"/>
      <c r="P156" s="74"/>
      <c r="Q156" s="75"/>
      <c r="R156" s="74"/>
      <c r="S156" s="74"/>
      <c r="T156" s="74"/>
      <c r="U156" s="75"/>
      <c r="V156" s="74"/>
      <c r="W156" s="75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  <c r="AH156" s="74"/>
    </row>
    <row r="157" s="73" customFormat="1" spans="1:34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5"/>
      <c r="P157" s="74"/>
      <c r="Q157" s="75"/>
      <c r="R157" s="74"/>
      <c r="S157" s="74"/>
      <c r="T157" s="74"/>
      <c r="U157" s="75"/>
      <c r="V157" s="74"/>
      <c r="W157" s="75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  <c r="AH157" s="74"/>
    </row>
    <row r="158" s="73" customFormat="1" spans="1:34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5"/>
      <c r="P158" s="74"/>
      <c r="Q158" s="75"/>
      <c r="R158" s="74"/>
      <c r="S158" s="74"/>
      <c r="T158" s="74"/>
      <c r="U158" s="75"/>
      <c r="V158" s="74"/>
      <c r="W158" s="75"/>
      <c r="X158" s="74"/>
      <c r="Y158" s="74"/>
      <c r="Z158" s="74"/>
      <c r="AA158" s="74"/>
      <c r="AB158" s="74"/>
      <c r="AC158" s="74"/>
      <c r="AD158" s="74"/>
      <c r="AE158" s="74"/>
      <c r="AF158" s="74"/>
      <c r="AG158" s="74"/>
      <c r="AH158" s="74"/>
    </row>
    <row r="159" s="73" customFormat="1" spans="1:34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5"/>
      <c r="P159" s="74"/>
      <c r="Q159" s="75"/>
      <c r="R159" s="74"/>
      <c r="S159" s="74"/>
      <c r="T159" s="74"/>
      <c r="U159" s="75"/>
      <c r="V159" s="74"/>
      <c r="W159" s="75"/>
      <c r="X159" s="74"/>
      <c r="Y159" s="74"/>
      <c r="Z159" s="74"/>
      <c r="AA159" s="74"/>
      <c r="AB159" s="74"/>
      <c r="AC159" s="74"/>
      <c r="AD159" s="74"/>
      <c r="AE159" s="74"/>
      <c r="AF159" s="74"/>
      <c r="AG159" s="74"/>
      <c r="AH159" s="74"/>
    </row>
    <row r="160" s="73" customFormat="1" spans="1:34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5"/>
      <c r="P160" s="74"/>
      <c r="Q160" s="75"/>
      <c r="R160" s="74"/>
      <c r="S160" s="74"/>
      <c r="T160" s="74"/>
      <c r="U160" s="75"/>
      <c r="V160" s="74"/>
      <c r="W160" s="75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  <c r="AH160" s="74"/>
    </row>
    <row r="161" s="73" customFormat="1" spans="1:34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5"/>
      <c r="P161" s="74"/>
      <c r="Q161" s="75"/>
      <c r="R161" s="74"/>
      <c r="S161" s="74"/>
      <c r="T161" s="74"/>
      <c r="U161" s="75"/>
      <c r="V161" s="74"/>
      <c r="W161" s="75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  <c r="AH161" s="74"/>
    </row>
    <row r="162" s="73" customFormat="1" spans="1:34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5"/>
      <c r="P162" s="74"/>
      <c r="Q162" s="75"/>
      <c r="R162" s="74"/>
      <c r="S162" s="74"/>
      <c r="T162" s="74"/>
      <c r="U162" s="75"/>
      <c r="V162" s="74"/>
      <c r="W162" s="75"/>
      <c r="X162" s="74"/>
      <c r="Y162" s="74"/>
      <c r="Z162" s="74"/>
      <c r="AA162" s="74"/>
      <c r="AB162" s="74"/>
      <c r="AC162" s="74"/>
      <c r="AD162" s="74"/>
      <c r="AE162" s="74"/>
      <c r="AF162" s="74"/>
      <c r="AG162" s="74"/>
      <c r="AH162" s="74"/>
    </row>
    <row r="163" s="73" customFormat="1" spans="1:34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5"/>
      <c r="P163" s="74"/>
      <c r="Q163" s="75"/>
      <c r="R163" s="74"/>
      <c r="S163" s="74"/>
      <c r="T163" s="74"/>
      <c r="U163" s="75"/>
      <c r="V163" s="74"/>
      <c r="W163" s="75"/>
      <c r="X163" s="74"/>
      <c r="Y163" s="74"/>
      <c r="Z163" s="74"/>
      <c r="AA163" s="74"/>
      <c r="AB163" s="74"/>
      <c r="AC163" s="74"/>
      <c r="AD163" s="74"/>
      <c r="AE163" s="74"/>
      <c r="AF163" s="74"/>
      <c r="AG163" s="74"/>
      <c r="AH163" s="74"/>
    </row>
    <row r="164" s="73" customFormat="1" spans="1:34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5"/>
      <c r="P164" s="74"/>
      <c r="Q164" s="75"/>
      <c r="R164" s="74"/>
      <c r="S164" s="74"/>
      <c r="T164" s="74"/>
      <c r="U164" s="75"/>
      <c r="V164" s="74"/>
      <c r="W164" s="75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</row>
    <row r="165" s="73" customFormat="1" spans="1:34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5"/>
      <c r="P165" s="74"/>
      <c r="Q165" s="75"/>
      <c r="R165" s="74"/>
      <c r="S165" s="74"/>
      <c r="T165" s="74"/>
      <c r="U165" s="75"/>
      <c r="V165" s="74"/>
      <c r="W165" s="75"/>
      <c r="X165" s="74"/>
      <c r="Y165" s="74"/>
      <c r="Z165" s="74"/>
      <c r="AA165" s="74"/>
      <c r="AB165" s="74"/>
      <c r="AC165" s="74"/>
      <c r="AD165" s="74"/>
      <c r="AE165" s="74"/>
      <c r="AF165" s="74"/>
      <c r="AG165" s="74"/>
      <c r="AH165" s="74"/>
    </row>
    <row r="166" s="73" customFormat="1" spans="1:34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5"/>
      <c r="P166" s="74"/>
      <c r="Q166" s="75"/>
      <c r="R166" s="74"/>
      <c r="S166" s="74"/>
      <c r="T166" s="74"/>
      <c r="U166" s="75"/>
      <c r="V166" s="74"/>
      <c r="W166" s="75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</row>
    <row r="167" s="73" customFormat="1" spans="1:34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5"/>
      <c r="P167" s="74"/>
      <c r="Q167" s="75"/>
      <c r="R167" s="74"/>
      <c r="S167" s="74"/>
      <c r="T167" s="74"/>
      <c r="U167" s="75"/>
      <c r="V167" s="74"/>
      <c r="W167" s="75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</row>
    <row r="168" s="73" customFormat="1" spans="1:34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5"/>
      <c r="P168" s="74"/>
      <c r="Q168" s="75"/>
      <c r="R168" s="74"/>
      <c r="S168" s="74"/>
      <c r="T168" s="74"/>
      <c r="U168" s="75"/>
      <c r="V168" s="74"/>
      <c r="W168" s="75"/>
      <c r="X168" s="74"/>
      <c r="Y168" s="74"/>
      <c r="Z168" s="74"/>
      <c r="AA168" s="74"/>
      <c r="AB168" s="74"/>
      <c r="AC168" s="74"/>
      <c r="AD168" s="74"/>
      <c r="AE168" s="74"/>
      <c r="AF168" s="74"/>
      <c r="AG168" s="74"/>
      <c r="AH168" s="74"/>
    </row>
    <row r="169" s="73" customFormat="1" spans="1:34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5"/>
      <c r="P169" s="74"/>
      <c r="Q169" s="75"/>
      <c r="R169" s="74"/>
      <c r="S169" s="74"/>
      <c r="T169" s="74"/>
      <c r="U169" s="75"/>
      <c r="V169" s="74"/>
      <c r="W169" s="75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</row>
    <row r="170" s="73" customFormat="1" spans="1:34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5"/>
      <c r="P170" s="74"/>
      <c r="Q170" s="75"/>
      <c r="R170" s="74"/>
      <c r="S170" s="74"/>
      <c r="T170" s="74"/>
      <c r="U170" s="75"/>
      <c r="V170" s="74"/>
      <c r="W170" s="75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</row>
    <row r="171" s="73" customFormat="1" spans="1:34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5"/>
      <c r="P171" s="74"/>
      <c r="Q171" s="75"/>
      <c r="R171" s="74"/>
      <c r="S171" s="74"/>
      <c r="T171" s="74"/>
      <c r="U171" s="75"/>
      <c r="V171" s="74"/>
      <c r="W171" s="75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</row>
    <row r="172" s="73" customFormat="1" spans="1:34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5"/>
      <c r="P172" s="74"/>
      <c r="Q172" s="75"/>
      <c r="R172" s="74"/>
      <c r="S172" s="74"/>
      <c r="T172" s="74"/>
      <c r="U172" s="75"/>
      <c r="V172" s="74"/>
      <c r="W172" s="75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</row>
    <row r="173" s="73" customFormat="1" spans="1:34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5"/>
      <c r="P173" s="74"/>
      <c r="Q173" s="75"/>
      <c r="R173" s="74"/>
      <c r="S173" s="74"/>
      <c r="T173" s="74"/>
      <c r="U173" s="75"/>
      <c r="V173" s="74"/>
      <c r="W173" s="75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</row>
    <row r="175" s="73" customFormat="1" spans="1:34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5"/>
      <c r="P175" s="74"/>
      <c r="Q175" s="75"/>
      <c r="R175" s="74"/>
      <c r="S175" s="74"/>
      <c r="T175" s="74"/>
      <c r="U175" s="75"/>
      <c r="V175" s="74"/>
      <c r="W175" s="75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</row>
    <row r="176" s="73" customFormat="1" spans="1:34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5"/>
      <c r="P176" s="74"/>
      <c r="Q176" s="75"/>
      <c r="R176" s="74"/>
      <c r="S176" s="74"/>
      <c r="T176" s="74"/>
      <c r="U176" s="75"/>
      <c r="V176" s="74"/>
      <c r="W176" s="75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</row>
    <row r="177" s="73" customFormat="1" spans="1:34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5"/>
      <c r="P177" s="74"/>
      <c r="Q177" s="75"/>
      <c r="R177" s="74"/>
      <c r="S177" s="74"/>
      <c r="T177" s="74"/>
      <c r="U177" s="75"/>
      <c r="V177" s="74"/>
      <c r="W177" s="75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</row>
    <row r="178" s="73" customFormat="1" spans="1:34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5"/>
      <c r="P178" s="74"/>
      <c r="Q178" s="75"/>
      <c r="R178" s="74"/>
      <c r="S178" s="74"/>
      <c r="T178" s="74"/>
      <c r="U178" s="75"/>
      <c r="V178" s="74"/>
      <c r="W178" s="75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</row>
    <row r="179" s="73" customFormat="1" spans="1:34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5"/>
      <c r="P179" s="74"/>
      <c r="Q179" s="75"/>
      <c r="R179" s="74"/>
      <c r="S179" s="74"/>
      <c r="T179" s="74"/>
      <c r="U179" s="75"/>
      <c r="V179" s="74"/>
      <c r="W179" s="75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</row>
    <row r="180" s="73" customFormat="1" spans="1:34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5"/>
      <c r="P180" s="74"/>
      <c r="Q180" s="75"/>
      <c r="R180" s="74"/>
      <c r="S180" s="74"/>
      <c r="T180" s="74"/>
      <c r="U180" s="75"/>
      <c r="V180" s="74"/>
      <c r="W180" s="75"/>
      <c r="X180" s="74"/>
      <c r="Y180" s="74"/>
      <c r="Z180" s="74"/>
      <c r="AA180" s="74"/>
      <c r="AB180" s="74"/>
      <c r="AC180" s="74"/>
      <c r="AD180" s="74"/>
      <c r="AE180" s="74"/>
      <c r="AF180" s="74"/>
      <c r="AG180" s="74"/>
      <c r="AH180" s="74"/>
    </row>
    <row r="181" s="73" customFormat="1" spans="1:34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5"/>
      <c r="P181" s="74"/>
      <c r="Q181" s="75"/>
      <c r="R181" s="74"/>
      <c r="S181" s="74"/>
      <c r="T181" s="74"/>
      <c r="U181" s="75"/>
      <c r="V181" s="74"/>
      <c r="W181" s="75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  <c r="AH181" s="74"/>
    </row>
    <row r="182" s="73" customFormat="1" spans="1:34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5"/>
      <c r="P182" s="74"/>
      <c r="Q182" s="75"/>
      <c r="R182" s="74"/>
      <c r="S182" s="74"/>
      <c r="T182" s="74"/>
      <c r="U182" s="75"/>
      <c r="V182" s="74"/>
      <c r="W182" s="75"/>
      <c r="X182" s="74"/>
      <c r="Y182" s="74"/>
      <c r="Z182" s="74"/>
      <c r="AA182" s="74"/>
      <c r="AB182" s="74"/>
      <c r="AC182" s="74"/>
      <c r="AD182" s="74"/>
      <c r="AE182" s="74"/>
      <c r="AF182" s="74"/>
      <c r="AG182" s="74"/>
      <c r="AH182" s="74"/>
    </row>
    <row r="183" s="73" customFormat="1" spans="1:34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5"/>
      <c r="P183" s="74"/>
      <c r="Q183" s="75"/>
      <c r="R183" s="74"/>
      <c r="S183" s="74"/>
      <c r="T183" s="74"/>
      <c r="U183" s="75"/>
      <c r="V183" s="74"/>
      <c r="W183" s="75"/>
      <c r="X183" s="74"/>
      <c r="Y183" s="74"/>
      <c r="Z183" s="74"/>
      <c r="AA183" s="74"/>
      <c r="AB183" s="74"/>
      <c r="AC183" s="74"/>
      <c r="AD183" s="74"/>
      <c r="AE183" s="74"/>
      <c r="AF183" s="74"/>
      <c r="AG183" s="74"/>
      <c r="AH183" s="74"/>
    </row>
    <row r="184" s="73" customFormat="1" spans="1:34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5"/>
      <c r="P184" s="74"/>
      <c r="Q184" s="75"/>
      <c r="R184" s="74"/>
      <c r="S184" s="74"/>
      <c r="T184" s="74"/>
      <c r="U184" s="75"/>
      <c r="V184" s="74"/>
      <c r="W184" s="75"/>
      <c r="X184" s="74"/>
      <c r="Y184" s="74"/>
      <c r="Z184" s="74"/>
      <c r="AA184" s="74"/>
      <c r="AB184" s="74"/>
      <c r="AC184" s="74"/>
      <c r="AD184" s="74"/>
      <c r="AE184" s="74"/>
      <c r="AF184" s="74"/>
      <c r="AG184" s="74"/>
      <c r="AH184" s="74"/>
    </row>
    <row r="185" s="73" customFormat="1" spans="1:34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5"/>
      <c r="P185" s="74"/>
      <c r="Q185" s="75"/>
      <c r="R185" s="74"/>
      <c r="S185" s="74"/>
      <c r="T185" s="74"/>
      <c r="U185" s="75"/>
      <c r="V185" s="74"/>
      <c r="W185" s="75"/>
      <c r="X185" s="74"/>
      <c r="Y185" s="74"/>
      <c r="Z185" s="74"/>
      <c r="AA185" s="74"/>
      <c r="AB185" s="74"/>
      <c r="AC185" s="74"/>
      <c r="AD185" s="74"/>
      <c r="AE185" s="74"/>
      <c r="AF185" s="74"/>
      <c r="AG185" s="74"/>
      <c r="AH185" s="74"/>
    </row>
    <row r="186" s="73" customFormat="1" spans="1:34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5"/>
      <c r="P186" s="74"/>
      <c r="Q186" s="75"/>
      <c r="R186" s="74"/>
      <c r="S186" s="74"/>
      <c r="T186" s="74"/>
      <c r="U186" s="75"/>
      <c r="V186" s="74"/>
      <c r="W186" s="75"/>
      <c r="X186" s="74"/>
      <c r="Y186" s="74"/>
      <c r="Z186" s="74"/>
      <c r="AA186" s="74"/>
      <c r="AB186" s="74"/>
      <c r="AC186" s="74"/>
      <c r="AD186" s="74"/>
      <c r="AE186" s="74"/>
      <c r="AF186" s="74"/>
      <c r="AG186" s="74"/>
      <c r="AH186" s="74"/>
    </row>
    <row r="187" s="73" customFormat="1" spans="1:34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5"/>
      <c r="P187" s="74"/>
      <c r="Q187" s="75"/>
      <c r="R187" s="74"/>
      <c r="S187" s="74"/>
      <c r="T187" s="74"/>
      <c r="U187" s="75"/>
      <c r="V187" s="74"/>
      <c r="W187" s="75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  <c r="AH187" s="74"/>
    </row>
    <row r="188" s="73" customFormat="1" spans="1:34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5"/>
      <c r="P188" s="74"/>
      <c r="Q188" s="75"/>
      <c r="R188" s="74"/>
      <c r="S188" s="74"/>
      <c r="T188" s="74"/>
      <c r="U188" s="75"/>
      <c r="V188" s="74"/>
      <c r="W188" s="75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</row>
    <row r="189" s="73" customFormat="1" spans="1:34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5"/>
      <c r="P189" s="74"/>
      <c r="Q189" s="75"/>
      <c r="R189" s="74"/>
      <c r="S189" s="74"/>
      <c r="T189" s="74"/>
      <c r="U189" s="75"/>
      <c r="V189" s="74"/>
      <c r="W189" s="75"/>
      <c r="X189" s="74"/>
      <c r="Y189" s="74"/>
      <c r="Z189" s="74"/>
      <c r="AA189" s="74"/>
      <c r="AB189" s="74"/>
      <c r="AC189" s="74"/>
      <c r="AD189" s="74"/>
      <c r="AE189" s="74"/>
      <c r="AF189" s="74"/>
      <c r="AG189" s="74"/>
      <c r="AH189" s="74"/>
    </row>
    <row r="190" s="73" customFormat="1" spans="1:34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5"/>
      <c r="P190" s="74"/>
      <c r="Q190" s="75"/>
      <c r="R190" s="74"/>
      <c r="S190" s="74"/>
      <c r="T190" s="74"/>
      <c r="U190" s="75"/>
      <c r="V190" s="74"/>
      <c r="W190" s="75"/>
      <c r="X190" s="74"/>
      <c r="Y190" s="74"/>
      <c r="Z190" s="74"/>
      <c r="AA190" s="74"/>
      <c r="AB190" s="74"/>
      <c r="AC190" s="74"/>
      <c r="AD190" s="74"/>
      <c r="AE190" s="74"/>
      <c r="AF190" s="74"/>
      <c r="AG190" s="74"/>
      <c r="AH190" s="74"/>
    </row>
    <row r="191" s="73" customFormat="1" spans="1:34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5"/>
      <c r="P191" s="74"/>
      <c r="Q191" s="75"/>
      <c r="R191" s="74"/>
      <c r="S191" s="74"/>
      <c r="T191" s="74"/>
      <c r="U191" s="75"/>
      <c r="V191" s="74"/>
      <c r="W191" s="75"/>
      <c r="X191" s="74"/>
      <c r="Y191" s="74"/>
      <c r="Z191" s="74"/>
      <c r="AA191" s="74"/>
      <c r="AB191" s="74"/>
      <c r="AC191" s="74"/>
      <c r="AD191" s="74"/>
      <c r="AE191" s="74"/>
      <c r="AF191" s="74"/>
      <c r="AG191" s="74"/>
      <c r="AH191" s="74"/>
    </row>
    <row r="193" s="73" customFormat="1" spans="1:34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5"/>
      <c r="P193" s="74"/>
      <c r="Q193" s="75"/>
      <c r="R193" s="74"/>
      <c r="S193" s="74"/>
      <c r="T193" s="74"/>
      <c r="U193" s="75"/>
      <c r="V193" s="74"/>
      <c r="W193" s="75"/>
      <c r="X193" s="74"/>
      <c r="Y193" s="74"/>
      <c r="Z193" s="74"/>
      <c r="AA193" s="74"/>
      <c r="AB193" s="74"/>
      <c r="AC193" s="74"/>
      <c r="AD193" s="74"/>
      <c r="AE193" s="74"/>
      <c r="AF193" s="74"/>
      <c r="AG193" s="74"/>
      <c r="AH193" s="74"/>
    </row>
    <row r="194" s="73" customFormat="1" spans="1:34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5"/>
      <c r="P194" s="74"/>
      <c r="Q194" s="75"/>
      <c r="R194" s="74"/>
      <c r="S194" s="74"/>
      <c r="T194" s="74"/>
      <c r="U194" s="75"/>
      <c r="V194" s="74"/>
      <c r="W194" s="75"/>
      <c r="X194" s="74"/>
      <c r="Y194" s="74"/>
      <c r="Z194" s="74"/>
      <c r="AA194" s="74"/>
      <c r="AB194" s="74"/>
      <c r="AC194" s="74"/>
      <c r="AD194" s="74"/>
      <c r="AE194" s="74"/>
      <c r="AF194" s="74"/>
      <c r="AG194" s="74"/>
      <c r="AH194" s="74"/>
    </row>
    <row r="195" s="73" customFormat="1" spans="1:34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5"/>
      <c r="P195" s="74"/>
      <c r="Q195" s="75"/>
      <c r="R195" s="74"/>
      <c r="S195" s="74"/>
      <c r="T195" s="74"/>
      <c r="U195" s="75"/>
      <c r="V195" s="74"/>
      <c r="W195" s="75"/>
      <c r="X195" s="74"/>
      <c r="Y195" s="74"/>
      <c r="Z195" s="74"/>
      <c r="AA195" s="74"/>
      <c r="AB195" s="74"/>
      <c r="AC195" s="74"/>
      <c r="AD195" s="74"/>
      <c r="AE195" s="74"/>
      <c r="AF195" s="74"/>
      <c r="AG195" s="74"/>
      <c r="AH195" s="74"/>
    </row>
    <row r="196" s="73" customFormat="1" spans="1:34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5"/>
      <c r="P196" s="74"/>
      <c r="Q196" s="75"/>
      <c r="R196" s="74"/>
      <c r="S196" s="74"/>
      <c r="T196" s="74"/>
      <c r="U196" s="75"/>
      <c r="V196" s="74"/>
      <c r="W196" s="75"/>
      <c r="X196" s="74"/>
      <c r="Y196" s="74"/>
      <c r="Z196" s="74"/>
      <c r="AA196" s="74"/>
      <c r="AB196" s="74"/>
      <c r="AC196" s="74"/>
      <c r="AD196" s="74"/>
      <c r="AE196" s="74"/>
      <c r="AF196" s="74"/>
      <c r="AG196" s="74"/>
      <c r="AH196" s="74"/>
    </row>
    <row r="197" s="73" customFormat="1" spans="1:34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5"/>
      <c r="P197" s="74"/>
      <c r="Q197" s="75"/>
      <c r="R197" s="74"/>
      <c r="S197" s="74"/>
      <c r="T197" s="74"/>
      <c r="U197" s="75"/>
      <c r="V197" s="74"/>
      <c r="W197" s="75"/>
      <c r="X197" s="74"/>
      <c r="Y197" s="74"/>
      <c r="Z197" s="74"/>
      <c r="AA197" s="74"/>
      <c r="AB197" s="74"/>
      <c r="AC197" s="74"/>
      <c r="AD197" s="74"/>
      <c r="AE197" s="74"/>
      <c r="AF197" s="74"/>
      <c r="AG197" s="74"/>
      <c r="AH197" s="74"/>
    </row>
    <row r="198" s="73" customFormat="1" spans="1:34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5"/>
      <c r="P198" s="74"/>
      <c r="Q198" s="75"/>
      <c r="R198" s="74"/>
      <c r="S198" s="74"/>
      <c r="T198" s="74"/>
      <c r="U198" s="75"/>
      <c r="V198" s="74"/>
      <c r="W198" s="75"/>
      <c r="X198" s="74"/>
      <c r="Y198" s="74"/>
      <c r="Z198" s="74"/>
      <c r="AA198" s="74"/>
      <c r="AB198" s="74"/>
      <c r="AC198" s="74"/>
      <c r="AD198" s="74"/>
      <c r="AE198" s="74"/>
      <c r="AF198" s="74"/>
      <c r="AG198" s="74"/>
      <c r="AH198" s="74"/>
    </row>
    <row r="200" s="73" customFormat="1" spans="1:34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5"/>
      <c r="P200" s="74"/>
      <c r="Q200" s="75"/>
      <c r="R200" s="74"/>
      <c r="S200" s="74"/>
      <c r="T200" s="74"/>
      <c r="U200" s="75"/>
      <c r="V200" s="74"/>
      <c r="W200" s="75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</row>
    <row r="201" s="73" customFormat="1" spans="1:34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5"/>
      <c r="P201" s="74"/>
      <c r="Q201" s="75"/>
      <c r="R201" s="74"/>
      <c r="S201" s="74"/>
      <c r="T201" s="74"/>
      <c r="U201" s="75"/>
      <c r="V201" s="74"/>
      <c r="W201" s="75"/>
      <c r="X201" s="74"/>
      <c r="Y201" s="74"/>
      <c r="Z201" s="74"/>
      <c r="AA201" s="74"/>
      <c r="AB201" s="74"/>
      <c r="AC201" s="74"/>
      <c r="AD201" s="74"/>
      <c r="AE201" s="74"/>
      <c r="AF201" s="74"/>
      <c r="AG201" s="74"/>
      <c r="AH201" s="74"/>
    </row>
    <row r="202" s="73" customFormat="1" spans="1:34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5"/>
      <c r="P202" s="74"/>
      <c r="Q202" s="75"/>
      <c r="R202" s="74"/>
      <c r="S202" s="74"/>
      <c r="T202" s="74"/>
      <c r="U202" s="75"/>
      <c r="V202" s="74"/>
      <c r="W202" s="75"/>
      <c r="X202" s="74"/>
      <c r="Y202" s="74"/>
      <c r="Z202" s="74"/>
      <c r="AA202" s="74"/>
      <c r="AB202" s="74"/>
      <c r="AC202" s="74"/>
      <c r="AD202" s="74"/>
      <c r="AE202" s="74"/>
      <c r="AF202" s="74"/>
      <c r="AG202" s="74"/>
      <c r="AH202" s="74"/>
    </row>
    <row r="203" s="73" customFormat="1" spans="1:34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5"/>
      <c r="P203" s="74"/>
      <c r="Q203" s="75"/>
      <c r="R203" s="74"/>
      <c r="S203" s="74"/>
      <c r="T203" s="74"/>
      <c r="U203" s="75"/>
      <c r="V203" s="74"/>
      <c r="W203" s="75"/>
      <c r="X203" s="74"/>
      <c r="Y203" s="74"/>
      <c r="Z203" s="74"/>
      <c r="AA203" s="74"/>
      <c r="AB203" s="74"/>
      <c r="AC203" s="74"/>
      <c r="AD203" s="74"/>
      <c r="AE203" s="74"/>
      <c r="AF203" s="74"/>
      <c r="AG203" s="74"/>
      <c r="AH203" s="74"/>
    </row>
    <row r="204" s="73" customFormat="1" spans="1:34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5"/>
      <c r="P204" s="74"/>
      <c r="Q204" s="75"/>
      <c r="R204" s="74"/>
      <c r="S204" s="74"/>
      <c r="T204" s="74"/>
      <c r="U204" s="75"/>
      <c r="V204" s="74"/>
      <c r="W204" s="75"/>
      <c r="X204" s="74"/>
      <c r="Y204" s="74"/>
      <c r="Z204" s="74"/>
      <c r="AA204" s="74"/>
      <c r="AB204" s="74"/>
      <c r="AC204" s="74"/>
      <c r="AD204" s="74"/>
      <c r="AE204" s="74"/>
      <c r="AF204" s="74"/>
      <c r="AG204" s="74"/>
      <c r="AH204" s="74"/>
    </row>
    <row r="205" s="73" customFormat="1" spans="1:34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5"/>
      <c r="P205" s="74"/>
      <c r="Q205" s="75"/>
      <c r="R205" s="74"/>
      <c r="S205" s="74"/>
      <c r="T205" s="74"/>
      <c r="U205" s="75"/>
      <c r="V205" s="74"/>
      <c r="W205" s="75"/>
      <c r="X205" s="74"/>
      <c r="Y205" s="74"/>
      <c r="Z205" s="74"/>
      <c r="AA205" s="74"/>
      <c r="AB205" s="74"/>
      <c r="AC205" s="74"/>
      <c r="AD205" s="74"/>
      <c r="AE205" s="74"/>
      <c r="AF205" s="74"/>
      <c r="AG205" s="74"/>
      <c r="AH205" s="74"/>
    </row>
    <row r="206" s="73" customFormat="1" spans="1:34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5"/>
      <c r="P206" s="74"/>
      <c r="Q206" s="75"/>
      <c r="R206" s="74"/>
      <c r="S206" s="74"/>
      <c r="T206" s="74"/>
      <c r="U206" s="75"/>
      <c r="V206" s="74"/>
      <c r="W206" s="75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</row>
    <row r="207" s="73" customFormat="1" spans="1:34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5"/>
      <c r="P207" s="74"/>
      <c r="Q207" s="75"/>
      <c r="R207" s="74"/>
      <c r="S207" s="74"/>
      <c r="T207" s="74"/>
      <c r="U207" s="75"/>
      <c r="V207" s="74"/>
      <c r="W207" s="75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</row>
    <row r="208" s="73" customFormat="1" spans="1:34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5"/>
      <c r="P208" s="74"/>
      <c r="Q208" s="75"/>
      <c r="R208" s="74"/>
      <c r="S208" s="74"/>
      <c r="T208" s="74"/>
      <c r="U208" s="75"/>
      <c r="V208" s="74"/>
      <c r="W208" s="75"/>
      <c r="X208" s="74"/>
      <c r="Y208" s="74"/>
      <c r="Z208" s="74"/>
      <c r="AA208" s="74"/>
      <c r="AB208" s="74"/>
      <c r="AC208" s="74"/>
      <c r="AD208" s="74"/>
      <c r="AE208" s="74"/>
      <c r="AF208" s="74"/>
      <c r="AG208" s="74"/>
      <c r="AH208" s="74"/>
    </row>
    <row r="209" s="73" customFormat="1" spans="1:34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5"/>
      <c r="P209" s="74"/>
      <c r="Q209" s="75"/>
      <c r="R209" s="74"/>
      <c r="S209" s="74"/>
      <c r="T209" s="74"/>
      <c r="U209" s="75"/>
      <c r="V209" s="74"/>
      <c r="W209" s="75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</row>
    <row r="210" s="73" customFormat="1" spans="1:34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5"/>
      <c r="P210" s="74"/>
      <c r="Q210" s="75"/>
      <c r="R210" s="74"/>
      <c r="S210" s="74"/>
      <c r="T210" s="74"/>
      <c r="U210" s="75"/>
      <c r="V210" s="74"/>
      <c r="W210" s="75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</row>
    <row r="211" s="73" customFormat="1" spans="1:34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5"/>
      <c r="P211" s="74"/>
      <c r="Q211" s="75"/>
      <c r="R211" s="74"/>
      <c r="S211" s="74"/>
      <c r="T211" s="74"/>
      <c r="U211" s="75"/>
      <c r="V211" s="74"/>
      <c r="W211" s="75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</row>
    <row r="212" s="73" customFormat="1" spans="1:34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5"/>
      <c r="P212" s="74"/>
      <c r="Q212" s="75"/>
      <c r="R212" s="74"/>
      <c r="S212" s="74"/>
      <c r="T212" s="74"/>
      <c r="U212" s="75"/>
      <c r="V212" s="74"/>
      <c r="W212" s="75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</row>
    <row r="213" s="73" customFormat="1" spans="1:34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5"/>
      <c r="P213" s="74"/>
      <c r="Q213" s="75"/>
      <c r="R213" s="74"/>
      <c r="S213" s="74"/>
      <c r="T213" s="74"/>
      <c r="U213" s="75"/>
      <c r="V213" s="74"/>
      <c r="W213" s="75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</row>
    <row r="214" s="73" customFormat="1" spans="1:34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5"/>
      <c r="P214" s="74"/>
      <c r="Q214" s="75"/>
      <c r="R214" s="74"/>
      <c r="S214" s="74"/>
      <c r="T214" s="74"/>
      <c r="U214" s="75"/>
      <c r="V214" s="74"/>
      <c r="W214" s="75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</row>
    <row r="215" s="73" customFormat="1" spans="1:34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5"/>
      <c r="P215" s="74"/>
      <c r="Q215" s="75"/>
      <c r="R215" s="74"/>
      <c r="S215" s="74"/>
      <c r="T215" s="74"/>
      <c r="U215" s="75"/>
      <c r="V215" s="74"/>
      <c r="W215" s="75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</row>
    <row r="216" s="73" customFormat="1" spans="1:34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5"/>
      <c r="P216" s="74"/>
      <c r="Q216" s="75"/>
      <c r="R216" s="74"/>
      <c r="S216" s="74"/>
      <c r="T216" s="74"/>
      <c r="U216" s="75"/>
      <c r="V216" s="74"/>
      <c r="W216" s="75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</row>
    <row r="217" s="73" customFormat="1" spans="1:34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5"/>
      <c r="P217" s="74"/>
      <c r="Q217" s="75"/>
      <c r="R217" s="74"/>
      <c r="S217" s="74"/>
      <c r="T217" s="74"/>
      <c r="U217" s="75"/>
      <c r="V217" s="74"/>
      <c r="W217" s="75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</row>
    <row r="218" s="73" customFormat="1" spans="1:34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5"/>
      <c r="P218" s="74"/>
      <c r="Q218" s="75"/>
      <c r="R218" s="74"/>
      <c r="S218" s="74"/>
      <c r="T218" s="74"/>
      <c r="U218" s="75"/>
      <c r="V218" s="74"/>
      <c r="W218" s="75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</row>
    <row r="219" s="73" customFormat="1" spans="1:34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5"/>
      <c r="P219" s="74"/>
      <c r="Q219" s="75"/>
      <c r="R219" s="74"/>
      <c r="S219" s="74"/>
      <c r="T219" s="74"/>
      <c r="U219" s="75"/>
      <c r="V219" s="74"/>
      <c r="W219" s="75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</row>
    <row r="220" s="73" customFormat="1" spans="1:34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5"/>
      <c r="P220" s="74"/>
      <c r="Q220" s="75"/>
      <c r="R220" s="74"/>
      <c r="S220" s="74"/>
      <c r="T220" s="74"/>
      <c r="U220" s="75"/>
      <c r="V220" s="74"/>
      <c r="W220" s="75"/>
      <c r="X220" s="74"/>
      <c r="Y220" s="74"/>
      <c r="Z220" s="74"/>
      <c r="AA220" s="74"/>
      <c r="AB220" s="74"/>
      <c r="AC220" s="74"/>
      <c r="AD220" s="74"/>
      <c r="AE220" s="74"/>
      <c r="AF220" s="74"/>
      <c r="AG220" s="74"/>
      <c r="AH220" s="74"/>
    </row>
    <row r="221" s="73" customFormat="1" spans="1:34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5"/>
      <c r="P221" s="74"/>
      <c r="Q221" s="75"/>
      <c r="R221" s="74"/>
      <c r="S221" s="74"/>
      <c r="T221" s="74"/>
      <c r="U221" s="75"/>
      <c r="V221" s="74"/>
      <c r="W221" s="75"/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  <c r="AH221" s="74"/>
    </row>
    <row r="222" s="73" customFormat="1" spans="1:34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5"/>
      <c r="P222" s="74"/>
      <c r="Q222" s="75"/>
      <c r="R222" s="74"/>
      <c r="S222" s="74"/>
      <c r="T222" s="74"/>
      <c r="U222" s="75"/>
      <c r="V222" s="74"/>
      <c r="W222" s="75"/>
      <c r="X222" s="74"/>
      <c r="Y222" s="74"/>
      <c r="Z222" s="74"/>
      <c r="AA222" s="74"/>
      <c r="AB222" s="74"/>
      <c r="AC222" s="74"/>
      <c r="AD222" s="74"/>
      <c r="AE222" s="74"/>
      <c r="AF222" s="74"/>
      <c r="AG222" s="74"/>
      <c r="AH222" s="74"/>
    </row>
    <row r="223" s="73" customFormat="1" spans="1:34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5"/>
      <c r="P223" s="74"/>
      <c r="Q223" s="75"/>
      <c r="R223" s="74"/>
      <c r="S223" s="74"/>
      <c r="T223" s="74"/>
      <c r="U223" s="75"/>
      <c r="V223" s="74"/>
      <c r="W223" s="75"/>
      <c r="X223" s="74"/>
      <c r="Y223" s="74"/>
      <c r="Z223" s="74"/>
      <c r="AA223" s="74"/>
      <c r="AB223" s="74"/>
      <c r="AC223" s="74"/>
      <c r="AD223" s="74"/>
      <c r="AE223" s="74"/>
      <c r="AF223" s="74"/>
      <c r="AG223" s="74"/>
      <c r="AH223" s="74"/>
    </row>
    <row r="224" s="73" customFormat="1" spans="1:34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5"/>
      <c r="P224" s="74"/>
      <c r="Q224" s="75"/>
      <c r="R224" s="74"/>
      <c r="S224" s="74"/>
      <c r="T224" s="74"/>
      <c r="U224" s="75"/>
      <c r="V224" s="74"/>
      <c r="W224" s="75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</row>
    <row r="225" s="73" customFormat="1" spans="1:34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5"/>
      <c r="P225" s="74"/>
      <c r="Q225" s="75"/>
      <c r="R225" s="74"/>
      <c r="S225" s="74"/>
      <c r="T225" s="74"/>
      <c r="U225" s="75"/>
      <c r="V225" s="74"/>
      <c r="W225" s="75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  <c r="AH225" s="74"/>
    </row>
    <row r="226" s="73" customFormat="1" spans="1:34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5"/>
      <c r="P226" s="74"/>
      <c r="Q226" s="75"/>
      <c r="R226" s="74"/>
      <c r="S226" s="74"/>
      <c r="T226" s="74"/>
      <c r="U226" s="75"/>
      <c r="V226" s="74"/>
      <c r="W226" s="75"/>
      <c r="X226" s="74"/>
      <c r="Y226" s="74"/>
      <c r="Z226" s="74"/>
      <c r="AA226" s="74"/>
      <c r="AB226" s="74"/>
      <c r="AC226" s="74"/>
      <c r="AD226" s="74"/>
      <c r="AE226" s="74"/>
      <c r="AF226" s="74"/>
      <c r="AG226" s="74"/>
      <c r="AH226" s="74"/>
    </row>
    <row r="227" s="73" customFormat="1" spans="1:34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5"/>
      <c r="P227" s="74"/>
      <c r="Q227" s="75"/>
      <c r="R227" s="74"/>
      <c r="S227" s="74"/>
      <c r="T227" s="74"/>
      <c r="U227" s="75"/>
      <c r="V227" s="74"/>
      <c r="W227" s="75"/>
      <c r="X227" s="74"/>
      <c r="Y227" s="74"/>
      <c r="Z227" s="74"/>
      <c r="AA227" s="74"/>
      <c r="AB227" s="74"/>
      <c r="AC227" s="74"/>
      <c r="AD227" s="74"/>
      <c r="AE227" s="74"/>
      <c r="AF227" s="74"/>
      <c r="AG227" s="74"/>
      <c r="AH227" s="74"/>
    </row>
    <row r="228" s="73" customFormat="1" spans="1:34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5"/>
      <c r="P228" s="74"/>
      <c r="Q228" s="75"/>
      <c r="R228" s="74"/>
      <c r="S228" s="74"/>
      <c r="T228" s="74"/>
      <c r="U228" s="75"/>
      <c r="V228" s="74"/>
      <c r="W228" s="75"/>
      <c r="X228" s="74"/>
      <c r="Y228" s="74"/>
      <c r="Z228" s="74"/>
      <c r="AA228" s="74"/>
      <c r="AB228" s="74"/>
      <c r="AC228" s="74"/>
      <c r="AD228" s="74"/>
      <c r="AE228" s="74"/>
      <c r="AF228" s="74"/>
      <c r="AG228" s="74"/>
      <c r="AH228" s="74"/>
    </row>
    <row r="229" s="73" customFormat="1" spans="1:34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5"/>
      <c r="P229" s="74"/>
      <c r="Q229" s="75"/>
      <c r="R229" s="74"/>
      <c r="S229" s="74"/>
      <c r="T229" s="74"/>
      <c r="U229" s="75"/>
      <c r="V229" s="74"/>
      <c r="W229" s="75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</row>
    <row r="230" s="73" customFormat="1" spans="1:34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5"/>
      <c r="P230" s="74"/>
      <c r="Q230" s="75"/>
      <c r="R230" s="74"/>
      <c r="S230" s="74"/>
      <c r="T230" s="74"/>
      <c r="U230" s="75"/>
      <c r="V230" s="74"/>
      <c r="W230" s="75"/>
      <c r="X230" s="74"/>
      <c r="Y230" s="74"/>
      <c r="Z230" s="74"/>
      <c r="AA230" s="74"/>
      <c r="AB230" s="74"/>
      <c r="AC230" s="74"/>
      <c r="AD230" s="74"/>
      <c r="AE230" s="74"/>
      <c r="AF230" s="74"/>
      <c r="AG230" s="74"/>
      <c r="AH230" s="74"/>
    </row>
    <row r="231" s="73" customFormat="1" spans="1:34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5"/>
      <c r="P231" s="74"/>
      <c r="Q231" s="75"/>
      <c r="R231" s="74"/>
      <c r="S231" s="74"/>
      <c r="T231" s="74"/>
      <c r="U231" s="75"/>
      <c r="V231" s="74"/>
      <c r="W231" s="75"/>
      <c r="X231" s="74"/>
      <c r="Y231" s="74"/>
      <c r="Z231" s="74"/>
      <c r="AA231" s="74"/>
      <c r="AB231" s="74"/>
      <c r="AC231" s="74"/>
      <c r="AD231" s="74"/>
      <c r="AE231" s="74"/>
      <c r="AF231" s="74"/>
      <c r="AG231" s="74"/>
      <c r="AH231" s="74"/>
    </row>
    <row r="232" s="73" customFormat="1" spans="1:34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5"/>
      <c r="P232" s="74"/>
      <c r="Q232" s="75"/>
      <c r="R232" s="74"/>
      <c r="S232" s="74"/>
      <c r="T232" s="74"/>
      <c r="U232" s="75"/>
      <c r="V232" s="74"/>
      <c r="W232" s="75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</row>
    <row r="233" s="73" customFormat="1" spans="1:34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5"/>
      <c r="P233" s="74"/>
      <c r="Q233" s="75"/>
      <c r="R233" s="74"/>
      <c r="S233" s="74"/>
      <c r="T233" s="74"/>
      <c r="U233" s="75"/>
      <c r="V233" s="74"/>
      <c r="W233" s="75"/>
      <c r="X233" s="74"/>
      <c r="Y233" s="74"/>
      <c r="Z233" s="74"/>
      <c r="AA233" s="74"/>
      <c r="AB233" s="74"/>
      <c r="AC233" s="74"/>
      <c r="AD233" s="74"/>
      <c r="AE233" s="74"/>
      <c r="AF233" s="74"/>
      <c r="AG233" s="74"/>
      <c r="AH233" s="74"/>
    </row>
    <row r="234" s="73" customFormat="1" spans="1:34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5"/>
      <c r="P234" s="74"/>
      <c r="Q234" s="75"/>
      <c r="R234" s="74"/>
      <c r="S234" s="74"/>
      <c r="T234" s="74"/>
      <c r="U234" s="75"/>
      <c r="V234" s="74"/>
      <c r="W234" s="75"/>
      <c r="X234" s="74"/>
      <c r="Y234" s="74"/>
      <c r="Z234" s="74"/>
      <c r="AA234" s="74"/>
      <c r="AB234" s="74"/>
      <c r="AC234" s="74"/>
      <c r="AD234" s="74"/>
      <c r="AE234" s="74"/>
      <c r="AF234" s="74"/>
      <c r="AG234" s="74"/>
      <c r="AH234" s="74"/>
    </row>
    <row r="235" s="73" customFormat="1" spans="1:34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5"/>
      <c r="P235" s="74"/>
      <c r="Q235" s="75"/>
      <c r="R235" s="74"/>
      <c r="S235" s="74"/>
      <c r="T235" s="74"/>
      <c r="U235" s="75"/>
      <c r="V235" s="74"/>
      <c r="W235" s="75"/>
      <c r="X235" s="74"/>
      <c r="Y235" s="74"/>
      <c r="Z235" s="74"/>
      <c r="AA235" s="74"/>
      <c r="AB235" s="74"/>
      <c r="AC235" s="74"/>
      <c r="AD235" s="74"/>
      <c r="AE235" s="74"/>
      <c r="AF235" s="74"/>
      <c r="AG235" s="74"/>
      <c r="AH235" s="74"/>
    </row>
    <row r="236" s="73" customFormat="1" spans="1:34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5"/>
      <c r="P236" s="74"/>
      <c r="Q236" s="75"/>
      <c r="R236" s="74"/>
      <c r="S236" s="74"/>
      <c r="T236" s="74"/>
      <c r="U236" s="75"/>
      <c r="V236" s="74"/>
      <c r="W236" s="75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</row>
    <row r="237" s="73" customFormat="1" spans="1:34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5"/>
      <c r="P237" s="74"/>
      <c r="Q237" s="75"/>
      <c r="R237" s="74"/>
      <c r="S237" s="74"/>
      <c r="T237" s="74"/>
      <c r="U237" s="75"/>
      <c r="V237" s="74"/>
      <c r="W237" s="75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  <c r="AH237" s="74"/>
    </row>
    <row r="238" s="73" customFormat="1" spans="1:34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5"/>
      <c r="P238" s="74"/>
      <c r="Q238" s="75"/>
      <c r="R238" s="74"/>
      <c r="S238" s="74"/>
      <c r="T238" s="74"/>
      <c r="U238" s="75"/>
      <c r="V238" s="74"/>
      <c r="W238" s="75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  <c r="AH238" s="74"/>
    </row>
    <row r="239" s="73" customFormat="1" spans="1:34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5"/>
      <c r="P239" s="74"/>
      <c r="Q239" s="75"/>
      <c r="R239" s="74"/>
      <c r="S239" s="74"/>
      <c r="T239" s="74"/>
      <c r="U239" s="75"/>
      <c r="V239" s="74"/>
      <c r="W239" s="75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</row>
    <row r="240" s="73" customFormat="1" spans="1:34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5"/>
      <c r="P240" s="74"/>
      <c r="Q240" s="75"/>
      <c r="R240" s="74"/>
      <c r="S240" s="74"/>
      <c r="T240" s="74"/>
      <c r="U240" s="75"/>
      <c r="V240" s="74"/>
      <c r="W240" s="75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</row>
    <row r="241" s="73" customFormat="1" spans="1:34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5"/>
      <c r="P241" s="74"/>
      <c r="Q241" s="75"/>
      <c r="R241" s="74"/>
      <c r="S241" s="74"/>
      <c r="T241" s="74"/>
      <c r="U241" s="75"/>
      <c r="V241" s="74"/>
      <c r="W241" s="75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</row>
    <row r="242" s="73" customFormat="1" spans="1:34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5"/>
      <c r="P242" s="74"/>
      <c r="Q242" s="75"/>
      <c r="R242" s="74"/>
      <c r="S242" s="74"/>
      <c r="T242" s="74"/>
      <c r="U242" s="75"/>
      <c r="V242" s="74"/>
      <c r="W242" s="75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</row>
    <row r="243" s="73" customFormat="1" spans="1:34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5"/>
      <c r="P243" s="74"/>
      <c r="Q243" s="75"/>
      <c r="R243" s="74"/>
      <c r="S243" s="74"/>
      <c r="T243" s="74"/>
      <c r="U243" s="75"/>
      <c r="V243" s="74"/>
      <c r="W243" s="75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</row>
    <row r="244" s="73" customFormat="1" spans="1:34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5"/>
      <c r="P244" s="74"/>
      <c r="Q244" s="75"/>
      <c r="R244" s="74"/>
      <c r="S244" s="74"/>
      <c r="T244" s="74"/>
      <c r="U244" s="75"/>
      <c r="V244" s="74"/>
      <c r="W244" s="75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</row>
    <row r="245" s="73" customFormat="1" spans="1:34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5"/>
      <c r="P245" s="74"/>
      <c r="Q245" s="75"/>
      <c r="R245" s="74"/>
      <c r="S245" s="74"/>
      <c r="T245" s="74"/>
      <c r="U245" s="75"/>
      <c r="V245" s="74"/>
      <c r="W245" s="75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</row>
    <row r="246" s="73" customFormat="1" spans="1:34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5"/>
      <c r="P246" s="74"/>
      <c r="Q246" s="75"/>
      <c r="R246" s="74"/>
      <c r="S246" s="74"/>
      <c r="T246" s="74"/>
      <c r="U246" s="75"/>
      <c r="V246" s="74"/>
      <c r="W246" s="75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</row>
    <row r="247" s="73" customFormat="1" spans="1:34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5"/>
      <c r="P247" s="74"/>
      <c r="Q247" s="75"/>
      <c r="R247" s="74"/>
      <c r="S247" s="74"/>
      <c r="T247" s="74"/>
      <c r="U247" s="75"/>
      <c r="V247" s="74"/>
      <c r="W247" s="75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</row>
    <row r="248" s="73" customFormat="1" spans="1:34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5"/>
      <c r="P248" s="74"/>
      <c r="Q248" s="75"/>
      <c r="R248" s="74"/>
      <c r="S248" s="74"/>
      <c r="T248" s="74"/>
      <c r="U248" s="75"/>
      <c r="V248" s="74"/>
      <c r="W248" s="75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</row>
    <row r="249" s="73" customFormat="1" spans="1:34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5"/>
      <c r="P249" s="74"/>
      <c r="Q249" s="75"/>
      <c r="R249" s="74"/>
      <c r="S249" s="74"/>
      <c r="T249" s="74"/>
      <c r="U249" s="75"/>
      <c r="V249" s="74"/>
      <c r="W249" s="75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</row>
    <row r="251" s="73" customFormat="1" spans="1:34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5"/>
      <c r="P251" s="74"/>
      <c r="Q251" s="75"/>
      <c r="R251" s="74"/>
      <c r="S251" s="74"/>
      <c r="T251" s="74"/>
      <c r="U251" s="75"/>
      <c r="V251" s="74"/>
      <c r="W251" s="75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</row>
    <row r="252" s="73" customFormat="1" spans="1:34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5"/>
      <c r="P252" s="74"/>
      <c r="Q252" s="75"/>
      <c r="R252" s="74"/>
      <c r="S252" s="74"/>
      <c r="T252" s="74"/>
      <c r="U252" s="75"/>
      <c r="V252" s="74"/>
      <c r="W252" s="75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</row>
    <row r="253" s="73" customFormat="1" spans="1:34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5"/>
      <c r="P253" s="74"/>
      <c r="Q253" s="75"/>
      <c r="R253" s="74"/>
      <c r="S253" s="74"/>
      <c r="T253" s="74"/>
      <c r="U253" s="75"/>
      <c r="V253" s="74"/>
      <c r="W253" s="75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</row>
    <row r="254" s="73" customFormat="1" spans="1:34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5"/>
      <c r="P254" s="74"/>
      <c r="Q254" s="75"/>
      <c r="R254" s="74"/>
      <c r="S254" s="74"/>
      <c r="T254" s="74"/>
      <c r="U254" s="75"/>
      <c r="V254" s="74"/>
      <c r="W254" s="75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</row>
    <row r="255" s="73" customFormat="1" spans="1:34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5"/>
      <c r="P255" s="74"/>
      <c r="Q255" s="75"/>
      <c r="R255" s="74"/>
      <c r="S255" s="74"/>
      <c r="T255" s="74"/>
      <c r="U255" s="75"/>
      <c r="V255" s="74"/>
      <c r="W255" s="75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</row>
    <row r="256" s="73" customFormat="1" spans="1:34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5"/>
      <c r="P256" s="74"/>
      <c r="Q256" s="75"/>
      <c r="R256" s="74"/>
      <c r="S256" s="74"/>
      <c r="T256" s="74"/>
      <c r="U256" s="75"/>
      <c r="V256" s="74"/>
      <c r="W256" s="75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</row>
    <row r="257" s="73" customFormat="1" spans="1:34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5"/>
      <c r="P257" s="74"/>
      <c r="Q257" s="75"/>
      <c r="R257" s="74"/>
      <c r="S257" s="74"/>
      <c r="T257" s="74"/>
      <c r="U257" s="75"/>
      <c r="V257" s="74"/>
      <c r="W257" s="75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</row>
    <row r="258" s="73" customFormat="1" spans="1:34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5"/>
      <c r="P258" s="74"/>
      <c r="Q258" s="75"/>
      <c r="R258" s="74"/>
      <c r="S258" s="74"/>
      <c r="T258" s="74"/>
      <c r="U258" s="75"/>
      <c r="V258" s="74"/>
      <c r="W258" s="75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</row>
    <row r="259" s="73" customFormat="1" spans="1:34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5"/>
      <c r="P259" s="74"/>
      <c r="Q259" s="75"/>
      <c r="R259" s="74"/>
      <c r="S259" s="74"/>
      <c r="T259" s="74"/>
      <c r="U259" s="75"/>
      <c r="V259" s="74"/>
      <c r="W259" s="75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</row>
    <row r="260" s="73" customFormat="1" spans="1:34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5"/>
      <c r="P260" s="74"/>
      <c r="Q260" s="75"/>
      <c r="R260" s="74"/>
      <c r="S260" s="74"/>
      <c r="T260" s="74"/>
      <c r="U260" s="75"/>
      <c r="V260" s="74"/>
      <c r="W260" s="75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</row>
    <row r="261" s="73" customFormat="1" spans="1:34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5"/>
      <c r="P261" s="74"/>
      <c r="Q261" s="75"/>
      <c r="R261" s="74"/>
      <c r="S261" s="74"/>
      <c r="T261" s="74"/>
      <c r="U261" s="75"/>
      <c r="V261" s="74"/>
      <c r="W261" s="75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  <c r="AH261" s="74"/>
    </row>
    <row r="262" s="73" customFormat="1" spans="1:34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5"/>
      <c r="P262" s="74"/>
      <c r="Q262" s="75"/>
      <c r="R262" s="74"/>
      <c r="S262" s="74"/>
      <c r="T262" s="74"/>
      <c r="U262" s="75"/>
      <c r="V262" s="74"/>
      <c r="W262" s="75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</row>
    <row r="263" s="73" customFormat="1" spans="1:34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5"/>
      <c r="P263" s="74"/>
      <c r="Q263" s="75"/>
      <c r="R263" s="74"/>
      <c r="S263" s="74"/>
      <c r="T263" s="74"/>
      <c r="U263" s="75"/>
      <c r="V263" s="74"/>
      <c r="W263" s="75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</row>
    <row r="264" s="73" customFormat="1" spans="1:34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5"/>
      <c r="P264" s="74"/>
      <c r="Q264" s="75"/>
      <c r="R264" s="74"/>
      <c r="S264" s="74"/>
      <c r="T264" s="74"/>
      <c r="U264" s="75"/>
      <c r="V264" s="74"/>
      <c r="W264" s="75"/>
      <c r="X264" s="74"/>
      <c r="Y264" s="74"/>
      <c r="Z264" s="74"/>
      <c r="AA264" s="74"/>
      <c r="AB264" s="74"/>
      <c r="AC264" s="74"/>
      <c r="AD264" s="74"/>
      <c r="AE264" s="74"/>
      <c r="AF264" s="74"/>
      <c r="AG264" s="74"/>
      <c r="AH264" s="74"/>
    </row>
    <row r="265" s="73" customFormat="1" spans="1:34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5"/>
      <c r="P265" s="74"/>
      <c r="Q265" s="75"/>
      <c r="R265" s="74"/>
      <c r="S265" s="74"/>
      <c r="T265" s="74"/>
      <c r="U265" s="75"/>
      <c r="V265" s="74"/>
      <c r="W265" s="75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  <c r="AH265" s="74"/>
    </row>
    <row r="266" s="73" customFormat="1" spans="1:34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5"/>
      <c r="P266" s="74"/>
      <c r="Q266" s="75"/>
      <c r="R266" s="74"/>
      <c r="S266" s="74"/>
      <c r="T266" s="74"/>
      <c r="U266" s="75"/>
      <c r="V266" s="74"/>
      <c r="W266" s="75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</row>
    <row r="267" s="73" customFormat="1" spans="1:34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5"/>
      <c r="P267" s="74"/>
      <c r="Q267" s="75"/>
      <c r="R267" s="74"/>
      <c r="S267" s="74"/>
      <c r="T267" s="74"/>
      <c r="U267" s="75"/>
      <c r="V267" s="74"/>
      <c r="W267" s="75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</row>
    <row r="268" s="73" customFormat="1" spans="1:34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5"/>
      <c r="P268" s="74"/>
      <c r="Q268" s="75"/>
      <c r="R268" s="74"/>
      <c r="S268" s="74"/>
      <c r="T268" s="74"/>
      <c r="U268" s="75"/>
      <c r="V268" s="74"/>
      <c r="W268" s="75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  <c r="AH268" s="74"/>
    </row>
    <row r="269" s="73" customFormat="1" spans="1:34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5"/>
      <c r="P269" s="74"/>
      <c r="Q269" s="75"/>
      <c r="R269" s="74"/>
      <c r="S269" s="74"/>
      <c r="T269" s="74"/>
      <c r="U269" s="75"/>
      <c r="V269" s="74"/>
      <c r="W269" s="75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</row>
    <row r="270" s="73" customFormat="1" spans="1:34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5"/>
      <c r="P270" s="74"/>
      <c r="Q270" s="75"/>
      <c r="R270" s="74"/>
      <c r="S270" s="74"/>
      <c r="T270" s="74"/>
      <c r="U270" s="75"/>
      <c r="V270" s="74"/>
      <c r="W270" s="75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</row>
    <row r="271" s="73" customFormat="1" spans="1:34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5"/>
      <c r="P271" s="74"/>
      <c r="Q271" s="75"/>
      <c r="R271" s="74"/>
      <c r="S271" s="74"/>
      <c r="T271" s="74"/>
      <c r="U271" s="75"/>
      <c r="V271" s="74"/>
      <c r="W271" s="75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</row>
    <row r="272" s="73" customFormat="1" spans="1:34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5"/>
      <c r="P272" s="74"/>
      <c r="Q272" s="75"/>
      <c r="R272" s="74"/>
      <c r="S272" s="74"/>
      <c r="T272" s="74"/>
      <c r="U272" s="75"/>
      <c r="V272" s="74"/>
      <c r="W272" s="75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</row>
    <row r="273" s="73" customFormat="1" spans="1:34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5"/>
      <c r="P273" s="74"/>
      <c r="Q273" s="75"/>
      <c r="R273" s="74"/>
      <c r="S273" s="74"/>
      <c r="T273" s="74"/>
      <c r="U273" s="75"/>
      <c r="V273" s="74"/>
      <c r="W273" s="75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</row>
    <row r="274" s="73" customFormat="1" spans="1:34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5"/>
      <c r="P274" s="74"/>
      <c r="Q274" s="75"/>
      <c r="R274" s="74"/>
      <c r="S274" s="74"/>
      <c r="T274" s="74"/>
      <c r="U274" s="75"/>
      <c r="V274" s="74"/>
      <c r="W274" s="75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</row>
    <row r="275" s="73" customFormat="1" spans="1:34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5"/>
      <c r="P275" s="74"/>
      <c r="Q275" s="75"/>
      <c r="R275" s="74"/>
      <c r="S275" s="74"/>
      <c r="T275" s="74"/>
      <c r="U275" s="75"/>
      <c r="V275" s="74"/>
      <c r="W275" s="75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</row>
    <row r="276" s="73" customFormat="1" spans="1:34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5"/>
      <c r="P276" s="74"/>
      <c r="Q276" s="75"/>
      <c r="R276" s="74"/>
      <c r="S276" s="74"/>
      <c r="T276" s="74"/>
      <c r="U276" s="75"/>
      <c r="V276" s="74"/>
      <c r="W276" s="75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</row>
    <row r="277" s="73" customFormat="1" spans="1:34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5"/>
      <c r="P277" s="74"/>
      <c r="Q277" s="75"/>
      <c r="R277" s="74"/>
      <c r="S277" s="74"/>
      <c r="T277" s="74"/>
      <c r="U277" s="75"/>
      <c r="V277" s="74"/>
      <c r="W277" s="75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</row>
    <row r="278" s="73" customFormat="1" spans="1:34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5"/>
      <c r="P278" s="74"/>
      <c r="Q278" s="75"/>
      <c r="R278" s="74"/>
      <c r="S278" s="74"/>
      <c r="T278" s="74"/>
      <c r="U278" s="75"/>
      <c r="V278" s="74"/>
      <c r="W278" s="75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</row>
    <row r="279" s="73" customFormat="1" spans="1:34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5"/>
      <c r="P279" s="74"/>
      <c r="Q279" s="75"/>
      <c r="R279" s="74"/>
      <c r="S279" s="74"/>
      <c r="T279" s="74"/>
      <c r="U279" s="75"/>
      <c r="V279" s="74"/>
      <c r="W279" s="75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</row>
    <row r="280" s="73" customFormat="1" spans="1:34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5"/>
      <c r="P280" s="74"/>
      <c r="Q280" s="75"/>
      <c r="R280" s="74"/>
      <c r="S280" s="74"/>
      <c r="T280" s="74"/>
      <c r="U280" s="75"/>
      <c r="V280" s="74"/>
      <c r="W280" s="75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</row>
    <row r="281" s="73" customFormat="1" spans="1:34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5"/>
      <c r="P281" s="74"/>
      <c r="Q281" s="75"/>
      <c r="R281" s="74"/>
      <c r="S281" s="74"/>
      <c r="T281" s="74"/>
      <c r="U281" s="75"/>
      <c r="V281" s="74"/>
      <c r="W281" s="75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</row>
    <row r="282" s="73" customFormat="1" spans="1:34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5"/>
      <c r="P282" s="74"/>
      <c r="Q282" s="75"/>
      <c r="R282" s="74"/>
      <c r="S282" s="74"/>
      <c r="T282" s="74"/>
      <c r="U282" s="75"/>
      <c r="V282" s="74"/>
      <c r="W282" s="75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</row>
    <row r="283" s="73" customFormat="1" spans="1:34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5"/>
      <c r="P283" s="74"/>
      <c r="Q283" s="75"/>
      <c r="R283" s="74"/>
      <c r="S283" s="74"/>
      <c r="T283" s="74"/>
      <c r="U283" s="75"/>
      <c r="V283" s="74"/>
      <c r="W283" s="75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</row>
    <row r="284" s="73" customFormat="1" spans="1:34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5"/>
      <c r="P284" s="74"/>
      <c r="Q284" s="75"/>
      <c r="R284" s="74"/>
      <c r="S284" s="74"/>
      <c r="T284" s="74"/>
      <c r="U284" s="75"/>
      <c r="V284" s="74"/>
      <c r="W284" s="75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</row>
    <row r="285" s="73" customFormat="1" spans="1:34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5"/>
      <c r="P285" s="74"/>
      <c r="Q285" s="75"/>
      <c r="R285" s="74"/>
      <c r="S285" s="74"/>
      <c r="T285" s="74"/>
      <c r="U285" s="75"/>
      <c r="V285" s="74"/>
      <c r="W285" s="75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</row>
    <row r="286" s="73" customFormat="1" spans="1:34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5"/>
      <c r="P286" s="74"/>
      <c r="Q286" s="75"/>
      <c r="R286" s="74"/>
      <c r="S286" s="74"/>
      <c r="T286" s="74"/>
      <c r="U286" s="75"/>
      <c r="V286" s="74"/>
      <c r="W286" s="75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</row>
    <row r="287" s="73" customFormat="1" spans="1:34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5"/>
      <c r="P287" s="74"/>
      <c r="Q287" s="75"/>
      <c r="R287" s="74"/>
      <c r="S287" s="74"/>
      <c r="T287" s="74"/>
      <c r="U287" s="75"/>
      <c r="V287" s="74"/>
      <c r="W287" s="75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</row>
    <row r="288" s="73" customFormat="1" spans="1:34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5"/>
      <c r="P288" s="74"/>
      <c r="Q288" s="75"/>
      <c r="R288" s="74"/>
      <c r="S288" s="74"/>
      <c r="T288" s="74"/>
      <c r="U288" s="75"/>
      <c r="V288" s="74"/>
      <c r="W288" s="75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</row>
    <row r="289" s="73" customFormat="1" spans="1:34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5"/>
      <c r="P289" s="74"/>
      <c r="Q289" s="75"/>
      <c r="R289" s="74"/>
      <c r="S289" s="74"/>
      <c r="T289" s="74"/>
      <c r="U289" s="75"/>
      <c r="V289" s="74"/>
      <c r="W289" s="75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</row>
    <row r="290" s="73" customFormat="1" spans="1:34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5"/>
      <c r="P290" s="74"/>
      <c r="Q290" s="75"/>
      <c r="R290" s="74"/>
      <c r="S290" s="74"/>
      <c r="T290" s="74"/>
      <c r="U290" s="75"/>
      <c r="V290" s="74"/>
      <c r="W290" s="75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</row>
    <row r="291" s="73" customFormat="1" spans="1:34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5"/>
      <c r="P291" s="74"/>
      <c r="Q291" s="75"/>
      <c r="R291" s="74"/>
      <c r="S291" s="74"/>
      <c r="T291" s="74"/>
      <c r="U291" s="75"/>
      <c r="V291" s="74"/>
      <c r="W291" s="75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</row>
    <row r="292" s="73" customFormat="1" spans="1:34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5"/>
      <c r="P292" s="74"/>
      <c r="Q292" s="75"/>
      <c r="R292" s="74"/>
      <c r="S292" s="74"/>
      <c r="T292" s="74"/>
      <c r="U292" s="75"/>
      <c r="V292" s="74"/>
      <c r="W292" s="75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</row>
    <row r="293" s="73" customFormat="1" spans="1:34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5"/>
      <c r="P293" s="74"/>
      <c r="Q293" s="75"/>
      <c r="R293" s="74"/>
      <c r="S293" s="74"/>
      <c r="T293" s="74"/>
      <c r="U293" s="75"/>
      <c r="V293" s="74"/>
      <c r="W293" s="75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</row>
    <row r="294" s="73" customFormat="1" spans="1:34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5"/>
      <c r="P294" s="74"/>
      <c r="Q294" s="75"/>
      <c r="R294" s="74"/>
      <c r="S294" s="74"/>
      <c r="T294" s="74"/>
      <c r="U294" s="75"/>
      <c r="V294" s="74"/>
      <c r="W294" s="75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</row>
    <row r="295" s="73" customFormat="1" spans="1:34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5"/>
      <c r="P295" s="74"/>
      <c r="Q295" s="75"/>
      <c r="R295" s="74"/>
      <c r="S295" s="74"/>
      <c r="T295" s="74"/>
      <c r="U295" s="75"/>
      <c r="V295" s="74"/>
      <c r="W295" s="75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</row>
    <row r="296" s="73" customFormat="1" spans="1:34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5"/>
      <c r="P296" s="74"/>
      <c r="Q296" s="75"/>
      <c r="R296" s="74"/>
      <c r="S296" s="74"/>
      <c r="T296" s="74"/>
      <c r="U296" s="75"/>
      <c r="V296" s="74"/>
      <c r="W296" s="75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</row>
    <row r="297" s="73" customFormat="1" spans="1:34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5"/>
      <c r="P297" s="74"/>
      <c r="Q297" s="75"/>
      <c r="R297" s="74"/>
      <c r="S297" s="74"/>
      <c r="T297" s="74"/>
      <c r="U297" s="75"/>
      <c r="V297" s="74"/>
      <c r="W297" s="75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</row>
    <row r="298" s="73" customFormat="1" spans="1:34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5"/>
      <c r="P298" s="74"/>
      <c r="Q298" s="75"/>
      <c r="R298" s="74"/>
      <c r="S298" s="74"/>
      <c r="T298" s="74"/>
      <c r="U298" s="75"/>
      <c r="V298" s="74"/>
      <c r="W298" s="75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</row>
    <row r="299" s="73" customFormat="1" spans="1:34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5"/>
      <c r="P299" s="74"/>
      <c r="Q299" s="75"/>
      <c r="R299" s="74"/>
      <c r="S299" s="74"/>
      <c r="T299" s="74"/>
      <c r="U299" s="75"/>
      <c r="V299" s="74"/>
      <c r="W299" s="75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</row>
    <row r="300" s="73" customFormat="1" spans="1:34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5"/>
      <c r="P300" s="74"/>
      <c r="Q300" s="75"/>
      <c r="R300" s="74"/>
      <c r="S300" s="74"/>
      <c r="T300" s="74"/>
      <c r="U300" s="75"/>
      <c r="V300" s="74"/>
      <c r="W300" s="75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</row>
    <row r="301" s="73" customFormat="1" spans="1:34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5"/>
      <c r="P301" s="74"/>
      <c r="Q301" s="75"/>
      <c r="R301" s="74"/>
      <c r="S301" s="74"/>
      <c r="T301" s="74"/>
      <c r="U301" s="75"/>
      <c r="V301" s="74"/>
      <c r="W301" s="75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</row>
    <row r="302" s="73" customFormat="1" spans="1:34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5"/>
      <c r="P302" s="74"/>
      <c r="Q302" s="75"/>
      <c r="R302" s="74"/>
      <c r="S302" s="74"/>
      <c r="T302" s="74"/>
      <c r="U302" s="75"/>
      <c r="V302" s="74"/>
      <c r="W302" s="75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</row>
    <row r="303" s="73" customFormat="1" spans="1:34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5"/>
      <c r="P303" s="74"/>
      <c r="Q303" s="75"/>
      <c r="R303" s="74"/>
      <c r="S303" s="74"/>
      <c r="T303" s="74"/>
      <c r="U303" s="75"/>
      <c r="V303" s="74"/>
      <c r="W303" s="75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</row>
    <row r="304" s="73" customFormat="1" spans="1:34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5"/>
      <c r="P304" s="74"/>
      <c r="Q304" s="75"/>
      <c r="R304" s="74"/>
      <c r="S304" s="74"/>
      <c r="T304" s="74"/>
      <c r="U304" s="75"/>
      <c r="V304" s="74"/>
      <c r="W304" s="75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</row>
    <row r="305" s="73" customFormat="1" spans="1:34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5"/>
      <c r="P305" s="74"/>
      <c r="Q305" s="75"/>
      <c r="R305" s="74"/>
      <c r="S305" s="74"/>
      <c r="T305" s="74"/>
      <c r="U305" s="75"/>
      <c r="V305" s="74"/>
      <c r="W305" s="75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</row>
    <row r="306" s="73" customFormat="1" spans="1:34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5"/>
      <c r="P306" s="74"/>
      <c r="Q306" s="75"/>
      <c r="R306" s="74"/>
      <c r="S306" s="74"/>
      <c r="T306" s="74"/>
      <c r="U306" s="75"/>
      <c r="V306" s="74"/>
      <c r="W306" s="75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</row>
    <row r="307" s="73" customFormat="1" spans="1:34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5"/>
      <c r="P307" s="74"/>
      <c r="Q307" s="75"/>
      <c r="R307" s="74"/>
      <c r="S307" s="74"/>
      <c r="T307" s="74"/>
      <c r="U307" s="75"/>
      <c r="V307" s="74"/>
      <c r="W307" s="75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</row>
    <row r="308" s="73" customFormat="1" spans="1:34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5"/>
      <c r="P308" s="74"/>
      <c r="Q308" s="75"/>
      <c r="R308" s="74"/>
      <c r="S308" s="74"/>
      <c r="T308" s="74"/>
      <c r="U308" s="75"/>
      <c r="V308" s="74"/>
      <c r="W308" s="75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</row>
    <row r="309" s="73" customFormat="1" spans="1:34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5"/>
      <c r="P309" s="74"/>
      <c r="Q309" s="75"/>
      <c r="R309" s="74"/>
      <c r="S309" s="74"/>
      <c r="T309" s="74"/>
      <c r="U309" s="75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</row>
    <row r="310" s="73" customFormat="1" spans="1:34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5"/>
      <c r="P310" s="74"/>
      <c r="Q310" s="75"/>
      <c r="R310" s="74"/>
      <c r="S310" s="74"/>
      <c r="T310" s="74"/>
      <c r="U310" s="75"/>
      <c r="V310" s="74"/>
      <c r="W310" s="75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</row>
    <row r="311" s="73" customFormat="1" spans="1:34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5"/>
      <c r="P311" s="74"/>
      <c r="Q311" s="75"/>
      <c r="R311" s="74"/>
      <c r="S311" s="74"/>
      <c r="T311" s="74"/>
      <c r="U311" s="75"/>
      <c r="V311" s="74"/>
      <c r="W311" s="75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</row>
    <row r="312" s="73" customFormat="1" spans="1:34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5"/>
      <c r="P312" s="74"/>
      <c r="Q312" s="75"/>
      <c r="R312" s="74"/>
      <c r="S312" s="74"/>
      <c r="T312" s="74"/>
      <c r="U312" s="75"/>
      <c r="V312" s="74"/>
      <c r="W312" s="75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</row>
    <row r="313" s="73" customFormat="1" spans="1:34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5"/>
      <c r="P313" s="74"/>
      <c r="Q313" s="75"/>
      <c r="R313" s="74"/>
      <c r="S313" s="74"/>
      <c r="T313" s="74"/>
      <c r="U313" s="75"/>
      <c r="V313" s="74"/>
      <c r="W313" s="75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</row>
    <row r="314" s="73" customFormat="1" spans="1:34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5"/>
      <c r="P314" s="74"/>
      <c r="Q314" s="75"/>
      <c r="R314" s="74"/>
      <c r="S314" s="74"/>
      <c r="T314" s="74"/>
      <c r="U314" s="75"/>
      <c r="V314" s="74"/>
      <c r="W314" s="75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</row>
    <row r="315" s="73" customFormat="1" spans="1:34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5"/>
      <c r="P315" s="74"/>
      <c r="Q315" s="75"/>
      <c r="R315" s="74"/>
      <c r="S315" s="74"/>
      <c r="T315" s="74"/>
      <c r="U315" s="75"/>
      <c r="V315" s="74"/>
      <c r="W315" s="75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</row>
    <row r="316" s="73" customFormat="1" spans="1:34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5"/>
      <c r="P316" s="74"/>
      <c r="Q316" s="75"/>
      <c r="R316" s="74"/>
      <c r="S316" s="74"/>
      <c r="T316" s="74"/>
      <c r="U316" s="75"/>
      <c r="V316" s="74"/>
      <c r="W316" s="75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</row>
    <row r="317" s="73" customFormat="1" spans="1:34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5"/>
      <c r="P317" s="74"/>
      <c r="Q317" s="75"/>
      <c r="R317" s="74"/>
      <c r="S317" s="74"/>
      <c r="T317" s="74"/>
      <c r="U317" s="75"/>
      <c r="V317" s="74"/>
      <c r="W317" s="75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</row>
    <row r="318" s="73" customFormat="1" spans="1:34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5"/>
      <c r="P318" s="74"/>
      <c r="Q318" s="75"/>
      <c r="R318" s="74"/>
      <c r="S318" s="74"/>
      <c r="T318" s="74"/>
      <c r="U318" s="75"/>
      <c r="V318" s="74"/>
      <c r="W318" s="75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</row>
    <row r="319" s="73" customFormat="1" spans="1:34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5"/>
      <c r="P319" s="74"/>
      <c r="Q319" s="75"/>
      <c r="R319" s="74"/>
      <c r="S319" s="74"/>
      <c r="T319" s="74"/>
      <c r="U319" s="75"/>
      <c r="V319" s="74"/>
      <c r="W319" s="75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</row>
    <row r="320" s="73" customFormat="1" spans="1:34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5"/>
      <c r="P320" s="74"/>
      <c r="Q320" s="75"/>
      <c r="R320" s="74"/>
      <c r="S320" s="74"/>
      <c r="T320" s="74"/>
      <c r="U320" s="75"/>
      <c r="V320" s="74"/>
      <c r="W320" s="75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</row>
    <row r="321" s="73" customFormat="1" spans="1:34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5"/>
      <c r="P321" s="74"/>
      <c r="Q321" s="75"/>
      <c r="R321" s="74"/>
      <c r="S321" s="74"/>
      <c r="T321" s="74"/>
      <c r="U321" s="75"/>
      <c r="V321" s="74"/>
      <c r="W321" s="75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</row>
    <row r="322" s="73" customFormat="1" spans="1:34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5"/>
      <c r="P322" s="74"/>
      <c r="Q322" s="75"/>
      <c r="R322" s="74"/>
      <c r="S322" s="74"/>
      <c r="T322" s="74"/>
      <c r="U322" s="75"/>
      <c r="V322" s="74"/>
      <c r="W322" s="75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</row>
    <row r="323" s="73" customFormat="1" spans="1:34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5"/>
      <c r="P323" s="74"/>
      <c r="Q323" s="75"/>
      <c r="R323" s="74"/>
      <c r="S323" s="74"/>
      <c r="T323" s="74"/>
      <c r="U323" s="75"/>
      <c r="V323" s="74"/>
      <c r="W323" s="75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</row>
    <row r="324" s="73" customFormat="1" spans="1:34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5"/>
      <c r="P324" s="74"/>
      <c r="Q324" s="75"/>
      <c r="R324" s="74"/>
      <c r="S324" s="74"/>
      <c r="T324" s="74"/>
      <c r="U324" s="75"/>
      <c r="V324" s="74"/>
      <c r="W324" s="75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</row>
    <row r="325" s="73" customFormat="1" spans="1:34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5"/>
      <c r="P325" s="74"/>
      <c r="Q325" s="75"/>
      <c r="R325" s="74"/>
      <c r="S325" s="74"/>
      <c r="T325" s="74"/>
      <c r="U325" s="75"/>
      <c r="V325" s="74"/>
      <c r="W325" s="75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</row>
    <row r="326" s="73" customFormat="1" spans="1:34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5"/>
      <c r="P326" s="74"/>
      <c r="Q326" s="75"/>
      <c r="R326" s="74"/>
      <c r="S326" s="74"/>
      <c r="T326" s="74"/>
      <c r="U326" s="75"/>
      <c r="V326" s="74"/>
      <c r="W326" s="75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</row>
    <row r="327" s="73" customFormat="1" spans="1:34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5"/>
      <c r="P327" s="74"/>
      <c r="Q327" s="75"/>
      <c r="R327" s="74"/>
      <c r="S327" s="74"/>
      <c r="T327" s="74"/>
      <c r="U327" s="75"/>
      <c r="V327" s="74"/>
      <c r="W327" s="75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</row>
    <row r="328" s="73" customFormat="1" spans="1:34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5"/>
      <c r="P328" s="74"/>
      <c r="Q328" s="75"/>
      <c r="R328" s="74"/>
      <c r="S328" s="74"/>
      <c r="T328" s="74"/>
      <c r="U328" s="75"/>
      <c r="V328" s="74"/>
      <c r="W328" s="75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</row>
    <row r="329" s="73" customFormat="1" spans="1:34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5"/>
      <c r="P329" s="74"/>
      <c r="Q329" s="75"/>
      <c r="R329" s="74"/>
      <c r="S329" s="74"/>
      <c r="T329" s="74"/>
      <c r="U329" s="75"/>
      <c r="V329" s="74"/>
      <c r="W329" s="75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</row>
    <row r="330" s="73" customFormat="1" spans="1:34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5"/>
      <c r="P330" s="74"/>
      <c r="Q330" s="75"/>
      <c r="R330" s="74"/>
      <c r="S330" s="74"/>
      <c r="T330" s="74"/>
      <c r="U330" s="75"/>
      <c r="V330" s="74"/>
      <c r="W330" s="75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</row>
    <row r="331" s="73" customFormat="1" spans="1:34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5"/>
      <c r="P331" s="74"/>
      <c r="Q331" s="75"/>
      <c r="R331" s="74"/>
      <c r="S331" s="74"/>
      <c r="T331" s="74"/>
      <c r="U331" s="75"/>
      <c r="V331" s="74"/>
      <c r="W331" s="75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</row>
    <row r="332" s="73" customFormat="1" spans="1:34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5"/>
      <c r="P332" s="74"/>
      <c r="Q332" s="75"/>
      <c r="R332" s="74"/>
      <c r="S332" s="74"/>
      <c r="T332" s="74"/>
      <c r="U332" s="75"/>
      <c r="V332" s="74"/>
      <c r="W332" s="75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</row>
    <row r="333" s="73" customFormat="1" spans="1:34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5"/>
      <c r="P333" s="74"/>
      <c r="Q333" s="75"/>
      <c r="R333" s="74"/>
      <c r="S333" s="74"/>
      <c r="T333" s="74"/>
      <c r="U333" s="75"/>
      <c r="V333" s="74"/>
      <c r="W333" s="75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</row>
    <row r="334" s="73" customFormat="1" spans="1:34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5"/>
      <c r="P334" s="74"/>
      <c r="Q334" s="75"/>
      <c r="R334" s="74"/>
      <c r="S334" s="74"/>
      <c r="T334" s="74"/>
      <c r="U334" s="75"/>
      <c r="V334" s="74"/>
      <c r="W334" s="75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</row>
    <row r="335" s="73" customFormat="1" spans="1:34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5"/>
      <c r="P335" s="74"/>
      <c r="Q335" s="75"/>
      <c r="R335" s="74"/>
      <c r="S335" s="74"/>
      <c r="T335" s="74"/>
      <c r="U335" s="75"/>
      <c r="V335" s="74"/>
      <c r="W335" s="75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</row>
    <row r="336" s="73" customFormat="1" spans="1:34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5"/>
      <c r="P336" s="74"/>
      <c r="Q336" s="75"/>
      <c r="R336" s="74"/>
      <c r="S336" s="74"/>
      <c r="T336" s="74"/>
      <c r="U336" s="75"/>
      <c r="V336" s="74"/>
      <c r="W336" s="75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</row>
    <row r="337" s="73" customFormat="1" spans="1:34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5"/>
      <c r="P337" s="74"/>
      <c r="Q337" s="75"/>
      <c r="R337" s="74"/>
      <c r="S337" s="74"/>
      <c r="T337" s="74"/>
      <c r="U337" s="75"/>
      <c r="V337" s="74"/>
      <c r="W337" s="75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</row>
    <row r="338" s="73" customFormat="1" spans="1:34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5"/>
      <c r="P338" s="74"/>
      <c r="Q338" s="75"/>
      <c r="R338" s="74"/>
      <c r="S338" s="74"/>
      <c r="T338" s="74"/>
      <c r="U338" s="75"/>
      <c r="V338" s="74"/>
      <c r="W338" s="75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</row>
    <row r="339" s="73" customFormat="1" spans="1:34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5"/>
      <c r="P339" s="74"/>
      <c r="Q339" s="75"/>
      <c r="R339" s="74"/>
      <c r="S339" s="74"/>
      <c r="T339" s="74"/>
      <c r="U339" s="75"/>
      <c r="V339" s="74"/>
      <c r="W339" s="75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</row>
    <row r="340" s="73" customFormat="1" spans="1:34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5"/>
      <c r="P340" s="74"/>
      <c r="Q340" s="75"/>
      <c r="R340" s="74"/>
      <c r="S340" s="74"/>
      <c r="T340" s="74"/>
      <c r="U340" s="75"/>
      <c r="V340" s="74"/>
      <c r="W340" s="75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</row>
    <row r="341" s="73" customFormat="1" spans="1:34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5"/>
      <c r="P341" s="74"/>
      <c r="Q341" s="75"/>
      <c r="R341" s="74"/>
      <c r="S341" s="74"/>
      <c r="T341" s="74"/>
      <c r="U341" s="75"/>
      <c r="V341" s="74"/>
      <c r="W341" s="75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</row>
    <row r="342" s="73" customFormat="1" spans="1:34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5"/>
      <c r="P342" s="74"/>
      <c r="Q342" s="75"/>
      <c r="R342" s="74"/>
      <c r="S342" s="74"/>
      <c r="T342" s="74"/>
      <c r="U342" s="75"/>
      <c r="V342" s="74"/>
      <c r="W342" s="75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</row>
    <row r="343" s="73" customFormat="1" spans="1:34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5"/>
      <c r="P343" s="74"/>
      <c r="Q343" s="75"/>
      <c r="R343" s="74"/>
      <c r="S343" s="74"/>
      <c r="T343" s="74"/>
      <c r="U343" s="75"/>
      <c r="V343" s="74"/>
      <c r="W343" s="75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</row>
    <row r="344" s="73" customFormat="1" spans="1:34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5"/>
      <c r="P344" s="74"/>
      <c r="Q344" s="75"/>
      <c r="R344" s="74"/>
      <c r="S344" s="74"/>
      <c r="T344" s="74"/>
      <c r="U344" s="75"/>
      <c r="V344" s="74"/>
      <c r="W344" s="75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</row>
    <row r="345" s="73" customFormat="1" spans="1:34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5"/>
      <c r="P345" s="74"/>
      <c r="Q345" s="75"/>
      <c r="R345" s="74"/>
      <c r="S345" s="74"/>
      <c r="T345" s="74"/>
      <c r="U345" s="75"/>
      <c r="V345" s="74"/>
      <c r="W345" s="75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</row>
    <row r="346" s="73" customFormat="1" spans="1:34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5"/>
      <c r="P346" s="74"/>
      <c r="Q346" s="75"/>
      <c r="R346" s="74"/>
      <c r="S346" s="74"/>
      <c r="T346" s="74"/>
      <c r="U346" s="75"/>
      <c r="V346" s="74"/>
      <c r="W346" s="75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</row>
    <row r="347" s="73" customFormat="1" spans="1:34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5"/>
      <c r="P347" s="74"/>
      <c r="Q347" s="75"/>
      <c r="R347" s="74"/>
      <c r="S347" s="74"/>
      <c r="T347" s="74"/>
      <c r="U347" s="75"/>
      <c r="V347" s="74"/>
      <c r="W347" s="75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</row>
    <row r="348" s="73" customFormat="1" spans="1:34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5"/>
      <c r="P348" s="74"/>
      <c r="Q348" s="75"/>
      <c r="R348" s="74"/>
      <c r="S348" s="74"/>
      <c r="T348" s="74"/>
      <c r="U348" s="75"/>
      <c r="V348" s="74"/>
      <c r="W348" s="75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</row>
    <row r="349" s="73" customFormat="1" spans="1:34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5"/>
      <c r="P349" s="74"/>
      <c r="Q349" s="75"/>
      <c r="R349" s="74"/>
      <c r="S349" s="74"/>
      <c r="T349" s="74"/>
      <c r="U349" s="75"/>
      <c r="V349" s="74"/>
      <c r="W349" s="75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</row>
    <row r="350" s="73" customFormat="1" spans="1:34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5"/>
      <c r="P350" s="74"/>
      <c r="Q350" s="75"/>
      <c r="R350" s="74"/>
      <c r="S350" s="74"/>
      <c r="T350" s="74"/>
      <c r="U350" s="75"/>
      <c r="V350" s="74"/>
      <c r="W350" s="75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</row>
    <row r="351" s="73" customFormat="1" spans="1:34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5"/>
      <c r="P351" s="74"/>
      <c r="Q351" s="75"/>
      <c r="R351" s="74"/>
      <c r="S351" s="74"/>
      <c r="T351" s="74"/>
      <c r="U351" s="75"/>
      <c r="V351" s="74"/>
      <c r="W351" s="75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</row>
    <row r="352" s="73" customFormat="1" spans="1:34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5"/>
      <c r="P352" s="74"/>
      <c r="Q352" s="75"/>
      <c r="R352" s="74"/>
      <c r="S352" s="74"/>
      <c r="T352" s="74"/>
      <c r="U352" s="75"/>
      <c r="V352" s="74"/>
      <c r="W352" s="75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</row>
    <row r="353" s="73" customFormat="1" spans="1:34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5"/>
      <c r="P353" s="74"/>
      <c r="Q353" s="75"/>
      <c r="R353" s="74"/>
      <c r="S353" s="74"/>
      <c r="T353" s="74"/>
      <c r="U353" s="75"/>
      <c r="V353" s="74"/>
      <c r="W353" s="75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</row>
    <row r="354" s="73" customFormat="1" spans="1:34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5"/>
      <c r="P354" s="74"/>
      <c r="Q354" s="75"/>
      <c r="R354" s="74"/>
      <c r="S354" s="74"/>
      <c r="T354" s="74"/>
      <c r="U354" s="75"/>
      <c r="V354" s="74"/>
      <c r="W354" s="75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</row>
    <row r="355" s="73" customFormat="1" spans="1:34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5"/>
      <c r="P355" s="74"/>
      <c r="Q355" s="75"/>
      <c r="R355" s="74"/>
      <c r="S355" s="74"/>
      <c r="T355" s="74"/>
      <c r="U355" s="75"/>
      <c r="V355" s="74"/>
      <c r="W355" s="75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</row>
    <row r="356" s="73" customFormat="1" spans="1:34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5"/>
      <c r="P356" s="74"/>
      <c r="Q356" s="75"/>
      <c r="R356" s="74"/>
      <c r="S356" s="74"/>
      <c r="T356" s="74"/>
      <c r="U356" s="75"/>
      <c r="V356" s="74"/>
      <c r="W356" s="75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</row>
    <row r="357" s="73" customFormat="1" spans="1:34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5"/>
      <c r="P357" s="74"/>
      <c r="Q357" s="75"/>
      <c r="R357" s="74"/>
      <c r="S357" s="74"/>
      <c r="T357" s="74"/>
      <c r="U357" s="75"/>
      <c r="V357" s="74"/>
      <c r="W357" s="75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</row>
    <row r="358" s="73" customFormat="1" spans="1:34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5"/>
      <c r="P358" s="74"/>
      <c r="Q358" s="75"/>
      <c r="R358" s="74"/>
      <c r="S358" s="74"/>
      <c r="T358" s="74"/>
      <c r="U358" s="75"/>
      <c r="V358" s="74"/>
      <c r="W358" s="75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</row>
    <row r="359" s="73" customFormat="1" spans="1:34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5"/>
      <c r="P359" s="74"/>
      <c r="Q359" s="75"/>
      <c r="R359" s="74"/>
      <c r="S359" s="74"/>
      <c r="T359" s="74"/>
      <c r="U359" s="75"/>
      <c r="V359" s="74"/>
      <c r="W359" s="75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</row>
    <row r="360" s="73" customFormat="1" spans="1:34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5"/>
      <c r="P360" s="74"/>
      <c r="Q360" s="75"/>
      <c r="R360" s="74"/>
      <c r="S360" s="74"/>
      <c r="T360" s="74"/>
      <c r="U360" s="75"/>
      <c r="V360" s="74"/>
      <c r="W360" s="75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</row>
    <row r="361" s="73" customFormat="1" spans="1:34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5"/>
      <c r="P361" s="74"/>
      <c r="Q361" s="75"/>
      <c r="R361" s="74"/>
      <c r="S361" s="74"/>
      <c r="T361" s="74"/>
      <c r="U361" s="75"/>
      <c r="V361" s="74"/>
      <c r="W361" s="75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</row>
    <row r="362" s="73" customFormat="1" spans="1:34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5"/>
      <c r="P362" s="74"/>
      <c r="Q362" s="75"/>
      <c r="R362" s="74"/>
      <c r="S362" s="74"/>
      <c r="T362" s="74"/>
      <c r="U362" s="75"/>
      <c r="V362" s="74"/>
      <c r="W362" s="75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</row>
    <row r="363" s="73" customFormat="1" spans="1:34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5"/>
      <c r="P363" s="74"/>
      <c r="Q363" s="75"/>
      <c r="R363" s="74"/>
      <c r="S363" s="74"/>
      <c r="T363" s="74"/>
      <c r="U363" s="75"/>
      <c r="V363" s="74"/>
      <c r="W363" s="75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</row>
    <row r="364" s="73" customFormat="1" spans="1:34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5"/>
      <c r="P364" s="74"/>
      <c r="Q364" s="75"/>
      <c r="R364" s="74"/>
      <c r="S364" s="74"/>
      <c r="T364" s="74"/>
      <c r="U364" s="75"/>
      <c r="V364" s="74"/>
      <c r="W364" s="75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</row>
    <row r="365" s="73" customFormat="1" spans="1:34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5"/>
      <c r="P365" s="74"/>
      <c r="Q365" s="75"/>
      <c r="R365" s="74"/>
      <c r="S365" s="74"/>
      <c r="T365" s="74"/>
      <c r="U365" s="75"/>
      <c r="V365" s="74"/>
      <c r="W365" s="75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</row>
    <row r="366" s="73" customFormat="1" spans="1:34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5"/>
      <c r="P366" s="74"/>
      <c r="Q366" s="75"/>
      <c r="R366" s="74"/>
      <c r="S366" s="74"/>
      <c r="T366" s="74"/>
      <c r="U366" s="75"/>
      <c r="V366" s="74"/>
      <c r="W366" s="75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</row>
    <row r="367" s="73" customFormat="1" spans="1:34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5"/>
      <c r="P367" s="74"/>
      <c r="Q367" s="75"/>
      <c r="R367" s="74"/>
      <c r="S367" s="74"/>
      <c r="T367" s="74"/>
      <c r="U367" s="75"/>
      <c r="V367" s="74"/>
      <c r="W367" s="75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</row>
    <row r="368" s="73" customFormat="1" spans="1:34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5"/>
      <c r="P368" s="74"/>
      <c r="Q368" s="75"/>
      <c r="R368" s="74"/>
      <c r="S368" s="74"/>
      <c r="T368" s="74"/>
      <c r="U368" s="75"/>
      <c r="V368" s="74"/>
      <c r="W368" s="75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</row>
    <row r="369" s="73" customFormat="1" spans="1:34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5"/>
      <c r="P369" s="74"/>
      <c r="Q369" s="75"/>
      <c r="R369" s="74"/>
      <c r="S369" s="74"/>
      <c r="T369" s="74"/>
      <c r="U369" s="75"/>
      <c r="V369" s="74"/>
      <c r="W369" s="75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</row>
    <row r="370" s="73" customFormat="1" spans="1:34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5"/>
      <c r="P370" s="74"/>
      <c r="Q370" s="75"/>
      <c r="R370" s="74"/>
      <c r="S370" s="74"/>
      <c r="T370" s="74"/>
      <c r="U370" s="75"/>
      <c r="V370" s="74"/>
      <c r="W370" s="75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</row>
    <row r="371" s="73" customFormat="1" spans="1:34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5"/>
      <c r="P371" s="74"/>
      <c r="Q371" s="75"/>
      <c r="R371" s="74"/>
      <c r="S371" s="74"/>
      <c r="T371" s="74"/>
      <c r="U371" s="75"/>
      <c r="V371" s="74"/>
      <c r="W371" s="75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</row>
    <row r="372" s="73" customFormat="1" spans="1:34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5"/>
      <c r="P372" s="74"/>
      <c r="Q372" s="75"/>
      <c r="R372" s="74"/>
      <c r="S372" s="74"/>
      <c r="T372" s="74"/>
      <c r="U372" s="75"/>
      <c r="V372" s="74"/>
      <c r="W372" s="75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</row>
    <row r="373" s="73" customFormat="1" spans="1:34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5"/>
      <c r="P373" s="74"/>
      <c r="Q373" s="75"/>
      <c r="R373" s="74"/>
      <c r="S373" s="74"/>
      <c r="T373" s="74"/>
      <c r="U373" s="75"/>
      <c r="V373" s="74"/>
      <c r="W373" s="75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</row>
    <row r="374" s="73" customFormat="1" spans="1:34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5"/>
      <c r="P374" s="74"/>
      <c r="Q374" s="75"/>
      <c r="R374" s="74"/>
      <c r="S374" s="74"/>
      <c r="T374" s="74"/>
      <c r="U374" s="75"/>
      <c r="V374" s="74"/>
      <c r="W374" s="75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</row>
    <row r="375" s="73" customFormat="1" spans="1:34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5"/>
      <c r="P375" s="74"/>
      <c r="Q375" s="75"/>
      <c r="R375" s="74"/>
      <c r="S375" s="74"/>
      <c r="T375" s="74"/>
      <c r="U375" s="75"/>
      <c r="V375" s="74"/>
      <c r="W375" s="75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</row>
    <row r="376" s="73" customFormat="1" spans="1:34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5"/>
      <c r="P376" s="74"/>
      <c r="Q376" s="75"/>
      <c r="R376" s="74"/>
      <c r="S376" s="74"/>
      <c r="T376" s="74"/>
      <c r="U376" s="75"/>
      <c r="V376" s="74"/>
      <c r="W376" s="75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</row>
    <row r="377" s="73" customFormat="1" spans="1:34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5"/>
      <c r="P377" s="74"/>
      <c r="Q377" s="75"/>
      <c r="R377" s="74"/>
      <c r="S377" s="74"/>
      <c r="T377" s="74"/>
      <c r="U377" s="75"/>
      <c r="V377" s="74"/>
      <c r="W377" s="75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</row>
    <row r="378" s="73" customFormat="1" spans="1:34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5"/>
      <c r="P378" s="74"/>
      <c r="Q378" s="75"/>
      <c r="R378" s="74"/>
      <c r="S378" s="74"/>
      <c r="T378" s="74"/>
      <c r="U378" s="75"/>
      <c r="V378" s="74"/>
      <c r="W378" s="75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</row>
    <row r="379" s="73" customFormat="1" spans="1:34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5"/>
      <c r="P379" s="74"/>
      <c r="Q379" s="75"/>
      <c r="R379" s="74"/>
      <c r="S379" s="74"/>
      <c r="T379" s="74"/>
      <c r="U379" s="75"/>
      <c r="V379" s="74"/>
      <c r="W379" s="75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</row>
    <row r="380" s="73" customFormat="1" spans="1:34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5"/>
      <c r="P380" s="74"/>
      <c r="Q380" s="75"/>
      <c r="R380" s="74"/>
      <c r="S380" s="74"/>
      <c r="T380" s="74"/>
      <c r="U380" s="75"/>
      <c r="V380" s="74"/>
      <c r="W380" s="75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</row>
    <row r="381" s="73" customFormat="1" spans="1:34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5"/>
      <c r="P381" s="74"/>
      <c r="Q381" s="75"/>
      <c r="R381" s="74"/>
      <c r="S381" s="74"/>
      <c r="T381" s="74"/>
      <c r="U381" s="75"/>
      <c r="V381" s="74"/>
      <c r="W381" s="75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</row>
    <row r="382" s="73" customFormat="1" spans="1:34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5"/>
      <c r="P382" s="74"/>
      <c r="Q382" s="75"/>
      <c r="R382" s="74"/>
      <c r="S382" s="74"/>
      <c r="T382" s="74"/>
      <c r="U382" s="75"/>
      <c r="V382" s="74"/>
      <c r="W382" s="75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</row>
    <row r="383" s="73" customFormat="1" spans="1:34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5"/>
      <c r="P383" s="74"/>
      <c r="Q383" s="75"/>
      <c r="R383" s="74"/>
      <c r="S383" s="74"/>
      <c r="T383" s="74"/>
      <c r="U383" s="75"/>
      <c r="V383" s="74"/>
      <c r="W383" s="75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</row>
    <row r="384" s="73" customFormat="1" spans="1:34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5"/>
      <c r="P384" s="74"/>
      <c r="Q384" s="75"/>
      <c r="R384" s="74"/>
      <c r="S384" s="74"/>
      <c r="T384" s="74"/>
      <c r="U384" s="75"/>
      <c r="V384" s="74"/>
      <c r="W384" s="75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</row>
    <row r="385" s="73" customFormat="1" spans="1:34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5"/>
      <c r="P385" s="74"/>
      <c r="Q385" s="75"/>
      <c r="R385" s="74"/>
      <c r="S385" s="74"/>
      <c r="T385" s="74"/>
      <c r="U385" s="75"/>
      <c r="V385" s="74"/>
      <c r="W385" s="75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</row>
    <row r="386" s="73" customFormat="1" spans="1:34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5"/>
      <c r="P386" s="74"/>
      <c r="Q386" s="75"/>
      <c r="R386" s="74"/>
      <c r="S386" s="74"/>
      <c r="T386" s="74"/>
      <c r="U386" s="75"/>
      <c r="V386" s="74"/>
      <c r="W386" s="75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</row>
    <row r="387" s="73" customFormat="1" spans="1:34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5"/>
      <c r="P387" s="74"/>
      <c r="Q387" s="75"/>
      <c r="R387" s="74"/>
      <c r="S387" s="74"/>
      <c r="T387" s="74"/>
      <c r="U387" s="75"/>
      <c r="V387" s="74"/>
      <c r="W387" s="75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</row>
    <row r="388" s="73" customFormat="1" spans="1:34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5"/>
      <c r="P388" s="74"/>
      <c r="Q388" s="75"/>
      <c r="R388" s="74"/>
      <c r="S388" s="74"/>
      <c r="T388" s="74"/>
      <c r="U388" s="75"/>
      <c r="V388" s="74"/>
      <c r="W388" s="75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</row>
    <row r="389" s="73" customFormat="1" spans="1:34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5"/>
      <c r="P389" s="74"/>
      <c r="Q389" s="75"/>
      <c r="R389" s="74"/>
      <c r="S389" s="74"/>
      <c r="T389" s="74"/>
      <c r="U389" s="75"/>
      <c r="V389" s="74"/>
      <c r="W389" s="75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</row>
    <row r="390" s="73" customFormat="1" spans="1:34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5"/>
      <c r="P390" s="74"/>
      <c r="Q390" s="75"/>
      <c r="R390" s="74"/>
      <c r="S390" s="74"/>
      <c r="T390" s="74"/>
      <c r="U390" s="75"/>
      <c r="V390" s="74"/>
      <c r="W390" s="75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</row>
    <row r="391" s="73" customFormat="1" spans="1:34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5"/>
      <c r="P391" s="74"/>
      <c r="Q391" s="75"/>
      <c r="R391" s="74"/>
      <c r="S391" s="74"/>
      <c r="T391" s="74"/>
      <c r="U391" s="75"/>
      <c r="V391" s="74"/>
      <c r="W391" s="75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</row>
    <row r="392" s="73" customFormat="1" spans="1:34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5"/>
      <c r="P392" s="74"/>
      <c r="Q392" s="75"/>
      <c r="R392" s="74"/>
      <c r="S392" s="74"/>
      <c r="T392" s="74"/>
      <c r="U392" s="75"/>
      <c r="V392" s="74"/>
      <c r="W392" s="75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</row>
    <row r="393" s="73" customFormat="1" spans="1:34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5"/>
      <c r="P393" s="74"/>
      <c r="Q393" s="75"/>
      <c r="R393" s="74"/>
      <c r="S393" s="74"/>
      <c r="T393" s="74"/>
      <c r="U393" s="75"/>
      <c r="V393" s="74"/>
      <c r="W393" s="75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</row>
    <row r="394" s="73" customFormat="1" spans="1:34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5"/>
      <c r="P394" s="74"/>
      <c r="Q394" s="75"/>
      <c r="R394" s="74"/>
      <c r="S394" s="74"/>
      <c r="T394" s="74"/>
      <c r="U394" s="75"/>
      <c r="V394" s="74"/>
      <c r="W394" s="75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</row>
    <row r="395" s="73" customFormat="1" spans="1:34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5"/>
      <c r="P395" s="74"/>
      <c r="Q395" s="75"/>
      <c r="R395" s="74"/>
      <c r="S395" s="74"/>
      <c r="T395" s="74"/>
      <c r="U395" s="75"/>
      <c r="V395" s="74"/>
      <c r="W395" s="75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</row>
    <row r="396" s="73" customFormat="1" spans="1:34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5"/>
      <c r="P396" s="74"/>
      <c r="Q396" s="75"/>
      <c r="R396" s="74"/>
      <c r="S396" s="74"/>
      <c r="T396" s="74"/>
      <c r="U396" s="75"/>
      <c r="V396" s="74"/>
      <c r="W396" s="75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</row>
    <row r="397" s="73" customFormat="1" spans="1:34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5"/>
      <c r="P397" s="74"/>
      <c r="Q397" s="75"/>
      <c r="R397" s="74"/>
      <c r="S397" s="74"/>
      <c r="T397" s="74"/>
      <c r="U397" s="75"/>
      <c r="V397" s="74"/>
      <c r="W397" s="75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</row>
    <row r="398" s="73" customFormat="1" spans="1:34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5"/>
      <c r="P398" s="74"/>
      <c r="Q398" s="75"/>
      <c r="R398" s="74"/>
      <c r="S398" s="74"/>
      <c r="T398" s="74"/>
      <c r="U398" s="75"/>
      <c r="V398" s="74"/>
      <c r="W398" s="75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</row>
    <row r="399" s="73" customFormat="1" spans="1:34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5"/>
      <c r="P399" s="74"/>
      <c r="Q399" s="75"/>
      <c r="R399" s="74"/>
      <c r="S399" s="74"/>
      <c r="T399" s="74"/>
      <c r="U399" s="75"/>
      <c r="V399" s="74"/>
      <c r="W399" s="75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</row>
    <row r="400" s="73" customFormat="1" spans="1:34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5"/>
      <c r="P400" s="74"/>
      <c r="Q400" s="75"/>
      <c r="R400" s="74"/>
      <c r="S400" s="74"/>
      <c r="T400" s="74"/>
      <c r="U400" s="75"/>
      <c r="V400" s="74"/>
      <c r="W400" s="75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</row>
    <row r="401" s="73" customFormat="1" spans="1:34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5"/>
      <c r="P401" s="74"/>
      <c r="Q401" s="75"/>
      <c r="R401" s="74"/>
      <c r="S401" s="74"/>
      <c r="T401" s="74"/>
      <c r="U401" s="75"/>
      <c r="V401" s="74"/>
      <c r="W401" s="75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</row>
    <row r="402" s="73" customFormat="1" spans="1:34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5"/>
      <c r="P402" s="74"/>
      <c r="Q402" s="75"/>
      <c r="R402" s="74"/>
      <c r="S402" s="74"/>
      <c r="T402" s="74"/>
      <c r="U402" s="75"/>
      <c r="V402" s="74"/>
      <c r="W402" s="75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</row>
    <row r="403" s="73" customFormat="1" spans="1:34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5"/>
      <c r="P403" s="74"/>
      <c r="Q403" s="75"/>
      <c r="R403" s="74"/>
      <c r="S403" s="74"/>
      <c r="T403" s="74"/>
      <c r="U403" s="75"/>
      <c r="V403" s="74"/>
      <c r="W403" s="75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</row>
    <row r="404" s="73" customFormat="1" spans="1:34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5"/>
      <c r="P404" s="74"/>
      <c r="Q404" s="75"/>
      <c r="R404" s="74"/>
      <c r="S404" s="74"/>
      <c r="T404" s="74"/>
      <c r="U404" s="75"/>
      <c r="V404" s="74"/>
      <c r="W404" s="75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</row>
    <row r="405" s="73" customFormat="1" spans="1:34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5"/>
      <c r="P405" s="74"/>
      <c r="Q405" s="75"/>
      <c r="R405" s="74"/>
      <c r="S405" s="74"/>
      <c r="T405" s="74"/>
      <c r="U405" s="75"/>
      <c r="V405" s="74"/>
      <c r="W405" s="75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</row>
    <row r="406" s="73" customFormat="1" spans="1:34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5"/>
      <c r="P406" s="74"/>
      <c r="Q406" s="75"/>
      <c r="R406" s="74"/>
      <c r="S406" s="74"/>
      <c r="T406" s="74"/>
      <c r="U406" s="75"/>
      <c r="V406" s="74"/>
      <c r="W406" s="75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</row>
    <row r="407" s="73" customFormat="1" spans="1:34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5"/>
      <c r="P407" s="74"/>
      <c r="Q407" s="75"/>
      <c r="R407" s="74"/>
      <c r="S407" s="74"/>
      <c r="T407" s="74"/>
      <c r="U407" s="75"/>
      <c r="V407" s="74"/>
      <c r="W407" s="75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</row>
    <row r="408" s="73" customFormat="1" spans="1:34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5"/>
      <c r="P408" s="74"/>
      <c r="Q408" s="75"/>
      <c r="R408" s="74"/>
      <c r="S408" s="74"/>
      <c r="T408" s="74"/>
      <c r="U408" s="75"/>
      <c r="V408" s="74"/>
      <c r="W408" s="75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</row>
    <row r="409" s="73" customFormat="1" spans="1:34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5"/>
      <c r="P409" s="74"/>
      <c r="Q409" s="75"/>
      <c r="R409" s="74"/>
      <c r="S409" s="74"/>
      <c r="T409" s="74"/>
      <c r="U409" s="75"/>
      <c r="V409" s="74"/>
      <c r="W409" s="75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</row>
    <row r="410" s="73" customFormat="1" spans="1:34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5"/>
      <c r="P410" s="74"/>
      <c r="Q410" s="75"/>
      <c r="R410" s="74"/>
      <c r="S410" s="74"/>
      <c r="T410" s="74"/>
      <c r="U410" s="75"/>
      <c r="V410" s="74"/>
      <c r="W410" s="75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</row>
    <row r="411" s="73" customFormat="1" spans="1:34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5"/>
      <c r="P411" s="74"/>
      <c r="Q411" s="75"/>
      <c r="R411" s="74"/>
      <c r="S411" s="74"/>
      <c r="T411" s="74"/>
      <c r="U411" s="75"/>
      <c r="V411" s="74"/>
      <c r="W411" s="75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</row>
    <row r="412" s="73" customFormat="1" spans="1:34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5"/>
      <c r="P412" s="74"/>
      <c r="Q412" s="75"/>
      <c r="R412" s="74"/>
      <c r="S412" s="74"/>
      <c r="T412" s="74"/>
      <c r="U412" s="75"/>
      <c r="V412" s="74"/>
      <c r="W412" s="75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</row>
    <row r="413" s="73" customFormat="1" spans="1:34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5"/>
      <c r="P413" s="74"/>
      <c r="Q413" s="75"/>
      <c r="R413" s="74"/>
      <c r="S413" s="74"/>
      <c r="T413" s="74"/>
      <c r="U413" s="75"/>
      <c r="V413" s="74"/>
      <c r="W413" s="75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</row>
    <row r="414" s="73" customFormat="1" spans="1:34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5"/>
      <c r="P414" s="74"/>
      <c r="Q414" s="75"/>
      <c r="R414" s="74"/>
      <c r="S414" s="74"/>
      <c r="T414" s="74"/>
      <c r="U414" s="75"/>
      <c r="V414" s="74"/>
      <c r="W414" s="75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</row>
    <row r="415" s="73" customFormat="1" spans="1:34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5"/>
      <c r="P415" s="74"/>
      <c r="Q415" s="75"/>
      <c r="R415" s="74"/>
      <c r="S415" s="74"/>
      <c r="T415" s="74"/>
      <c r="U415" s="75"/>
      <c r="V415" s="74"/>
      <c r="W415" s="75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</row>
    <row r="416" s="73" customFormat="1" spans="1:34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5"/>
      <c r="P416" s="74"/>
      <c r="Q416" s="75"/>
      <c r="R416" s="74"/>
      <c r="S416" s="74"/>
      <c r="T416" s="74"/>
      <c r="U416" s="75"/>
      <c r="V416" s="74"/>
      <c r="W416" s="75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</row>
    <row r="417" s="73" customFormat="1" spans="1:34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5"/>
      <c r="P417" s="74"/>
      <c r="Q417" s="75"/>
      <c r="R417" s="74"/>
      <c r="S417" s="74"/>
      <c r="T417" s="74"/>
      <c r="U417" s="75"/>
      <c r="V417" s="74"/>
      <c r="W417" s="75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</row>
    <row r="418" s="73" customFormat="1" spans="1:34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5"/>
      <c r="P418" s="74"/>
      <c r="Q418" s="75"/>
      <c r="R418" s="74"/>
      <c r="S418" s="74"/>
      <c r="T418" s="74"/>
      <c r="U418" s="75"/>
      <c r="V418" s="74"/>
      <c r="W418" s="75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</row>
    <row r="419" s="73" customFormat="1" spans="1:34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5"/>
      <c r="P419" s="74"/>
      <c r="Q419" s="75"/>
      <c r="R419" s="74"/>
      <c r="S419" s="74"/>
      <c r="T419" s="74"/>
      <c r="U419" s="75"/>
      <c r="V419" s="74"/>
      <c r="W419" s="75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</row>
    <row r="420" s="73" customFormat="1" spans="1:34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5"/>
      <c r="P420" s="74"/>
      <c r="Q420" s="75"/>
      <c r="R420" s="74"/>
      <c r="S420" s="74"/>
      <c r="T420" s="74"/>
      <c r="U420" s="75"/>
      <c r="V420" s="74"/>
      <c r="W420" s="75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</row>
    <row r="421" s="73" customFormat="1" spans="1:34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5"/>
      <c r="P421" s="74"/>
      <c r="Q421" s="75"/>
      <c r="R421" s="74"/>
      <c r="S421" s="74"/>
      <c r="T421" s="74"/>
      <c r="U421" s="75"/>
      <c r="V421" s="74"/>
      <c r="W421" s="75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</row>
    <row r="422" s="73" customFormat="1" spans="1:34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5"/>
      <c r="P422" s="74"/>
      <c r="Q422" s="75"/>
      <c r="R422" s="74"/>
      <c r="S422" s="74"/>
      <c r="T422" s="74"/>
      <c r="U422" s="75"/>
      <c r="V422" s="74"/>
      <c r="W422" s="75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</row>
    <row r="423" s="73" customFormat="1" spans="1:34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5"/>
      <c r="P423" s="74"/>
      <c r="Q423" s="75"/>
      <c r="R423" s="74"/>
      <c r="S423" s="74"/>
      <c r="T423" s="74"/>
      <c r="U423" s="75"/>
      <c r="V423" s="74"/>
      <c r="W423" s="75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</row>
    <row r="424" s="73" customFormat="1" spans="1:34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5"/>
      <c r="P424" s="74"/>
      <c r="Q424" s="75"/>
      <c r="R424" s="74"/>
      <c r="S424" s="74"/>
      <c r="T424" s="74"/>
      <c r="U424" s="75"/>
      <c r="V424" s="74"/>
      <c r="W424" s="75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</row>
    <row r="425" s="73" customFormat="1" spans="1:34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5"/>
      <c r="P425" s="74"/>
      <c r="Q425" s="75"/>
      <c r="R425" s="74"/>
      <c r="S425" s="74"/>
      <c r="T425" s="74"/>
      <c r="U425" s="75"/>
      <c r="V425" s="74"/>
      <c r="W425" s="75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</row>
    <row r="426" s="73" customFormat="1" spans="1:34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5"/>
      <c r="P426" s="74"/>
      <c r="Q426" s="75"/>
      <c r="R426" s="74"/>
      <c r="S426" s="74"/>
      <c r="T426" s="74"/>
      <c r="U426" s="75"/>
      <c r="V426" s="74"/>
      <c r="W426" s="75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</row>
    <row r="427" s="73" customFormat="1" spans="1:34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5"/>
      <c r="P427" s="74"/>
      <c r="Q427" s="75"/>
      <c r="R427" s="74"/>
      <c r="S427" s="74"/>
      <c r="T427" s="74"/>
      <c r="U427" s="75"/>
      <c r="V427" s="74"/>
      <c r="W427" s="75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</row>
    <row r="428" s="73" customFormat="1" spans="1:34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5"/>
      <c r="P428" s="74"/>
      <c r="Q428" s="75"/>
      <c r="R428" s="74"/>
      <c r="S428" s="74"/>
      <c r="T428" s="74"/>
      <c r="U428" s="75"/>
      <c r="V428" s="74"/>
      <c r="W428" s="75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</row>
    <row r="429" s="73" customFormat="1" spans="1:34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5"/>
      <c r="P429" s="74"/>
      <c r="Q429" s="75"/>
      <c r="R429" s="74"/>
      <c r="S429" s="74"/>
      <c r="T429" s="74"/>
      <c r="U429" s="75"/>
      <c r="V429" s="74"/>
      <c r="W429" s="75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</row>
    <row r="430" s="73" customFormat="1" spans="1:34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5"/>
      <c r="P430" s="74"/>
      <c r="Q430" s="75"/>
      <c r="R430" s="74"/>
      <c r="S430" s="74"/>
      <c r="T430" s="74"/>
      <c r="U430" s="75"/>
      <c r="V430" s="74"/>
      <c r="W430" s="75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</row>
    <row r="431" s="73" customFormat="1" spans="1:34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5"/>
      <c r="P431" s="74"/>
      <c r="Q431" s="75"/>
      <c r="R431" s="74"/>
      <c r="S431" s="74"/>
      <c r="T431" s="74"/>
      <c r="U431" s="75"/>
      <c r="V431" s="74"/>
      <c r="W431" s="75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</row>
    <row r="432" s="73" customFormat="1" spans="1:34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5"/>
      <c r="P432" s="74"/>
      <c r="Q432" s="75"/>
      <c r="R432" s="74"/>
      <c r="S432" s="74"/>
      <c r="T432" s="74"/>
      <c r="U432" s="75"/>
      <c r="V432" s="74"/>
      <c r="W432" s="75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</row>
    <row r="433" s="73" customFormat="1" spans="1:34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5"/>
      <c r="P433" s="74"/>
      <c r="Q433" s="75"/>
      <c r="R433" s="74"/>
      <c r="S433" s="74"/>
      <c r="T433" s="74"/>
      <c r="U433" s="75"/>
      <c r="V433" s="74"/>
      <c r="W433" s="75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</row>
    <row r="434" s="73" customFormat="1" spans="1:34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5"/>
      <c r="P434" s="74"/>
      <c r="Q434" s="75"/>
      <c r="R434" s="74"/>
      <c r="S434" s="74"/>
      <c r="T434" s="74"/>
      <c r="U434" s="75"/>
      <c r="V434" s="74"/>
      <c r="W434" s="75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</row>
    <row r="435" s="73" customFormat="1" spans="1:34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5"/>
      <c r="P435" s="74"/>
      <c r="Q435" s="75"/>
      <c r="R435" s="74"/>
      <c r="S435" s="74"/>
      <c r="T435" s="74"/>
      <c r="U435" s="75"/>
      <c r="V435" s="74"/>
      <c r="W435" s="75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</row>
    <row r="436" s="73" customFormat="1" spans="1:34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5"/>
      <c r="P436" s="74"/>
      <c r="Q436" s="75"/>
      <c r="R436" s="74"/>
      <c r="S436" s="74"/>
      <c r="T436" s="74"/>
      <c r="U436" s="75"/>
      <c r="V436" s="74"/>
      <c r="W436" s="75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</row>
    <row r="437" s="73" customFormat="1" spans="1:34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5"/>
      <c r="P437" s="74"/>
      <c r="Q437" s="75"/>
      <c r="R437" s="74"/>
      <c r="S437" s="74"/>
      <c r="T437" s="74"/>
      <c r="U437" s="75"/>
      <c r="V437" s="74"/>
      <c r="W437" s="75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</row>
    <row r="438" s="73" customFormat="1" spans="1:34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5"/>
      <c r="P438" s="74"/>
      <c r="Q438" s="75"/>
      <c r="R438" s="74"/>
      <c r="S438" s="74"/>
      <c r="T438" s="74"/>
      <c r="U438" s="75"/>
      <c r="V438" s="74"/>
      <c r="W438" s="75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</row>
    <row r="439" s="73" customFormat="1" spans="1:34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5"/>
      <c r="P439" s="74"/>
      <c r="Q439" s="75"/>
      <c r="R439" s="74"/>
      <c r="S439" s="74"/>
      <c r="T439" s="74"/>
      <c r="U439" s="75"/>
      <c r="V439" s="74"/>
      <c r="W439" s="75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</row>
    <row r="440" s="73" customFormat="1" spans="1:34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5"/>
      <c r="P440" s="74"/>
      <c r="Q440" s="75"/>
      <c r="R440" s="74"/>
      <c r="S440" s="74"/>
      <c r="T440" s="74"/>
      <c r="U440" s="75"/>
      <c r="V440" s="74"/>
      <c r="W440" s="75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</row>
    <row r="441" s="73" customFormat="1" spans="1:34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5"/>
      <c r="P441" s="74"/>
      <c r="Q441" s="75"/>
      <c r="R441" s="74"/>
      <c r="S441" s="74"/>
      <c r="T441" s="74"/>
      <c r="U441" s="75"/>
      <c r="V441" s="74"/>
      <c r="W441" s="75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</row>
    <row r="442" s="73" customFormat="1" spans="1:34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5"/>
      <c r="P442" s="74"/>
      <c r="Q442" s="75"/>
      <c r="R442" s="74"/>
      <c r="S442" s="74"/>
      <c r="T442" s="74"/>
      <c r="U442" s="75"/>
      <c r="V442" s="74"/>
      <c r="W442" s="75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</row>
    <row r="443" s="73" customFormat="1" spans="1:34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5"/>
      <c r="P443" s="74"/>
      <c r="Q443" s="75"/>
      <c r="R443" s="74"/>
      <c r="S443" s="74"/>
      <c r="T443" s="74"/>
      <c r="U443" s="75"/>
      <c r="V443" s="74"/>
      <c r="W443" s="75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</row>
    <row r="444" s="73" customFormat="1" spans="1:34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5"/>
      <c r="P444" s="74"/>
      <c r="Q444" s="75"/>
      <c r="R444" s="74"/>
      <c r="S444" s="74"/>
      <c r="T444" s="74"/>
      <c r="U444" s="75"/>
      <c r="V444" s="74"/>
      <c r="W444" s="75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</row>
    <row r="445" s="73" customFormat="1" spans="1:34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5"/>
      <c r="P445" s="74"/>
      <c r="Q445" s="75"/>
      <c r="R445" s="74"/>
      <c r="S445" s="74"/>
      <c r="T445" s="74"/>
      <c r="U445" s="75"/>
      <c r="V445" s="74"/>
      <c r="W445" s="75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</row>
    <row r="446" s="73" customFormat="1" spans="1:34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5"/>
      <c r="P446" s="74"/>
      <c r="Q446" s="75"/>
      <c r="R446" s="74"/>
      <c r="S446" s="74"/>
      <c r="T446" s="74"/>
      <c r="U446" s="75"/>
      <c r="V446" s="74"/>
      <c r="W446" s="75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</row>
    <row r="447" s="73" customFormat="1" spans="1:34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5"/>
      <c r="P447" s="74"/>
      <c r="Q447" s="75"/>
      <c r="R447" s="74"/>
      <c r="S447" s="74"/>
      <c r="T447" s="74"/>
      <c r="U447" s="75"/>
      <c r="V447" s="74"/>
      <c r="W447" s="75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</row>
    <row r="448" s="73" customFormat="1" spans="1:34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5"/>
      <c r="P448" s="74"/>
      <c r="Q448" s="75"/>
      <c r="R448" s="74"/>
      <c r="S448" s="74"/>
      <c r="T448" s="74"/>
      <c r="U448" s="75"/>
      <c r="V448" s="74"/>
      <c r="W448" s="75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</row>
    <row r="449" s="73" customFormat="1" spans="1:34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5"/>
      <c r="P449" s="74"/>
      <c r="Q449" s="75"/>
      <c r="R449" s="74"/>
      <c r="S449" s="74"/>
      <c r="T449" s="74"/>
      <c r="U449" s="75"/>
      <c r="V449" s="74"/>
      <c r="W449" s="75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</row>
    <row r="450" s="73" customFormat="1" spans="1:34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5"/>
      <c r="P450" s="74"/>
      <c r="Q450" s="75"/>
      <c r="R450" s="74"/>
      <c r="S450" s="74"/>
      <c r="T450" s="74"/>
      <c r="U450" s="75"/>
      <c r="V450" s="74"/>
      <c r="W450" s="75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</row>
    <row r="451" s="73" customFormat="1" spans="1:34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5"/>
      <c r="P451" s="74"/>
      <c r="Q451" s="75"/>
      <c r="R451" s="74"/>
      <c r="S451" s="74"/>
      <c r="T451" s="74"/>
      <c r="U451" s="75"/>
      <c r="V451" s="74"/>
      <c r="W451" s="75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</row>
    <row r="452" s="73" customFormat="1" spans="1:34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5"/>
      <c r="P452" s="74"/>
      <c r="Q452" s="75"/>
      <c r="R452" s="74"/>
      <c r="S452" s="74"/>
      <c r="T452" s="74"/>
      <c r="U452" s="75"/>
      <c r="V452" s="74"/>
      <c r="W452" s="75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</row>
    <row r="453" s="73" customFormat="1" spans="1:34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5"/>
      <c r="P453" s="74"/>
      <c r="Q453" s="75"/>
      <c r="R453" s="74"/>
      <c r="S453" s="74"/>
      <c r="T453" s="74"/>
      <c r="U453" s="75"/>
      <c r="V453" s="74"/>
      <c r="W453" s="75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</row>
    <row r="454" s="73" customFormat="1" spans="1:34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5"/>
      <c r="P454" s="74"/>
      <c r="Q454" s="75"/>
      <c r="R454" s="74"/>
      <c r="S454" s="74"/>
      <c r="T454" s="74"/>
      <c r="U454" s="75"/>
      <c r="V454" s="74"/>
      <c r="W454" s="75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</row>
    <row r="455" s="73" customFormat="1" spans="1:34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5"/>
      <c r="P455" s="74"/>
      <c r="Q455" s="75"/>
      <c r="R455" s="74"/>
      <c r="S455" s="74"/>
      <c r="T455" s="74"/>
      <c r="U455" s="75"/>
      <c r="V455" s="74"/>
      <c r="W455" s="75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</row>
    <row r="456" s="73" customFormat="1" spans="1:34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5"/>
      <c r="P456" s="74"/>
      <c r="Q456" s="75"/>
      <c r="R456" s="74"/>
      <c r="S456" s="74"/>
      <c r="T456" s="74"/>
      <c r="U456" s="75"/>
      <c r="V456" s="74"/>
      <c r="W456" s="75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</row>
    <row r="457" s="73" customFormat="1" spans="1:34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5"/>
      <c r="P457" s="74"/>
      <c r="Q457" s="75"/>
      <c r="R457" s="74"/>
      <c r="S457" s="74"/>
      <c r="T457" s="74"/>
      <c r="U457" s="75"/>
      <c r="V457" s="74"/>
      <c r="W457" s="75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</row>
    <row r="458" s="73" customFormat="1" spans="1:34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5"/>
      <c r="P458" s="74"/>
      <c r="Q458" s="75"/>
      <c r="R458" s="74"/>
      <c r="S458" s="74"/>
      <c r="T458" s="74"/>
      <c r="U458" s="75"/>
      <c r="V458" s="74"/>
      <c r="W458" s="75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</row>
    <row r="459" s="73" customFormat="1" spans="1:34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5"/>
      <c r="P459" s="74"/>
      <c r="Q459" s="75"/>
      <c r="R459" s="74"/>
      <c r="S459" s="74"/>
      <c r="T459" s="74"/>
      <c r="U459" s="75"/>
      <c r="V459" s="74"/>
      <c r="W459" s="75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</row>
    <row r="460" s="73" customFormat="1" spans="1:34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5"/>
      <c r="P460" s="74"/>
      <c r="Q460" s="75"/>
      <c r="R460" s="74"/>
      <c r="S460" s="74"/>
      <c r="T460" s="74"/>
      <c r="U460" s="75"/>
      <c r="V460" s="74"/>
      <c r="W460" s="75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</row>
    <row r="461" s="73" customFormat="1" spans="1:34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5"/>
      <c r="P461" s="74"/>
      <c r="Q461" s="75"/>
      <c r="R461" s="74"/>
      <c r="S461" s="74"/>
      <c r="T461" s="74"/>
      <c r="U461" s="75"/>
      <c r="V461" s="74"/>
      <c r="W461" s="75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</row>
    <row r="462" s="73" customFormat="1" spans="1:34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5"/>
      <c r="P462" s="74"/>
      <c r="Q462" s="75"/>
      <c r="R462" s="74"/>
      <c r="S462" s="74"/>
      <c r="T462" s="74"/>
      <c r="U462" s="75"/>
      <c r="V462" s="74"/>
      <c r="W462" s="75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</row>
    <row r="463" s="73" customFormat="1" spans="1:34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5"/>
      <c r="P463" s="74"/>
      <c r="Q463" s="75"/>
      <c r="R463" s="74"/>
      <c r="S463" s="74"/>
      <c r="T463" s="74"/>
      <c r="U463" s="75"/>
      <c r="V463" s="74"/>
      <c r="W463" s="75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</row>
    <row r="464" s="73" customFormat="1" spans="1:34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5"/>
      <c r="P464" s="74"/>
      <c r="Q464" s="75"/>
      <c r="R464" s="74"/>
      <c r="S464" s="74"/>
      <c r="T464" s="74"/>
      <c r="U464" s="75"/>
      <c r="V464" s="74"/>
      <c r="W464" s="75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</row>
    <row r="465" s="73" customFormat="1" spans="1:34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5"/>
      <c r="P465" s="74"/>
      <c r="Q465" s="75"/>
      <c r="R465" s="74"/>
      <c r="S465" s="74"/>
      <c r="T465" s="74"/>
      <c r="U465" s="75"/>
      <c r="V465" s="74"/>
      <c r="W465" s="75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</row>
    <row r="466" s="73" customFormat="1" spans="1:34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5"/>
      <c r="P466" s="74"/>
      <c r="Q466" s="75"/>
      <c r="R466" s="74"/>
      <c r="S466" s="74"/>
      <c r="T466" s="74"/>
      <c r="U466" s="75"/>
      <c r="V466" s="74"/>
      <c r="W466" s="75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</row>
    <row r="467" s="73" customFormat="1" spans="1:34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5"/>
      <c r="P467" s="74"/>
      <c r="Q467" s="75"/>
      <c r="R467" s="74"/>
      <c r="S467" s="74"/>
      <c r="T467" s="74"/>
      <c r="U467" s="75"/>
      <c r="V467" s="74"/>
      <c r="W467" s="75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</row>
    <row r="468" s="73" customFormat="1" spans="1:34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5"/>
      <c r="P468" s="74"/>
      <c r="Q468" s="75"/>
      <c r="R468" s="74"/>
      <c r="S468" s="74"/>
      <c r="T468" s="74"/>
      <c r="U468" s="75"/>
      <c r="V468" s="74"/>
      <c r="W468" s="75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</row>
    <row r="469" s="73" customFormat="1" spans="1:34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5"/>
      <c r="P469" s="74"/>
      <c r="Q469" s="75"/>
      <c r="R469" s="74"/>
      <c r="S469" s="74"/>
      <c r="T469" s="74"/>
      <c r="U469" s="75"/>
      <c r="V469" s="74"/>
      <c r="W469" s="75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</row>
    <row r="470" s="73" customFormat="1" spans="1:34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5"/>
      <c r="P470" s="74"/>
      <c r="Q470" s="75"/>
      <c r="R470" s="74"/>
      <c r="S470" s="74"/>
      <c r="T470" s="74"/>
      <c r="U470" s="75"/>
      <c r="V470" s="74"/>
      <c r="W470" s="75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</row>
    <row r="471" s="73" customFormat="1" spans="1:34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5"/>
      <c r="P471" s="74"/>
      <c r="Q471" s="75"/>
      <c r="R471" s="74"/>
      <c r="S471" s="74"/>
      <c r="T471" s="74"/>
      <c r="U471" s="75"/>
      <c r="V471" s="74"/>
      <c r="W471" s="75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</row>
    <row r="472" s="73" customFormat="1" spans="1:34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5"/>
      <c r="P472" s="74"/>
      <c r="Q472" s="75"/>
      <c r="R472" s="74"/>
      <c r="S472" s="74"/>
      <c r="T472" s="74"/>
      <c r="U472" s="75"/>
      <c r="V472" s="74"/>
      <c r="W472" s="75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</row>
    <row r="473" s="73" customFormat="1" spans="1:34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5"/>
      <c r="P473" s="74"/>
      <c r="Q473" s="75"/>
      <c r="R473" s="74"/>
      <c r="S473" s="74"/>
      <c r="T473" s="74"/>
      <c r="U473" s="75"/>
      <c r="V473" s="74"/>
      <c r="W473" s="75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</row>
    <row r="474" s="73" customFormat="1" spans="1:34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5"/>
      <c r="P474" s="74"/>
      <c r="Q474" s="75"/>
      <c r="R474" s="74"/>
      <c r="S474" s="74"/>
      <c r="T474" s="74"/>
      <c r="U474" s="75"/>
      <c r="V474" s="74"/>
      <c r="W474" s="75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</row>
    <row r="475" s="73" customFormat="1" spans="1:34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5"/>
      <c r="P475" s="74"/>
      <c r="Q475" s="75"/>
      <c r="R475" s="74"/>
      <c r="S475" s="74"/>
      <c r="T475" s="74"/>
      <c r="U475" s="75"/>
      <c r="V475" s="74"/>
      <c r="W475" s="75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</row>
    <row r="477" s="73" customFormat="1" spans="1:34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5"/>
      <c r="P477" s="74"/>
      <c r="Q477" s="75"/>
      <c r="R477" s="74"/>
      <c r="S477" s="74"/>
      <c r="T477" s="74"/>
      <c r="U477" s="75"/>
      <c r="V477" s="74"/>
      <c r="W477" s="75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</row>
    <row r="478" s="73" customFormat="1" spans="1:34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5"/>
      <c r="P478" s="74"/>
      <c r="Q478" s="75"/>
      <c r="R478" s="74"/>
      <c r="S478" s="74"/>
      <c r="T478" s="74"/>
      <c r="U478" s="75"/>
      <c r="V478" s="74"/>
      <c r="W478" s="75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</row>
    <row r="479" s="73" customFormat="1" spans="1:34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5"/>
      <c r="P479" s="74"/>
      <c r="Q479" s="75"/>
      <c r="R479" s="74"/>
      <c r="S479" s="74"/>
      <c r="T479" s="74"/>
      <c r="U479" s="75"/>
      <c r="V479" s="74"/>
      <c r="W479" s="75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</row>
    <row r="480" s="73" customFormat="1" spans="1:34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5"/>
      <c r="P480" s="74"/>
      <c r="Q480" s="75"/>
      <c r="R480" s="74"/>
      <c r="S480" s="74"/>
      <c r="T480" s="74"/>
      <c r="U480" s="75"/>
      <c r="V480" s="74"/>
      <c r="W480" s="75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</row>
    <row r="481" s="73" customFormat="1" spans="1:34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5"/>
      <c r="P481" s="74"/>
      <c r="Q481" s="75"/>
      <c r="R481" s="74"/>
      <c r="S481" s="74"/>
      <c r="T481" s="74"/>
      <c r="U481" s="75"/>
      <c r="V481" s="74"/>
      <c r="W481" s="75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</row>
    <row r="482" s="73" customFormat="1" spans="1:34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5"/>
      <c r="P482" s="74"/>
      <c r="Q482" s="75"/>
      <c r="R482" s="74"/>
      <c r="S482" s="74"/>
      <c r="T482" s="74"/>
      <c r="U482" s="75"/>
      <c r="V482" s="74"/>
      <c r="W482" s="75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</row>
    <row r="483" s="73" customFormat="1" spans="1:34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5"/>
      <c r="P483" s="74"/>
      <c r="Q483" s="75"/>
      <c r="R483" s="74"/>
      <c r="S483" s="74"/>
      <c r="T483" s="74"/>
      <c r="U483" s="75"/>
      <c r="V483" s="74"/>
      <c r="W483" s="75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</row>
    <row r="484" s="73" customFormat="1" spans="1:34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5"/>
      <c r="P484" s="74"/>
      <c r="Q484" s="75"/>
      <c r="R484" s="74"/>
      <c r="S484" s="74"/>
      <c r="T484" s="74"/>
      <c r="U484" s="75"/>
      <c r="V484" s="74"/>
      <c r="W484" s="75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</row>
    <row r="485" s="73" customFormat="1" spans="1:34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5"/>
      <c r="P485" s="74"/>
      <c r="Q485" s="75"/>
      <c r="R485" s="74"/>
      <c r="S485" s="74"/>
      <c r="T485" s="74"/>
      <c r="U485" s="75"/>
      <c r="V485" s="74"/>
      <c r="W485" s="75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</row>
    <row r="486" s="73" customFormat="1" spans="1:34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5"/>
      <c r="P486" s="74"/>
      <c r="Q486" s="75"/>
      <c r="R486" s="74"/>
      <c r="S486" s="74"/>
      <c r="T486" s="74"/>
      <c r="U486" s="75"/>
      <c r="V486" s="74"/>
      <c r="W486" s="75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</row>
    <row r="487" s="73" customFormat="1" spans="1:34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5"/>
      <c r="P487" s="74"/>
      <c r="Q487" s="75"/>
      <c r="R487" s="74"/>
      <c r="S487" s="74"/>
      <c r="T487" s="74"/>
      <c r="U487" s="75"/>
      <c r="V487" s="74"/>
      <c r="W487" s="75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</row>
    <row r="488" s="73" customFormat="1" spans="1:34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5"/>
      <c r="P488" s="74"/>
      <c r="Q488" s="75"/>
      <c r="R488" s="74"/>
      <c r="S488" s="74"/>
      <c r="T488" s="74"/>
      <c r="U488" s="75"/>
      <c r="V488" s="74"/>
      <c r="W488" s="75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</row>
    <row r="489" s="73" customFormat="1" spans="1:34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5"/>
      <c r="P489" s="74"/>
      <c r="Q489" s="75"/>
      <c r="R489" s="74"/>
      <c r="S489" s="74"/>
      <c r="T489" s="74"/>
      <c r="U489" s="75"/>
      <c r="V489" s="74"/>
      <c r="W489" s="75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</row>
    <row r="490" s="73" customFormat="1" spans="1:34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5"/>
      <c r="P490" s="74"/>
      <c r="Q490" s="75"/>
      <c r="R490" s="74"/>
      <c r="S490" s="74"/>
      <c r="T490" s="74"/>
      <c r="U490" s="75"/>
      <c r="V490" s="74"/>
      <c r="W490" s="75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</row>
    <row r="491" s="73" customFormat="1" spans="1:34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5"/>
      <c r="P491" s="74"/>
      <c r="Q491" s="75"/>
      <c r="R491" s="74"/>
      <c r="S491" s="74"/>
      <c r="T491" s="74"/>
      <c r="U491" s="75"/>
      <c r="V491" s="74"/>
      <c r="W491" s="75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</row>
    <row r="492" s="73" customFormat="1" spans="1:34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5"/>
      <c r="P492" s="74"/>
      <c r="Q492" s="75"/>
      <c r="R492" s="74"/>
      <c r="S492" s="74"/>
      <c r="T492" s="74"/>
      <c r="U492" s="75"/>
      <c r="V492" s="74"/>
      <c r="W492" s="75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</row>
    <row r="493" s="73" customFormat="1" spans="1:34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5"/>
      <c r="P493" s="74"/>
      <c r="Q493" s="75"/>
      <c r="R493" s="74"/>
      <c r="S493" s="74"/>
      <c r="T493" s="74"/>
      <c r="U493" s="75"/>
      <c r="V493" s="74"/>
      <c r="W493" s="75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</row>
    <row r="494" s="73" customFormat="1" spans="1:34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5"/>
      <c r="P494" s="74"/>
      <c r="Q494" s="75"/>
      <c r="R494" s="74"/>
      <c r="S494" s="74"/>
      <c r="T494" s="74"/>
      <c r="U494" s="75"/>
      <c r="V494" s="74"/>
      <c r="W494" s="75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</row>
    <row r="495" s="73" customFormat="1" spans="1:34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5"/>
      <c r="P495" s="74"/>
      <c r="Q495" s="75"/>
      <c r="R495" s="74"/>
      <c r="S495" s="74"/>
      <c r="T495" s="74"/>
      <c r="U495" s="75"/>
      <c r="V495" s="74"/>
      <c r="W495" s="75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</row>
    <row r="496" s="73" customFormat="1" spans="1:34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5"/>
      <c r="P496" s="74"/>
      <c r="Q496" s="75"/>
      <c r="R496" s="74"/>
      <c r="S496" s="74"/>
      <c r="T496" s="74"/>
      <c r="U496" s="75"/>
      <c r="V496" s="74"/>
      <c r="W496" s="75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</row>
    <row r="497" s="73" customFormat="1" spans="1:34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5"/>
      <c r="P497" s="74"/>
      <c r="Q497" s="75"/>
      <c r="R497" s="74"/>
      <c r="S497" s="74"/>
      <c r="T497" s="74"/>
      <c r="U497" s="75"/>
      <c r="V497" s="74"/>
      <c r="W497" s="75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</row>
    <row r="498" s="73" customFormat="1" spans="1:34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5"/>
      <c r="P498" s="74"/>
      <c r="Q498" s="75"/>
      <c r="R498" s="74"/>
      <c r="S498" s="74"/>
      <c r="T498" s="74"/>
      <c r="U498" s="75"/>
      <c r="V498" s="74"/>
      <c r="W498" s="75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</row>
    <row r="499" s="73" customFormat="1" spans="1:34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5"/>
      <c r="P499" s="74"/>
      <c r="Q499" s="75"/>
      <c r="R499" s="74"/>
      <c r="S499" s="74"/>
      <c r="T499" s="74"/>
      <c r="U499" s="75"/>
      <c r="V499" s="74"/>
      <c r="W499" s="75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</row>
    <row r="500" s="73" customFormat="1" spans="1:34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5"/>
      <c r="P500" s="74"/>
      <c r="Q500" s="75"/>
      <c r="R500" s="74"/>
      <c r="S500" s="74"/>
      <c r="T500" s="74"/>
      <c r="U500" s="75"/>
      <c r="V500" s="74"/>
      <c r="W500" s="75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</row>
    <row r="501" s="73" customFormat="1" spans="1:34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5"/>
      <c r="P501" s="74"/>
      <c r="Q501" s="75"/>
      <c r="R501" s="74"/>
      <c r="S501" s="74"/>
      <c r="T501" s="74"/>
      <c r="U501" s="75"/>
      <c r="V501" s="74"/>
      <c r="W501" s="75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</row>
    <row r="502" s="73" customFormat="1" spans="1:34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5"/>
      <c r="P502" s="74"/>
      <c r="Q502" s="75"/>
      <c r="R502" s="74"/>
      <c r="S502" s="74"/>
      <c r="T502" s="74"/>
      <c r="U502" s="75"/>
      <c r="V502" s="74"/>
      <c r="W502" s="75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</row>
    <row r="503" s="73" customFormat="1" spans="1:34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5"/>
      <c r="P503" s="74"/>
      <c r="Q503" s="75"/>
      <c r="R503" s="74"/>
      <c r="S503" s="74"/>
      <c r="T503" s="74"/>
      <c r="U503" s="75"/>
      <c r="V503" s="74"/>
      <c r="W503" s="75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</row>
    <row r="504" s="73" customFormat="1" spans="1:34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5"/>
      <c r="P504" s="74"/>
      <c r="Q504" s="75"/>
      <c r="R504" s="74"/>
      <c r="S504" s="74"/>
      <c r="T504" s="74"/>
      <c r="U504" s="75"/>
      <c r="V504" s="74"/>
      <c r="W504" s="75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</row>
    <row r="505" s="73" customFormat="1" spans="1:34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5"/>
      <c r="P505" s="74"/>
      <c r="Q505" s="75"/>
      <c r="R505" s="74"/>
      <c r="S505" s="74"/>
      <c r="T505" s="74"/>
      <c r="U505" s="75"/>
      <c r="V505" s="74"/>
      <c r="W505" s="75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</row>
    <row r="506" s="73" customFormat="1" spans="1:34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5"/>
      <c r="P506" s="74"/>
      <c r="Q506" s="75"/>
      <c r="R506" s="74"/>
      <c r="S506" s="74"/>
      <c r="T506" s="74"/>
      <c r="U506" s="75"/>
      <c r="V506" s="74"/>
      <c r="W506" s="75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</row>
    <row r="507" s="73" customFormat="1" spans="1:34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5"/>
      <c r="P507" s="74"/>
      <c r="Q507" s="75"/>
      <c r="R507" s="74"/>
      <c r="S507" s="74"/>
      <c r="T507" s="74"/>
      <c r="U507" s="75"/>
      <c r="V507" s="74"/>
      <c r="W507" s="75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</row>
    <row r="508" s="73" customFormat="1" spans="1:34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5"/>
      <c r="P508" s="74"/>
      <c r="Q508" s="75"/>
      <c r="R508" s="74"/>
      <c r="S508" s="74"/>
      <c r="T508" s="74"/>
      <c r="U508" s="75"/>
      <c r="V508" s="74"/>
      <c r="W508" s="75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</row>
    <row r="509" s="73" customFormat="1" spans="1:34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5"/>
      <c r="P509" s="74"/>
      <c r="Q509" s="75"/>
      <c r="R509" s="74"/>
      <c r="S509" s="74"/>
      <c r="T509" s="74"/>
      <c r="U509" s="75"/>
      <c r="V509" s="74"/>
      <c r="W509" s="75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</row>
    <row r="510" s="73" customFormat="1" spans="1:34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5"/>
      <c r="P510" s="74"/>
      <c r="Q510" s="75"/>
      <c r="R510" s="74"/>
      <c r="S510" s="74"/>
      <c r="T510" s="74"/>
      <c r="U510" s="75"/>
      <c r="V510" s="74"/>
      <c r="W510" s="75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</row>
    <row r="511" s="73" customFormat="1" spans="1:34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5"/>
      <c r="P511" s="74"/>
      <c r="Q511" s="75"/>
      <c r="R511" s="74"/>
      <c r="S511" s="74"/>
      <c r="T511" s="74"/>
      <c r="U511" s="75"/>
      <c r="V511" s="74"/>
      <c r="W511" s="75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</row>
    <row r="512" s="73" customFormat="1" spans="1:34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5"/>
      <c r="P512" s="74"/>
      <c r="Q512" s="75"/>
      <c r="R512" s="74"/>
      <c r="S512" s="74"/>
      <c r="T512" s="74"/>
      <c r="U512" s="75"/>
      <c r="V512" s="74"/>
      <c r="W512" s="75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</row>
    <row r="513" s="73" customFormat="1" spans="1:34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5"/>
      <c r="P513" s="74"/>
      <c r="Q513" s="75"/>
      <c r="R513" s="74"/>
      <c r="S513" s="74"/>
      <c r="T513" s="74"/>
      <c r="U513" s="75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</row>
    <row r="514" s="73" customFormat="1" spans="1:34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5"/>
      <c r="P514" s="74"/>
      <c r="Q514" s="75"/>
      <c r="R514" s="74"/>
      <c r="S514" s="74"/>
      <c r="T514" s="74"/>
      <c r="U514" s="75"/>
      <c r="V514" s="74"/>
      <c r="W514" s="75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</row>
    <row r="515" s="73" customFormat="1" spans="1:34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5"/>
      <c r="P515" s="74"/>
      <c r="Q515" s="75"/>
      <c r="R515" s="74"/>
      <c r="S515" s="74"/>
      <c r="T515" s="74"/>
      <c r="U515" s="75"/>
      <c r="V515" s="74"/>
      <c r="W515" s="75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</row>
    <row r="516" s="73" customFormat="1" spans="1:34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5"/>
      <c r="P516" s="74"/>
      <c r="Q516" s="75"/>
      <c r="R516" s="74"/>
      <c r="S516" s="74"/>
      <c r="T516" s="74"/>
      <c r="U516" s="75"/>
      <c r="V516" s="74"/>
      <c r="W516" s="75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</row>
    <row r="517" s="73" customFormat="1" spans="1:34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5"/>
      <c r="P517" s="74"/>
      <c r="Q517" s="75"/>
      <c r="R517" s="74"/>
      <c r="S517" s="74"/>
      <c r="T517" s="74"/>
      <c r="U517" s="75"/>
      <c r="V517" s="74"/>
      <c r="W517" s="75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</row>
    <row r="518" s="73" customFormat="1" spans="1:34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5"/>
      <c r="P518" s="74"/>
      <c r="Q518" s="75"/>
      <c r="R518" s="74"/>
      <c r="S518" s="74"/>
      <c r="T518" s="74"/>
      <c r="U518" s="75"/>
      <c r="V518" s="74"/>
      <c r="W518" s="75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</row>
    <row r="519" s="73" customFormat="1" spans="1:34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5"/>
      <c r="P519" s="74"/>
      <c r="Q519" s="75"/>
      <c r="R519" s="74"/>
      <c r="S519" s="74"/>
      <c r="T519" s="74"/>
      <c r="U519" s="75"/>
      <c r="V519" s="74"/>
      <c r="W519" s="75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</row>
    <row r="520" s="73" customFormat="1" spans="1:34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5"/>
      <c r="P520" s="74"/>
      <c r="Q520" s="75"/>
      <c r="R520" s="74"/>
      <c r="S520" s="74"/>
      <c r="T520" s="74"/>
      <c r="U520" s="75"/>
      <c r="V520" s="74"/>
      <c r="W520" s="75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</row>
    <row r="521" s="73" customFormat="1" spans="1:34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5"/>
      <c r="P521" s="74"/>
      <c r="Q521" s="75"/>
      <c r="R521" s="74"/>
      <c r="S521" s="74"/>
      <c r="T521" s="74"/>
      <c r="U521" s="75"/>
      <c r="V521" s="74"/>
      <c r="W521" s="75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</row>
    <row r="522" s="73" customFormat="1" spans="1:34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5"/>
      <c r="P522" s="74"/>
      <c r="Q522" s="75"/>
      <c r="R522" s="74"/>
      <c r="S522" s="74"/>
      <c r="T522" s="74"/>
      <c r="U522" s="75"/>
      <c r="V522" s="74"/>
      <c r="W522" s="75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</row>
    <row r="523" s="73" customFormat="1" spans="1:34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5"/>
      <c r="P523" s="74"/>
      <c r="Q523" s="75"/>
      <c r="R523" s="74"/>
      <c r="S523" s="74"/>
      <c r="T523" s="74"/>
      <c r="U523" s="75"/>
      <c r="V523" s="74"/>
      <c r="W523" s="75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</row>
    <row r="524" s="73" customFormat="1" spans="1:34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5"/>
      <c r="P524" s="74"/>
      <c r="Q524" s="75"/>
      <c r="R524" s="74"/>
      <c r="S524" s="74"/>
      <c r="T524" s="74"/>
      <c r="U524" s="75"/>
      <c r="V524" s="74"/>
      <c r="W524" s="75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</row>
    <row r="525" s="73" customFormat="1" spans="1:34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5"/>
      <c r="P525" s="74"/>
      <c r="Q525" s="75"/>
      <c r="R525" s="74"/>
      <c r="S525" s="74"/>
      <c r="T525" s="74"/>
      <c r="U525" s="75"/>
      <c r="V525" s="74"/>
      <c r="W525" s="75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</row>
    <row r="526" s="73" customFormat="1" spans="1:34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5"/>
      <c r="P526" s="74"/>
      <c r="Q526" s="75"/>
      <c r="R526" s="74"/>
      <c r="S526" s="74"/>
      <c r="T526" s="74"/>
      <c r="U526" s="75"/>
      <c r="V526" s="74"/>
      <c r="W526" s="75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</row>
    <row r="527" s="73" customFormat="1" spans="1:34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5"/>
      <c r="P527" s="74"/>
      <c r="Q527" s="75"/>
      <c r="R527" s="74"/>
      <c r="S527" s="74"/>
      <c r="T527" s="74"/>
      <c r="U527" s="75"/>
      <c r="V527" s="74"/>
      <c r="W527" s="75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</row>
    <row r="528" s="73" customFormat="1" spans="1:34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5"/>
      <c r="P528" s="74"/>
      <c r="Q528" s="75"/>
      <c r="R528" s="74"/>
      <c r="S528" s="74"/>
      <c r="T528" s="74"/>
      <c r="U528" s="75"/>
      <c r="V528" s="74"/>
      <c r="W528" s="75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</row>
    <row r="529" s="73" customFormat="1" spans="1:34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5"/>
      <c r="P529" s="74"/>
      <c r="Q529" s="75"/>
      <c r="R529" s="74"/>
      <c r="S529" s="74"/>
      <c r="T529" s="74"/>
      <c r="U529" s="75"/>
      <c r="V529" s="74"/>
      <c r="W529" s="75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</row>
    <row r="530" s="73" customFormat="1" spans="1:34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5"/>
      <c r="P530" s="74"/>
      <c r="Q530" s="75"/>
      <c r="R530" s="74"/>
      <c r="S530" s="74"/>
      <c r="T530" s="74"/>
      <c r="U530" s="75"/>
      <c r="V530" s="74"/>
      <c r="W530" s="75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</row>
    <row r="531" s="73" customFormat="1" spans="1:34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5"/>
      <c r="P531" s="74"/>
      <c r="Q531" s="75"/>
      <c r="R531" s="74"/>
      <c r="S531" s="74"/>
      <c r="T531" s="74"/>
      <c r="U531" s="75"/>
      <c r="V531" s="74"/>
      <c r="W531" s="75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</row>
    <row r="532" s="73" customFormat="1" spans="1:34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5"/>
      <c r="P532" s="74"/>
      <c r="Q532" s="75"/>
      <c r="R532" s="74"/>
      <c r="S532" s="74"/>
      <c r="T532" s="74"/>
      <c r="U532" s="75"/>
      <c r="V532" s="74"/>
      <c r="W532" s="75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</row>
    <row r="533" s="73" customFormat="1" spans="1:34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5"/>
      <c r="P533" s="74"/>
      <c r="Q533" s="75"/>
      <c r="R533" s="74"/>
      <c r="S533" s="74"/>
      <c r="T533" s="74"/>
      <c r="U533" s="75"/>
      <c r="V533" s="74"/>
      <c r="W533" s="75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</row>
    <row r="534" s="73" customFormat="1" spans="1:34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5"/>
      <c r="P534" s="74"/>
      <c r="Q534" s="75"/>
      <c r="R534" s="74"/>
      <c r="S534" s="74"/>
      <c r="T534" s="74"/>
      <c r="U534" s="75"/>
      <c r="V534" s="74"/>
      <c r="W534" s="75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</row>
    <row r="535" s="73" customFormat="1" spans="1:34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5"/>
      <c r="P535" s="74"/>
      <c r="Q535" s="75"/>
      <c r="R535" s="74"/>
      <c r="S535" s="74"/>
      <c r="T535" s="74"/>
      <c r="U535" s="75"/>
      <c r="V535" s="74"/>
      <c r="W535" s="75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</row>
    <row r="536" s="73" customFormat="1" spans="1:34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5"/>
      <c r="P536" s="74"/>
      <c r="Q536" s="75"/>
      <c r="R536" s="74"/>
      <c r="S536" s="74"/>
      <c r="T536" s="74"/>
      <c r="U536" s="75"/>
      <c r="V536" s="74"/>
      <c r="W536" s="75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</row>
    <row r="537" s="73" customFormat="1" spans="1:34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5"/>
      <c r="P537" s="74"/>
      <c r="Q537" s="75"/>
      <c r="R537" s="74"/>
      <c r="S537" s="74"/>
      <c r="T537" s="74"/>
      <c r="U537" s="75"/>
      <c r="V537" s="74"/>
      <c r="W537" s="75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</row>
    <row r="538" s="73" customFormat="1" spans="1:34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5"/>
      <c r="P538" s="74"/>
      <c r="Q538" s="75"/>
      <c r="R538" s="74"/>
      <c r="S538" s="74"/>
      <c r="T538" s="74"/>
      <c r="U538" s="75"/>
      <c r="V538" s="74"/>
      <c r="W538" s="75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</row>
    <row r="539" s="73" customFormat="1" spans="1:34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5"/>
      <c r="P539" s="74"/>
      <c r="Q539" s="75"/>
      <c r="R539" s="74"/>
      <c r="S539" s="74"/>
      <c r="T539" s="74"/>
      <c r="U539" s="75"/>
      <c r="V539" s="74"/>
      <c r="W539" s="75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</row>
    <row r="540" s="73" customFormat="1" spans="1:34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5"/>
      <c r="P540" s="74"/>
      <c r="Q540" s="75"/>
      <c r="R540" s="74"/>
      <c r="S540" s="74"/>
      <c r="T540" s="74"/>
      <c r="U540" s="75"/>
      <c r="V540" s="74"/>
      <c r="W540" s="75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</row>
    <row r="541" s="73" customFormat="1" spans="1:34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5"/>
      <c r="P541" s="74"/>
      <c r="Q541" s="75"/>
      <c r="R541" s="74"/>
      <c r="S541" s="74"/>
      <c r="T541" s="74"/>
      <c r="U541" s="75"/>
      <c r="V541" s="74"/>
      <c r="W541" s="75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</row>
    <row r="542" s="73" customFormat="1" spans="1:34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5"/>
      <c r="P542" s="74"/>
      <c r="Q542" s="75"/>
      <c r="R542" s="74"/>
      <c r="S542" s="74"/>
      <c r="T542" s="74"/>
      <c r="U542" s="75"/>
      <c r="V542" s="74"/>
      <c r="W542" s="75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</row>
    <row r="543" s="73" customFormat="1" spans="1:34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5"/>
      <c r="P543" s="74"/>
      <c r="Q543" s="75"/>
      <c r="R543" s="74"/>
      <c r="S543" s="74"/>
      <c r="T543" s="74"/>
      <c r="U543" s="75"/>
      <c r="V543" s="74"/>
      <c r="W543" s="75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</row>
    <row r="544" s="73" customFormat="1" spans="1:34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5"/>
      <c r="P544" s="74"/>
      <c r="Q544" s="75"/>
      <c r="R544" s="74"/>
      <c r="S544" s="74"/>
      <c r="T544" s="74"/>
      <c r="U544" s="75"/>
      <c r="V544" s="74"/>
      <c r="W544" s="75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</row>
    <row r="545" s="73" customFormat="1" spans="1:34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5"/>
      <c r="P545" s="74"/>
      <c r="Q545" s="75"/>
      <c r="R545" s="74"/>
      <c r="S545" s="74"/>
      <c r="T545" s="74"/>
      <c r="U545" s="75"/>
      <c r="V545" s="74"/>
      <c r="W545" s="75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</row>
    <row r="546" s="73" customFormat="1" spans="1:34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5"/>
      <c r="P546" s="74"/>
      <c r="Q546" s="75"/>
      <c r="R546" s="74"/>
      <c r="S546" s="74"/>
      <c r="T546" s="74"/>
      <c r="U546" s="75"/>
      <c r="V546" s="74"/>
      <c r="W546" s="75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</row>
    <row r="547" s="73" customFormat="1" spans="1:34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5"/>
      <c r="P547" s="74"/>
      <c r="Q547" s="75"/>
      <c r="R547" s="74"/>
      <c r="S547" s="74"/>
      <c r="T547" s="74"/>
      <c r="U547" s="75"/>
      <c r="V547" s="74"/>
      <c r="W547" s="75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</row>
    <row r="548" s="73" customFormat="1" spans="1:34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5"/>
      <c r="P548" s="74"/>
      <c r="Q548" s="75"/>
      <c r="R548" s="74"/>
      <c r="S548" s="74"/>
      <c r="T548" s="74"/>
      <c r="U548" s="75"/>
      <c r="V548" s="74"/>
      <c r="W548" s="75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</row>
    <row r="549" s="73" customFormat="1" spans="1:34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5"/>
      <c r="P549" s="74"/>
      <c r="Q549" s="75"/>
      <c r="R549" s="74"/>
      <c r="S549" s="74"/>
      <c r="T549" s="74"/>
      <c r="U549" s="75"/>
      <c r="V549" s="74"/>
      <c r="W549" s="75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</row>
    <row r="550" s="73" customFormat="1" spans="1:34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5"/>
      <c r="P550" s="74"/>
      <c r="Q550" s="75"/>
      <c r="R550" s="74"/>
      <c r="S550" s="74"/>
      <c r="T550" s="74"/>
      <c r="U550" s="75"/>
      <c r="V550" s="74"/>
      <c r="W550" s="75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</row>
    <row r="551" s="73" customFormat="1" spans="1:34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5"/>
      <c r="P551" s="74"/>
      <c r="Q551" s="75"/>
      <c r="R551" s="74"/>
      <c r="S551" s="74"/>
      <c r="T551" s="74"/>
      <c r="U551" s="75"/>
      <c r="V551" s="74"/>
      <c r="W551" s="75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</row>
    <row r="552" s="73" customFormat="1" spans="1:34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5"/>
      <c r="P552" s="74"/>
      <c r="Q552" s="75"/>
      <c r="R552" s="74"/>
      <c r="S552" s="74"/>
      <c r="T552" s="74"/>
      <c r="U552" s="75"/>
      <c r="V552" s="74"/>
      <c r="W552" s="75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</row>
    <row r="553" s="73" customFormat="1" spans="1:34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5"/>
      <c r="P553" s="74"/>
      <c r="Q553" s="75"/>
      <c r="R553" s="74"/>
      <c r="S553" s="74"/>
      <c r="T553" s="74"/>
      <c r="U553" s="75"/>
      <c r="V553" s="74"/>
      <c r="W553" s="75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</row>
    <row r="554" s="73" customFormat="1" spans="1:34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5"/>
      <c r="P554" s="74"/>
      <c r="Q554" s="75"/>
      <c r="R554" s="74"/>
      <c r="S554" s="74"/>
      <c r="T554" s="74"/>
      <c r="U554" s="75"/>
      <c r="V554" s="74"/>
      <c r="W554" s="75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</row>
    <row r="555" s="73" customFormat="1" spans="1:34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5"/>
      <c r="P555" s="74"/>
      <c r="Q555" s="75"/>
      <c r="R555" s="74"/>
      <c r="S555" s="74"/>
      <c r="T555" s="74"/>
      <c r="U555" s="75"/>
      <c r="V555" s="74"/>
      <c r="W555" s="75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</row>
    <row r="556" s="73" customFormat="1" spans="1:34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5"/>
      <c r="P556" s="74"/>
      <c r="Q556" s="75"/>
      <c r="R556" s="74"/>
      <c r="S556" s="74"/>
      <c r="T556" s="74"/>
      <c r="U556" s="75"/>
      <c r="V556" s="74"/>
      <c r="W556" s="75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</row>
    <row r="557" s="73" customFormat="1" spans="1:34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5"/>
      <c r="P557" s="74"/>
      <c r="Q557" s="75"/>
      <c r="R557" s="74"/>
      <c r="S557" s="74"/>
      <c r="T557" s="74"/>
      <c r="U557" s="75"/>
      <c r="V557" s="74"/>
      <c r="W557" s="75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</row>
    <row r="558" s="73" customFormat="1" spans="1:34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5"/>
      <c r="P558" s="74"/>
      <c r="Q558" s="75"/>
      <c r="R558" s="74"/>
      <c r="S558" s="74"/>
      <c r="T558" s="74"/>
      <c r="U558" s="75"/>
      <c r="V558" s="74"/>
      <c r="W558" s="75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</row>
    <row r="559" s="73" customFormat="1" spans="1:34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5"/>
      <c r="P559" s="74"/>
      <c r="Q559" s="75"/>
      <c r="R559" s="74"/>
      <c r="S559" s="74"/>
      <c r="T559" s="74"/>
      <c r="U559" s="75"/>
      <c r="V559" s="74"/>
      <c r="W559" s="75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</row>
    <row r="561" s="73" customFormat="1" spans="1:34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5"/>
      <c r="P561" s="74"/>
      <c r="Q561" s="75"/>
      <c r="R561" s="74"/>
      <c r="S561" s="74"/>
      <c r="T561" s="74"/>
      <c r="U561" s="75"/>
      <c r="V561" s="74"/>
      <c r="W561" s="75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</row>
    <row r="562" s="73" customFormat="1" spans="1:34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5"/>
      <c r="P562" s="74"/>
      <c r="Q562" s="75"/>
      <c r="R562" s="74"/>
      <c r="S562" s="74"/>
      <c r="T562" s="74"/>
      <c r="U562" s="75"/>
      <c r="V562" s="74"/>
      <c r="W562" s="75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</row>
    <row r="563" s="73" customFormat="1" spans="1:34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5"/>
      <c r="P563" s="74"/>
      <c r="Q563" s="75"/>
      <c r="R563" s="74"/>
      <c r="S563" s="74"/>
      <c r="T563" s="74"/>
      <c r="U563" s="75"/>
      <c r="V563" s="74"/>
      <c r="W563" s="75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</row>
    <row r="564" s="73" customFormat="1" spans="1:34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5"/>
      <c r="P564" s="74"/>
      <c r="Q564" s="75"/>
      <c r="R564" s="74"/>
      <c r="S564" s="74"/>
      <c r="T564" s="74"/>
      <c r="U564" s="75"/>
      <c r="V564" s="74"/>
      <c r="W564" s="75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</row>
    <row r="565" s="73" customFormat="1" spans="1:34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5"/>
      <c r="P565" s="74"/>
      <c r="Q565" s="75"/>
      <c r="R565" s="74"/>
      <c r="S565" s="74"/>
      <c r="T565" s="74"/>
      <c r="U565" s="75"/>
      <c r="V565" s="74"/>
      <c r="W565" s="75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</row>
    <row r="566" s="73" customFormat="1" spans="1:34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5"/>
      <c r="P566" s="74"/>
      <c r="Q566" s="75"/>
      <c r="R566" s="74"/>
      <c r="S566" s="74"/>
      <c r="T566" s="74"/>
      <c r="U566" s="75"/>
      <c r="V566" s="74"/>
      <c r="W566" s="75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</row>
    <row r="567" s="73" customFormat="1" spans="1:34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5"/>
      <c r="P567" s="74"/>
      <c r="Q567" s="75"/>
      <c r="R567" s="74"/>
      <c r="S567" s="74"/>
      <c r="T567" s="74"/>
      <c r="U567" s="75"/>
      <c r="V567" s="74"/>
      <c r="W567" s="75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</row>
    <row r="568" s="73" customFormat="1" spans="1:34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5"/>
      <c r="P568" s="74"/>
      <c r="Q568" s="75"/>
      <c r="R568" s="74"/>
      <c r="S568" s="74"/>
      <c r="T568" s="74"/>
      <c r="U568" s="75"/>
      <c r="V568" s="74"/>
      <c r="W568" s="75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</row>
    <row r="569" s="73" customFormat="1" spans="1:34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5"/>
      <c r="P569" s="74"/>
      <c r="Q569" s="75"/>
      <c r="R569" s="74"/>
      <c r="S569" s="74"/>
      <c r="T569" s="74"/>
      <c r="U569" s="75"/>
      <c r="V569" s="74"/>
      <c r="W569" s="75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</row>
    <row r="570" s="73" customFormat="1" spans="1:34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5"/>
      <c r="P570" s="74"/>
      <c r="Q570" s="75"/>
      <c r="R570" s="74"/>
      <c r="S570" s="74"/>
      <c r="T570" s="74"/>
      <c r="U570" s="75"/>
      <c r="V570" s="74"/>
      <c r="W570" s="75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</row>
    <row r="571" s="73" customFormat="1" spans="1:34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5"/>
      <c r="P571" s="74"/>
      <c r="Q571" s="75"/>
      <c r="R571" s="74"/>
      <c r="S571" s="74"/>
      <c r="T571" s="74"/>
      <c r="U571" s="75"/>
      <c r="V571" s="74"/>
      <c r="W571" s="75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</row>
    <row r="572" s="73" customFormat="1" spans="1:34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5"/>
      <c r="P572" s="74"/>
      <c r="Q572" s="75"/>
      <c r="R572" s="74"/>
      <c r="S572" s="74"/>
      <c r="T572" s="74"/>
      <c r="U572" s="75"/>
      <c r="V572" s="74"/>
      <c r="W572" s="75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</row>
    <row r="573" s="73" customFormat="1" spans="1:34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5"/>
      <c r="P573" s="74"/>
      <c r="Q573" s="75"/>
      <c r="R573" s="74"/>
      <c r="S573" s="74"/>
      <c r="T573" s="74"/>
      <c r="U573" s="75"/>
      <c r="V573" s="74"/>
      <c r="W573" s="75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</row>
    <row r="574" s="73" customFormat="1" spans="1:34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5"/>
      <c r="P574" s="74"/>
      <c r="Q574" s="75"/>
      <c r="R574" s="74"/>
      <c r="S574" s="74"/>
      <c r="T574" s="74"/>
      <c r="U574" s="75"/>
      <c r="V574" s="74"/>
      <c r="W574" s="75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</row>
    <row r="575" s="73" customFormat="1" spans="1:34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5"/>
      <c r="P575" s="74"/>
      <c r="Q575" s="75"/>
      <c r="R575" s="74"/>
      <c r="S575" s="74"/>
      <c r="T575" s="74"/>
      <c r="U575" s="75"/>
      <c r="V575" s="74"/>
      <c r="W575" s="75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</row>
    <row r="576" s="73" customFormat="1" spans="1:34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5"/>
      <c r="P576" s="74"/>
      <c r="Q576" s="75"/>
      <c r="R576" s="74"/>
      <c r="S576" s="74"/>
      <c r="T576" s="74"/>
      <c r="U576" s="75"/>
      <c r="V576" s="74"/>
      <c r="W576" s="75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</row>
    <row r="577" s="73" customFormat="1" spans="1:34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5"/>
      <c r="P577" s="74"/>
      <c r="Q577" s="75"/>
      <c r="R577" s="74"/>
      <c r="S577" s="74"/>
      <c r="T577" s="74"/>
      <c r="U577" s="75"/>
      <c r="V577" s="74"/>
      <c r="W577" s="75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</row>
    <row r="578" s="73" customFormat="1" spans="1:34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5"/>
      <c r="P578" s="74"/>
      <c r="Q578" s="75"/>
      <c r="R578" s="74"/>
      <c r="S578" s="74"/>
      <c r="T578" s="74"/>
      <c r="U578" s="75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</row>
    <row r="579" s="73" customFormat="1" spans="1:34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5"/>
      <c r="P579" s="74"/>
      <c r="Q579" s="75"/>
      <c r="R579" s="74"/>
      <c r="S579" s="74"/>
      <c r="T579" s="74"/>
      <c r="U579" s="75"/>
      <c r="V579" s="74"/>
      <c r="W579" s="75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</row>
    <row r="580" s="73" customFormat="1" spans="1:34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5"/>
      <c r="P580" s="74"/>
      <c r="Q580" s="75"/>
      <c r="R580" s="74"/>
      <c r="S580" s="74"/>
      <c r="T580" s="74"/>
      <c r="U580" s="75"/>
      <c r="V580" s="74"/>
      <c r="W580" s="75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</row>
    <row r="581" s="73" customFormat="1" spans="1:34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5"/>
      <c r="P581" s="74"/>
      <c r="Q581" s="75"/>
      <c r="R581" s="74"/>
      <c r="S581" s="74"/>
      <c r="T581" s="74"/>
      <c r="U581" s="75"/>
      <c r="V581" s="74"/>
      <c r="W581" s="75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</row>
    <row r="582" s="73" customFormat="1" spans="1:34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5"/>
      <c r="P582" s="74"/>
      <c r="Q582" s="75"/>
      <c r="R582" s="74"/>
      <c r="S582" s="74"/>
      <c r="T582" s="74"/>
      <c r="U582" s="75"/>
      <c r="V582" s="74"/>
      <c r="W582" s="75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</row>
    <row r="583" s="73" customFormat="1" spans="1:34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5"/>
      <c r="P583" s="74"/>
      <c r="Q583" s="75"/>
      <c r="R583" s="74"/>
      <c r="S583" s="74"/>
      <c r="T583" s="74"/>
      <c r="U583" s="75"/>
      <c r="V583" s="74"/>
      <c r="W583" s="75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</row>
    <row r="584" s="73" customFormat="1" spans="1:34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5"/>
      <c r="P584" s="74"/>
      <c r="Q584" s="75"/>
      <c r="R584" s="74"/>
      <c r="S584" s="74"/>
      <c r="T584" s="74"/>
      <c r="U584" s="75"/>
      <c r="V584" s="74"/>
      <c r="W584" s="75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</row>
    <row r="585" s="73" customFormat="1" spans="1:34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5"/>
      <c r="P585" s="74"/>
      <c r="Q585" s="75"/>
      <c r="R585" s="74"/>
      <c r="S585" s="74"/>
      <c r="T585" s="74"/>
      <c r="U585" s="75"/>
      <c r="V585" s="74"/>
      <c r="W585" s="75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</row>
    <row r="586" s="73" customFormat="1" spans="1:34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5"/>
      <c r="P586" s="74"/>
      <c r="Q586" s="75"/>
      <c r="R586" s="74"/>
      <c r="S586" s="74"/>
      <c r="T586" s="74"/>
      <c r="U586" s="75"/>
      <c r="V586" s="74"/>
      <c r="W586" s="75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</row>
    <row r="587" s="73" customFormat="1" spans="1:34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5"/>
      <c r="P587" s="74"/>
      <c r="Q587" s="75"/>
      <c r="R587" s="74"/>
      <c r="S587" s="74"/>
      <c r="T587" s="74"/>
      <c r="U587" s="75"/>
      <c r="V587" s="74"/>
      <c r="W587" s="75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</row>
    <row r="588" s="73" customFormat="1" spans="1:34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5"/>
      <c r="P588" s="74"/>
      <c r="Q588" s="75"/>
      <c r="R588" s="74"/>
      <c r="S588" s="74"/>
      <c r="T588" s="74"/>
      <c r="U588" s="75"/>
      <c r="V588" s="74"/>
      <c r="W588" s="75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</row>
    <row r="589" s="73" customFormat="1" spans="1:34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5"/>
      <c r="P589" s="74"/>
      <c r="Q589" s="75"/>
      <c r="R589" s="74"/>
      <c r="S589" s="74"/>
      <c r="T589" s="74"/>
      <c r="U589" s="75"/>
      <c r="V589" s="74"/>
      <c r="W589" s="75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</row>
    <row r="590" s="73" customFormat="1" spans="1:34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5"/>
      <c r="P590" s="74"/>
      <c r="Q590" s="75"/>
      <c r="R590" s="74"/>
      <c r="S590" s="74"/>
      <c r="T590" s="74"/>
      <c r="U590" s="75"/>
      <c r="V590" s="74"/>
      <c r="W590" s="75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</row>
    <row r="591" s="73" customFormat="1" spans="1:34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5"/>
      <c r="P591" s="74"/>
      <c r="Q591" s="75"/>
      <c r="R591" s="74"/>
      <c r="S591" s="74"/>
      <c r="T591" s="74"/>
      <c r="U591" s="75"/>
      <c r="V591" s="74"/>
      <c r="W591" s="75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</row>
    <row r="592" s="73" customFormat="1" spans="1:34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5"/>
      <c r="P592" s="74"/>
      <c r="Q592" s="75"/>
      <c r="R592" s="74"/>
      <c r="S592" s="74"/>
      <c r="T592" s="74"/>
      <c r="U592" s="75"/>
      <c r="V592" s="74"/>
      <c r="W592" s="75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</row>
    <row r="593" s="73" customFormat="1" spans="1:34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5"/>
      <c r="P593" s="74"/>
      <c r="Q593" s="75"/>
      <c r="R593" s="74"/>
      <c r="S593" s="74"/>
      <c r="T593" s="74"/>
      <c r="U593" s="75"/>
      <c r="V593" s="74"/>
      <c r="W593" s="75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</row>
    <row r="594" s="73" customFormat="1" spans="1:34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5"/>
      <c r="P594" s="74"/>
      <c r="Q594" s="75"/>
      <c r="R594" s="74"/>
      <c r="S594" s="74"/>
      <c r="T594" s="74"/>
      <c r="U594" s="75"/>
      <c r="V594" s="74"/>
      <c r="W594" s="75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</row>
    <row r="595" s="73" customFormat="1" spans="1:34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5"/>
      <c r="P595" s="74"/>
      <c r="Q595" s="75"/>
      <c r="R595" s="74"/>
      <c r="S595" s="74"/>
      <c r="T595" s="74"/>
      <c r="U595" s="75"/>
      <c r="V595" s="74"/>
      <c r="W595" s="75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</row>
    <row r="596" s="73" customFormat="1" spans="1:34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5"/>
      <c r="P596" s="74"/>
      <c r="Q596" s="75"/>
      <c r="R596" s="74"/>
      <c r="S596" s="74"/>
      <c r="T596" s="74"/>
      <c r="U596" s="75"/>
      <c r="V596" s="74"/>
      <c r="W596" s="75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</row>
    <row r="597" s="73" customFormat="1" spans="1:34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5"/>
      <c r="P597" s="74"/>
      <c r="Q597" s="75"/>
      <c r="R597" s="74"/>
      <c r="S597" s="74"/>
      <c r="T597" s="74"/>
      <c r="U597" s="75"/>
      <c r="V597" s="74"/>
      <c r="W597" s="75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</row>
    <row r="598" s="73" customFormat="1" spans="1:34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5"/>
      <c r="P598" s="74"/>
      <c r="Q598" s="75"/>
      <c r="R598" s="74"/>
      <c r="S598" s="74"/>
      <c r="T598" s="74"/>
      <c r="U598" s="75"/>
      <c r="V598" s="74"/>
      <c r="W598" s="75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</row>
    <row r="599" s="73" customFormat="1" spans="1:34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5"/>
      <c r="P599" s="74"/>
      <c r="Q599" s="75"/>
      <c r="R599" s="74"/>
      <c r="S599" s="74"/>
      <c r="T599" s="74"/>
      <c r="U599" s="75"/>
      <c r="V599" s="74"/>
      <c r="W599" s="75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</row>
    <row r="600" s="73" customFormat="1" spans="1:34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5"/>
      <c r="P600" s="74"/>
      <c r="Q600" s="75"/>
      <c r="R600" s="74"/>
      <c r="S600" s="74"/>
      <c r="T600" s="74"/>
      <c r="U600" s="75"/>
      <c r="V600" s="74"/>
      <c r="W600" s="75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</row>
    <row r="601" s="73" customFormat="1" spans="1:34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5"/>
      <c r="P601" s="74"/>
      <c r="Q601" s="75"/>
      <c r="R601" s="74"/>
      <c r="S601" s="74"/>
      <c r="T601" s="74"/>
      <c r="U601" s="75"/>
      <c r="V601" s="74"/>
      <c r="W601" s="75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</row>
    <row r="602" s="73" customFormat="1" spans="1:34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5"/>
      <c r="P602" s="74"/>
      <c r="Q602" s="75"/>
      <c r="R602" s="74"/>
      <c r="S602" s="74"/>
      <c r="T602" s="74"/>
      <c r="U602" s="75"/>
      <c r="V602" s="74"/>
      <c r="W602" s="75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</row>
    <row r="603" s="73" customFormat="1" spans="1:34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5"/>
      <c r="P603" s="74"/>
      <c r="Q603" s="75"/>
      <c r="R603" s="74"/>
      <c r="S603" s="74"/>
      <c r="T603" s="74"/>
      <c r="U603" s="75"/>
      <c r="V603" s="74"/>
      <c r="W603" s="75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</row>
    <row r="604" s="73" customFormat="1" spans="1:34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5"/>
      <c r="P604" s="74"/>
      <c r="Q604" s="75"/>
      <c r="R604" s="74"/>
      <c r="S604" s="74"/>
      <c r="T604" s="74"/>
      <c r="U604" s="75"/>
      <c r="V604" s="74"/>
      <c r="W604" s="75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</row>
    <row r="605" s="73" customFormat="1" spans="1:34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5"/>
      <c r="P605" s="74"/>
      <c r="Q605" s="75"/>
      <c r="R605" s="74"/>
      <c r="S605" s="74"/>
      <c r="T605" s="74"/>
      <c r="U605" s="75"/>
      <c r="V605" s="74"/>
      <c r="W605" s="75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</row>
    <row r="606" s="73" customFormat="1" spans="1:34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5"/>
      <c r="P606" s="74"/>
      <c r="Q606" s="75"/>
      <c r="R606" s="74"/>
      <c r="S606" s="74"/>
      <c r="T606" s="74"/>
      <c r="U606" s="75"/>
      <c r="V606" s="74"/>
      <c r="W606" s="75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</row>
    <row r="607" s="73" customFormat="1" spans="1:34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5"/>
      <c r="P607" s="74"/>
      <c r="Q607" s="75"/>
      <c r="R607" s="74"/>
      <c r="S607" s="74"/>
      <c r="T607" s="74"/>
      <c r="U607" s="75"/>
      <c r="V607" s="74"/>
      <c r="W607" s="75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</row>
    <row r="608" s="73" customFormat="1" spans="1:34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5"/>
      <c r="P608" s="74"/>
      <c r="Q608" s="75"/>
      <c r="R608" s="74"/>
      <c r="S608" s="74"/>
      <c r="T608" s="74"/>
      <c r="U608" s="75"/>
      <c r="V608" s="74"/>
      <c r="W608" s="75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</row>
    <row r="609" s="73" customFormat="1" spans="1:34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5"/>
      <c r="P609" s="74"/>
      <c r="Q609" s="75"/>
      <c r="R609" s="74"/>
      <c r="S609" s="74"/>
      <c r="T609" s="74"/>
      <c r="U609" s="75"/>
      <c r="V609" s="74"/>
      <c r="W609" s="75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</row>
    <row r="610" s="73" customFormat="1" spans="1:34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5"/>
      <c r="P610" s="74"/>
      <c r="Q610" s="75"/>
      <c r="R610" s="74"/>
      <c r="S610" s="74"/>
      <c r="T610" s="74"/>
      <c r="U610" s="75"/>
      <c r="V610" s="74"/>
      <c r="W610" s="75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</row>
    <row r="611" s="73" customFormat="1" spans="1:34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5"/>
      <c r="P611" s="74"/>
      <c r="Q611" s="75"/>
      <c r="R611" s="74"/>
      <c r="S611" s="74"/>
      <c r="T611" s="74"/>
      <c r="U611" s="75"/>
      <c r="V611" s="74"/>
      <c r="W611" s="75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</row>
    <row r="612" s="73" customFormat="1" spans="1:34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5"/>
      <c r="P612" s="74"/>
      <c r="Q612" s="75"/>
      <c r="R612" s="74"/>
      <c r="S612" s="74"/>
      <c r="T612" s="74"/>
      <c r="U612" s="75"/>
      <c r="V612" s="74"/>
      <c r="W612" s="75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</row>
    <row r="613" s="73" customFormat="1" spans="1:34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5"/>
      <c r="P613" s="74"/>
      <c r="Q613" s="75"/>
      <c r="R613" s="74"/>
      <c r="S613" s="74"/>
      <c r="T613" s="74"/>
      <c r="U613" s="75"/>
      <c r="V613" s="74"/>
      <c r="W613" s="75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</row>
    <row r="614" s="73" customFormat="1" spans="1:34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5"/>
      <c r="P614" s="74"/>
      <c r="Q614" s="75"/>
      <c r="R614" s="74"/>
      <c r="S614" s="74"/>
      <c r="T614" s="74"/>
      <c r="U614" s="75"/>
      <c r="V614" s="74"/>
      <c r="W614" s="75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</row>
    <row r="615" s="73" customFormat="1" spans="1:34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5"/>
      <c r="P615" s="74"/>
      <c r="Q615" s="75"/>
      <c r="R615" s="74"/>
      <c r="S615" s="74"/>
      <c r="T615" s="74"/>
      <c r="U615" s="75"/>
      <c r="V615" s="74"/>
      <c r="W615" s="75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</row>
    <row r="616" s="73" customFormat="1" spans="1:34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5"/>
      <c r="P616" s="74"/>
      <c r="Q616" s="75"/>
      <c r="R616" s="74"/>
      <c r="S616" s="74"/>
      <c r="T616" s="74"/>
      <c r="U616" s="75"/>
      <c r="V616" s="74"/>
      <c r="W616" s="75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</row>
    <row r="618" s="73" customFormat="1" spans="1:34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5"/>
      <c r="P618" s="74"/>
      <c r="Q618" s="75"/>
      <c r="R618" s="74"/>
      <c r="S618" s="74"/>
      <c r="T618" s="74"/>
      <c r="U618" s="75"/>
      <c r="V618" s="74"/>
      <c r="W618" s="75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</row>
    <row r="619" s="73" customFormat="1" spans="1:34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5"/>
      <c r="P619" s="74"/>
      <c r="Q619" s="75"/>
      <c r="R619" s="74"/>
      <c r="S619" s="74"/>
      <c r="T619" s="74"/>
      <c r="U619" s="75"/>
      <c r="V619" s="74"/>
      <c r="W619" s="75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</row>
    <row r="620" s="73" customFormat="1" spans="1:34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5"/>
      <c r="P620" s="74"/>
      <c r="Q620" s="75"/>
      <c r="R620" s="74"/>
      <c r="S620" s="74"/>
      <c r="T620" s="74"/>
      <c r="U620" s="75"/>
      <c r="V620" s="74"/>
      <c r="W620" s="75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</row>
    <row r="621" s="73" customFormat="1" spans="1:34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5"/>
      <c r="P621" s="74"/>
      <c r="Q621" s="75"/>
      <c r="R621" s="74"/>
      <c r="S621" s="74"/>
      <c r="T621" s="74"/>
      <c r="U621" s="75"/>
      <c r="V621" s="74"/>
      <c r="W621" s="75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</row>
    <row r="622" s="73" customFormat="1" spans="1:34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5"/>
      <c r="P622" s="74"/>
      <c r="Q622" s="75"/>
      <c r="R622" s="74"/>
      <c r="S622" s="74"/>
      <c r="T622" s="74"/>
      <c r="U622" s="75"/>
      <c r="V622" s="74"/>
      <c r="W622" s="75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</row>
    <row r="623" s="73" customFormat="1" spans="1:34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5"/>
      <c r="P623" s="74"/>
      <c r="Q623" s="75"/>
      <c r="R623" s="74"/>
      <c r="S623" s="74"/>
      <c r="T623" s="74"/>
      <c r="U623" s="75"/>
      <c r="V623" s="74"/>
      <c r="W623" s="75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</row>
    <row r="624" s="73" customFormat="1" spans="1:34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5"/>
      <c r="P624" s="74"/>
      <c r="Q624" s="75"/>
      <c r="R624" s="74"/>
      <c r="S624" s="74"/>
      <c r="T624" s="74"/>
      <c r="U624" s="75"/>
      <c r="V624" s="74"/>
      <c r="W624" s="75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</row>
    <row r="625" s="73" customFormat="1" spans="1:34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5"/>
      <c r="P625" s="74"/>
      <c r="Q625" s="75"/>
      <c r="R625" s="74"/>
      <c r="S625" s="74"/>
      <c r="T625" s="74"/>
      <c r="U625" s="75"/>
      <c r="V625" s="74"/>
      <c r="W625" s="75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</row>
    <row r="626" s="73" customFormat="1" spans="1:34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5"/>
      <c r="P626" s="74"/>
      <c r="Q626" s="75"/>
      <c r="R626" s="74"/>
      <c r="S626" s="74"/>
      <c r="T626" s="74"/>
      <c r="U626" s="75"/>
      <c r="V626" s="74"/>
      <c r="W626" s="75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</row>
    <row r="627" s="73" customFormat="1" spans="1:34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5"/>
      <c r="P627" s="74"/>
      <c r="Q627" s="75"/>
      <c r="R627" s="74"/>
      <c r="S627" s="74"/>
      <c r="T627" s="74"/>
      <c r="U627" s="75"/>
      <c r="V627" s="74"/>
      <c r="W627" s="75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</row>
    <row r="628" s="73" customFormat="1" spans="1:34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5"/>
      <c r="P628" s="74"/>
      <c r="Q628" s="75"/>
      <c r="R628" s="74"/>
      <c r="S628" s="74"/>
      <c r="T628" s="74"/>
      <c r="U628" s="75"/>
      <c r="V628" s="74"/>
      <c r="W628" s="75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</row>
    <row r="629" s="73" customFormat="1" spans="1:34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5"/>
      <c r="P629" s="74"/>
      <c r="Q629" s="75"/>
      <c r="R629" s="74"/>
      <c r="S629" s="74"/>
      <c r="T629" s="74"/>
      <c r="U629" s="75"/>
      <c r="V629" s="74"/>
      <c r="W629" s="75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</row>
    <row r="630" s="73" customFormat="1" spans="1:34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5"/>
      <c r="P630" s="74"/>
      <c r="Q630" s="75"/>
      <c r="R630" s="74"/>
      <c r="S630" s="74"/>
      <c r="T630" s="74"/>
      <c r="U630" s="75"/>
      <c r="V630" s="74"/>
      <c r="W630" s="75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</row>
    <row r="631" s="73" customFormat="1" spans="1:34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5"/>
      <c r="P631" s="74"/>
      <c r="Q631" s="75"/>
      <c r="R631" s="74"/>
      <c r="S631" s="74"/>
      <c r="T631" s="74"/>
      <c r="U631" s="75"/>
      <c r="V631" s="74"/>
      <c r="W631" s="75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</row>
    <row r="632" s="73" customFormat="1" spans="1:34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5"/>
      <c r="P632" s="74"/>
      <c r="Q632" s="75"/>
      <c r="R632" s="74"/>
      <c r="S632" s="74"/>
      <c r="T632" s="74"/>
      <c r="U632" s="75"/>
      <c r="V632" s="74"/>
      <c r="W632" s="75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</row>
    <row r="633" s="73" customFormat="1" spans="1:34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5"/>
      <c r="P633" s="74"/>
      <c r="Q633" s="75"/>
      <c r="R633" s="74"/>
      <c r="S633" s="74"/>
      <c r="T633" s="74"/>
      <c r="U633" s="75"/>
      <c r="V633" s="74"/>
      <c r="W633" s="75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</row>
    <row r="634" s="73" customFormat="1" spans="1:34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5"/>
      <c r="P634" s="74"/>
      <c r="Q634" s="75"/>
      <c r="R634" s="74"/>
      <c r="S634" s="74"/>
      <c r="T634" s="74"/>
      <c r="U634" s="75"/>
      <c r="V634" s="74"/>
      <c r="W634" s="75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</row>
    <row r="635" s="73" customFormat="1" spans="1:34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5"/>
      <c r="P635" s="74"/>
      <c r="Q635" s="75"/>
      <c r="R635" s="74"/>
      <c r="S635" s="74"/>
      <c r="T635" s="74"/>
      <c r="U635" s="75"/>
      <c r="V635" s="74"/>
      <c r="W635" s="75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</row>
    <row r="636" s="73" customFormat="1" spans="1:34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5"/>
      <c r="P636" s="74"/>
      <c r="Q636" s="75"/>
      <c r="R636" s="74"/>
      <c r="S636" s="74"/>
      <c r="T636" s="74"/>
      <c r="U636" s="75"/>
      <c r="V636" s="74"/>
      <c r="W636" s="75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</row>
    <row r="637" s="73" customFormat="1" spans="1:34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5"/>
      <c r="P637" s="74"/>
      <c r="Q637" s="75"/>
      <c r="R637" s="74"/>
      <c r="S637" s="74"/>
      <c r="T637" s="74"/>
      <c r="U637" s="75"/>
      <c r="V637" s="74"/>
      <c r="W637" s="75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</row>
    <row r="638" s="73" customFormat="1" spans="1:34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5"/>
      <c r="P638" s="74"/>
      <c r="Q638" s="75"/>
      <c r="R638" s="74"/>
      <c r="S638" s="74"/>
      <c r="T638" s="74"/>
      <c r="U638" s="75"/>
      <c r="V638" s="74"/>
      <c r="W638" s="75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</row>
    <row r="639" s="73" customFormat="1" spans="1:34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5"/>
      <c r="P639" s="74"/>
      <c r="Q639" s="75"/>
      <c r="R639" s="74"/>
      <c r="S639" s="74"/>
      <c r="T639" s="74"/>
      <c r="U639" s="75"/>
      <c r="V639" s="74"/>
      <c r="W639" s="75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</row>
    <row r="641" s="73" customFormat="1" spans="1:34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5"/>
      <c r="P641" s="74"/>
      <c r="Q641" s="75"/>
      <c r="R641" s="74"/>
      <c r="S641" s="74"/>
      <c r="T641" s="74"/>
      <c r="U641" s="75"/>
      <c r="V641" s="74"/>
      <c r="W641" s="75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</row>
    <row r="642" s="73" customFormat="1" spans="1:34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5"/>
      <c r="P642" s="74"/>
      <c r="Q642" s="75"/>
      <c r="R642" s="74"/>
      <c r="S642" s="74"/>
      <c r="T642" s="74"/>
      <c r="U642" s="75"/>
      <c r="V642" s="74"/>
      <c r="W642" s="75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</row>
    <row r="644" s="73" customFormat="1" spans="1:34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5"/>
      <c r="P644" s="74"/>
      <c r="Q644" s="75"/>
      <c r="R644" s="74"/>
      <c r="S644" s="74"/>
      <c r="T644" s="74"/>
      <c r="U644" s="75"/>
      <c r="V644" s="74"/>
      <c r="W644" s="75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</row>
    <row r="645" s="73" customFormat="1" spans="1:34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5"/>
      <c r="P645" s="74"/>
      <c r="Q645" s="75"/>
      <c r="R645" s="74"/>
      <c r="S645" s="74"/>
      <c r="T645" s="74"/>
      <c r="U645" s="75"/>
      <c r="V645" s="74"/>
      <c r="W645" s="75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</row>
    <row r="646" s="73" customFormat="1" spans="1:34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5"/>
      <c r="P646" s="74"/>
      <c r="Q646" s="75"/>
      <c r="R646" s="74"/>
      <c r="S646" s="74"/>
      <c r="T646" s="74"/>
      <c r="U646" s="75"/>
      <c r="V646" s="74"/>
      <c r="W646" s="75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</row>
    <row r="647" s="73" customFormat="1" spans="1:34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5"/>
      <c r="P647" s="74"/>
      <c r="Q647" s="75"/>
      <c r="R647" s="74"/>
      <c r="S647" s="74"/>
      <c r="T647" s="74"/>
      <c r="U647" s="75"/>
      <c r="V647" s="74"/>
      <c r="W647" s="75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</row>
    <row r="648" s="73" customFormat="1" spans="1:34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5"/>
      <c r="P648" s="74"/>
      <c r="Q648" s="75"/>
      <c r="R648" s="74"/>
      <c r="S648" s="74"/>
      <c r="T648" s="74"/>
      <c r="U648" s="75"/>
      <c r="V648" s="74"/>
      <c r="W648" s="75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</row>
    <row r="649" s="73" customFormat="1" spans="1:34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5"/>
      <c r="P649" s="74"/>
      <c r="Q649" s="75"/>
      <c r="R649" s="74"/>
      <c r="S649" s="74"/>
      <c r="T649" s="74"/>
      <c r="U649" s="75"/>
      <c r="V649" s="74"/>
      <c r="W649" s="75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</row>
    <row r="650" s="73" customFormat="1" spans="1:34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5"/>
      <c r="P650" s="74"/>
      <c r="Q650" s="75"/>
      <c r="R650" s="74"/>
      <c r="S650" s="74"/>
      <c r="T650" s="74"/>
      <c r="U650" s="75"/>
      <c r="V650" s="74"/>
      <c r="W650" s="75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</row>
    <row r="651" s="73" customFormat="1" spans="1:34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5"/>
      <c r="P651" s="74"/>
      <c r="Q651" s="75"/>
      <c r="R651" s="74"/>
      <c r="S651" s="74"/>
      <c r="T651" s="74"/>
      <c r="U651" s="75"/>
      <c r="V651" s="74"/>
      <c r="W651" s="75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</row>
    <row r="652" s="73" customFormat="1" spans="1:34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5"/>
      <c r="P652" s="74"/>
      <c r="Q652" s="75"/>
      <c r="R652" s="74"/>
      <c r="S652" s="74"/>
      <c r="T652" s="74"/>
      <c r="U652" s="75"/>
      <c r="V652" s="74"/>
      <c r="W652" s="75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</row>
    <row r="653" s="73" customFormat="1" spans="1:34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5"/>
      <c r="P653" s="74"/>
      <c r="Q653" s="75"/>
      <c r="R653" s="74"/>
      <c r="S653" s="74"/>
      <c r="T653" s="74"/>
      <c r="U653" s="75"/>
      <c r="V653" s="74"/>
      <c r="W653" s="75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</row>
    <row r="654" s="73" customFormat="1" spans="1:34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5"/>
      <c r="P654" s="74"/>
      <c r="Q654" s="75"/>
      <c r="R654" s="74"/>
      <c r="S654" s="74"/>
      <c r="T654" s="74"/>
      <c r="U654" s="75"/>
      <c r="V654" s="74"/>
      <c r="W654" s="75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</row>
    <row r="656" s="73" customFormat="1" spans="1:34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5"/>
      <c r="P656" s="74"/>
      <c r="Q656" s="75"/>
      <c r="R656" s="74"/>
      <c r="S656" s="74"/>
      <c r="T656" s="74"/>
      <c r="U656" s="75"/>
      <c r="V656" s="74"/>
      <c r="W656" s="75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</row>
    <row r="657" s="73" customFormat="1" spans="1:34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5"/>
      <c r="P657" s="74"/>
      <c r="Q657" s="75"/>
      <c r="R657" s="74"/>
      <c r="S657" s="74"/>
      <c r="T657" s="74"/>
      <c r="U657" s="75"/>
      <c r="V657" s="74"/>
      <c r="W657" s="75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</row>
    <row r="658" s="73" customFormat="1" spans="1:34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5"/>
      <c r="P658" s="74"/>
      <c r="Q658" s="75"/>
      <c r="R658" s="74"/>
      <c r="S658" s="74"/>
      <c r="T658" s="74"/>
      <c r="U658" s="75"/>
      <c r="V658" s="74"/>
      <c r="W658" s="75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</row>
    <row r="659" s="73" customFormat="1" spans="1:34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5"/>
      <c r="P659" s="74"/>
      <c r="Q659" s="75"/>
      <c r="R659" s="74"/>
      <c r="S659" s="74"/>
      <c r="T659" s="74"/>
      <c r="U659" s="75"/>
      <c r="V659" s="74"/>
      <c r="W659" s="75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</row>
    <row r="660" s="73" customFormat="1" spans="1:34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5"/>
      <c r="P660" s="74"/>
      <c r="Q660" s="75"/>
      <c r="R660" s="74"/>
      <c r="S660" s="74"/>
      <c r="T660" s="74"/>
      <c r="U660" s="75"/>
      <c r="V660" s="74"/>
      <c r="W660" s="75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</row>
    <row r="661" s="73" customFormat="1" spans="1:34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5"/>
      <c r="P661" s="74"/>
      <c r="Q661" s="75"/>
      <c r="R661" s="74"/>
      <c r="S661" s="74"/>
      <c r="T661" s="74"/>
      <c r="U661" s="75"/>
      <c r="V661" s="74"/>
      <c r="W661" s="75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</row>
    <row r="662" s="73" customFormat="1" spans="1:34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5"/>
      <c r="P662" s="74"/>
      <c r="Q662" s="75"/>
      <c r="R662" s="74"/>
      <c r="S662" s="74"/>
      <c r="T662" s="74"/>
      <c r="U662" s="75"/>
      <c r="V662" s="74"/>
      <c r="W662" s="75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</row>
    <row r="663" s="73" customFormat="1" spans="1:34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5"/>
      <c r="P663" s="74"/>
      <c r="Q663" s="75"/>
      <c r="R663" s="74"/>
      <c r="S663" s="74"/>
      <c r="T663" s="74"/>
      <c r="U663" s="75"/>
      <c r="V663" s="74"/>
      <c r="W663" s="75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</row>
    <row r="664" s="73" customFormat="1" spans="1:34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5"/>
      <c r="P664" s="74"/>
      <c r="Q664" s="75"/>
      <c r="R664" s="74"/>
      <c r="S664" s="74"/>
      <c r="T664" s="74"/>
      <c r="U664" s="75"/>
      <c r="V664" s="74"/>
      <c r="W664" s="75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</row>
    <row r="665" s="73" customFormat="1" spans="1:34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5"/>
      <c r="P665" s="74"/>
      <c r="Q665" s="75"/>
      <c r="R665" s="74"/>
      <c r="S665" s="74"/>
      <c r="T665" s="74"/>
      <c r="U665" s="75"/>
      <c r="V665" s="74"/>
      <c r="W665" s="75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</row>
    <row r="666" s="73" customFormat="1" spans="1:34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5"/>
      <c r="P666" s="74"/>
      <c r="Q666" s="75"/>
      <c r="R666" s="74"/>
      <c r="S666" s="74"/>
      <c r="T666" s="74"/>
      <c r="U666" s="75"/>
      <c r="V666" s="74"/>
      <c r="W666" s="75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</row>
    <row r="667" s="73" customFormat="1" spans="1:34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5"/>
      <c r="P667" s="74"/>
      <c r="Q667" s="75"/>
      <c r="R667" s="74"/>
      <c r="S667" s="74"/>
      <c r="T667" s="74"/>
      <c r="U667" s="75"/>
      <c r="V667" s="74"/>
      <c r="W667" s="75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</row>
    <row r="668" s="73" customFormat="1" spans="1:34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5"/>
      <c r="P668" s="74"/>
      <c r="Q668" s="75"/>
      <c r="R668" s="74"/>
      <c r="S668" s="74"/>
      <c r="T668" s="74"/>
      <c r="U668" s="75"/>
      <c r="V668" s="74"/>
      <c r="W668" s="75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</row>
    <row r="669" s="73" customFormat="1" spans="1:34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5"/>
      <c r="P669" s="74"/>
      <c r="Q669" s="75"/>
      <c r="R669" s="74"/>
      <c r="S669" s="74"/>
      <c r="T669" s="74"/>
      <c r="U669" s="75"/>
      <c r="V669" s="74"/>
      <c r="W669" s="75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</row>
    <row r="670" s="73" customFormat="1" spans="1:34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5"/>
      <c r="P670" s="74"/>
      <c r="Q670" s="75"/>
      <c r="R670" s="74"/>
      <c r="S670" s="74"/>
      <c r="T670" s="74"/>
      <c r="U670" s="75"/>
      <c r="V670" s="74"/>
      <c r="W670" s="75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</row>
    <row r="671" s="73" customFormat="1" spans="1:34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5"/>
      <c r="P671" s="74"/>
      <c r="Q671" s="75"/>
      <c r="R671" s="74"/>
      <c r="S671" s="74"/>
      <c r="T671" s="74"/>
      <c r="U671" s="75"/>
      <c r="V671" s="74"/>
      <c r="W671" s="75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</row>
    <row r="672" s="73" customFormat="1" spans="1:34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5"/>
      <c r="P672" s="74"/>
      <c r="Q672" s="75"/>
      <c r="R672" s="74"/>
      <c r="S672" s="74"/>
      <c r="T672" s="74"/>
      <c r="U672" s="75"/>
      <c r="V672" s="74"/>
      <c r="W672" s="75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</row>
    <row r="673" s="73" customFormat="1" spans="1:34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5"/>
      <c r="P673" s="74"/>
      <c r="Q673" s="75"/>
      <c r="R673" s="74"/>
      <c r="S673" s="74"/>
      <c r="T673" s="74"/>
      <c r="U673" s="75"/>
      <c r="V673" s="74"/>
      <c r="W673" s="75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</row>
    <row r="674" s="73" customFormat="1" spans="1:34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5"/>
      <c r="P674" s="74"/>
      <c r="Q674" s="75"/>
      <c r="R674" s="74"/>
      <c r="S674" s="74"/>
      <c r="T674" s="74"/>
      <c r="U674" s="75"/>
      <c r="V674" s="74"/>
      <c r="W674" s="75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</row>
    <row r="676" s="73" customFormat="1" spans="1:34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5"/>
      <c r="P676" s="74"/>
      <c r="Q676" s="75"/>
      <c r="R676" s="74"/>
      <c r="S676" s="74"/>
      <c r="T676" s="74"/>
      <c r="U676" s="75"/>
      <c r="V676" s="74"/>
      <c r="W676" s="75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</row>
    <row r="677" s="73" customFormat="1" spans="1:34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5"/>
      <c r="P677" s="74"/>
      <c r="Q677" s="75"/>
      <c r="R677" s="74"/>
      <c r="S677" s="74"/>
      <c r="T677" s="74"/>
      <c r="U677" s="75"/>
      <c r="V677" s="74"/>
      <c r="W677" s="75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</row>
    <row r="678" s="73" customFormat="1" spans="1:34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5"/>
      <c r="P678" s="74"/>
      <c r="Q678" s="75"/>
      <c r="R678" s="74"/>
      <c r="S678" s="74"/>
      <c r="T678" s="74"/>
      <c r="U678" s="75"/>
      <c r="V678" s="74"/>
      <c r="W678" s="75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</row>
    <row r="679" s="73" customFormat="1" spans="1:34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5"/>
      <c r="P679" s="74"/>
      <c r="Q679" s="75"/>
      <c r="R679" s="74"/>
      <c r="S679" s="74"/>
      <c r="T679" s="74"/>
      <c r="U679" s="75"/>
      <c r="V679" s="74"/>
      <c r="W679" s="75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</row>
    <row r="680" s="73" customFormat="1" spans="1:34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5"/>
      <c r="P680" s="74"/>
      <c r="Q680" s="75"/>
      <c r="R680" s="74"/>
      <c r="S680" s="74"/>
      <c r="T680" s="74"/>
      <c r="U680" s="75"/>
      <c r="V680" s="74"/>
      <c r="W680" s="75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</row>
    <row r="681" s="73" customFormat="1" spans="1:34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5"/>
      <c r="P681" s="74"/>
      <c r="Q681" s="75"/>
      <c r="R681" s="74"/>
      <c r="S681" s="74"/>
      <c r="T681" s="74"/>
      <c r="U681" s="75"/>
      <c r="V681" s="74"/>
      <c r="W681" s="75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</row>
    <row r="682" s="73" customFormat="1" spans="1:34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5"/>
      <c r="P682" s="74"/>
      <c r="Q682" s="75"/>
      <c r="R682" s="74"/>
      <c r="S682" s="74"/>
      <c r="T682" s="74"/>
      <c r="U682" s="75"/>
      <c r="V682" s="74"/>
      <c r="W682" s="75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</row>
    <row r="683" s="73" customFormat="1" spans="1:34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5"/>
      <c r="P683" s="74"/>
      <c r="Q683" s="75"/>
      <c r="R683" s="74"/>
      <c r="S683" s="74"/>
      <c r="T683" s="74"/>
      <c r="U683" s="75"/>
      <c r="V683" s="74"/>
      <c r="W683" s="75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</row>
    <row r="684" s="73" customFormat="1" spans="1:34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5"/>
      <c r="P684" s="74"/>
      <c r="Q684" s="75"/>
      <c r="R684" s="74"/>
      <c r="S684" s="74"/>
      <c r="T684" s="74"/>
      <c r="U684" s="75"/>
      <c r="V684" s="74"/>
      <c r="W684" s="75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</row>
    <row r="685" s="73" customFormat="1" spans="1:34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5"/>
      <c r="P685" s="74"/>
      <c r="Q685" s="75"/>
      <c r="R685" s="74"/>
      <c r="S685" s="74"/>
      <c r="T685" s="74"/>
      <c r="U685" s="75"/>
      <c r="V685" s="74"/>
      <c r="W685" s="75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</row>
    <row r="686" s="73" customFormat="1" spans="1:34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5"/>
      <c r="P686" s="74"/>
      <c r="Q686" s="75"/>
      <c r="R686" s="74"/>
      <c r="S686" s="74"/>
      <c r="T686" s="74"/>
      <c r="U686" s="75"/>
      <c r="V686" s="74"/>
      <c r="W686" s="75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</row>
    <row r="687" s="73" customFormat="1" spans="1:34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5"/>
      <c r="P687" s="74"/>
      <c r="Q687" s="75"/>
      <c r="R687" s="74"/>
      <c r="S687" s="74"/>
      <c r="T687" s="74"/>
      <c r="U687" s="75"/>
      <c r="V687" s="74"/>
      <c r="W687" s="75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</row>
    <row r="688" s="73" customFormat="1" spans="1:34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5"/>
      <c r="P688" s="74"/>
      <c r="Q688" s="75"/>
      <c r="R688" s="74"/>
      <c r="S688" s="74"/>
      <c r="T688" s="74"/>
      <c r="U688" s="75"/>
      <c r="V688" s="74"/>
      <c r="W688" s="75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</row>
    <row r="689" s="73" customFormat="1" spans="1:34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5"/>
      <c r="P689" s="74"/>
      <c r="Q689" s="75"/>
      <c r="R689" s="74"/>
      <c r="S689" s="74"/>
      <c r="T689" s="74"/>
      <c r="U689" s="75"/>
      <c r="V689" s="74"/>
      <c r="W689" s="75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</row>
    <row r="690" s="73" customFormat="1" spans="1:34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5"/>
      <c r="P690" s="74"/>
      <c r="Q690" s="75"/>
      <c r="R690" s="74"/>
      <c r="S690" s="74"/>
      <c r="T690" s="74"/>
      <c r="U690" s="75"/>
      <c r="V690" s="74"/>
      <c r="W690" s="75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</row>
    <row r="691" s="73" customFormat="1" spans="1:34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5"/>
      <c r="P691" s="74"/>
      <c r="Q691" s="75"/>
      <c r="R691" s="74"/>
      <c r="S691" s="74"/>
      <c r="T691" s="74"/>
      <c r="U691" s="75"/>
      <c r="V691" s="74"/>
      <c r="W691" s="75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</row>
    <row r="692" s="73" customFormat="1" spans="1:34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5"/>
      <c r="P692" s="74"/>
      <c r="Q692" s="75"/>
      <c r="R692" s="74"/>
      <c r="S692" s="74"/>
      <c r="T692" s="74"/>
      <c r="U692" s="75"/>
      <c r="V692" s="74"/>
      <c r="W692" s="75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</row>
    <row r="693" s="73" customFormat="1" spans="1:34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5"/>
      <c r="P693" s="74"/>
      <c r="Q693" s="75"/>
      <c r="R693" s="74"/>
      <c r="S693" s="74"/>
      <c r="T693" s="74"/>
      <c r="U693" s="75"/>
      <c r="V693" s="74"/>
      <c r="W693" s="75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</row>
    <row r="694" s="73" customFormat="1" spans="1:34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5"/>
      <c r="P694" s="74"/>
      <c r="Q694" s="75"/>
      <c r="R694" s="74"/>
      <c r="S694" s="74"/>
      <c r="T694" s="74"/>
      <c r="U694" s="75"/>
      <c r="V694" s="74"/>
      <c r="W694" s="75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</row>
    <row r="695" s="73" customFormat="1" spans="1:34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5"/>
      <c r="P695" s="74"/>
      <c r="Q695" s="75"/>
      <c r="R695" s="74"/>
      <c r="S695" s="74"/>
      <c r="T695" s="74"/>
      <c r="U695" s="75"/>
      <c r="V695" s="74"/>
      <c r="W695" s="75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</row>
    <row r="696" s="73" customFormat="1" spans="1:34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5"/>
      <c r="P696" s="74"/>
      <c r="Q696" s="75"/>
      <c r="R696" s="74"/>
      <c r="S696" s="74"/>
      <c r="T696" s="74"/>
      <c r="U696" s="75"/>
      <c r="V696" s="74"/>
      <c r="W696" s="75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</row>
    <row r="697" s="73" customFormat="1" spans="1:34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5"/>
      <c r="P697" s="74"/>
      <c r="Q697" s="75"/>
      <c r="R697" s="74"/>
      <c r="S697" s="74"/>
      <c r="T697" s="74"/>
      <c r="U697" s="75"/>
      <c r="V697" s="74"/>
      <c r="W697" s="75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</row>
    <row r="698" s="73" customFormat="1" spans="1:34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5"/>
      <c r="P698" s="74"/>
      <c r="Q698" s="75"/>
      <c r="R698" s="74"/>
      <c r="S698" s="74"/>
      <c r="T698" s="74"/>
      <c r="U698" s="75"/>
      <c r="V698" s="74"/>
      <c r="W698" s="75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</row>
    <row r="699" s="73" customFormat="1" spans="1:34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5"/>
      <c r="P699" s="74"/>
      <c r="Q699" s="75"/>
      <c r="R699" s="74"/>
      <c r="S699" s="74"/>
      <c r="T699" s="74"/>
      <c r="U699" s="75"/>
      <c r="V699" s="74"/>
      <c r="W699" s="75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</row>
    <row r="701" s="73" customFormat="1" spans="1:34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5"/>
      <c r="P701" s="74"/>
      <c r="Q701" s="75"/>
      <c r="R701" s="74"/>
      <c r="S701" s="74"/>
      <c r="T701" s="74"/>
      <c r="U701" s="75"/>
      <c r="V701" s="74"/>
      <c r="W701" s="75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</row>
    <row r="702" s="73" customFormat="1" spans="1:34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5"/>
      <c r="P702" s="74"/>
      <c r="Q702" s="75"/>
      <c r="R702" s="74"/>
      <c r="S702" s="74"/>
      <c r="T702" s="74"/>
      <c r="U702" s="75"/>
      <c r="V702" s="74"/>
      <c r="W702" s="75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</row>
    <row r="703" s="73" customFormat="1" spans="1:34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5"/>
      <c r="P703" s="74"/>
      <c r="Q703" s="75"/>
      <c r="R703" s="74"/>
      <c r="S703" s="74"/>
      <c r="T703" s="74"/>
      <c r="U703" s="75"/>
      <c r="V703" s="74"/>
      <c r="W703" s="75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</row>
    <row r="704" s="73" customFormat="1" spans="1:34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5"/>
      <c r="P704" s="74"/>
      <c r="Q704" s="75"/>
      <c r="R704" s="74"/>
      <c r="S704" s="74"/>
      <c r="T704" s="74"/>
      <c r="U704" s="75"/>
      <c r="V704" s="74"/>
      <c r="W704" s="75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</row>
    <row r="705" s="73" customFormat="1" spans="1:34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5"/>
      <c r="P705" s="74"/>
      <c r="Q705" s="75"/>
      <c r="R705" s="74"/>
      <c r="S705" s="74"/>
      <c r="T705" s="74"/>
      <c r="U705" s="75"/>
      <c r="V705" s="74"/>
      <c r="W705" s="75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</row>
    <row r="707" s="73" customFormat="1" spans="1:34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5"/>
      <c r="P707" s="74"/>
      <c r="Q707" s="75"/>
      <c r="R707" s="74"/>
      <c r="S707" s="74"/>
      <c r="T707" s="74"/>
      <c r="U707" s="75"/>
      <c r="V707" s="74"/>
      <c r="W707" s="75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</row>
    <row r="708" s="73" customFormat="1" spans="1:34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5"/>
      <c r="P708" s="74"/>
      <c r="Q708" s="75"/>
      <c r="R708" s="74"/>
      <c r="S708" s="74"/>
      <c r="T708" s="74"/>
      <c r="U708" s="75"/>
      <c r="V708" s="74"/>
      <c r="W708" s="75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</row>
    <row r="709" s="73" customFormat="1" spans="1:34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5"/>
      <c r="P709" s="74"/>
      <c r="Q709" s="75"/>
      <c r="R709" s="74"/>
      <c r="S709" s="74"/>
      <c r="T709" s="74"/>
      <c r="U709" s="75"/>
      <c r="V709" s="74"/>
      <c r="W709" s="75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</row>
    <row r="710" s="73" customFormat="1" spans="1:34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5"/>
      <c r="P710" s="74"/>
      <c r="Q710" s="75"/>
      <c r="R710" s="74"/>
      <c r="S710" s="74"/>
      <c r="T710" s="74"/>
      <c r="U710" s="75"/>
      <c r="V710" s="74"/>
      <c r="W710" s="75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</row>
    <row r="711" s="73" customFormat="1" spans="1:34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5"/>
      <c r="P711" s="74"/>
      <c r="Q711" s="75"/>
      <c r="R711" s="74"/>
      <c r="S711" s="74"/>
      <c r="T711" s="74"/>
      <c r="U711" s="75"/>
      <c r="V711" s="74"/>
      <c r="W711" s="75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</row>
    <row r="712" s="73" customFormat="1" spans="1:34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5"/>
      <c r="P712" s="74"/>
      <c r="Q712" s="75"/>
      <c r="R712" s="74"/>
      <c r="S712" s="74"/>
      <c r="T712" s="74"/>
      <c r="U712" s="75"/>
      <c r="V712" s="74"/>
      <c r="W712" s="75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</row>
    <row r="713" s="73" customFormat="1" spans="1:34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5"/>
      <c r="P713" s="74"/>
      <c r="Q713" s="75"/>
      <c r="R713" s="74"/>
      <c r="S713" s="74"/>
      <c r="T713" s="74"/>
      <c r="U713" s="75"/>
      <c r="V713" s="74"/>
      <c r="W713" s="75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</row>
    <row r="714" s="73" customFormat="1" spans="1:34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5"/>
      <c r="P714" s="74"/>
      <c r="Q714" s="75"/>
      <c r="R714" s="74"/>
      <c r="S714" s="74"/>
      <c r="T714" s="74"/>
      <c r="U714" s="75"/>
      <c r="V714" s="74"/>
      <c r="W714" s="75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</row>
    <row r="715" s="73" customFormat="1" spans="1:34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5"/>
      <c r="P715" s="74"/>
      <c r="Q715" s="75"/>
      <c r="R715" s="74"/>
      <c r="S715" s="74"/>
      <c r="T715" s="74"/>
      <c r="U715" s="75"/>
      <c r="V715" s="74"/>
      <c r="W715" s="75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</row>
    <row r="716" s="73" customFormat="1" spans="1:34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5"/>
      <c r="P716" s="74"/>
      <c r="Q716" s="75"/>
      <c r="R716" s="74"/>
      <c r="S716" s="74"/>
      <c r="T716" s="74"/>
      <c r="U716" s="75"/>
      <c r="V716" s="74"/>
      <c r="W716" s="75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</row>
    <row r="717" s="73" customFormat="1" spans="1:34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5"/>
      <c r="P717" s="74"/>
      <c r="Q717" s="75"/>
      <c r="R717" s="74"/>
      <c r="S717" s="74"/>
      <c r="T717" s="74"/>
      <c r="U717" s="75"/>
      <c r="V717" s="74"/>
      <c r="W717" s="75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</row>
    <row r="718" s="73" customFormat="1" spans="1:34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5"/>
      <c r="P718" s="74"/>
      <c r="Q718" s="75"/>
      <c r="R718" s="74"/>
      <c r="S718" s="74"/>
      <c r="T718" s="74"/>
      <c r="U718" s="75"/>
      <c r="V718" s="74"/>
      <c r="W718" s="75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</row>
    <row r="719" s="73" customFormat="1" spans="1:34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5"/>
      <c r="P719" s="74"/>
      <c r="Q719" s="75"/>
      <c r="R719" s="74"/>
      <c r="S719" s="74"/>
      <c r="T719" s="74"/>
      <c r="U719" s="75"/>
      <c r="V719" s="74"/>
      <c r="W719" s="75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</row>
    <row r="720" s="73" customFormat="1" spans="1:34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5"/>
      <c r="P720" s="74"/>
      <c r="Q720" s="75"/>
      <c r="R720" s="74"/>
      <c r="S720" s="74"/>
      <c r="T720" s="74"/>
      <c r="U720" s="75"/>
      <c r="V720" s="74"/>
      <c r="W720" s="75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</row>
    <row r="721" s="73" customFormat="1" spans="1:34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5"/>
      <c r="P721" s="74"/>
      <c r="Q721" s="75"/>
      <c r="R721" s="74"/>
      <c r="S721" s="74"/>
      <c r="T721" s="74"/>
      <c r="U721" s="75"/>
      <c r="V721" s="74"/>
      <c r="W721" s="75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</row>
    <row r="722" s="73" customFormat="1" spans="1:34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5"/>
      <c r="P722" s="74"/>
      <c r="Q722" s="75"/>
      <c r="R722" s="74"/>
      <c r="S722" s="74"/>
      <c r="T722" s="74"/>
      <c r="U722" s="75"/>
      <c r="V722" s="74"/>
      <c r="W722" s="75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</row>
    <row r="723" s="73" customFormat="1" spans="1:34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5"/>
      <c r="P723" s="74"/>
      <c r="Q723" s="75"/>
      <c r="R723" s="74"/>
      <c r="S723" s="74"/>
      <c r="T723" s="74"/>
      <c r="U723" s="75"/>
      <c r="V723" s="74"/>
      <c r="W723" s="75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</row>
    <row r="724" s="73" customFormat="1" spans="1:34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5"/>
      <c r="P724" s="74"/>
      <c r="Q724" s="75"/>
      <c r="R724" s="74"/>
      <c r="S724" s="74"/>
      <c r="T724" s="74"/>
      <c r="U724" s="75"/>
      <c r="V724" s="74"/>
      <c r="W724" s="75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</row>
    <row r="725" s="73" customFormat="1" spans="1:34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5"/>
      <c r="P725" s="74"/>
      <c r="Q725" s="75"/>
      <c r="R725" s="74"/>
      <c r="S725" s="74"/>
      <c r="T725" s="74"/>
      <c r="U725" s="75"/>
      <c r="V725" s="74"/>
      <c r="W725" s="75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</row>
    <row r="726" s="73" customFormat="1" spans="1:34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5"/>
      <c r="P726" s="74"/>
      <c r="Q726" s="75"/>
      <c r="R726" s="74"/>
      <c r="S726" s="74"/>
      <c r="T726" s="74"/>
      <c r="U726" s="75"/>
      <c r="V726" s="74"/>
      <c r="W726" s="75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</row>
    <row r="727" s="73" customFormat="1" spans="1:34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5"/>
      <c r="P727" s="74"/>
      <c r="Q727" s="75"/>
      <c r="R727" s="74"/>
      <c r="S727" s="74"/>
      <c r="T727" s="74"/>
      <c r="U727" s="75"/>
      <c r="V727" s="74"/>
      <c r="W727" s="75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</row>
    <row r="728" s="73" customFormat="1" spans="1:34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5"/>
      <c r="P728" s="74"/>
      <c r="Q728" s="75"/>
      <c r="R728" s="74"/>
      <c r="S728" s="74"/>
      <c r="T728" s="74"/>
      <c r="U728" s="75"/>
      <c r="V728" s="74"/>
      <c r="W728" s="75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</row>
    <row r="729" s="73" customFormat="1" spans="1:34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5"/>
      <c r="P729" s="74"/>
      <c r="Q729" s="75"/>
      <c r="R729" s="74"/>
      <c r="S729" s="74"/>
      <c r="T729" s="74"/>
      <c r="U729" s="75"/>
      <c r="V729" s="74"/>
      <c r="W729" s="75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</row>
    <row r="730" s="73" customFormat="1" spans="1:34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5"/>
      <c r="P730" s="74"/>
      <c r="Q730" s="75"/>
      <c r="R730" s="74"/>
      <c r="S730" s="74"/>
      <c r="T730" s="74"/>
      <c r="U730" s="75"/>
      <c r="V730" s="74"/>
      <c r="W730" s="75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</row>
    <row r="731" s="73" customFormat="1" spans="1:34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5"/>
      <c r="P731" s="74"/>
      <c r="Q731" s="75"/>
      <c r="R731" s="74"/>
      <c r="S731" s="74"/>
      <c r="T731" s="74"/>
      <c r="U731" s="75"/>
      <c r="V731" s="74"/>
      <c r="W731" s="75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</row>
    <row r="732" s="73" customFormat="1" spans="1:34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5"/>
      <c r="P732" s="74"/>
      <c r="Q732" s="75"/>
      <c r="R732" s="74"/>
      <c r="S732" s="74"/>
      <c r="T732" s="74"/>
      <c r="U732" s="75"/>
      <c r="V732" s="74"/>
      <c r="W732" s="75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</row>
    <row r="733" s="73" customFormat="1" spans="1:34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5"/>
      <c r="P733" s="74"/>
      <c r="Q733" s="75"/>
      <c r="R733" s="74"/>
      <c r="S733" s="74"/>
      <c r="T733" s="74"/>
      <c r="U733" s="75"/>
      <c r="V733" s="74"/>
      <c r="W733" s="75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</row>
    <row r="734" s="73" customFormat="1" spans="1:34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5"/>
      <c r="P734" s="74"/>
      <c r="Q734" s="75"/>
      <c r="R734" s="74"/>
      <c r="S734" s="74"/>
      <c r="T734" s="74"/>
      <c r="U734" s="75"/>
      <c r="V734" s="74"/>
      <c r="W734" s="75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</row>
    <row r="735" s="73" customFormat="1" spans="1:34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5"/>
      <c r="P735" s="74"/>
      <c r="Q735" s="75"/>
      <c r="R735" s="74"/>
      <c r="S735" s="74"/>
      <c r="T735" s="74"/>
      <c r="U735" s="75"/>
      <c r="V735" s="74"/>
      <c r="W735" s="75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</row>
    <row r="736" s="73" customFormat="1" spans="1:34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5"/>
      <c r="P736" s="74"/>
      <c r="Q736" s="75"/>
      <c r="R736" s="74"/>
      <c r="S736" s="74"/>
      <c r="T736" s="74"/>
      <c r="U736" s="75"/>
      <c r="V736" s="74"/>
      <c r="W736" s="75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</row>
    <row r="737" s="73" customFormat="1" spans="1:34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5"/>
      <c r="P737" s="74"/>
      <c r="Q737" s="75"/>
      <c r="R737" s="74"/>
      <c r="S737" s="74"/>
      <c r="T737" s="74"/>
      <c r="U737" s="75"/>
      <c r="V737" s="74"/>
      <c r="W737" s="75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</row>
    <row r="738" s="73" customFormat="1" spans="1:34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5"/>
      <c r="P738" s="74"/>
      <c r="Q738" s="75"/>
      <c r="R738" s="74"/>
      <c r="S738" s="74"/>
      <c r="T738" s="74"/>
      <c r="U738" s="75"/>
      <c r="V738" s="74"/>
      <c r="W738" s="75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</row>
    <row r="739" s="73" customFormat="1" spans="1:34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5"/>
      <c r="P739" s="74"/>
      <c r="Q739" s="75"/>
      <c r="R739" s="74"/>
      <c r="S739" s="74"/>
      <c r="T739" s="74"/>
      <c r="U739" s="75"/>
      <c r="V739" s="74"/>
      <c r="W739" s="75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</row>
    <row r="740" s="73" customFormat="1" spans="1:34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5"/>
      <c r="P740" s="74"/>
      <c r="Q740" s="75"/>
      <c r="R740" s="74"/>
      <c r="S740" s="74"/>
      <c r="T740" s="74"/>
      <c r="U740" s="75"/>
      <c r="V740" s="74"/>
      <c r="W740" s="75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</row>
    <row r="741" s="73" customFormat="1" spans="1:34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5"/>
      <c r="P741" s="74"/>
      <c r="Q741" s="75"/>
      <c r="R741" s="74"/>
      <c r="S741" s="74"/>
      <c r="T741" s="74"/>
      <c r="U741" s="75"/>
      <c r="V741" s="74"/>
      <c r="W741" s="75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</row>
    <row r="743" s="73" customFormat="1" spans="1:34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5"/>
      <c r="P743" s="74"/>
      <c r="Q743" s="75"/>
      <c r="R743" s="74"/>
      <c r="S743" s="74"/>
      <c r="T743" s="74"/>
      <c r="U743" s="75"/>
      <c r="V743" s="74"/>
      <c r="W743" s="75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</row>
    <row r="744" s="73" customFormat="1" spans="1:34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5"/>
      <c r="P744" s="74"/>
      <c r="Q744" s="75"/>
      <c r="R744" s="74"/>
      <c r="S744" s="74"/>
      <c r="T744" s="74"/>
      <c r="U744" s="75"/>
      <c r="V744" s="74"/>
      <c r="W744" s="75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</row>
    <row r="745" s="73" customFormat="1" spans="1:34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5"/>
      <c r="P745" s="74"/>
      <c r="Q745" s="75"/>
      <c r="R745" s="74"/>
      <c r="S745" s="74"/>
      <c r="T745" s="74"/>
      <c r="U745" s="75"/>
      <c r="V745" s="74"/>
      <c r="W745" s="75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</row>
    <row r="746" s="73" customFormat="1" spans="1:34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5"/>
      <c r="P746" s="74"/>
      <c r="Q746" s="75"/>
      <c r="R746" s="74"/>
      <c r="S746" s="74"/>
      <c r="T746" s="74"/>
      <c r="U746" s="75"/>
      <c r="V746" s="74"/>
      <c r="W746" s="75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</row>
    <row r="747" s="73" customFormat="1" spans="1:34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5"/>
      <c r="P747" s="74"/>
      <c r="Q747" s="75"/>
      <c r="R747" s="74"/>
      <c r="S747" s="74"/>
      <c r="T747" s="74"/>
      <c r="U747" s="75"/>
      <c r="V747" s="74"/>
      <c r="W747" s="75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</row>
    <row r="748" s="73" customFormat="1" spans="1:34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5"/>
      <c r="P748" s="74"/>
      <c r="Q748" s="75"/>
      <c r="R748" s="74"/>
      <c r="S748" s="74"/>
      <c r="T748" s="74"/>
      <c r="U748" s="75"/>
      <c r="V748" s="74"/>
      <c r="W748" s="75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</row>
    <row r="749" s="73" customFormat="1" spans="1:34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5"/>
      <c r="P749" s="74"/>
      <c r="Q749" s="75"/>
      <c r="R749" s="74"/>
      <c r="S749" s="74"/>
      <c r="T749" s="74"/>
      <c r="U749" s="75"/>
      <c r="V749" s="74"/>
      <c r="W749" s="75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</row>
    <row r="750" s="73" customFormat="1" spans="1:34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5"/>
      <c r="P750" s="74"/>
      <c r="Q750" s="75"/>
      <c r="R750" s="74"/>
      <c r="S750" s="74"/>
      <c r="T750" s="74"/>
      <c r="U750" s="75"/>
      <c r="V750" s="74"/>
      <c r="W750" s="75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</row>
    <row r="751" s="73" customFormat="1" spans="1:34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5"/>
      <c r="P751" s="74"/>
      <c r="Q751" s="75"/>
      <c r="R751" s="74"/>
      <c r="S751" s="74"/>
      <c r="T751" s="74"/>
      <c r="U751" s="75"/>
      <c r="V751" s="74"/>
      <c r="W751" s="75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</row>
    <row r="752" s="73" customFormat="1" spans="1:34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5"/>
      <c r="P752" s="74"/>
      <c r="Q752" s="75"/>
      <c r="R752" s="74"/>
      <c r="S752" s="74"/>
      <c r="T752" s="74"/>
      <c r="U752" s="75"/>
      <c r="V752" s="74"/>
      <c r="W752" s="75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</row>
    <row r="753" s="73" customFormat="1" spans="1:34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5"/>
      <c r="P753" s="74"/>
      <c r="Q753" s="75"/>
      <c r="R753" s="74"/>
      <c r="S753" s="74"/>
      <c r="T753" s="74"/>
      <c r="U753" s="75"/>
      <c r="V753" s="74"/>
      <c r="W753" s="75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</row>
    <row r="754" s="73" customFormat="1" spans="1:34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5"/>
      <c r="P754" s="74"/>
      <c r="Q754" s="75"/>
      <c r="R754" s="74"/>
      <c r="S754" s="74"/>
      <c r="T754" s="74"/>
      <c r="U754" s="75"/>
      <c r="V754" s="74"/>
      <c r="W754" s="75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</row>
    <row r="755" s="73" customFormat="1" spans="1:34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5"/>
      <c r="P755" s="74"/>
      <c r="Q755" s="75"/>
      <c r="R755" s="74"/>
      <c r="S755" s="74"/>
      <c r="T755" s="74"/>
      <c r="U755" s="75"/>
      <c r="V755" s="74"/>
      <c r="W755" s="75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</row>
    <row r="756" s="73" customFormat="1" spans="1:34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5"/>
      <c r="P756" s="74"/>
      <c r="Q756" s="75"/>
      <c r="R756" s="74"/>
      <c r="S756" s="74"/>
      <c r="T756" s="74"/>
      <c r="U756" s="75"/>
      <c r="V756" s="74"/>
      <c r="W756" s="75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</row>
    <row r="757" s="73" customFormat="1" spans="1:34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5"/>
      <c r="P757" s="74"/>
      <c r="Q757" s="75"/>
      <c r="R757" s="74"/>
      <c r="S757" s="74"/>
      <c r="T757" s="74"/>
      <c r="U757" s="75"/>
      <c r="V757" s="74"/>
      <c r="W757" s="75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</row>
    <row r="758" s="73" customFormat="1" spans="1:34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5"/>
      <c r="P758" s="74"/>
      <c r="Q758" s="75"/>
      <c r="R758" s="74"/>
      <c r="S758" s="74"/>
      <c r="T758" s="74"/>
      <c r="U758" s="75"/>
      <c r="V758" s="74"/>
      <c r="W758" s="75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</row>
    <row r="759" s="73" customFormat="1" spans="1:34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5"/>
      <c r="P759" s="74"/>
      <c r="Q759" s="75"/>
      <c r="R759" s="74"/>
      <c r="S759" s="74"/>
      <c r="T759" s="74"/>
      <c r="U759" s="75"/>
      <c r="V759" s="74"/>
      <c r="W759" s="75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</row>
    <row r="760" s="73" customFormat="1" spans="1:34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5"/>
      <c r="P760" s="74"/>
      <c r="Q760" s="75"/>
      <c r="R760" s="74"/>
      <c r="S760" s="74"/>
      <c r="T760" s="74"/>
      <c r="U760" s="75"/>
      <c r="V760" s="74"/>
      <c r="W760" s="75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</row>
    <row r="761" s="73" customFormat="1" spans="1:34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5"/>
      <c r="P761" s="74"/>
      <c r="Q761" s="75"/>
      <c r="R761" s="74"/>
      <c r="S761" s="74"/>
      <c r="T761" s="74"/>
      <c r="U761" s="75"/>
      <c r="V761" s="74"/>
      <c r="W761" s="75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</row>
    <row r="762" s="73" customFormat="1" spans="1:34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5"/>
      <c r="P762" s="74"/>
      <c r="Q762" s="75"/>
      <c r="R762" s="74"/>
      <c r="S762" s="74"/>
      <c r="T762" s="74"/>
      <c r="U762" s="75"/>
      <c r="V762" s="74"/>
      <c r="W762" s="75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</row>
    <row r="763" s="73" customFormat="1" spans="1:34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5"/>
      <c r="P763" s="74"/>
      <c r="Q763" s="75"/>
      <c r="R763" s="74"/>
      <c r="S763" s="74"/>
      <c r="T763" s="74"/>
      <c r="U763" s="75"/>
      <c r="V763" s="74"/>
      <c r="W763" s="75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</row>
    <row r="764" s="73" customFormat="1" spans="1:34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5"/>
      <c r="P764" s="74"/>
      <c r="Q764" s="75"/>
      <c r="R764" s="74"/>
      <c r="S764" s="74"/>
      <c r="T764" s="74"/>
      <c r="U764" s="75"/>
      <c r="V764" s="74"/>
      <c r="W764" s="75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</row>
    <row r="765" s="73" customFormat="1" spans="1:34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5"/>
      <c r="P765" s="74"/>
      <c r="Q765" s="75"/>
      <c r="R765" s="74"/>
      <c r="S765" s="74"/>
      <c r="T765" s="74"/>
      <c r="U765" s="75"/>
      <c r="V765" s="74"/>
      <c r="W765" s="75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</row>
    <row r="766" s="73" customFormat="1" spans="1:34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5"/>
      <c r="P766" s="74"/>
      <c r="Q766" s="75"/>
      <c r="R766" s="74"/>
      <c r="S766" s="74"/>
      <c r="T766" s="74"/>
      <c r="U766" s="75"/>
      <c r="V766" s="74"/>
      <c r="W766" s="75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</row>
    <row r="767" s="73" customFormat="1" spans="1:34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5"/>
      <c r="P767" s="74"/>
      <c r="Q767" s="75"/>
      <c r="R767" s="74"/>
      <c r="S767" s="74"/>
      <c r="T767" s="74"/>
      <c r="U767" s="75"/>
      <c r="V767" s="74"/>
      <c r="W767" s="75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</row>
    <row r="768" s="73" customFormat="1" spans="1:34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5"/>
      <c r="P768" s="74"/>
      <c r="Q768" s="75"/>
      <c r="R768" s="74"/>
      <c r="S768" s="74"/>
      <c r="T768" s="74"/>
      <c r="U768" s="75"/>
      <c r="V768" s="74"/>
      <c r="W768" s="75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</row>
    <row r="769" s="73" customFormat="1" spans="1:34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5"/>
      <c r="P769" s="74"/>
      <c r="Q769" s="75"/>
      <c r="R769" s="74"/>
      <c r="S769" s="74"/>
      <c r="T769" s="74"/>
      <c r="U769" s="75"/>
      <c r="V769" s="74"/>
      <c r="W769" s="75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</row>
    <row r="770" s="73" customFormat="1" spans="1:34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5"/>
      <c r="P770" s="74"/>
      <c r="Q770" s="75"/>
      <c r="R770" s="74"/>
      <c r="S770" s="74"/>
      <c r="T770" s="74"/>
      <c r="U770" s="75"/>
      <c r="V770" s="74"/>
      <c r="W770" s="75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</row>
    <row r="771" s="73" customFormat="1" spans="1:34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5"/>
      <c r="P771" s="74"/>
      <c r="Q771" s="75"/>
      <c r="R771" s="74"/>
      <c r="S771" s="74"/>
      <c r="T771" s="74"/>
      <c r="U771" s="75"/>
      <c r="V771" s="74"/>
      <c r="W771" s="75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</row>
    <row r="772" s="73" customFormat="1" spans="1:34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5"/>
      <c r="P772" s="74"/>
      <c r="Q772" s="75"/>
      <c r="R772" s="74"/>
      <c r="S772" s="74"/>
      <c r="T772" s="74"/>
      <c r="U772" s="75"/>
      <c r="V772" s="74"/>
      <c r="W772" s="75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</row>
    <row r="773" s="73" customFormat="1" spans="1:34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5"/>
      <c r="P773" s="74"/>
      <c r="Q773" s="75"/>
      <c r="R773" s="74"/>
      <c r="S773" s="74"/>
      <c r="T773" s="74"/>
      <c r="U773" s="75"/>
      <c r="V773" s="74"/>
      <c r="W773" s="75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</row>
    <row r="774" s="73" customFormat="1" spans="1:34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5"/>
      <c r="P774" s="74"/>
      <c r="Q774" s="75"/>
      <c r="R774" s="74"/>
      <c r="S774" s="74"/>
      <c r="T774" s="74"/>
      <c r="U774" s="75"/>
      <c r="V774" s="74"/>
      <c r="W774" s="75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</row>
    <row r="775" s="73" customFormat="1" spans="1:34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5"/>
      <c r="P775" s="74"/>
      <c r="Q775" s="75"/>
      <c r="R775" s="74"/>
      <c r="S775" s="74"/>
      <c r="T775" s="74"/>
      <c r="U775" s="75"/>
      <c r="V775" s="74"/>
      <c r="W775" s="75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</row>
    <row r="776" s="73" customFormat="1" spans="1:34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5"/>
      <c r="P776" s="74"/>
      <c r="Q776" s="75"/>
      <c r="R776" s="74"/>
      <c r="S776" s="74"/>
      <c r="T776" s="74"/>
      <c r="U776" s="75"/>
      <c r="V776" s="74"/>
      <c r="W776" s="75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</row>
    <row r="777" s="73" customFormat="1" spans="1:34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5"/>
      <c r="P777" s="74"/>
      <c r="Q777" s="75"/>
      <c r="R777" s="74"/>
      <c r="S777" s="74"/>
      <c r="T777" s="74"/>
      <c r="U777" s="75"/>
      <c r="V777" s="74"/>
      <c r="W777" s="75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</row>
    <row r="778" s="73" customFormat="1" spans="1:34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5"/>
      <c r="P778" s="74"/>
      <c r="Q778" s="75"/>
      <c r="R778" s="74"/>
      <c r="S778" s="74"/>
      <c r="T778" s="74"/>
      <c r="U778" s="75"/>
      <c r="V778" s="74"/>
      <c r="W778" s="75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</row>
    <row r="779" s="73" customFormat="1" spans="1:34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5"/>
      <c r="P779" s="74"/>
      <c r="Q779" s="75"/>
      <c r="R779" s="74"/>
      <c r="S779" s="74"/>
      <c r="T779" s="74"/>
      <c r="U779" s="75"/>
      <c r="V779" s="74"/>
      <c r="W779" s="75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</row>
    <row r="780" s="73" customFormat="1" spans="1:34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5"/>
      <c r="P780" s="74"/>
      <c r="Q780" s="75"/>
      <c r="R780" s="74"/>
      <c r="S780" s="74"/>
      <c r="T780" s="74"/>
      <c r="U780" s="75"/>
      <c r="V780" s="74"/>
      <c r="W780" s="75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</row>
    <row r="781" s="73" customFormat="1" spans="1:34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5"/>
      <c r="P781" s="74"/>
      <c r="Q781" s="75"/>
      <c r="R781" s="74"/>
      <c r="S781" s="74"/>
      <c r="T781" s="74"/>
      <c r="U781" s="75"/>
      <c r="V781" s="74"/>
      <c r="W781" s="75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</row>
    <row r="782" s="73" customFormat="1" spans="1:34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5"/>
      <c r="P782" s="74"/>
      <c r="Q782" s="75"/>
      <c r="R782" s="74"/>
      <c r="S782" s="74"/>
      <c r="T782" s="74"/>
      <c r="U782" s="75"/>
      <c r="V782" s="74"/>
      <c r="W782" s="75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</row>
    <row r="783" s="73" customFormat="1" spans="1:34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5"/>
      <c r="P783" s="74"/>
      <c r="Q783" s="75"/>
      <c r="R783" s="74"/>
      <c r="S783" s="74"/>
      <c r="T783" s="74"/>
      <c r="U783" s="75"/>
      <c r="V783" s="74"/>
      <c r="W783" s="75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</row>
    <row r="784" s="73" customFormat="1" spans="1:34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5"/>
      <c r="P784" s="74"/>
      <c r="Q784" s="75"/>
      <c r="R784" s="74"/>
      <c r="S784" s="74"/>
      <c r="T784" s="74"/>
      <c r="U784" s="75"/>
      <c r="V784" s="74"/>
      <c r="W784" s="75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</row>
    <row r="785" s="73" customFormat="1" spans="1:34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5"/>
      <c r="P785" s="74"/>
      <c r="Q785" s="75"/>
      <c r="R785" s="74"/>
      <c r="S785" s="74"/>
      <c r="T785" s="74"/>
      <c r="U785" s="75"/>
      <c r="V785" s="74"/>
      <c r="W785" s="75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</row>
    <row r="786" s="73" customFormat="1" spans="1:34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5"/>
      <c r="P786" s="74"/>
      <c r="Q786" s="75"/>
      <c r="R786" s="74"/>
      <c r="S786" s="74"/>
      <c r="T786" s="74"/>
      <c r="U786" s="75"/>
      <c r="V786" s="74"/>
      <c r="W786" s="75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</row>
    <row r="787" s="73" customFormat="1" spans="1:34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5"/>
      <c r="P787" s="74"/>
      <c r="Q787" s="75"/>
      <c r="R787" s="74"/>
      <c r="S787" s="74"/>
      <c r="T787" s="74"/>
      <c r="U787" s="75"/>
      <c r="V787" s="74"/>
      <c r="W787" s="75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</row>
    <row r="788" s="73" customFormat="1" spans="1:34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5"/>
      <c r="P788" s="74"/>
      <c r="Q788" s="75"/>
      <c r="R788" s="74"/>
      <c r="S788" s="74"/>
      <c r="T788" s="74"/>
      <c r="U788" s="75"/>
      <c r="V788" s="74"/>
      <c r="W788" s="75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</row>
    <row r="789" s="73" customFormat="1" spans="1:34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5"/>
      <c r="P789" s="74"/>
      <c r="Q789" s="75"/>
      <c r="R789" s="74"/>
      <c r="S789" s="74"/>
      <c r="T789" s="74"/>
      <c r="U789" s="75"/>
      <c r="V789" s="74"/>
      <c r="W789" s="75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</row>
    <row r="790" s="73" customFormat="1" spans="1:34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5"/>
      <c r="P790" s="74"/>
      <c r="Q790" s="75"/>
      <c r="R790" s="74"/>
      <c r="S790" s="74"/>
      <c r="T790" s="74"/>
      <c r="U790" s="75"/>
      <c r="V790" s="74"/>
      <c r="W790" s="75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</row>
    <row r="791" s="73" customFormat="1" spans="1:34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5"/>
      <c r="P791" s="74"/>
      <c r="Q791" s="75"/>
      <c r="R791" s="74"/>
      <c r="S791" s="74"/>
      <c r="T791" s="74"/>
      <c r="U791" s="75"/>
      <c r="V791" s="74"/>
      <c r="W791" s="75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</row>
    <row r="792" s="73" customFormat="1" spans="1:34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5"/>
      <c r="P792" s="74"/>
      <c r="Q792" s="75"/>
      <c r="R792" s="74"/>
      <c r="S792" s="74"/>
      <c r="T792" s="74"/>
      <c r="U792" s="75"/>
      <c r="V792" s="74"/>
      <c r="W792" s="75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</row>
    <row r="793" s="73" customFormat="1" spans="1:34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5"/>
      <c r="P793" s="74"/>
      <c r="Q793" s="75"/>
      <c r="R793" s="74"/>
      <c r="S793" s="74"/>
      <c r="T793" s="74"/>
      <c r="U793" s="75"/>
      <c r="V793" s="74"/>
      <c r="W793" s="75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</row>
    <row r="794" s="73" customFormat="1" spans="1:34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5"/>
      <c r="P794" s="74"/>
      <c r="Q794" s="75"/>
      <c r="R794" s="74"/>
      <c r="S794" s="74"/>
      <c r="T794" s="74"/>
      <c r="U794" s="75"/>
      <c r="V794" s="74"/>
      <c r="W794" s="75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</row>
    <row r="795" s="73" customFormat="1" spans="1:34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5"/>
      <c r="P795" s="74"/>
      <c r="Q795" s="75"/>
      <c r="R795" s="74"/>
      <c r="S795" s="74"/>
      <c r="T795" s="74"/>
      <c r="U795" s="75"/>
      <c r="V795" s="74"/>
      <c r="W795" s="75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</row>
    <row r="796" s="73" customFormat="1" spans="1:34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5"/>
      <c r="P796" s="74"/>
      <c r="Q796" s="75"/>
      <c r="R796" s="74"/>
      <c r="S796" s="74"/>
      <c r="T796" s="74"/>
      <c r="U796" s="75"/>
      <c r="V796" s="74"/>
      <c r="W796" s="75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</row>
    <row r="797" s="73" customFormat="1" spans="1:34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5"/>
      <c r="P797" s="74"/>
      <c r="Q797" s="75"/>
      <c r="R797" s="74"/>
      <c r="S797" s="74"/>
      <c r="T797" s="74"/>
      <c r="U797" s="75"/>
      <c r="V797" s="74"/>
      <c r="W797" s="75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</row>
    <row r="798" s="73" customFormat="1" spans="1:34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5"/>
      <c r="P798" s="74"/>
      <c r="Q798" s="75"/>
      <c r="R798" s="74"/>
      <c r="S798" s="74"/>
      <c r="T798" s="74"/>
      <c r="U798" s="75"/>
      <c r="V798" s="74"/>
      <c r="W798" s="75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</row>
    <row r="799" s="73" customFormat="1" spans="1:34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5"/>
      <c r="P799" s="74"/>
      <c r="Q799" s="75"/>
      <c r="R799" s="74"/>
      <c r="S799" s="74"/>
      <c r="T799" s="74"/>
      <c r="U799" s="75"/>
      <c r="V799" s="74"/>
      <c r="W799" s="75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</row>
    <row r="800" s="73" customFormat="1" spans="1:34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5"/>
      <c r="P800" s="74"/>
      <c r="Q800" s="75"/>
      <c r="R800" s="74"/>
      <c r="S800" s="74"/>
      <c r="T800" s="74"/>
      <c r="U800" s="75"/>
      <c r="V800" s="74"/>
      <c r="W800" s="75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</row>
    <row r="801" s="73" customFormat="1" spans="1:34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5"/>
      <c r="P801" s="74"/>
      <c r="Q801" s="75"/>
      <c r="R801" s="74"/>
      <c r="S801" s="74"/>
      <c r="T801" s="74"/>
      <c r="U801" s="75"/>
      <c r="V801" s="74"/>
      <c r="W801" s="75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</row>
    <row r="802" s="73" customFormat="1" spans="1:34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5"/>
      <c r="P802" s="74"/>
      <c r="Q802" s="75"/>
      <c r="R802" s="74"/>
      <c r="S802" s="74"/>
      <c r="T802" s="74"/>
      <c r="U802" s="75"/>
      <c r="V802" s="74"/>
      <c r="W802" s="75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</row>
    <row r="803" s="73" customFormat="1" spans="1:34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5"/>
      <c r="P803" s="74"/>
      <c r="Q803" s="75"/>
      <c r="R803" s="74"/>
      <c r="S803" s="74"/>
      <c r="T803" s="74"/>
      <c r="U803" s="75"/>
      <c r="V803" s="74"/>
      <c r="W803" s="75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</row>
    <row r="804" s="73" customFormat="1" spans="1:34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5"/>
      <c r="P804" s="74"/>
      <c r="Q804" s="75"/>
      <c r="R804" s="74"/>
      <c r="S804" s="74"/>
      <c r="T804" s="74"/>
      <c r="U804" s="75"/>
      <c r="V804" s="74"/>
      <c r="W804" s="75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</row>
    <row r="805" s="73" customFormat="1" spans="1:34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5"/>
      <c r="P805" s="74"/>
      <c r="Q805" s="75"/>
      <c r="R805" s="74"/>
      <c r="S805" s="74"/>
      <c r="T805" s="74"/>
      <c r="U805" s="75"/>
      <c r="V805" s="74"/>
      <c r="W805" s="75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</row>
    <row r="806" s="73" customFormat="1" spans="1:34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5"/>
      <c r="P806" s="74"/>
      <c r="Q806" s="75"/>
      <c r="R806" s="74"/>
      <c r="S806" s="74"/>
      <c r="T806" s="74"/>
      <c r="U806" s="75"/>
      <c r="V806" s="74"/>
      <c r="W806" s="75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</row>
    <row r="807" s="73" customFormat="1" spans="1:34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5"/>
      <c r="P807" s="74"/>
      <c r="Q807" s="75"/>
      <c r="R807" s="74"/>
      <c r="S807" s="74"/>
      <c r="T807" s="74"/>
      <c r="U807" s="75"/>
      <c r="V807" s="74"/>
      <c r="W807" s="75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</row>
    <row r="808" s="73" customFormat="1" spans="1:34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5"/>
      <c r="P808" s="74"/>
      <c r="Q808" s="75"/>
      <c r="R808" s="74"/>
      <c r="S808" s="74"/>
      <c r="T808" s="74"/>
      <c r="U808" s="75"/>
      <c r="V808" s="74"/>
      <c r="W808" s="75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</row>
    <row r="809" s="73" customFormat="1" spans="1:34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5"/>
      <c r="P809" s="74"/>
      <c r="Q809" s="75"/>
      <c r="R809" s="74"/>
      <c r="S809" s="74"/>
      <c r="T809" s="74"/>
      <c r="U809" s="75"/>
      <c r="V809" s="74"/>
      <c r="W809" s="75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</row>
    <row r="810" s="73" customFormat="1" spans="1:34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5"/>
      <c r="P810" s="74"/>
      <c r="Q810" s="75"/>
      <c r="R810" s="74"/>
      <c r="S810" s="74"/>
      <c r="T810" s="74"/>
      <c r="U810" s="75"/>
      <c r="V810" s="74"/>
      <c r="W810" s="75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</row>
    <row r="811" s="73" customFormat="1" spans="1:34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5"/>
      <c r="P811" s="74"/>
      <c r="Q811" s="75"/>
      <c r="R811" s="74"/>
      <c r="S811" s="74"/>
      <c r="T811" s="74"/>
      <c r="U811" s="75"/>
      <c r="V811" s="74"/>
      <c r="W811" s="75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</row>
    <row r="812" s="73" customFormat="1" spans="1:34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5"/>
      <c r="P812" s="74"/>
      <c r="Q812" s="75"/>
      <c r="R812" s="74"/>
      <c r="S812" s="74"/>
      <c r="T812" s="74"/>
      <c r="U812" s="75"/>
      <c r="V812" s="74"/>
      <c r="W812" s="75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</row>
    <row r="813" s="73" customFormat="1" spans="1:34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5"/>
      <c r="P813" s="74"/>
      <c r="Q813" s="75"/>
      <c r="R813" s="74"/>
      <c r="S813" s="74"/>
      <c r="T813" s="74"/>
      <c r="U813" s="75"/>
      <c r="V813" s="74"/>
      <c r="W813" s="75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</row>
    <row r="814" s="73" customFormat="1" spans="1:34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5"/>
      <c r="P814" s="74"/>
      <c r="Q814" s="75"/>
      <c r="R814" s="74"/>
      <c r="S814" s="74"/>
      <c r="T814" s="74"/>
      <c r="U814" s="75"/>
      <c r="V814" s="74"/>
      <c r="W814" s="75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</row>
    <row r="815" s="73" customFormat="1" spans="1:34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5"/>
      <c r="P815" s="74"/>
      <c r="Q815" s="75"/>
      <c r="R815" s="74"/>
      <c r="S815" s="74"/>
      <c r="T815" s="74"/>
      <c r="U815" s="75"/>
      <c r="V815" s="74"/>
      <c r="W815" s="75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</row>
    <row r="816" s="73" customFormat="1" spans="1:34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5"/>
      <c r="P816" s="74"/>
      <c r="Q816" s="75"/>
      <c r="R816" s="74"/>
      <c r="S816" s="74"/>
      <c r="T816" s="74"/>
      <c r="U816" s="75"/>
      <c r="V816" s="74"/>
      <c r="W816" s="75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</row>
    <row r="817" s="73" customFormat="1" spans="1:34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5"/>
      <c r="P817" s="74"/>
      <c r="Q817" s="75"/>
      <c r="R817" s="74"/>
      <c r="S817" s="74"/>
      <c r="T817" s="74"/>
      <c r="U817" s="75"/>
      <c r="V817" s="74"/>
      <c r="W817" s="75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</row>
    <row r="818" s="73" customFormat="1" spans="1:34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5"/>
      <c r="P818" s="74"/>
      <c r="Q818" s="75"/>
      <c r="R818" s="74"/>
      <c r="S818" s="74"/>
      <c r="T818" s="74"/>
      <c r="U818" s="75"/>
      <c r="V818" s="74"/>
      <c r="W818" s="75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</row>
    <row r="819" s="73" customFormat="1" spans="1:34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5"/>
      <c r="P819" s="74"/>
      <c r="Q819" s="75"/>
      <c r="R819" s="74"/>
      <c r="S819" s="74"/>
      <c r="T819" s="74"/>
      <c r="U819" s="75"/>
      <c r="V819" s="74"/>
      <c r="W819" s="75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</row>
    <row r="821" s="73" customFormat="1" spans="1:34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5"/>
      <c r="P821" s="74"/>
      <c r="Q821" s="75"/>
      <c r="R821" s="74"/>
      <c r="S821" s="74"/>
      <c r="T821" s="74"/>
      <c r="U821" s="75"/>
      <c r="V821" s="74"/>
      <c r="W821" s="75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</row>
    <row r="822" s="73" customFormat="1" spans="1:34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5"/>
      <c r="P822" s="74"/>
      <c r="Q822" s="75"/>
      <c r="R822" s="74"/>
      <c r="S822" s="74"/>
      <c r="T822" s="74"/>
      <c r="U822" s="75"/>
      <c r="V822" s="74"/>
      <c r="W822" s="75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</row>
    <row r="823" s="73" customFormat="1" spans="1:34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5"/>
      <c r="P823" s="74"/>
      <c r="Q823" s="75"/>
      <c r="R823" s="74"/>
      <c r="S823" s="74"/>
      <c r="T823" s="74"/>
      <c r="U823" s="75"/>
      <c r="V823" s="74"/>
      <c r="W823" s="75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</row>
    <row r="824" s="73" customFormat="1" spans="1:34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5"/>
      <c r="P824" s="74"/>
      <c r="Q824" s="75"/>
      <c r="R824" s="74"/>
      <c r="S824" s="74"/>
      <c r="T824" s="74"/>
      <c r="U824" s="75"/>
      <c r="V824" s="74"/>
      <c r="W824" s="75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</row>
    <row r="825" s="73" customFormat="1" spans="1:34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5"/>
      <c r="P825" s="74"/>
      <c r="Q825" s="75"/>
      <c r="R825" s="74"/>
      <c r="S825" s="74"/>
      <c r="T825" s="74"/>
      <c r="U825" s="75"/>
      <c r="V825" s="74"/>
      <c r="W825" s="75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</row>
    <row r="826" s="73" customFormat="1" spans="1:34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5"/>
      <c r="P826" s="74"/>
      <c r="Q826" s="75"/>
      <c r="R826" s="74"/>
      <c r="S826" s="74"/>
      <c r="T826" s="74"/>
      <c r="U826" s="75"/>
      <c r="V826" s="74"/>
      <c r="W826" s="75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</row>
    <row r="827" s="73" customFormat="1" spans="1:34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5"/>
      <c r="P827" s="74"/>
      <c r="Q827" s="75"/>
      <c r="R827" s="74"/>
      <c r="S827" s="74"/>
      <c r="T827" s="74"/>
      <c r="U827" s="75"/>
      <c r="V827" s="74"/>
      <c r="W827" s="75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</row>
    <row r="828" s="73" customFormat="1" spans="1:34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5"/>
      <c r="P828" s="74"/>
      <c r="Q828" s="75"/>
      <c r="R828" s="74"/>
      <c r="S828" s="74"/>
      <c r="T828" s="74"/>
      <c r="U828" s="75"/>
      <c r="V828" s="74"/>
      <c r="W828" s="75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</row>
    <row r="829" s="73" customFormat="1" spans="1:34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5"/>
      <c r="P829" s="74"/>
      <c r="Q829" s="75"/>
      <c r="R829" s="74"/>
      <c r="S829" s="74"/>
      <c r="T829" s="74"/>
      <c r="U829" s="75"/>
      <c r="V829" s="74"/>
      <c r="W829" s="75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</row>
    <row r="830" s="73" customFormat="1" spans="1:34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5"/>
      <c r="P830" s="74"/>
      <c r="Q830" s="75"/>
      <c r="R830" s="74"/>
      <c r="S830" s="74"/>
      <c r="T830" s="74"/>
      <c r="U830" s="75"/>
      <c r="V830" s="74"/>
      <c r="W830" s="75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</row>
    <row r="831" s="73" customFormat="1" spans="1:34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5"/>
      <c r="P831" s="74"/>
      <c r="Q831" s="75"/>
      <c r="R831" s="74"/>
      <c r="S831" s="74"/>
      <c r="T831" s="74"/>
      <c r="U831" s="75"/>
      <c r="V831" s="74"/>
      <c r="W831" s="75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</row>
    <row r="832" s="73" customFormat="1" spans="1:34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5"/>
      <c r="P832" s="74"/>
      <c r="Q832" s="75"/>
      <c r="R832" s="74"/>
      <c r="S832" s="74"/>
      <c r="T832" s="74"/>
      <c r="U832" s="75"/>
      <c r="V832" s="74"/>
      <c r="W832" s="75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</row>
    <row r="833" s="73" customFormat="1" spans="1:34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5"/>
      <c r="P833" s="74"/>
      <c r="Q833" s="75"/>
      <c r="R833" s="74"/>
      <c r="S833" s="74"/>
      <c r="T833" s="74"/>
      <c r="U833" s="75"/>
      <c r="V833" s="74"/>
      <c r="W833" s="75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</row>
    <row r="834" s="73" customFormat="1" spans="1:34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5"/>
      <c r="P834" s="74"/>
      <c r="Q834" s="75"/>
      <c r="R834" s="74"/>
      <c r="S834" s="74"/>
      <c r="T834" s="74"/>
      <c r="U834" s="75"/>
      <c r="V834" s="74"/>
      <c r="W834" s="75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</row>
    <row r="835" s="73" customFormat="1" spans="1:34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5"/>
      <c r="P835" s="74"/>
      <c r="Q835" s="75"/>
      <c r="R835" s="74"/>
      <c r="S835" s="74"/>
      <c r="T835" s="74"/>
      <c r="U835" s="75"/>
      <c r="V835" s="74"/>
      <c r="W835" s="75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</row>
    <row r="836" s="73" customFormat="1" spans="1:34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5"/>
      <c r="P836" s="74"/>
      <c r="Q836" s="75"/>
      <c r="R836" s="74"/>
      <c r="S836" s="74"/>
      <c r="T836" s="74"/>
      <c r="U836" s="75"/>
      <c r="V836" s="74"/>
      <c r="W836" s="75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</row>
    <row r="837" s="73" customFormat="1" spans="1:34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5"/>
      <c r="P837" s="74"/>
      <c r="Q837" s="75"/>
      <c r="R837" s="74"/>
      <c r="S837" s="74"/>
      <c r="T837" s="74"/>
      <c r="U837" s="75"/>
      <c r="V837" s="74"/>
      <c r="W837" s="75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</row>
    <row r="838" s="73" customFormat="1" spans="1:34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5"/>
      <c r="P838" s="74"/>
      <c r="Q838" s="75"/>
      <c r="R838" s="74"/>
      <c r="S838" s="74"/>
      <c r="T838" s="74"/>
      <c r="U838" s="75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</row>
    <row r="839" s="73" customFormat="1" spans="1:34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5"/>
      <c r="P839" s="74"/>
      <c r="Q839" s="75"/>
      <c r="R839" s="74"/>
      <c r="S839" s="74"/>
      <c r="T839" s="74"/>
      <c r="U839" s="75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</row>
    <row r="840" s="73" customFormat="1" spans="1:34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5"/>
      <c r="P840" s="74"/>
      <c r="Q840" s="75"/>
      <c r="R840" s="74"/>
      <c r="S840" s="74"/>
      <c r="T840" s="74"/>
      <c r="U840" s="75"/>
      <c r="V840" s="74"/>
      <c r="W840" s="75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</row>
    <row r="841" s="73" customFormat="1" spans="1:34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5"/>
      <c r="P841" s="74"/>
      <c r="Q841" s="75"/>
      <c r="R841" s="74"/>
      <c r="S841" s="74"/>
      <c r="T841" s="74"/>
      <c r="U841" s="75"/>
      <c r="V841" s="74"/>
      <c r="W841" s="75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</row>
    <row r="842" s="73" customFormat="1" spans="1:34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5"/>
      <c r="P842" s="74"/>
      <c r="Q842" s="75"/>
      <c r="R842" s="74"/>
      <c r="S842" s="74"/>
      <c r="T842" s="74"/>
      <c r="U842" s="75"/>
      <c r="V842" s="74"/>
      <c r="W842" s="75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</row>
    <row r="843" s="73" customFormat="1" spans="1:34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5"/>
      <c r="P843" s="74"/>
      <c r="Q843" s="75"/>
      <c r="R843" s="74"/>
      <c r="S843" s="74"/>
      <c r="T843" s="74"/>
      <c r="U843" s="75"/>
      <c r="V843" s="74"/>
      <c r="W843" s="75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</row>
    <row r="844" s="73" customFormat="1" spans="1:34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5"/>
      <c r="P844" s="74"/>
      <c r="Q844" s="75"/>
      <c r="R844" s="74"/>
      <c r="S844" s="74"/>
      <c r="T844" s="74"/>
      <c r="U844" s="75"/>
      <c r="V844" s="74"/>
      <c r="W844" s="75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</row>
    <row r="845" s="73" customFormat="1" spans="1:34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5"/>
      <c r="P845" s="74"/>
      <c r="Q845" s="75"/>
      <c r="R845" s="74"/>
      <c r="S845" s="74"/>
      <c r="T845" s="74"/>
      <c r="U845" s="75"/>
      <c r="V845" s="74"/>
      <c r="W845" s="75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</row>
    <row r="846" s="73" customFormat="1" spans="1:34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5"/>
      <c r="P846" s="74"/>
      <c r="Q846" s="75"/>
      <c r="R846" s="74"/>
      <c r="S846" s="74"/>
      <c r="T846" s="74"/>
      <c r="U846" s="75"/>
      <c r="V846" s="74"/>
      <c r="W846" s="75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</row>
    <row r="847" s="73" customFormat="1" spans="1:34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5"/>
      <c r="P847" s="74"/>
      <c r="Q847" s="75"/>
      <c r="R847" s="74"/>
      <c r="S847" s="74"/>
      <c r="T847" s="74"/>
      <c r="U847" s="75"/>
      <c r="V847" s="74"/>
      <c r="W847" s="75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</row>
    <row r="848" s="73" customFormat="1" spans="1:34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5"/>
      <c r="P848" s="74"/>
      <c r="Q848" s="75"/>
      <c r="R848" s="74"/>
      <c r="S848" s="74"/>
      <c r="T848" s="74"/>
      <c r="U848" s="75"/>
      <c r="V848" s="74"/>
      <c r="W848" s="75"/>
      <c r="X848" s="74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</row>
    <row r="849" s="73" customFormat="1" spans="1:34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5"/>
      <c r="P849" s="74"/>
      <c r="Q849" s="75"/>
      <c r="R849" s="74"/>
      <c r="S849" s="74"/>
      <c r="T849" s="74"/>
      <c r="U849" s="75"/>
      <c r="V849" s="74"/>
      <c r="W849" s="75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</row>
    <row r="850" s="73" customFormat="1" spans="1:34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5"/>
      <c r="P850" s="74"/>
      <c r="Q850" s="75"/>
      <c r="R850" s="74"/>
      <c r="S850" s="74"/>
      <c r="T850" s="74"/>
      <c r="U850" s="75"/>
      <c r="V850" s="74"/>
      <c r="W850" s="75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</row>
    <row r="851" s="73" customFormat="1" spans="1:34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5"/>
      <c r="P851" s="74"/>
      <c r="Q851" s="75"/>
      <c r="R851" s="74"/>
      <c r="S851" s="74"/>
      <c r="T851" s="74"/>
      <c r="U851" s="75"/>
      <c r="V851" s="74"/>
      <c r="W851" s="75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</row>
    <row r="852" s="73" customFormat="1" spans="1:34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5"/>
      <c r="P852" s="74"/>
      <c r="Q852" s="75"/>
      <c r="R852" s="74"/>
      <c r="S852" s="74"/>
      <c r="T852" s="74"/>
      <c r="U852" s="75"/>
      <c r="V852" s="74"/>
      <c r="W852" s="75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</row>
    <row r="853" s="73" customFormat="1" spans="1:34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5"/>
      <c r="P853" s="74"/>
      <c r="Q853" s="75"/>
      <c r="R853" s="74"/>
      <c r="S853" s="74"/>
      <c r="T853" s="74"/>
      <c r="U853" s="75"/>
      <c r="V853" s="74"/>
      <c r="W853" s="75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</row>
    <row r="854" s="73" customFormat="1" spans="1:34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5"/>
      <c r="P854" s="74"/>
      <c r="Q854" s="75"/>
      <c r="R854" s="74"/>
      <c r="S854" s="74"/>
      <c r="T854" s="74"/>
      <c r="U854" s="75"/>
      <c r="V854" s="74"/>
      <c r="W854" s="75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</row>
    <row r="855" s="73" customFormat="1" spans="1:34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5"/>
      <c r="P855" s="74"/>
      <c r="Q855" s="75"/>
      <c r="R855" s="74"/>
      <c r="S855" s="74"/>
      <c r="T855" s="74"/>
      <c r="U855" s="75"/>
      <c r="V855" s="74"/>
      <c r="W855" s="75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</row>
    <row r="856" s="73" customFormat="1" spans="1:34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5"/>
      <c r="P856" s="74"/>
      <c r="Q856" s="75"/>
      <c r="R856" s="74"/>
      <c r="S856" s="74"/>
      <c r="T856" s="74"/>
      <c r="U856" s="75"/>
      <c r="V856" s="74"/>
      <c r="W856" s="75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</row>
    <row r="857" s="73" customFormat="1" spans="1:34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5"/>
      <c r="P857" s="74"/>
      <c r="Q857" s="75"/>
      <c r="R857" s="74"/>
      <c r="S857" s="74"/>
      <c r="T857" s="74"/>
      <c r="U857" s="75"/>
      <c r="V857" s="74"/>
      <c r="W857" s="75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</row>
    <row r="858" s="73" customFormat="1" spans="1:34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5"/>
      <c r="P858" s="74"/>
      <c r="Q858" s="75"/>
      <c r="R858" s="74"/>
      <c r="S858" s="74"/>
      <c r="T858" s="74"/>
      <c r="U858" s="75"/>
      <c r="V858" s="74"/>
      <c r="W858" s="75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</row>
    <row r="859" s="73" customFormat="1" spans="1:34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5"/>
      <c r="P859" s="74"/>
      <c r="Q859" s="75"/>
      <c r="R859" s="74"/>
      <c r="S859" s="74"/>
      <c r="T859" s="74"/>
      <c r="U859" s="75"/>
      <c r="V859" s="74"/>
      <c r="W859" s="75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</row>
    <row r="860" s="73" customFormat="1" spans="1:34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5"/>
      <c r="P860" s="74"/>
      <c r="Q860" s="75"/>
      <c r="R860" s="74"/>
      <c r="S860" s="74"/>
      <c r="T860" s="74"/>
      <c r="U860" s="75"/>
      <c r="V860" s="74"/>
      <c r="W860" s="75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</row>
    <row r="861" s="73" customFormat="1" spans="1:34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5"/>
      <c r="P861" s="74"/>
      <c r="Q861" s="75"/>
      <c r="R861" s="74"/>
      <c r="S861" s="74"/>
      <c r="T861" s="74"/>
      <c r="U861" s="75"/>
      <c r="V861" s="74"/>
      <c r="W861" s="75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</row>
    <row r="862" s="73" customFormat="1" spans="1:34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5"/>
      <c r="P862" s="74"/>
      <c r="Q862" s="75"/>
      <c r="R862" s="74"/>
      <c r="S862" s="74"/>
      <c r="T862" s="74"/>
      <c r="U862" s="75"/>
      <c r="V862" s="74"/>
      <c r="W862" s="75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</row>
    <row r="863" s="73" customFormat="1" spans="1:34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5"/>
      <c r="P863" s="74"/>
      <c r="Q863" s="75"/>
      <c r="R863" s="74"/>
      <c r="S863" s="74"/>
      <c r="T863" s="74"/>
      <c r="U863" s="75"/>
      <c r="V863" s="74"/>
      <c r="W863" s="75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</row>
    <row r="864" s="73" customFormat="1" spans="1:34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5"/>
      <c r="P864" s="74"/>
      <c r="Q864" s="75"/>
      <c r="R864" s="74"/>
      <c r="S864" s="74"/>
      <c r="T864" s="74"/>
      <c r="U864" s="75"/>
      <c r="V864" s="74"/>
      <c r="W864" s="75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</row>
    <row r="865" s="73" customFormat="1" spans="1:34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5"/>
      <c r="P865" s="74"/>
      <c r="Q865" s="75"/>
      <c r="R865" s="74"/>
      <c r="S865" s="74"/>
      <c r="T865" s="74"/>
      <c r="U865" s="75"/>
      <c r="V865" s="74"/>
      <c r="W865" s="75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</row>
    <row r="866" s="73" customFormat="1" spans="1:34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5"/>
      <c r="P866" s="74"/>
      <c r="Q866" s="75"/>
      <c r="R866" s="74"/>
      <c r="S866" s="74"/>
      <c r="T866" s="74"/>
      <c r="U866" s="75"/>
      <c r="V866" s="74"/>
      <c r="W866" s="75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</row>
    <row r="867" s="73" customFormat="1" spans="1:34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5"/>
      <c r="P867" s="74"/>
      <c r="Q867" s="75"/>
      <c r="R867" s="74"/>
      <c r="S867" s="74"/>
      <c r="T867" s="74"/>
      <c r="U867" s="75"/>
      <c r="V867" s="74"/>
      <c r="W867" s="75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</row>
    <row r="868" s="73" customFormat="1" spans="1:34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5"/>
      <c r="P868" s="74"/>
      <c r="Q868" s="75"/>
      <c r="R868" s="74"/>
      <c r="S868" s="74"/>
      <c r="T868" s="74"/>
      <c r="U868" s="75"/>
      <c r="V868" s="74"/>
      <c r="W868" s="75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</row>
    <row r="869" s="73" customFormat="1" spans="1:34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5"/>
      <c r="P869" s="74"/>
      <c r="Q869" s="75"/>
      <c r="R869" s="74"/>
      <c r="S869" s="74"/>
      <c r="T869" s="74"/>
      <c r="U869" s="75"/>
      <c r="V869" s="74"/>
      <c r="W869" s="75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</row>
    <row r="870" s="73" customFormat="1" spans="1:34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5"/>
      <c r="P870" s="74"/>
      <c r="Q870" s="75"/>
      <c r="R870" s="74"/>
      <c r="S870" s="74"/>
      <c r="T870" s="74"/>
      <c r="U870" s="75"/>
      <c r="V870" s="74"/>
      <c r="W870" s="75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</row>
    <row r="871" s="73" customFormat="1" spans="1:34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5"/>
      <c r="P871" s="74"/>
      <c r="Q871" s="75"/>
      <c r="R871" s="74"/>
      <c r="S871" s="74"/>
      <c r="T871" s="74"/>
      <c r="U871" s="75"/>
      <c r="V871" s="74"/>
      <c r="W871" s="75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</row>
    <row r="872" s="73" customFormat="1" spans="1:34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5"/>
      <c r="P872" s="74"/>
      <c r="Q872" s="75"/>
      <c r="R872" s="74"/>
      <c r="S872" s="74"/>
      <c r="T872" s="74"/>
      <c r="U872" s="75"/>
      <c r="V872" s="74"/>
      <c r="W872" s="75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</row>
    <row r="873" s="73" customFormat="1" spans="1:34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5"/>
      <c r="P873" s="74"/>
      <c r="Q873" s="75"/>
      <c r="R873" s="74"/>
      <c r="S873" s="74"/>
      <c r="T873" s="74"/>
      <c r="U873" s="75"/>
      <c r="V873" s="74"/>
      <c r="W873" s="75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</row>
    <row r="874" s="73" customFormat="1" spans="1:34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5"/>
      <c r="P874" s="74"/>
      <c r="Q874" s="75"/>
      <c r="R874" s="74"/>
      <c r="S874" s="74"/>
      <c r="T874" s="74"/>
      <c r="U874" s="75"/>
      <c r="V874" s="74"/>
      <c r="W874" s="75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</row>
    <row r="875" s="73" customFormat="1" spans="1:34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5"/>
      <c r="P875" s="74"/>
      <c r="Q875" s="75"/>
      <c r="R875" s="74"/>
      <c r="S875" s="74"/>
      <c r="T875" s="74"/>
      <c r="U875" s="75"/>
      <c r="V875" s="74"/>
      <c r="W875" s="75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</row>
    <row r="876" s="73" customFormat="1" spans="1:34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5"/>
      <c r="P876" s="74"/>
      <c r="Q876" s="75"/>
      <c r="R876" s="74"/>
      <c r="S876" s="74"/>
      <c r="T876" s="74"/>
      <c r="U876" s="75"/>
      <c r="V876" s="74"/>
      <c r="W876" s="75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</row>
    <row r="877" s="73" customFormat="1" spans="1:34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5"/>
      <c r="P877" s="74"/>
      <c r="Q877" s="75"/>
      <c r="R877" s="74"/>
      <c r="S877" s="74"/>
      <c r="T877" s="74"/>
      <c r="U877" s="75"/>
      <c r="V877" s="74"/>
      <c r="W877" s="75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</row>
    <row r="878" s="73" customFormat="1" spans="1:34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5"/>
      <c r="P878" s="74"/>
      <c r="Q878" s="75"/>
      <c r="R878" s="74"/>
      <c r="S878" s="74"/>
      <c r="T878" s="74"/>
      <c r="U878" s="75"/>
      <c r="V878" s="74"/>
      <c r="W878" s="75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</row>
    <row r="879" s="73" customFormat="1" spans="1:34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5"/>
      <c r="P879" s="74"/>
      <c r="Q879" s="75"/>
      <c r="R879" s="74"/>
      <c r="S879" s="74"/>
      <c r="T879" s="74"/>
      <c r="U879" s="75"/>
      <c r="V879" s="74"/>
      <c r="W879" s="75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</row>
    <row r="880" s="73" customFormat="1" spans="1:34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5"/>
      <c r="P880" s="74"/>
      <c r="Q880" s="75"/>
      <c r="R880" s="74"/>
      <c r="S880" s="74"/>
      <c r="T880" s="74"/>
      <c r="U880" s="75"/>
      <c r="V880" s="74"/>
      <c r="W880" s="75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</row>
    <row r="881" s="73" customFormat="1" spans="1:34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5"/>
      <c r="P881" s="74"/>
      <c r="Q881" s="75"/>
      <c r="R881" s="74"/>
      <c r="S881" s="74"/>
      <c r="T881" s="74"/>
      <c r="U881" s="75"/>
      <c r="V881" s="74"/>
      <c r="W881" s="75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</row>
    <row r="882" s="73" customFormat="1" spans="1:34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5"/>
      <c r="P882" s="74"/>
      <c r="Q882" s="75"/>
      <c r="R882" s="74"/>
      <c r="S882" s="74"/>
      <c r="T882" s="74"/>
      <c r="U882" s="75"/>
      <c r="V882" s="74"/>
      <c r="W882" s="75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</row>
    <row r="883" s="73" customFormat="1" spans="1:34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5"/>
      <c r="P883" s="74"/>
      <c r="Q883" s="75"/>
      <c r="R883" s="74"/>
      <c r="S883" s="74"/>
      <c r="T883" s="74"/>
      <c r="U883" s="75"/>
      <c r="V883" s="74"/>
      <c r="W883" s="75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</row>
    <row r="884" s="73" customFormat="1" spans="1:34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5"/>
      <c r="P884" s="74"/>
      <c r="Q884" s="75"/>
      <c r="R884" s="74"/>
      <c r="S884" s="74"/>
      <c r="T884" s="74"/>
      <c r="U884" s="75"/>
      <c r="V884" s="74"/>
      <c r="W884" s="75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</row>
    <row r="885" s="73" customFormat="1" spans="1:34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5"/>
      <c r="P885" s="74"/>
      <c r="Q885" s="75"/>
      <c r="R885" s="74"/>
      <c r="S885" s="74"/>
      <c r="T885" s="74"/>
      <c r="U885" s="75"/>
      <c r="V885" s="74"/>
      <c r="W885" s="75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</row>
    <row r="886" s="73" customFormat="1" spans="1:34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5"/>
      <c r="P886" s="74"/>
      <c r="Q886" s="75"/>
      <c r="R886" s="74"/>
      <c r="S886" s="74"/>
      <c r="T886" s="74"/>
      <c r="U886" s="75"/>
      <c r="V886" s="74"/>
      <c r="W886" s="75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</row>
    <row r="887" s="73" customFormat="1" spans="1:34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5"/>
      <c r="P887" s="74"/>
      <c r="Q887" s="75"/>
      <c r="R887" s="74"/>
      <c r="S887" s="74"/>
      <c r="T887" s="74"/>
      <c r="U887" s="75"/>
      <c r="V887" s="74"/>
      <c r="W887" s="75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</row>
    <row r="888" s="73" customFormat="1" spans="1:34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5"/>
      <c r="P888" s="74"/>
      <c r="Q888" s="75"/>
      <c r="R888" s="74"/>
      <c r="S888" s="74"/>
      <c r="T888" s="74"/>
      <c r="U888" s="75"/>
      <c r="V888" s="74"/>
      <c r="W888" s="75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</row>
    <row r="889" s="73" customFormat="1" spans="1:34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5"/>
      <c r="P889" s="74"/>
      <c r="Q889" s="75"/>
      <c r="R889" s="74"/>
      <c r="S889" s="74"/>
      <c r="T889" s="74"/>
      <c r="U889" s="75"/>
      <c r="V889" s="74"/>
      <c r="W889" s="75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</row>
    <row r="890" s="73" customFormat="1" spans="1:34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5"/>
      <c r="P890" s="74"/>
      <c r="Q890" s="75"/>
      <c r="R890" s="74"/>
      <c r="S890" s="74"/>
      <c r="T890" s="74"/>
      <c r="U890" s="75"/>
      <c r="V890" s="74"/>
      <c r="W890" s="75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</row>
    <row r="891" s="73" customFormat="1" spans="1:34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5"/>
      <c r="P891" s="74"/>
      <c r="Q891" s="75"/>
      <c r="R891" s="74"/>
      <c r="S891" s="74"/>
      <c r="T891" s="74"/>
      <c r="U891" s="75"/>
      <c r="V891" s="74"/>
      <c r="W891" s="75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</row>
    <row r="892" s="73" customFormat="1" spans="1:34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5"/>
      <c r="P892" s="74"/>
      <c r="Q892" s="75"/>
      <c r="R892" s="74"/>
      <c r="S892" s="74"/>
      <c r="T892" s="74"/>
      <c r="U892" s="75"/>
      <c r="V892" s="74"/>
      <c r="W892" s="75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</row>
    <row r="893" s="73" customFormat="1" spans="1:34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5"/>
      <c r="P893" s="74"/>
      <c r="Q893" s="75"/>
      <c r="R893" s="74"/>
      <c r="S893" s="74"/>
      <c r="T893" s="74"/>
      <c r="U893" s="75"/>
      <c r="V893" s="74"/>
      <c r="W893" s="75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</row>
    <row r="894" s="73" customFormat="1" spans="1:34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5"/>
      <c r="P894" s="74"/>
      <c r="Q894" s="75"/>
      <c r="R894" s="74"/>
      <c r="S894" s="74"/>
      <c r="T894" s="74"/>
      <c r="U894" s="75"/>
      <c r="V894" s="74"/>
      <c r="W894" s="75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</row>
    <row r="895" s="73" customFormat="1" spans="1:34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5"/>
      <c r="P895" s="74"/>
      <c r="Q895" s="75"/>
      <c r="R895" s="74"/>
      <c r="S895" s="74"/>
      <c r="T895" s="74"/>
      <c r="U895" s="75"/>
      <c r="V895" s="74"/>
      <c r="W895" s="75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</row>
    <row r="896" s="73" customFormat="1" spans="1:34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5"/>
      <c r="P896" s="74"/>
      <c r="Q896" s="75"/>
      <c r="R896" s="74"/>
      <c r="S896" s="74"/>
      <c r="T896" s="74"/>
      <c r="U896" s="75"/>
      <c r="V896" s="74"/>
      <c r="W896" s="75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</row>
    <row r="897" s="73" customFormat="1" spans="1:34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5"/>
      <c r="P897" s="74"/>
      <c r="Q897" s="75"/>
      <c r="R897" s="74"/>
      <c r="S897" s="74"/>
      <c r="T897" s="74"/>
      <c r="U897" s="75"/>
      <c r="V897" s="74"/>
      <c r="W897" s="75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</row>
    <row r="898" s="73" customFormat="1" spans="1:34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5"/>
      <c r="P898" s="74"/>
      <c r="Q898" s="75"/>
      <c r="R898" s="74"/>
      <c r="S898" s="74"/>
      <c r="T898" s="74"/>
      <c r="U898" s="75"/>
      <c r="V898" s="74"/>
      <c r="W898" s="75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</row>
    <row r="899" s="73" customFormat="1" spans="1:34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5"/>
      <c r="P899" s="74"/>
      <c r="Q899" s="75"/>
      <c r="R899" s="74"/>
      <c r="S899" s="74"/>
      <c r="T899" s="74"/>
      <c r="U899" s="75"/>
      <c r="V899" s="74"/>
      <c r="W899" s="75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</row>
    <row r="900" s="73" customFormat="1" spans="1:34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5"/>
      <c r="P900" s="74"/>
      <c r="Q900" s="75"/>
      <c r="R900" s="74"/>
      <c r="S900" s="74"/>
      <c r="T900" s="74"/>
      <c r="U900" s="75"/>
      <c r="V900" s="74"/>
      <c r="W900" s="75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</row>
    <row r="901" s="73" customFormat="1" spans="1:34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5"/>
      <c r="P901" s="74"/>
      <c r="Q901" s="75"/>
      <c r="R901" s="74"/>
      <c r="S901" s="74"/>
      <c r="T901" s="74"/>
      <c r="U901" s="75"/>
      <c r="V901" s="74"/>
      <c r="W901" s="75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</row>
    <row r="902" s="73" customFormat="1" spans="1:34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5"/>
      <c r="P902" s="74"/>
      <c r="Q902" s="75"/>
      <c r="R902" s="74"/>
      <c r="S902" s="74"/>
      <c r="T902" s="74"/>
      <c r="U902" s="75"/>
      <c r="V902" s="74"/>
      <c r="W902" s="75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</row>
    <row r="903" s="73" customFormat="1" spans="1:34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5"/>
      <c r="P903" s="74"/>
      <c r="Q903" s="75"/>
      <c r="R903" s="74"/>
      <c r="S903" s="74"/>
      <c r="T903" s="74"/>
      <c r="U903" s="75"/>
      <c r="V903" s="74"/>
      <c r="W903" s="75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</row>
    <row r="904" s="73" customFormat="1" spans="1:34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5"/>
      <c r="P904" s="74"/>
      <c r="Q904" s="75"/>
      <c r="R904" s="74"/>
      <c r="S904" s="74"/>
      <c r="T904" s="74"/>
      <c r="U904" s="75"/>
      <c r="V904" s="74"/>
      <c r="W904" s="75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</row>
    <row r="905" s="73" customFormat="1" spans="1:34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5"/>
      <c r="P905" s="74"/>
      <c r="Q905" s="75"/>
      <c r="R905" s="74"/>
      <c r="S905" s="74"/>
      <c r="T905" s="74"/>
      <c r="U905" s="75"/>
      <c r="V905" s="74"/>
      <c r="W905" s="75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</row>
    <row r="906" s="73" customFormat="1" spans="1:34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5"/>
      <c r="P906" s="74"/>
      <c r="Q906" s="75"/>
      <c r="R906" s="74"/>
      <c r="S906" s="74"/>
      <c r="T906" s="74"/>
      <c r="U906" s="75"/>
      <c r="V906" s="74"/>
      <c r="W906" s="75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</row>
    <row r="907" s="73" customFormat="1" spans="1:34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5"/>
      <c r="P907" s="74"/>
      <c r="Q907" s="75"/>
      <c r="R907" s="74"/>
      <c r="S907" s="74"/>
      <c r="T907" s="74"/>
      <c r="U907" s="75"/>
      <c r="V907" s="74"/>
      <c r="W907" s="75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</row>
    <row r="908" s="73" customFormat="1" spans="1:34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5"/>
      <c r="P908" s="74"/>
      <c r="Q908" s="75"/>
      <c r="R908" s="74"/>
      <c r="S908" s="74"/>
      <c r="T908" s="74"/>
      <c r="U908" s="75"/>
      <c r="V908" s="74"/>
      <c r="W908" s="75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</row>
    <row r="909" s="73" customFormat="1" spans="1:34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5"/>
      <c r="P909" s="74"/>
      <c r="Q909" s="75"/>
      <c r="R909" s="74"/>
      <c r="S909" s="74"/>
      <c r="T909" s="74"/>
      <c r="U909" s="75"/>
      <c r="V909" s="74"/>
      <c r="W909" s="75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</row>
    <row r="910" s="73" customFormat="1" spans="1:34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5"/>
      <c r="P910" s="74"/>
      <c r="Q910" s="75"/>
      <c r="R910" s="74"/>
      <c r="S910" s="74"/>
      <c r="T910" s="74"/>
      <c r="U910" s="75"/>
      <c r="V910" s="74"/>
      <c r="W910" s="75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</row>
    <row r="911" s="73" customFormat="1" spans="1:34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5"/>
      <c r="P911" s="74"/>
      <c r="Q911" s="75"/>
      <c r="R911" s="74"/>
      <c r="S911" s="74"/>
      <c r="T911" s="74"/>
      <c r="U911" s="75"/>
      <c r="V911" s="74"/>
      <c r="W911" s="75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</row>
    <row r="912" s="73" customFormat="1" spans="1:34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5"/>
      <c r="P912" s="74"/>
      <c r="Q912" s="75"/>
      <c r="R912" s="74"/>
      <c r="S912" s="74"/>
      <c r="T912" s="74"/>
      <c r="U912" s="75"/>
      <c r="V912" s="74"/>
      <c r="W912" s="75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</row>
    <row r="913" s="73" customFormat="1" spans="1:34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5"/>
      <c r="P913" s="74"/>
      <c r="Q913" s="75"/>
      <c r="R913" s="74"/>
      <c r="S913" s="74"/>
      <c r="T913" s="74"/>
      <c r="U913" s="75"/>
      <c r="V913" s="74"/>
      <c r="W913" s="75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</row>
    <row r="914" s="73" customFormat="1" spans="1:34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5"/>
      <c r="P914" s="74"/>
      <c r="Q914" s="75"/>
      <c r="R914" s="74"/>
      <c r="S914" s="74"/>
      <c r="T914" s="74"/>
      <c r="U914" s="75"/>
      <c r="V914" s="74"/>
      <c r="W914" s="75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</row>
    <row r="915" s="73" customFormat="1" spans="1:34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5"/>
      <c r="P915" s="74"/>
      <c r="Q915" s="75"/>
      <c r="R915" s="74"/>
      <c r="S915" s="74"/>
      <c r="T915" s="74"/>
      <c r="U915" s="75"/>
      <c r="V915" s="74"/>
      <c r="W915" s="75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</row>
    <row r="916" s="73" customFormat="1" spans="1:34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5"/>
      <c r="P916" s="74"/>
      <c r="Q916" s="75"/>
      <c r="R916" s="74"/>
      <c r="S916" s="74"/>
      <c r="T916" s="74"/>
      <c r="U916" s="75"/>
      <c r="V916" s="74"/>
      <c r="W916" s="75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</row>
    <row r="917" s="73" customFormat="1" spans="1:34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5"/>
      <c r="P917" s="74"/>
      <c r="Q917" s="75"/>
      <c r="R917" s="74"/>
      <c r="S917" s="74"/>
      <c r="T917" s="74"/>
      <c r="U917" s="75"/>
      <c r="V917" s="74"/>
      <c r="W917" s="75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</row>
    <row r="918" s="73" customFormat="1" spans="1:34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5"/>
      <c r="P918" s="74"/>
      <c r="Q918" s="75"/>
      <c r="R918" s="74"/>
      <c r="S918" s="74"/>
      <c r="T918" s="74"/>
      <c r="U918" s="75"/>
      <c r="V918" s="74"/>
      <c r="W918" s="75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</row>
    <row r="919" s="73" customFormat="1" spans="1:34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5"/>
      <c r="P919" s="74"/>
      <c r="Q919" s="75"/>
      <c r="R919" s="74"/>
      <c r="S919" s="74"/>
      <c r="T919" s="74"/>
      <c r="U919" s="75"/>
      <c r="V919" s="74"/>
      <c r="W919" s="75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</row>
    <row r="920" s="73" customFormat="1" spans="1:34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5"/>
      <c r="P920" s="74"/>
      <c r="Q920" s="75"/>
      <c r="R920" s="74"/>
      <c r="S920" s="74"/>
      <c r="T920" s="74"/>
      <c r="U920" s="75"/>
      <c r="V920" s="74"/>
      <c r="W920" s="75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</row>
    <row r="921" s="73" customFormat="1" spans="1:34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5"/>
      <c r="P921" s="74"/>
      <c r="Q921" s="75"/>
      <c r="R921" s="74"/>
      <c r="S921" s="74"/>
      <c r="T921" s="74"/>
      <c r="U921" s="75"/>
      <c r="V921" s="74"/>
      <c r="W921" s="75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</row>
    <row r="922" s="73" customFormat="1" spans="1:34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5"/>
      <c r="P922" s="74"/>
      <c r="Q922" s="75"/>
      <c r="R922" s="74"/>
      <c r="S922" s="74"/>
      <c r="T922" s="74"/>
      <c r="U922" s="75"/>
      <c r="V922" s="74"/>
      <c r="W922" s="75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</row>
    <row r="923" s="73" customFormat="1" spans="1:34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5"/>
      <c r="P923" s="74"/>
      <c r="Q923" s="75"/>
      <c r="R923" s="74"/>
      <c r="S923" s="74"/>
      <c r="T923" s="74"/>
      <c r="U923" s="75"/>
      <c r="V923" s="74"/>
      <c r="W923" s="75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</row>
    <row r="924" s="73" customFormat="1" spans="1:34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5"/>
      <c r="P924" s="74"/>
      <c r="Q924" s="75"/>
      <c r="R924" s="74"/>
      <c r="S924" s="74"/>
      <c r="T924" s="74"/>
      <c r="U924" s="75"/>
      <c r="V924" s="74"/>
      <c r="W924" s="75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</row>
    <row r="925" s="73" customFormat="1" spans="1:34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5"/>
      <c r="P925" s="74"/>
      <c r="Q925" s="75"/>
      <c r="R925" s="74"/>
      <c r="S925" s="74"/>
      <c r="T925" s="74"/>
      <c r="U925" s="75"/>
      <c r="V925" s="74"/>
      <c r="W925" s="75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</row>
    <row r="926" s="73" customFormat="1" spans="1:34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5"/>
      <c r="P926" s="74"/>
      <c r="Q926" s="75"/>
      <c r="R926" s="74"/>
      <c r="S926" s="74"/>
      <c r="T926" s="74"/>
      <c r="U926" s="75"/>
      <c r="V926" s="74"/>
      <c r="W926" s="75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</row>
    <row r="927" s="73" customFormat="1" spans="1:34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5"/>
      <c r="P927" s="74"/>
      <c r="Q927" s="75"/>
      <c r="R927" s="74"/>
      <c r="S927" s="74"/>
      <c r="T927" s="74"/>
      <c r="U927" s="75"/>
      <c r="V927" s="74"/>
      <c r="W927" s="75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</row>
    <row r="928" s="73" customFormat="1" spans="1:34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5"/>
      <c r="P928" s="74"/>
      <c r="Q928" s="75"/>
      <c r="R928" s="74"/>
      <c r="S928" s="74"/>
      <c r="T928" s="74"/>
      <c r="U928" s="75"/>
      <c r="V928" s="74"/>
      <c r="W928" s="75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</row>
    <row r="929" s="73" customFormat="1" spans="1:34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5"/>
      <c r="P929" s="74"/>
      <c r="Q929" s="75"/>
      <c r="R929" s="74"/>
      <c r="S929" s="74"/>
      <c r="T929" s="74"/>
      <c r="U929" s="75"/>
      <c r="V929" s="74"/>
      <c r="W929" s="75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</row>
    <row r="930" s="73" customFormat="1" spans="1:34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5"/>
      <c r="P930" s="74"/>
      <c r="Q930" s="75"/>
      <c r="R930" s="74"/>
      <c r="S930" s="74"/>
      <c r="T930" s="74"/>
      <c r="U930" s="75"/>
      <c r="V930" s="74"/>
      <c r="W930" s="75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</row>
    <row r="931" s="73" customFormat="1" spans="1:34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5"/>
      <c r="P931" s="74"/>
      <c r="Q931" s="75"/>
      <c r="R931" s="74"/>
      <c r="S931" s="74"/>
      <c r="T931" s="74"/>
      <c r="U931" s="75"/>
      <c r="V931" s="74"/>
      <c r="W931" s="75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</row>
    <row r="932" s="73" customFormat="1" spans="1:34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5"/>
      <c r="P932" s="74"/>
      <c r="Q932" s="75"/>
      <c r="R932" s="74"/>
      <c r="S932" s="74"/>
      <c r="T932" s="74"/>
      <c r="U932" s="75"/>
      <c r="V932" s="74"/>
      <c r="W932" s="75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</row>
    <row r="933" s="73" customFormat="1" spans="1:34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5"/>
      <c r="P933" s="74"/>
      <c r="Q933" s="75"/>
      <c r="R933" s="74"/>
      <c r="S933" s="74"/>
      <c r="T933" s="74"/>
      <c r="U933" s="75"/>
      <c r="V933" s="74"/>
      <c r="W933" s="75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</row>
    <row r="934" s="73" customFormat="1" spans="1:34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5"/>
      <c r="P934" s="74"/>
      <c r="Q934" s="75"/>
      <c r="R934" s="74"/>
      <c r="S934" s="74"/>
      <c r="T934" s="74"/>
      <c r="U934" s="75"/>
      <c r="V934" s="74"/>
      <c r="W934" s="75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</row>
    <row r="935" s="73" customFormat="1" spans="1:34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5"/>
      <c r="P935" s="74"/>
      <c r="Q935" s="75"/>
      <c r="R935" s="74"/>
      <c r="S935" s="74"/>
      <c r="T935" s="74"/>
      <c r="U935" s="75"/>
      <c r="V935" s="74"/>
      <c r="W935" s="75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</row>
    <row r="936" s="73" customFormat="1" spans="1:34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5"/>
      <c r="P936" s="74"/>
      <c r="Q936" s="75"/>
      <c r="R936" s="74"/>
      <c r="S936" s="74"/>
      <c r="T936" s="74"/>
      <c r="U936" s="75"/>
      <c r="V936" s="74"/>
      <c r="W936" s="75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</row>
    <row r="937" s="73" customFormat="1" spans="1:34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5"/>
      <c r="P937" s="74"/>
      <c r="Q937" s="75"/>
      <c r="R937" s="74"/>
      <c r="S937" s="74"/>
      <c r="T937" s="74"/>
      <c r="U937" s="75"/>
      <c r="V937" s="74"/>
      <c r="W937" s="75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</row>
    <row r="938" s="73" customFormat="1" spans="1:34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5"/>
      <c r="P938" s="74"/>
      <c r="Q938" s="75"/>
      <c r="R938" s="74"/>
      <c r="S938" s="74"/>
      <c r="T938" s="74"/>
      <c r="U938" s="75"/>
      <c r="V938" s="74"/>
      <c r="W938" s="75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</row>
    <row r="939" s="73" customFormat="1" spans="1:34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5"/>
      <c r="P939" s="74"/>
      <c r="Q939" s="75"/>
      <c r="R939" s="74"/>
      <c r="S939" s="74"/>
      <c r="T939" s="74"/>
      <c r="U939" s="75"/>
      <c r="V939" s="74"/>
      <c r="W939" s="75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</row>
    <row r="940" s="73" customFormat="1" spans="1:34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5"/>
      <c r="P940" s="74"/>
      <c r="Q940" s="75"/>
      <c r="R940" s="74"/>
      <c r="S940" s="74"/>
      <c r="T940" s="74"/>
      <c r="U940" s="75"/>
      <c r="V940" s="74"/>
      <c r="W940" s="75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</row>
    <row r="941" s="73" customFormat="1" spans="1:34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5"/>
      <c r="P941" s="74"/>
      <c r="Q941" s="75"/>
      <c r="R941" s="74"/>
      <c r="S941" s="74"/>
      <c r="T941" s="74"/>
      <c r="U941" s="75"/>
      <c r="V941" s="74"/>
      <c r="W941" s="75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</row>
    <row r="942" s="73" customFormat="1" spans="1:34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5"/>
      <c r="P942" s="74"/>
      <c r="Q942" s="75"/>
      <c r="R942" s="74"/>
      <c r="S942" s="74"/>
      <c r="T942" s="74"/>
      <c r="U942" s="75"/>
      <c r="V942" s="74"/>
      <c r="W942" s="75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</row>
    <row r="943" s="73" customFormat="1" spans="1:34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5"/>
      <c r="P943" s="74"/>
      <c r="Q943" s="75"/>
      <c r="R943" s="74"/>
      <c r="S943" s="74"/>
      <c r="T943" s="74"/>
      <c r="U943" s="75"/>
      <c r="V943" s="74"/>
      <c r="W943" s="75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</row>
    <row r="944" s="73" customFormat="1" spans="1:34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5"/>
      <c r="P944" s="74"/>
      <c r="Q944" s="75"/>
      <c r="R944" s="74"/>
      <c r="S944" s="74"/>
      <c r="T944" s="74"/>
      <c r="U944" s="75"/>
      <c r="V944" s="74"/>
      <c r="W944" s="75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</row>
    <row r="945" s="73" customFormat="1" spans="1:34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5"/>
      <c r="P945" s="74"/>
      <c r="Q945" s="75"/>
      <c r="R945" s="74"/>
      <c r="S945" s="74"/>
      <c r="T945" s="74"/>
      <c r="U945" s="75"/>
      <c r="V945" s="74"/>
      <c r="W945" s="75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</row>
    <row r="946" s="73" customFormat="1" spans="1:34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5"/>
      <c r="P946" s="74"/>
      <c r="Q946" s="75"/>
      <c r="R946" s="74"/>
      <c r="S946" s="74"/>
      <c r="T946" s="74"/>
      <c r="U946" s="75"/>
      <c r="V946" s="74"/>
      <c r="W946" s="75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</row>
    <row r="947" s="73" customFormat="1" spans="1:34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5"/>
      <c r="P947" s="74"/>
      <c r="Q947" s="75"/>
      <c r="R947" s="74"/>
      <c r="S947" s="74"/>
      <c r="T947" s="74"/>
      <c r="U947" s="75"/>
      <c r="V947" s="74"/>
      <c r="W947" s="75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</row>
    <row r="948" s="73" customFormat="1" spans="1:34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5"/>
      <c r="P948" s="74"/>
      <c r="Q948" s="75"/>
      <c r="R948" s="74"/>
      <c r="S948" s="74"/>
      <c r="T948" s="74"/>
      <c r="U948" s="75"/>
      <c r="V948" s="74"/>
      <c r="W948" s="75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</row>
    <row r="949" s="73" customFormat="1" spans="1:34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5"/>
      <c r="P949" s="74"/>
      <c r="Q949" s="75"/>
      <c r="R949" s="74"/>
      <c r="S949" s="74"/>
      <c r="T949" s="74"/>
      <c r="U949" s="75"/>
      <c r="V949" s="74"/>
      <c r="W949" s="75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</row>
    <row r="950" s="73" customFormat="1" spans="1:34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5"/>
      <c r="P950" s="74"/>
      <c r="Q950" s="75"/>
      <c r="R950" s="74"/>
      <c r="S950" s="74"/>
      <c r="T950" s="74"/>
      <c r="U950" s="75"/>
      <c r="V950" s="74"/>
      <c r="W950" s="75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</row>
    <row r="951" s="73" customFormat="1" spans="1:34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5"/>
      <c r="P951" s="74"/>
      <c r="Q951" s="75"/>
      <c r="R951" s="74"/>
      <c r="S951" s="74"/>
      <c r="T951" s="74"/>
      <c r="U951" s="75"/>
      <c r="V951" s="74"/>
      <c r="W951" s="75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</row>
    <row r="952" s="73" customFormat="1" spans="1:34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5"/>
      <c r="P952" s="74"/>
      <c r="Q952" s="75"/>
      <c r="R952" s="74"/>
      <c r="S952" s="74"/>
      <c r="T952" s="74"/>
      <c r="U952" s="75"/>
      <c r="V952" s="74"/>
      <c r="W952" s="75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</row>
    <row r="953" s="73" customFormat="1" spans="1:34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5"/>
      <c r="P953" s="74"/>
      <c r="Q953" s="75"/>
      <c r="R953" s="74"/>
      <c r="S953" s="74"/>
      <c r="T953" s="74"/>
      <c r="U953" s="75"/>
      <c r="V953" s="74"/>
      <c r="W953" s="75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</row>
    <row r="954" s="73" customFormat="1" spans="1:34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5"/>
      <c r="P954" s="74"/>
      <c r="Q954" s="75"/>
      <c r="R954" s="74"/>
      <c r="S954" s="74"/>
      <c r="T954" s="74"/>
      <c r="U954" s="75"/>
      <c r="V954" s="74"/>
      <c r="W954" s="75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</row>
    <row r="955" s="73" customFormat="1" spans="1:34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5"/>
      <c r="P955" s="74"/>
      <c r="Q955" s="75"/>
      <c r="R955" s="74"/>
      <c r="S955" s="74"/>
      <c r="T955" s="74"/>
      <c r="U955" s="75"/>
      <c r="V955" s="74"/>
      <c r="W955" s="75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</row>
    <row r="956" s="73" customFormat="1" spans="1:34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5"/>
      <c r="P956" s="74"/>
      <c r="Q956" s="75"/>
      <c r="R956" s="74"/>
      <c r="S956" s="74"/>
      <c r="T956" s="74"/>
      <c r="U956" s="75"/>
      <c r="V956" s="74"/>
      <c r="W956" s="75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</row>
    <row r="957" s="73" customFormat="1" spans="1:34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5"/>
      <c r="P957" s="74"/>
      <c r="Q957" s="75"/>
      <c r="R957" s="74"/>
      <c r="S957" s="74"/>
      <c r="T957" s="74"/>
      <c r="U957" s="75"/>
      <c r="V957" s="74"/>
      <c r="W957" s="75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</row>
    <row r="958" s="73" customFormat="1" spans="1:34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5"/>
      <c r="P958" s="74"/>
      <c r="Q958" s="75"/>
      <c r="R958" s="74"/>
      <c r="S958" s="74"/>
      <c r="T958" s="74"/>
      <c r="U958" s="75"/>
      <c r="V958" s="74"/>
      <c r="W958" s="75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</row>
    <row r="960" s="73" customFormat="1" spans="1:34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5"/>
      <c r="P960" s="74"/>
      <c r="Q960" s="75"/>
      <c r="R960" s="74"/>
      <c r="S960" s="74"/>
      <c r="T960" s="74"/>
      <c r="U960" s="75"/>
      <c r="V960" s="74"/>
      <c r="W960" s="75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</row>
    <row r="961" s="73" customFormat="1" spans="1:34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5"/>
      <c r="P961" s="74"/>
      <c r="Q961" s="75"/>
      <c r="R961" s="74"/>
      <c r="S961" s="74"/>
      <c r="T961" s="74"/>
      <c r="U961" s="75"/>
      <c r="V961" s="74"/>
      <c r="W961" s="75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</row>
    <row r="962" s="73" customFormat="1" spans="1:34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5"/>
      <c r="P962" s="74"/>
      <c r="Q962" s="75"/>
      <c r="R962" s="74"/>
      <c r="S962" s="74"/>
      <c r="T962" s="74"/>
      <c r="U962" s="75"/>
      <c r="V962" s="74"/>
      <c r="W962" s="75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</row>
    <row r="963" s="73" customFormat="1" spans="1:34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5"/>
      <c r="P963" s="74"/>
      <c r="Q963" s="75"/>
      <c r="R963" s="74"/>
      <c r="S963" s="74"/>
      <c r="T963" s="74"/>
      <c r="U963" s="75"/>
      <c r="V963" s="74"/>
      <c r="W963" s="75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</row>
    <row r="964" s="73" customFormat="1" spans="1:34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5"/>
      <c r="P964" s="74"/>
      <c r="Q964" s="75"/>
      <c r="R964" s="74"/>
      <c r="S964" s="74"/>
      <c r="T964" s="74"/>
      <c r="U964" s="75"/>
      <c r="V964" s="74"/>
      <c r="W964" s="75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</row>
    <row r="965" s="73" customFormat="1" spans="1:34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5"/>
      <c r="P965" s="74"/>
      <c r="Q965" s="75"/>
      <c r="R965" s="74"/>
      <c r="S965" s="74"/>
      <c r="T965" s="74"/>
      <c r="U965" s="75"/>
      <c r="V965" s="74"/>
      <c r="W965" s="75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</row>
    <row r="966" s="73" customFormat="1" spans="1:34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5"/>
      <c r="P966" s="74"/>
      <c r="Q966" s="75"/>
      <c r="R966" s="74"/>
      <c r="S966" s="74"/>
      <c r="T966" s="74"/>
      <c r="U966" s="75"/>
      <c r="V966" s="74"/>
      <c r="W966" s="75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</row>
    <row r="967" s="73" customFormat="1" spans="1:34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5"/>
      <c r="P967" s="74"/>
      <c r="Q967" s="75"/>
      <c r="R967" s="74"/>
      <c r="S967" s="74"/>
      <c r="T967" s="74"/>
      <c r="U967" s="75"/>
      <c r="V967" s="74"/>
      <c r="W967" s="75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</row>
    <row r="968" s="73" customFormat="1" spans="1:34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5"/>
      <c r="P968" s="74"/>
      <c r="Q968" s="75"/>
      <c r="R968" s="74"/>
      <c r="S968" s="74"/>
      <c r="T968" s="74"/>
      <c r="U968" s="75"/>
      <c r="V968" s="74"/>
      <c r="W968" s="75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</row>
    <row r="969" s="73" customFormat="1" spans="1:34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5"/>
      <c r="P969" s="74"/>
      <c r="Q969" s="75"/>
      <c r="R969" s="74"/>
      <c r="S969" s="74"/>
      <c r="T969" s="74"/>
      <c r="U969" s="75"/>
      <c r="V969" s="74"/>
      <c r="W969" s="75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</row>
    <row r="970" s="73" customFormat="1" spans="1:34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5"/>
      <c r="P970" s="74"/>
      <c r="Q970" s="75"/>
      <c r="R970" s="74"/>
      <c r="S970" s="74"/>
      <c r="T970" s="74"/>
      <c r="U970" s="75"/>
      <c r="V970" s="74"/>
      <c r="W970" s="75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</row>
    <row r="971" s="73" customFormat="1" spans="1:34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5"/>
      <c r="P971" s="74"/>
      <c r="Q971" s="75"/>
      <c r="R971" s="74"/>
      <c r="S971" s="74"/>
      <c r="T971" s="74"/>
      <c r="U971" s="75"/>
      <c r="V971" s="74"/>
      <c r="W971" s="75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</row>
    <row r="972" s="73" customFormat="1" spans="1:34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5"/>
      <c r="P972" s="74"/>
      <c r="Q972" s="75"/>
      <c r="R972" s="74"/>
      <c r="S972" s="74"/>
      <c r="T972" s="74"/>
      <c r="U972" s="75"/>
      <c r="V972" s="74"/>
      <c r="W972" s="75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</row>
    <row r="973" s="73" customFormat="1" spans="1:34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5"/>
      <c r="P973" s="74"/>
      <c r="Q973" s="75"/>
      <c r="R973" s="74"/>
      <c r="S973" s="74"/>
      <c r="T973" s="74"/>
      <c r="U973" s="75"/>
      <c r="V973" s="74"/>
      <c r="W973" s="75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</row>
    <row r="974" s="73" customFormat="1" spans="1:34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5"/>
      <c r="P974" s="74"/>
      <c r="Q974" s="75"/>
      <c r="R974" s="74"/>
      <c r="S974" s="74"/>
      <c r="T974" s="74"/>
      <c r="U974" s="75"/>
      <c r="V974" s="74"/>
      <c r="W974" s="75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</row>
    <row r="975" s="73" customFormat="1" spans="1:34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5"/>
      <c r="P975" s="74"/>
      <c r="Q975" s="75"/>
      <c r="R975" s="74"/>
      <c r="S975" s="74"/>
      <c r="T975" s="74"/>
      <c r="U975" s="75"/>
      <c r="V975" s="74"/>
      <c r="W975" s="75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</row>
    <row r="976" s="73" customFormat="1" spans="1:34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5"/>
      <c r="P976" s="74"/>
      <c r="Q976" s="75"/>
      <c r="R976" s="74"/>
      <c r="S976" s="74"/>
      <c r="T976" s="74"/>
      <c r="U976" s="75"/>
      <c r="V976" s="74"/>
      <c r="W976" s="75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</row>
    <row r="977" s="73" customFormat="1" spans="1:34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5"/>
      <c r="P977" s="74"/>
      <c r="Q977" s="75"/>
      <c r="R977" s="74"/>
      <c r="S977" s="74"/>
      <c r="T977" s="74"/>
      <c r="U977" s="75"/>
      <c r="V977" s="74"/>
      <c r="W977" s="75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</row>
    <row r="978" s="73" customFormat="1" spans="1:34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5"/>
      <c r="P978" s="74"/>
      <c r="Q978" s="75"/>
      <c r="R978" s="74"/>
      <c r="S978" s="74"/>
      <c r="T978" s="74"/>
      <c r="U978" s="75"/>
      <c r="V978" s="74"/>
      <c r="W978" s="75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</row>
    <row r="979" s="73" customFormat="1" spans="1:34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5"/>
      <c r="P979" s="74"/>
      <c r="Q979" s="75"/>
      <c r="R979" s="74"/>
      <c r="S979" s="74"/>
      <c r="T979" s="74"/>
      <c r="U979" s="75"/>
      <c r="V979" s="74"/>
      <c r="W979" s="75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</row>
    <row r="980" s="73" customFormat="1" spans="1:34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5"/>
      <c r="P980" s="74"/>
      <c r="Q980" s="75"/>
      <c r="R980" s="74"/>
      <c r="S980" s="74"/>
      <c r="T980" s="74"/>
      <c r="U980" s="75"/>
      <c r="V980" s="74"/>
      <c r="W980" s="75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</row>
    <row r="981" s="73" customFormat="1" spans="1:34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5"/>
      <c r="P981" s="74"/>
      <c r="Q981" s="75"/>
      <c r="R981" s="74"/>
      <c r="S981" s="74"/>
      <c r="T981" s="74"/>
      <c r="U981" s="75"/>
      <c r="V981" s="74"/>
      <c r="W981" s="75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</row>
    <row r="982" s="73" customFormat="1" spans="1:34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5"/>
      <c r="P982" s="74"/>
      <c r="Q982" s="75"/>
      <c r="R982" s="74"/>
      <c r="S982" s="74"/>
      <c r="T982" s="74"/>
      <c r="U982" s="75"/>
      <c r="V982" s="74"/>
      <c r="W982" s="75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</row>
    <row r="983" s="73" customFormat="1" spans="1:34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5"/>
      <c r="P983" s="74"/>
      <c r="Q983" s="75"/>
      <c r="R983" s="74"/>
      <c r="S983" s="74"/>
      <c r="T983" s="74"/>
      <c r="U983" s="75"/>
      <c r="V983" s="74"/>
      <c r="W983" s="75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</row>
    <row r="984" s="73" customFormat="1" spans="1:34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5"/>
      <c r="P984" s="74"/>
      <c r="Q984" s="75"/>
      <c r="R984" s="74"/>
      <c r="S984" s="74"/>
      <c r="T984" s="74"/>
      <c r="U984" s="75"/>
      <c r="V984" s="74"/>
      <c r="W984" s="75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</row>
    <row r="985" s="73" customFormat="1" spans="1:34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5"/>
      <c r="P985" s="74"/>
      <c r="Q985" s="75"/>
      <c r="R985" s="74"/>
      <c r="S985" s="74"/>
      <c r="T985" s="74"/>
      <c r="U985" s="75"/>
      <c r="V985" s="74"/>
      <c r="W985" s="75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</row>
    <row r="986" s="73" customFormat="1" spans="1:34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5"/>
      <c r="P986" s="74"/>
      <c r="Q986" s="75"/>
      <c r="R986" s="74"/>
      <c r="S986" s="74"/>
      <c r="T986" s="74"/>
      <c r="U986" s="75"/>
      <c r="V986" s="74"/>
      <c r="W986" s="75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</row>
    <row r="987" s="73" customFormat="1" spans="1:34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5"/>
      <c r="P987" s="74"/>
      <c r="Q987" s="75"/>
      <c r="R987" s="74"/>
      <c r="S987" s="74"/>
      <c r="T987" s="74"/>
      <c r="U987" s="75"/>
      <c r="V987" s="74"/>
      <c r="W987" s="75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</row>
    <row r="988" s="73" customFormat="1" spans="1:34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5"/>
      <c r="P988" s="74"/>
      <c r="Q988" s="75"/>
      <c r="R988" s="74"/>
      <c r="S988" s="74"/>
      <c r="T988" s="74"/>
      <c r="U988" s="75"/>
      <c r="V988" s="74"/>
      <c r="W988" s="75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</row>
    <row r="989" s="73" customFormat="1" spans="1:34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5"/>
      <c r="P989" s="74"/>
      <c r="Q989" s="75"/>
      <c r="R989" s="74"/>
      <c r="S989" s="74"/>
      <c r="T989" s="74"/>
      <c r="U989" s="75"/>
      <c r="V989" s="74"/>
      <c r="W989" s="75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</row>
    <row r="990" s="73" customFormat="1" spans="1:34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5"/>
      <c r="P990" s="74"/>
      <c r="Q990" s="75"/>
      <c r="R990" s="74"/>
      <c r="S990" s="74"/>
      <c r="T990" s="74"/>
      <c r="U990" s="75"/>
      <c r="V990" s="74"/>
      <c r="W990" s="75"/>
      <c r="X990" s="74"/>
      <c r="Y990" s="74"/>
      <c r="Z990" s="74"/>
      <c r="AA990" s="74"/>
      <c r="AB990" s="74"/>
      <c r="AC990" s="74"/>
      <c r="AD990" s="74"/>
      <c r="AE990" s="74"/>
      <c r="AF990" s="74"/>
      <c r="AG990" s="74"/>
      <c r="AH990" s="74"/>
    </row>
    <row r="991" s="73" customFormat="1" spans="1:34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5"/>
      <c r="P991" s="74"/>
      <c r="Q991" s="75"/>
      <c r="R991" s="74"/>
      <c r="S991" s="74"/>
      <c r="T991" s="74"/>
      <c r="U991" s="75"/>
      <c r="V991" s="74"/>
      <c r="W991" s="75"/>
      <c r="X991" s="74"/>
      <c r="Y991" s="74"/>
      <c r="Z991" s="74"/>
      <c r="AA991" s="74"/>
      <c r="AB991" s="74"/>
      <c r="AC991" s="74"/>
      <c r="AD991" s="74"/>
      <c r="AE991" s="74"/>
      <c r="AF991" s="74"/>
      <c r="AG991" s="74"/>
      <c r="AH991" s="74"/>
    </row>
    <row r="992" s="73" customFormat="1" spans="1:34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5"/>
      <c r="P992" s="74"/>
      <c r="Q992" s="75"/>
      <c r="R992" s="74"/>
      <c r="S992" s="74"/>
      <c r="T992" s="74"/>
      <c r="U992" s="75"/>
      <c r="V992" s="74"/>
      <c r="W992" s="75"/>
      <c r="X992" s="74"/>
      <c r="Y992" s="74"/>
      <c r="Z992" s="74"/>
      <c r="AA992" s="74"/>
      <c r="AB992" s="74"/>
      <c r="AC992" s="74"/>
      <c r="AD992" s="74"/>
      <c r="AE992" s="74"/>
      <c r="AF992" s="74"/>
      <c r="AG992" s="74"/>
      <c r="AH992" s="74"/>
    </row>
    <row r="993" s="73" customFormat="1" spans="1:34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5"/>
      <c r="P993" s="74"/>
      <c r="Q993" s="75"/>
      <c r="R993" s="74"/>
      <c r="S993" s="74"/>
      <c r="T993" s="74"/>
      <c r="U993" s="75"/>
      <c r="V993" s="74"/>
      <c r="W993" s="75"/>
      <c r="X993" s="74"/>
      <c r="Y993" s="74"/>
      <c r="Z993" s="74"/>
      <c r="AA993" s="74"/>
      <c r="AB993" s="74"/>
      <c r="AC993" s="74"/>
      <c r="AD993" s="74"/>
      <c r="AE993" s="74"/>
      <c r="AF993" s="74"/>
      <c r="AG993" s="74"/>
      <c r="AH993" s="74"/>
    </row>
    <row r="994" s="73" customFormat="1" spans="1:34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5"/>
      <c r="P994" s="74"/>
      <c r="Q994" s="75"/>
      <c r="R994" s="74"/>
      <c r="S994" s="74"/>
      <c r="T994" s="74"/>
      <c r="U994" s="75"/>
      <c r="V994" s="74"/>
      <c r="W994" s="75"/>
      <c r="X994" s="74"/>
      <c r="Y994" s="74"/>
      <c r="Z994" s="74"/>
      <c r="AA994" s="74"/>
      <c r="AB994" s="74"/>
      <c r="AC994" s="74"/>
      <c r="AD994" s="74"/>
      <c r="AE994" s="74"/>
      <c r="AF994" s="74"/>
      <c r="AG994" s="74"/>
      <c r="AH994" s="74"/>
    </row>
    <row r="995" s="73" customFormat="1" spans="1:34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5"/>
      <c r="P995" s="74"/>
      <c r="Q995" s="75"/>
      <c r="R995" s="74"/>
      <c r="S995" s="74"/>
      <c r="T995" s="74"/>
      <c r="U995" s="75"/>
      <c r="V995" s="74"/>
      <c r="W995" s="75"/>
      <c r="X995" s="74"/>
      <c r="Y995" s="74"/>
      <c r="Z995" s="74"/>
      <c r="AA995" s="74"/>
      <c r="AB995" s="74"/>
      <c r="AC995" s="74"/>
      <c r="AD995" s="74"/>
      <c r="AE995" s="74"/>
      <c r="AF995" s="74"/>
      <c r="AG995" s="74"/>
      <c r="AH995" s="74"/>
    </row>
    <row r="996" s="73" customFormat="1" spans="1:34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5"/>
      <c r="P996" s="74"/>
      <c r="Q996" s="75"/>
      <c r="R996" s="74"/>
      <c r="S996" s="74"/>
      <c r="T996" s="74"/>
      <c r="U996" s="75"/>
      <c r="V996" s="74"/>
      <c r="W996" s="75"/>
      <c r="X996" s="74"/>
      <c r="Y996" s="74"/>
      <c r="Z996" s="74"/>
      <c r="AA996" s="74"/>
      <c r="AB996" s="74"/>
      <c r="AC996" s="74"/>
      <c r="AD996" s="74"/>
      <c r="AE996" s="74"/>
      <c r="AF996" s="74"/>
      <c r="AG996" s="74"/>
      <c r="AH996" s="74"/>
    </row>
    <row r="997" s="73" customFormat="1" spans="1:34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5"/>
      <c r="P997" s="74"/>
      <c r="Q997" s="75"/>
      <c r="R997" s="74"/>
      <c r="S997" s="74"/>
      <c r="T997" s="74"/>
      <c r="U997" s="75"/>
      <c r="V997" s="74"/>
      <c r="W997" s="75"/>
      <c r="X997" s="74"/>
      <c r="Y997" s="74"/>
      <c r="Z997" s="74"/>
      <c r="AA997" s="74"/>
      <c r="AB997" s="74"/>
      <c r="AC997" s="74"/>
      <c r="AD997" s="74"/>
      <c r="AE997" s="74"/>
      <c r="AF997" s="74"/>
      <c r="AG997" s="74"/>
      <c r="AH997" s="74"/>
    </row>
    <row r="998" s="73" customFormat="1" spans="1:34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5"/>
      <c r="P998" s="74"/>
      <c r="Q998" s="75"/>
      <c r="R998" s="74"/>
      <c r="S998" s="74"/>
      <c r="T998" s="74"/>
      <c r="U998" s="75"/>
      <c r="V998" s="74"/>
      <c r="W998" s="75"/>
      <c r="X998" s="74"/>
      <c r="Y998" s="74"/>
      <c r="Z998" s="74"/>
      <c r="AA998" s="74"/>
      <c r="AB998" s="74"/>
      <c r="AC998" s="74"/>
      <c r="AD998" s="74"/>
      <c r="AE998" s="74"/>
      <c r="AF998" s="74"/>
      <c r="AG998" s="74"/>
      <c r="AH998" s="74"/>
    </row>
    <row r="999" s="73" customFormat="1" spans="1:34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5"/>
      <c r="P999" s="74"/>
      <c r="Q999" s="75"/>
      <c r="R999" s="74"/>
      <c r="S999" s="74"/>
      <c r="T999" s="74"/>
      <c r="U999" s="75"/>
      <c r="V999" s="74"/>
      <c r="W999" s="75"/>
      <c r="X999" s="74"/>
      <c r="Y999" s="74"/>
      <c r="Z999" s="74"/>
      <c r="AA999" s="74"/>
      <c r="AB999" s="74"/>
      <c r="AC999" s="74"/>
      <c r="AD999" s="74"/>
      <c r="AE999" s="74"/>
      <c r="AF999" s="74"/>
      <c r="AG999" s="74"/>
      <c r="AH999" s="74"/>
    </row>
    <row r="1000" s="73" customFormat="1" spans="1:34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5"/>
      <c r="P1000" s="74"/>
      <c r="Q1000" s="75"/>
      <c r="R1000" s="74"/>
      <c r="S1000" s="74"/>
      <c r="T1000" s="74"/>
      <c r="U1000" s="75"/>
      <c r="V1000" s="74"/>
      <c r="W1000" s="75"/>
      <c r="X1000" s="74"/>
      <c r="Y1000" s="74"/>
      <c r="Z1000" s="74"/>
      <c r="AA1000" s="74"/>
      <c r="AB1000" s="74"/>
      <c r="AC1000" s="74"/>
      <c r="AD1000" s="74"/>
      <c r="AE1000" s="74"/>
      <c r="AF1000" s="74"/>
      <c r="AG1000" s="74"/>
      <c r="AH1000" s="74"/>
    </row>
    <row r="1001" s="73" customFormat="1" spans="1:34">
      <c r="A1001" s="74"/>
      <c r="B1001" s="74"/>
      <c r="C1001" s="74"/>
      <c r="D1001" s="74"/>
      <c r="E1001" s="74"/>
      <c r="F1001" s="74"/>
      <c r="G1001" s="74"/>
      <c r="H1001" s="74"/>
      <c r="I1001" s="74"/>
      <c r="J1001" s="74"/>
      <c r="K1001" s="74"/>
      <c r="L1001" s="74"/>
      <c r="M1001" s="74"/>
      <c r="N1001" s="74"/>
      <c r="O1001" s="75"/>
      <c r="P1001" s="74"/>
      <c r="Q1001" s="75"/>
      <c r="R1001" s="74"/>
      <c r="S1001" s="74"/>
      <c r="T1001" s="74"/>
      <c r="U1001" s="75"/>
      <c r="V1001" s="74"/>
      <c r="W1001" s="75"/>
      <c r="X1001" s="74"/>
      <c r="Y1001" s="74"/>
      <c r="Z1001" s="74"/>
      <c r="AA1001" s="74"/>
      <c r="AB1001" s="74"/>
      <c r="AC1001" s="74"/>
      <c r="AD1001" s="74"/>
      <c r="AE1001" s="74"/>
      <c r="AF1001" s="74"/>
      <c r="AG1001" s="74"/>
      <c r="AH1001" s="74"/>
    </row>
    <row r="1002" s="73" customFormat="1" spans="1:34">
      <c r="A1002" s="74"/>
      <c r="B1002" s="74"/>
      <c r="C1002" s="74"/>
      <c r="D1002" s="74"/>
      <c r="E1002" s="74"/>
      <c r="F1002" s="74"/>
      <c r="G1002" s="74"/>
      <c r="H1002" s="74"/>
      <c r="I1002" s="74"/>
      <c r="J1002" s="74"/>
      <c r="K1002" s="74"/>
      <c r="L1002" s="74"/>
      <c r="M1002" s="74"/>
      <c r="N1002" s="74"/>
      <c r="O1002" s="75"/>
      <c r="P1002" s="74"/>
      <c r="Q1002" s="75"/>
      <c r="R1002" s="74"/>
      <c r="S1002" s="74"/>
      <c r="T1002" s="74"/>
      <c r="U1002" s="75"/>
      <c r="V1002" s="74"/>
      <c r="W1002" s="75"/>
      <c r="X1002" s="74"/>
      <c r="Y1002" s="74"/>
      <c r="Z1002" s="74"/>
      <c r="AA1002" s="74"/>
      <c r="AB1002" s="74"/>
      <c r="AC1002" s="74"/>
      <c r="AD1002" s="74"/>
      <c r="AE1002" s="74"/>
      <c r="AF1002" s="74"/>
      <c r="AG1002" s="74"/>
      <c r="AH1002" s="74"/>
    </row>
    <row r="1003" s="73" customFormat="1" spans="1:34">
      <c r="A1003" s="74"/>
      <c r="B1003" s="74"/>
      <c r="C1003" s="74"/>
      <c r="D1003" s="74"/>
      <c r="E1003" s="74"/>
      <c r="F1003" s="74"/>
      <c r="G1003" s="74"/>
      <c r="H1003" s="74"/>
      <c r="I1003" s="74"/>
      <c r="J1003" s="74"/>
      <c r="K1003" s="74"/>
      <c r="L1003" s="74"/>
      <c r="M1003" s="74"/>
      <c r="N1003" s="74"/>
      <c r="O1003" s="75"/>
      <c r="P1003" s="74"/>
      <c r="Q1003" s="75"/>
      <c r="R1003" s="74"/>
      <c r="S1003" s="74"/>
      <c r="T1003" s="74"/>
      <c r="U1003" s="75"/>
      <c r="V1003" s="74"/>
      <c r="W1003" s="75"/>
      <c r="X1003" s="74"/>
      <c r="Y1003" s="74"/>
      <c r="Z1003" s="74"/>
      <c r="AA1003" s="74"/>
      <c r="AB1003" s="74"/>
      <c r="AC1003" s="74"/>
      <c r="AD1003" s="74"/>
      <c r="AE1003" s="74"/>
      <c r="AF1003" s="74"/>
      <c r="AG1003" s="74"/>
      <c r="AH1003" s="74"/>
    </row>
    <row r="1004" s="73" customFormat="1" spans="1:34">
      <c r="A1004" s="74"/>
      <c r="B1004" s="74"/>
      <c r="C1004" s="74"/>
      <c r="D1004" s="74"/>
      <c r="E1004" s="74"/>
      <c r="F1004" s="74"/>
      <c r="G1004" s="74"/>
      <c r="H1004" s="74"/>
      <c r="I1004" s="74"/>
      <c r="J1004" s="74"/>
      <c r="K1004" s="74"/>
      <c r="L1004" s="74"/>
      <c r="M1004" s="74"/>
      <c r="N1004" s="74"/>
      <c r="O1004" s="75"/>
      <c r="P1004" s="74"/>
      <c r="Q1004" s="75"/>
      <c r="R1004" s="74"/>
      <c r="S1004" s="74"/>
      <c r="T1004" s="74"/>
      <c r="U1004" s="75"/>
      <c r="V1004" s="74"/>
      <c r="W1004" s="75"/>
      <c r="X1004" s="74"/>
      <c r="Y1004" s="74"/>
      <c r="Z1004" s="74"/>
      <c r="AA1004" s="74"/>
      <c r="AB1004" s="74"/>
      <c r="AC1004" s="74"/>
      <c r="AD1004" s="74"/>
      <c r="AE1004" s="74"/>
      <c r="AF1004" s="74"/>
      <c r="AG1004" s="74"/>
      <c r="AH1004" s="74"/>
    </row>
    <row r="1005" s="73" customFormat="1" spans="1:34">
      <c r="A1005" s="74"/>
      <c r="B1005" s="74"/>
      <c r="C1005" s="74"/>
      <c r="D1005" s="74"/>
      <c r="E1005" s="74"/>
      <c r="F1005" s="74"/>
      <c r="G1005" s="74"/>
      <c r="H1005" s="74"/>
      <c r="I1005" s="74"/>
      <c r="J1005" s="74"/>
      <c r="K1005" s="74"/>
      <c r="L1005" s="74"/>
      <c r="M1005" s="74"/>
      <c r="N1005" s="74"/>
      <c r="O1005" s="75"/>
      <c r="P1005" s="74"/>
      <c r="Q1005" s="75"/>
      <c r="R1005" s="74"/>
      <c r="S1005" s="74"/>
      <c r="T1005" s="74"/>
      <c r="U1005" s="75"/>
      <c r="V1005" s="74"/>
      <c r="W1005" s="75"/>
      <c r="X1005" s="74"/>
      <c r="Y1005" s="74"/>
      <c r="Z1005" s="74"/>
      <c r="AA1005" s="74"/>
      <c r="AB1005" s="74"/>
      <c r="AC1005" s="74"/>
      <c r="AD1005" s="74"/>
      <c r="AE1005" s="74"/>
      <c r="AF1005" s="74"/>
      <c r="AG1005" s="74"/>
      <c r="AH1005" s="74"/>
    </row>
    <row r="1006" s="73" customFormat="1" spans="1:34">
      <c r="A1006" s="74"/>
      <c r="B1006" s="74"/>
      <c r="C1006" s="74"/>
      <c r="D1006" s="74"/>
      <c r="E1006" s="74"/>
      <c r="F1006" s="74"/>
      <c r="G1006" s="74"/>
      <c r="H1006" s="74"/>
      <c r="I1006" s="74"/>
      <c r="J1006" s="74"/>
      <c r="K1006" s="74"/>
      <c r="L1006" s="74"/>
      <c r="M1006" s="74"/>
      <c r="N1006" s="74"/>
      <c r="O1006" s="75"/>
      <c r="P1006" s="74"/>
      <c r="Q1006" s="75"/>
      <c r="R1006" s="74"/>
      <c r="S1006" s="74"/>
      <c r="T1006" s="74"/>
      <c r="U1006" s="75"/>
      <c r="V1006" s="74"/>
      <c r="W1006" s="75"/>
      <c r="X1006" s="74"/>
      <c r="Y1006" s="74"/>
      <c r="Z1006" s="74"/>
      <c r="AA1006" s="74"/>
      <c r="AB1006" s="74"/>
      <c r="AC1006" s="74"/>
      <c r="AD1006" s="74"/>
      <c r="AE1006" s="74"/>
      <c r="AF1006" s="74"/>
      <c r="AG1006" s="74"/>
      <c r="AH1006" s="74"/>
    </row>
    <row r="1007" s="73" customFormat="1" spans="1:34">
      <c r="A1007" s="74"/>
      <c r="B1007" s="74"/>
      <c r="C1007" s="74"/>
      <c r="D1007" s="74"/>
      <c r="E1007" s="74"/>
      <c r="F1007" s="74"/>
      <c r="G1007" s="74"/>
      <c r="H1007" s="74"/>
      <c r="I1007" s="74"/>
      <c r="J1007" s="74"/>
      <c r="K1007" s="74"/>
      <c r="L1007" s="74"/>
      <c r="M1007" s="74"/>
      <c r="N1007" s="74"/>
      <c r="O1007" s="75"/>
      <c r="P1007" s="74"/>
      <c r="Q1007" s="75"/>
      <c r="R1007" s="74"/>
      <c r="S1007" s="74"/>
      <c r="T1007" s="74"/>
      <c r="U1007" s="75"/>
      <c r="V1007" s="74"/>
      <c r="W1007" s="75"/>
      <c r="X1007" s="74"/>
      <c r="Y1007" s="74"/>
      <c r="Z1007" s="74"/>
      <c r="AA1007" s="74"/>
      <c r="AB1007" s="74"/>
      <c r="AC1007" s="74"/>
      <c r="AD1007" s="74"/>
      <c r="AE1007" s="74"/>
      <c r="AF1007" s="74"/>
      <c r="AG1007" s="74"/>
      <c r="AH1007" s="74"/>
    </row>
    <row r="1008" s="73" customFormat="1" spans="1:34">
      <c r="A1008" s="74"/>
      <c r="B1008" s="74"/>
      <c r="C1008" s="74"/>
      <c r="D1008" s="74"/>
      <c r="E1008" s="74"/>
      <c r="F1008" s="74"/>
      <c r="G1008" s="74"/>
      <c r="H1008" s="74"/>
      <c r="I1008" s="74"/>
      <c r="J1008" s="74"/>
      <c r="K1008" s="74"/>
      <c r="L1008" s="74"/>
      <c r="M1008" s="74"/>
      <c r="N1008" s="74"/>
      <c r="O1008" s="75"/>
      <c r="P1008" s="74"/>
      <c r="Q1008" s="75"/>
      <c r="R1008" s="74"/>
      <c r="S1008" s="74"/>
      <c r="T1008" s="74"/>
      <c r="U1008" s="75"/>
      <c r="V1008" s="74"/>
      <c r="W1008" s="75"/>
      <c r="X1008" s="74"/>
      <c r="Y1008" s="74"/>
      <c r="Z1008" s="74"/>
      <c r="AA1008" s="74"/>
      <c r="AB1008" s="74"/>
      <c r="AC1008" s="74"/>
      <c r="AD1008" s="74"/>
      <c r="AE1008" s="74"/>
      <c r="AF1008" s="74"/>
      <c r="AG1008" s="74"/>
      <c r="AH1008" s="74"/>
    </row>
    <row r="1009" s="73" customFormat="1" spans="1:34">
      <c r="A1009" s="74"/>
      <c r="B1009" s="74"/>
      <c r="C1009" s="74"/>
      <c r="D1009" s="74"/>
      <c r="E1009" s="74"/>
      <c r="F1009" s="74"/>
      <c r="G1009" s="74"/>
      <c r="H1009" s="74"/>
      <c r="I1009" s="74"/>
      <c r="J1009" s="74"/>
      <c r="K1009" s="74"/>
      <c r="L1009" s="74"/>
      <c r="M1009" s="74"/>
      <c r="N1009" s="74"/>
      <c r="O1009" s="75"/>
      <c r="P1009" s="74"/>
      <c r="Q1009" s="75"/>
      <c r="R1009" s="74"/>
      <c r="S1009" s="74"/>
      <c r="T1009" s="74"/>
      <c r="U1009" s="75"/>
      <c r="V1009" s="74"/>
      <c r="W1009" s="75"/>
      <c r="X1009" s="74"/>
      <c r="Y1009" s="74"/>
      <c r="Z1009" s="74"/>
      <c r="AA1009" s="74"/>
      <c r="AB1009" s="74"/>
      <c r="AC1009" s="74"/>
      <c r="AD1009" s="74"/>
      <c r="AE1009" s="74"/>
      <c r="AF1009" s="74"/>
      <c r="AG1009" s="74"/>
      <c r="AH1009" s="74"/>
    </row>
    <row r="1010" s="73" customFormat="1" spans="1:34">
      <c r="A1010" s="74"/>
      <c r="B1010" s="74"/>
      <c r="C1010" s="74"/>
      <c r="D1010" s="74"/>
      <c r="E1010" s="74"/>
      <c r="F1010" s="74"/>
      <c r="G1010" s="74"/>
      <c r="H1010" s="74"/>
      <c r="I1010" s="74"/>
      <c r="J1010" s="74"/>
      <c r="K1010" s="74"/>
      <c r="L1010" s="74"/>
      <c r="M1010" s="74"/>
      <c r="N1010" s="74"/>
      <c r="O1010" s="75"/>
      <c r="P1010" s="74"/>
      <c r="Q1010" s="75"/>
      <c r="R1010" s="74"/>
      <c r="S1010" s="74"/>
      <c r="T1010" s="74"/>
      <c r="U1010" s="75"/>
      <c r="V1010" s="74"/>
      <c r="W1010" s="75"/>
      <c r="X1010" s="74"/>
      <c r="Y1010" s="74"/>
      <c r="Z1010" s="74"/>
      <c r="AA1010" s="74"/>
      <c r="AB1010" s="74"/>
      <c r="AC1010" s="74"/>
      <c r="AD1010" s="74"/>
      <c r="AE1010" s="74"/>
      <c r="AF1010" s="74"/>
      <c r="AG1010" s="74"/>
      <c r="AH1010" s="74"/>
    </row>
    <row r="1011" s="73" customFormat="1" spans="1:34">
      <c r="A1011" s="74"/>
      <c r="B1011" s="74"/>
      <c r="C1011" s="74"/>
      <c r="D1011" s="74"/>
      <c r="E1011" s="74"/>
      <c r="F1011" s="74"/>
      <c r="G1011" s="74"/>
      <c r="H1011" s="74"/>
      <c r="I1011" s="74"/>
      <c r="J1011" s="74"/>
      <c r="K1011" s="74"/>
      <c r="L1011" s="74"/>
      <c r="M1011" s="74"/>
      <c r="N1011" s="74"/>
      <c r="O1011" s="75"/>
      <c r="P1011" s="74"/>
      <c r="Q1011" s="75"/>
      <c r="R1011" s="74"/>
      <c r="S1011" s="74"/>
      <c r="T1011" s="74"/>
      <c r="U1011" s="75"/>
      <c r="V1011" s="74"/>
      <c r="W1011" s="75"/>
      <c r="X1011" s="74"/>
      <c r="Y1011" s="74"/>
      <c r="Z1011" s="74"/>
      <c r="AA1011" s="74"/>
      <c r="AB1011" s="74"/>
      <c r="AC1011" s="74"/>
      <c r="AD1011" s="74"/>
      <c r="AE1011" s="74"/>
      <c r="AF1011" s="74"/>
      <c r="AG1011" s="74"/>
      <c r="AH1011" s="74"/>
    </row>
    <row r="1012" s="73" customFormat="1" spans="1:34">
      <c r="A1012" s="74"/>
      <c r="B1012" s="74"/>
      <c r="C1012" s="74"/>
      <c r="D1012" s="74"/>
      <c r="E1012" s="74"/>
      <c r="F1012" s="74"/>
      <c r="G1012" s="74"/>
      <c r="H1012" s="74"/>
      <c r="I1012" s="74"/>
      <c r="J1012" s="74"/>
      <c r="K1012" s="74"/>
      <c r="L1012" s="74"/>
      <c r="M1012" s="74"/>
      <c r="N1012" s="74"/>
      <c r="O1012" s="75"/>
      <c r="P1012" s="74"/>
      <c r="Q1012" s="75"/>
      <c r="R1012" s="74"/>
      <c r="S1012" s="74"/>
      <c r="T1012" s="74"/>
      <c r="U1012" s="75"/>
      <c r="V1012" s="74"/>
      <c r="W1012" s="75"/>
      <c r="X1012" s="74"/>
      <c r="Y1012" s="74"/>
      <c r="Z1012" s="74"/>
      <c r="AA1012" s="74"/>
      <c r="AB1012" s="74"/>
      <c r="AC1012" s="74"/>
      <c r="AD1012" s="74"/>
      <c r="AE1012" s="74"/>
      <c r="AF1012" s="74"/>
      <c r="AG1012" s="74"/>
      <c r="AH1012" s="74"/>
    </row>
    <row r="1013" s="73" customFormat="1" spans="1:34">
      <c r="A1013" s="74"/>
      <c r="B1013" s="74"/>
      <c r="C1013" s="74"/>
      <c r="D1013" s="74"/>
      <c r="E1013" s="74"/>
      <c r="F1013" s="74"/>
      <c r="G1013" s="74"/>
      <c r="H1013" s="74"/>
      <c r="I1013" s="74"/>
      <c r="J1013" s="74"/>
      <c r="K1013" s="74"/>
      <c r="L1013" s="74"/>
      <c r="M1013" s="74"/>
      <c r="N1013" s="74"/>
      <c r="O1013" s="75"/>
      <c r="P1013" s="74"/>
      <c r="Q1013" s="75"/>
      <c r="R1013" s="74"/>
      <c r="S1013" s="74"/>
      <c r="T1013" s="74"/>
      <c r="U1013" s="75"/>
      <c r="V1013" s="74"/>
      <c r="W1013" s="75"/>
      <c r="X1013" s="74"/>
      <c r="Y1013" s="74"/>
      <c r="Z1013" s="74"/>
      <c r="AA1013" s="74"/>
      <c r="AB1013" s="74"/>
      <c r="AC1013" s="74"/>
      <c r="AD1013" s="74"/>
      <c r="AE1013" s="74"/>
      <c r="AF1013" s="74"/>
      <c r="AG1013" s="74"/>
      <c r="AH1013" s="74"/>
    </row>
    <row r="1014" s="73" customFormat="1" spans="1:34">
      <c r="A1014" s="74"/>
      <c r="B1014" s="74"/>
      <c r="C1014" s="74"/>
      <c r="D1014" s="74"/>
      <c r="E1014" s="74"/>
      <c r="F1014" s="74"/>
      <c r="G1014" s="74"/>
      <c r="H1014" s="74"/>
      <c r="I1014" s="74"/>
      <c r="J1014" s="74"/>
      <c r="K1014" s="74"/>
      <c r="L1014" s="74"/>
      <c r="M1014" s="74"/>
      <c r="N1014" s="74"/>
      <c r="O1014" s="75"/>
      <c r="P1014" s="74"/>
      <c r="Q1014" s="75"/>
      <c r="R1014" s="74"/>
      <c r="S1014" s="74"/>
      <c r="T1014" s="74"/>
      <c r="U1014" s="75"/>
      <c r="V1014" s="74"/>
      <c r="W1014" s="75"/>
      <c r="X1014" s="74"/>
      <c r="Y1014" s="74"/>
      <c r="Z1014" s="74"/>
      <c r="AA1014" s="74"/>
      <c r="AB1014" s="74"/>
      <c r="AC1014" s="74"/>
      <c r="AD1014" s="74"/>
      <c r="AE1014" s="74"/>
      <c r="AF1014" s="74"/>
      <c r="AG1014" s="74"/>
      <c r="AH1014" s="74"/>
    </row>
    <row r="1015" s="73" customFormat="1" spans="1:34">
      <c r="A1015" s="74"/>
      <c r="B1015" s="74"/>
      <c r="C1015" s="74"/>
      <c r="D1015" s="74"/>
      <c r="E1015" s="74"/>
      <c r="F1015" s="74"/>
      <c r="G1015" s="74"/>
      <c r="H1015" s="74"/>
      <c r="I1015" s="74"/>
      <c r="J1015" s="74"/>
      <c r="K1015" s="74"/>
      <c r="L1015" s="74"/>
      <c r="M1015" s="74"/>
      <c r="N1015" s="74"/>
      <c r="O1015" s="75"/>
      <c r="P1015" s="74"/>
      <c r="Q1015" s="75"/>
      <c r="R1015" s="74"/>
      <c r="S1015" s="74"/>
      <c r="T1015" s="74"/>
      <c r="U1015" s="75"/>
      <c r="V1015" s="74"/>
      <c r="W1015" s="75"/>
      <c r="X1015" s="74"/>
      <c r="Y1015" s="74"/>
      <c r="Z1015" s="74"/>
      <c r="AA1015" s="74"/>
      <c r="AB1015" s="74"/>
      <c r="AC1015" s="74"/>
      <c r="AD1015" s="74"/>
      <c r="AE1015" s="74"/>
      <c r="AF1015" s="74"/>
      <c r="AG1015" s="74"/>
      <c r="AH1015" s="74"/>
    </row>
    <row r="1016" s="73" customFormat="1" spans="1:34">
      <c r="A1016" s="74"/>
      <c r="B1016" s="74"/>
      <c r="C1016" s="74"/>
      <c r="D1016" s="74"/>
      <c r="E1016" s="74"/>
      <c r="F1016" s="74"/>
      <c r="G1016" s="74"/>
      <c r="H1016" s="74"/>
      <c r="I1016" s="74"/>
      <c r="J1016" s="74"/>
      <c r="K1016" s="74"/>
      <c r="L1016" s="74"/>
      <c r="M1016" s="74"/>
      <c r="N1016" s="74"/>
      <c r="O1016" s="75"/>
      <c r="P1016" s="74"/>
      <c r="Q1016" s="75"/>
      <c r="R1016" s="74"/>
      <c r="S1016" s="74"/>
      <c r="T1016" s="74"/>
      <c r="U1016" s="75"/>
      <c r="V1016" s="74"/>
      <c r="W1016" s="74"/>
      <c r="X1016" s="74"/>
      <c r="Y1016" s="74"/>
      <c r="Z1016" s="74"/>
      <c r="AA1016" s="74"/>
      <c r="AB1016" s="74"/>
      <c r="AC1016" s="74"/>
      <c r="AD1016" s="74"/>
      <c r="AE1016" s="74"/>
      <c r="AF1016" s="74"/>
      <c r="AG1016" s="74"/>
      <c r="AH1016" s="74"/>
    </row>
    <row r="1017" s="73" customFormat="1" spans="1:34">
      <c r="A1017" s="74"/>
      <c r="B1017" s="74"/>
      <c r="C1017" s="74"/>
      <c r="D1017" s="74"/>
      <c r="E1017" s="74"/>
      <c r="F1017" s="74"/>
      <c r="G1017" s="74"/>
      <c r="H1017" s="74"/>
      <c r="I1017" s="74"/>
      <c r="J1017" s="74"/>
      <c r="K1017" s="74"/>
      <c r="L1017" s="74"/>
      <c r="M1017" s="74"/>
      <c r="N1017" s="74"/>
      <c r="O1017" s="75"/>
      <c r="P1017" s="74"/>
      <c r="Q1017" s="75"/>
      <c r="R1017" s="74"/>
      <c r="S1017" s="74"/>
      <c r="T1017" s="74"/>
      <c r="U1017" s="75"/>
      <c r="V1017" s="74"/>
      <c r="W1017" s="75"/>
      <c r="X1017" s="74"/>
      <c r="Y1017" s="74"/>
      <c r="Z1017" s="74"/>
      <c r="AA1017" s="74"/>
      <c r="AB1017" s="74"/>
      <c r="AC1017" s="74"/>
      <c r="AD1017" s="74"/>
      <c r="AE1017" s="74"/>
      <c r="AF1017" s="74"/>
      <c r="AG1017" s="74"/>
      <c r="AH1017" s="74"/>
    </row>
    <row r="1019" s="73" customFormat="1" spans="1:34">
      <c r="A1019" s="74"/>
      <c r="B1019" s="74"/>
      <c r="C1019" s="74"/>
      <c r="D1019" s="74"/>
      <c r="E1019" s="74"/>
      <c r="F1019" s="74"/>
      <c r="G1019" s="74"/>
      <c r="H1019" s="74"/>
      <c r="I1019" s="74"/>
      <c r="J1019" s="74"/>
      <c r="K1019" s="74"/>
      <c r="L1019" s="74"/>
      <c r="M1019" s="74"/>
      <c r="N1019" s="74"/>
      <c r="O1019" s="75"/>
      <c r="P1019" s="74"/>
      <c r="Q1019" s="75"/>
      <c r="R1019" s="74"/>
      <c r="S1019" s="74"/>
      <c r="T1019" s="74"/>
      <c r="U1019" s="75"/>
      <c r="V1019" s="74"/>
      <c r="W1019" s="75"/>
      <c r="X1019" s="74"/>
      <c r="Y1019" s="74"/>
      <c r="Z1019" s="74"/>
      <c r="AA1019" s="74"/>
      <c r="AB1019" s="74"/>
      <c r="AC1019" s="74"/>
      <c r="AD1019" s="74"/>
      <c r="AE1019" s="74"/>
      <c r="AF1019" s="74"/>
      <c r="AG1019" s="74"/>
      <c r="AH1019" s="74"/>
    </row>
    <row r="1020" s="73" customFormat="1" spans="1:34">
      <c r="A1020" s="74"/>
      <c r="B1020" s="74"/>
      <c r="C1020" s="74"/>
      <c r="D1020" s="74"/>
      <c r="E1020" s="74"/>
      <c r="F1020" s="74"/>
      <c r="G1020" s="74"/>
      <c r="H1020" s="74"/>
      <c r="I1020" s="74"/>
      <c r="J1020" s="74"/>
      <c r="K1020" s="74"/>
      <c r="L1020" s="74"/>
      <c r="M1020" s="74"/>
      <c r="N1020" s="74"/>
      <c r="O1020" s="75"/>
      <c r="P1020" s="74"/>
      <c r="Q1020" s="75"/>
      <c r="R1020" s="74"/>
      <c r="S1020" s="74"/>
      <c r="T1020" s="74"/>
      <c r="U1020" s="75"/>
      <c r="V1020" s="74"/>
      <c r="W1020" s="75"/>
      <c r="X1020" s="74"/>
      <c r="Y1020" s="74"/>
      <c r="Z1020" s="74"/>
      <c r="AA1020" s="74"/>
      <c r="AB1020" s="74"/>
      <c r="AC1020" s="74"/>
      <c r="AD1020" s="74"/>
      <c r="AE1020" s="74"/>
      <c r="AF1020" s="74"/>
      <c r="AG1020" s="74"/>
      <c r="AH1020" s="74"/>
    </row>
    <row r="1021" s="73" customFormat="1" spans="1:34">
      <c r="A1021" s="74"/>
      <c r="B1021" s="74"/>
      <c r="C1021" s="74"/>
      <c r="D1021" s="74"/>
      <c r="E1021" s="74"/>
      <c r="F1021" s="74"/>
      <c r="G1021" s="74"/>
      <c r="H1021" s="74"/>
      <c r="I1021" s="74"/>
      <c r="J1021" s="74"/>
      <c r="K1021" s="74"/>
      <c r="L1021" s="74"/>
      <c r="M1021" s="74"/>
      <c r="N1021" s="74"/>
      <c r="O1021" s="75"/>
      <c r="P1021" s="74"/>
      <c r="Q1021" s="75"/>
      <c r="R1021" s="74"/>
      <c r="S1021" s="74"/>
      <c r="T1021" s="74"/>
      <c r="U1021" s="75"/>
      <c r="V1021" s="74"/>
      <c r="W1021" s="75"/>
      <c r="X1021" s="74"/>
      <c r="Y1021" s="74"/>
      <c r="Z1021" s="74"/>
      <c r="AA1021" s="74"/>
      <c r="AB1021" s="74"/>
      <c r="AC1021" s="74"/>
      <c r="AD1021" s="74"/>
      <c r="AE1021" s="74"/>
      <c r="AF1021" s="74"/>
      <c r="AG1021" s="74"/>
      <c r="AH1021" s="74"/>
    </row>
    <row r="1022" s="73" customFormat="1" spans="1:34">
      <c r="A1022" s="74"/>
      <c r="B1022" s="74"/>
      <c r="C1022" s="74"/>
      <c r="D1022" s="74"/>
      <c r="E1022" s="74"/>
      <c r="F1022" s="74"/>
      <c r="G1022" s="74"/>
      <c r="H1022" s="74"/>
      <c r="I1022" s="74"/>
      <c r="J1022" s="74"/>
      <c r="K1022" s="74"/>
      <c r="L1022" s="74"/>
      <c r="M1022" s="74"/>
      <c r="N1022" s="74"/>
      <c r="O1022" s="75"/>
      <c r="P1022" s="74"/>
      <c r="Q1022" s="75"/>
      <c r="R1022" s="74"/>
      <c r="S1022" s="74"/>
      <c r="T1022" s="74"/>
      <c r="U1022" s="75"/>
      <c r="V1022" s="74"/>
      <c r="W1022" s="75"/>
      <c r="X1022" s="74"/>
      <c r="Y1022" s="74"/>
      <c r="Z1022" s="74"/>
      <c r="AA1022" s="74"/>
      <c r="AB1022" s="74"/>
      <c r="AC1022" s="74"/>
      <c r="AD1022" s="74"/>
      <c r="AE1022" s="74"/>
      <c r="AF1022" s="74"/>
      <c r="AG1022" s="74"/>
      <c r="AH1022" s="74"/>
    </row>
    <row r="1023" s="73" customFormat="1" spans="1:34">
      <c r="A1023" s="74"/>
      <c r="B1023" s="74"/>
      <c r="C1023" s="74"/>
      <c r="D1023" s="74"/>
      <c r="E1023" s="74"/>
      <c r="F1023" s="74"/>
      <c r="G1023" s="74"/>
      <c r="H1023" s="74"/>
      <c r="I1023" s="74"/>
      <c r="J1023" s="74"/>
      <c r="K1023" s="74"/>
      <c r="L1023" s="74"/>
      <c r="M1023" s="74"/>
      <c r="N1023" s="74"/>
      <c r="O1023" s="75"/>
      <c r="P1023" s="74"/>
      <c r="Q1023" s="75"/>
      <c r="R1023" s="74"/>
      <c r="S1023" s="74"/>
      <c r="T1023" s="74"/>
      <c r="U1023" s="75"/>
      <c r="V1023" s="74"/>
      <c r="W1023" s="75"/>
      <c r="X1023" s="74"/>
      <c r="Y1023" s="74"/>
      <c r="Z1023" s="74"/>
      <c r="AA1023" s="74"/>
      <c r="AB1023" s="74"/>
      <c r="AC1023" s="74"/>
      <c r="AD1023" s="74"/>
      <c r="AE1023" s="74"/>
      <c r="AF1023" s="74"/>
      <c r="AG1023" s="74"/>
      <c r="AH1023" s="74"/>
    </row>
    <row r="1024" s="73" customFormat="1" spans="1:34">
      <c r="A1024" s="74"/>
      <c r="B1024" s="74"/>
      <c r="C1024" s="74"/>
      <c r="D1024" s="74"/>
      <c r="E1024" s="74"/>
      <c r="F1024" s="74"/>
      <c r="G1024" s="74"/>
      <c r="H1024" s="74"/>
      <c r="I1024" s="74"/>
      <c r="J1024" s="74"/>
      <c r="K1024" s="74"/>
      <c r="L1024" s="74"/>
      <c r="M1024" s="74"/>
      <c r="N1024" s="74"/>
      <c r="O1024" s="75"/>
      <c r="P1024" s="74"/>
      <c r="Q1024" s="75"/>
      <c r="R1024" s="74"/>
      <c r="S1024" s="74"/>
      <c r="T1024" s="74"/>
      <c r="U1024" s="75"/>
      <c r="V1024" s="74"/>
      <c r="W1024" s="75"/>
      <c r="X1024" s="74"/>
      <c r="Y1024" s="74"/>
      <c r="Z1024" s="74"/>
      <c r="AA1024" s="74"/>
      <c r="AB1024" s="74"/>
      <c r="AC1024" s="74"/>
      <c r="AD1024" s="74"/>
      <c r="AE1024" s="74"/>
      <c r="AF1024" s="74"/>
      <c r="AG1024" s="74"/>
      <c r="AH1024" s="74"/>
    </row>
    <row r="1025" s="73" customFormat="1" spans="1:34">
      <c r="A1025" s="74"/>
      <c r="B1025" s="74"/>
      <c r="C1025" s="74"/>
      <c r="D1025" s="74"/>
      <c r="E1025" s="74"/>
      <c r="F1025" s="74"/>
      <c r="G1025" s="74"/>
      <c r="H1025" s="74"/>
      <c r="I1025" s="74"/>
      <c r="J1025" s="74"/>
      <c r="K1025" s="74"/>
      <c r="L1025" s="74"/>
      <c r="M1025" s="74"/>
      <c r="N1025" s="74"/>
      <c r="O1025" s="75"/>
      <c r="P1025" s="74"/>
      <c r="Q1025" s="75"/>
      <c r="R1025" s="74"/>
      <c r="S1025" s="74"/>
      <c r="T1025" s="74"/>
      <c r="U1025" s="75"/>
      <c r="V1025" s="74"/>
      <c r="W1025" s="75"/>
      <c r="X1025" s="74"/>
      <c r="Y1025" s="74"/>
      <c r="Z1025" s="74"/>
      <c r="AA1025" s="74"/>
      <c r="AB1025" s="74"/>
      <c r="AC1025" s="74"/>
      <c r="AD1025" s="74"/>
      <c r="AE1025" s="74"/>
      <c r="AF1025" s="74"/>
      <c r="AG1025" s="74"/>
      <c r="AH1025" s="74"/>
    </row>
    <row r="1026" s="73" customFormat="1" spans="1:34">
      <c r="A1026" s="74"/>
      <c r="B1026" s="74"/>
      <c r="C1026" s="74"/>
      <c r="D1026" s="74"/>
      <c r="E1026" s="74"/>
      <c r="F1026" s="74"/>
      <c r="G1026" s="74"/>
      <c r="H1026" s="74"/>
      <c r="I1026" s="74"/>
      <c r="J1026" s="74"/>
      <c r="K1026" s="74"/>
      <c r="L1026" s="74"/>
      <c r="M1026" s="74"/>
      <c r="N1026" s="74"/>
      <c r="O1026" s="75"/>
      <c r="P1026" s="74"/>
      <c r="Q1026" s="75"/>
      <c r="R1026" s="74"/>
      <c r="S1026" s="74"/>
      <c r="T1026" s="74"/>
      <c r="U1026" s="75"/>
      <c r="V1026" s="74"/>
      <c r="W1026" s="75"/>
      <c r="X1026" s="74"/>
      <c r="Y1026" s="74"/>
      <c r="Z1026" s="74"/>
      <c r="AA1026" s="74"/>
      <c r="AB1026" s="74"/>
      <c r="AC1026" s="74"/>
      <c r="AD1026" s="74"/>
      <c r="AE1026" s="74"/>
      <c r="AF1026" s="74"/>
      <c r="AG1026" s="74"/>
      <c r="AH1026" s="74"/>
    </row>
    <row r="1027" s="73" customFormat="1" spans="1:34">
      <c r="A1027" s="74"/>
      <c r="B1027" s="74"/>
      <c r="C1027" s="74"/>
      <c r="D1027" s="74"/>
      <c r="E1027" s="74"/>
      <c r="F1027" s="74"/>
      <c r="G1027" s="74"/>
      <c r="H1027" s="74"/>
      <c r="I1027" s="74"/>
      <c r="J1027" s="74"/>
      <c r="K1027" s="74"/>
      <c r="L1027" s="74"/>
      <c r="M1027" s="74"/>
      <c r="N1027" s="74"/>
      <c r="O1027" s="75"/>
      <c r="P1027" s="74"/>
      <c r="Q1027" s="75"/>
      <c r="R1027" s="74"/>
      <c r="S1027" s="74"/>
      <c r="T1027" s="74"/>
      <c r="U1027" s="75"/>
      <c r="V1027" s="74"/>
      <c r="W1027" s="75"/>
      <c r="X1027" s="74"/>
      <c r="Y1027" s="74"/>
      <c r="Z1027" s="74"/>
      <c r="AA1027" s="74"/>
      <c r="AB1027" s="74"/>
      <c r="AC1027" s="74"/>
      <c r="AD1027" s="74"/>
      <c r="AE1027" s="74"/>
      <c r="AF1027" s="74"/>
      <c r="AG1027" s="74"/>
      <c r="AH1027" s="74"/>
    </row>
    <row r="1028" s="73" customFormat="1" spans="1:34">
      <c r="A1028" s="74"/>
      <c r="B1028" s="74"/>
      <c r="C1028" s="74"/>
      <c r="D1028" s="74"/>
      <c r="E1028" s="74"/>
      <c r="F1028" s="74"/>
      <c r="G1028" s="74"/>
      <c r="H1028" s="74"/>
      <c r="I1028" s="74"/>
      <c r="J1028" s="74"/>
      <c r="K1028" s="74"/>
      <c r="L1028" s="74"/>
      <c r="M1028" s="74"/>
      <c r="N1028" s="74"/>
      <c r="O1028" s="75"/>
      <c r="P1028" s="74"/>
      <c r="Q1028" s="75"/>
      <c r="R1028" s="74"/>
      <c r="S1028" s="74"/>
      <c r="T1028" s="74"/>
      <c r="U1028" s="75"/>
      <c r="V1028" s="74"/>
      <c r="W1028" s="75"/>
      <c r="X1028" s="74"/>
      <c r="Y1028" s="74"/>
      <c r="Z1028" s="74"/>
      <c r="AA1028" s="74"/>
      <c r="AB1028" s="74"/>
      <c r="AC1028" s="74"/>
      <c r="AD1028" s="74"/>
      <c r="AE1028" s="74"/>
      <c r="AF1028" s="74"/>
      <c r="AG1028" s="74"/>
      <c r="AH1028" s="74"/>
    </row>
    <row r="1029" s="73" customFormat="1" spans="1:34">
      <c r="A1029" s="74"/>
      <c r="B1029" s="74"/>
      <c r="C1029" s="74"/>
      <c r="D1029" s="74"/>
      <c r="E1029" s="74"/>
      <c r="F1029" s="74"/>
      <c r="G1029" s="74"/>
      <c r="H1029" s="74"/>
      <c r="I1029" s="74"/>
      <c r="J1029" s="74"/>
      <c r="K1029" s="74"/>
      <c r="L1029" s="74"/>
      <c r="M1029" s="74"/>
      <c r="N1029" s="74"/>
      <c r="O1029" s="75"/>
      <c r="P1029" s="74"/>
      <c r="Q1029" s="75"/>
      <c r="R1029" s="74"/>
      <c r="S1029" s="74"/>
      <c r="T1029" s="74"/>
      <c r="U1029" s="75"/>
      <c r="V1029" s="74"/>
      <c r="W1029" s="75"/>
      <c r="X1029" s="74"/>
      <c r="Y1029" s="74"/>
      <c r="Z1029" s="74"/>
      <c r="AA1029" s="74"/>
      <c r="AB1029" s="74"/>
      <c r="AC1029" s="74"/>
      <c r="AD1029" s="74"/>
      <c r="AE1029" s="74"/>
      <c r="AF1029" s="74"/>
      <c r="AG1029" s="74"/>
      <c r="AH1029" s="74"/>
    </row>
    <row r="1031" s="73" customFormat="1" spans="1:34">
      <c r="A1031" s="74"/>
      <c r="B1031" s="74"/>
      <c r="C1031" s="74"/>
      <c r="D1031" s="74"/>
      <c r="E1031" s="74"/>
      <c r="F1031" s="74"/>
      <c r="G1031" s="74"/>
      <c r="H1031" s="74"/>
      <c r="I1031" s="74"/>
      <c r="J1031" s="74"/>
      <c r="K1031" s="74"/>
      <c r="L1031" s="74"/>
      <c r="M1031" s="74"/>
      <c r="N1031" s="74"/>
      <c r="O1031" s="75"/>
      <c r="P1031" s="74"/>
      <c r="Q1031" s="75"/>
      <c r="R1031" s="74"/>
      <c r="S1031" s="74"/>
      <c r="T1031" s="74"/>
      <c r="U1031" s="75"/>
      <c r="V1031" s="74"/>
      <c r="W1031" s="75"/>
      <c r="X1031" s="74"/>
      <c r="Y1031" s="74"/>
      <c r="Z1031" s="74"/>
      <c r="AA1031" s="74"/>
      <c r="AB1031" s="74"/>
      <c r="AC1031" s="74"/>
      <c r="AD1031" s="74"/>
      <c r="AE1031" s="74"/>
      <c r="AF1031" s="74"/>
      <c r="AG1031" s="74"/>
      <c r="AH1031" s="74"/>
    </row>
    <row r="1032" s="73" customFormat="1" spans="1:34">
      <c r="A1032" s="74"/>
      <c r="B1032" s="74"/>
      <c r="C1032" s="74"/>
      <c r="D1032" s="74"/>
      <c r="E1032" s="74"/>
      <c r="F1032" s="74"/>
      <c r="G1032" s="74"/>
      <c r="H1032" s="74"/>
      <c r="I1032" s="74"/>
      <c r="J1032" s="74"/>
      <c r="K1032" s="74"/>
      <c r="L1032" s="74"/>
      <c r="M1032" s="74"/>
      <c r="N1032" s="74"/>
      <c r="O1032" s="75"/>
      <c r="P1032" s="74"/>
      <c r="Q1032" s="75"/>
      <c r="R1032" s="74"/>
      <c r="S1032" s="74"/>
      <c r="T1032" s="74"/>
      <c r="U1032" s="75"/>
      <c r="V1032" s="74"/>
      <c r="W1032" s="75"/>
      <c r="X1032" s="74"/>
      <c r="Y1032" s="74"/>
      <c r="Z1032" s="74"/>
      <c r="AA1032" s="74"/>
      <c r="AB1032" s="74"/>
      <c r="AC1032" s="74"/>
      <c r="AD1032" s="74"/>
      <c r="AE1032" s="74"/>
      <c r="AF1032" s="74"/>
      <c r="AG1032" s="74"/>
      <c r="AH1032" s="74"/>
    </row>
    <row r="1033" s="73" customFormat="1" spans="1:34">
      <c r="A1033" s="74"/>
      <c r="B1033" s="74"/>
      <c r="C1033" s="74"/>
      <c r="D1033" s="74"/>
      <c r="E1033" s="74"/>
      <c r="F1033" s="74"/>
      <c r="G1033" s="74"/>
      <c r="H1033" s="74"/>
      <c r="I1033" s="74"/>
      <c r="J1033" s="74"/>
      <c r="K1033" s="74"/>
      <c r="L1033" s="74"/>
      <c r="M1033" s="74"/>
      <c r="N1033" s="74"/>
      <c r="O1033" s="75"/>
      <c r="P1033" s="74"/>
      <c r="Q1033" s="75"/>
      <c r="R1033" s="74"/>
      <c r="S1033" s="74"/>
      <c r="T1033" s="74"/>
      <c r="U1033" s="75"/>
      <c r="V1033" s="74"/>
      <c r="W1033" s="75"/>
      <c r="X1033" s="74"/>
      <c r="Y1033" s="74"/>
      <c r="Z1033" s="74"/>
      <c r="AA1033" s="74"/>
      <c r="AB1033" s="74"/>
      <c r="AC1033" s="74"/>
      <c r="AD1033" s="74"/>
      <c r="AE1033" s="74"/>
      <c r="AF1033" s="74"/>
      <c r="AG1033" s="74"/>
      <c r="AH1033" s="74"/>
    </row>
    <row r="1034" s="73" customFormat="1" spans="1:34">
      <c r="A1034" s="74"/>
      <c r="B1034" s="74"/>
      <c r="C1034" s="74"/>
      <c r="D1034" s="74"/>
      <c r="E1034" s="74"/>
      <c r="F1034" s="74"/>
      <c r="G1034" s="74"/>
      <c r="H1034" s="74"/>
      <c r="I1034" s="74"/>
      <c r="J1034" s="74"/>
      <c r="K1034" s="74"/>
      <c r="L1034" s="74"/>
      <c r="M1034" s="74"/>
      <c r="N1034" s="74"/>
      <c r="O1034" s="75"/>
      <c r="P1034" s="74"/>
      <c r="Q1034" s="75"/>
      <c r="R1034" s="74"/>
      <c r="S1034" s="74"/>
      <c r="T1034" s="74"/>
      <c r="U1034" s="75"/>
      <c r="V1034" s="74"/>
      <c r="W1034" s="75"/>
      <c r="X1034" s="74"/>
      <c r="Y1034" s="74"/>
      <c r="Z1034" s="74"/>
      <c r="AA1034" s="74"/>
      <c r="AB1034" s="74"/>
      <c r="AC1034" s="74"/>
      <c r="AD1034" s="74"/>
      <c r="AE1034" s="74"/>
      <c r="AF1034" s="74"/>
      <c r="AG1034" s="74"/>
      <c r="AH1034" s="74"/>
    </row>
    <row r="1035" s="73" customFormat="1" spans="1:34">
      <c r="A1035" s="74"/>
      <c r="B1035" s="74"/>
      <c r="C1035" s="74"/>
      <c r="D1035" s="74"/>
      <c r="E1035" s="74"/>
      <c r="F1035" s="74"/>
      <c r="G1035" s="74"/>
      <c r="H1035" s="74"/>
      <c r="I1035" s="74"/>
      <c r="J1035" s="74"/>
      <c r="K1035" s="74"/>
      <c r="L1035" s="74"/>
      <c r="M1035" s="74"/>
      <c r="N1035" s="74"/>
      <c r="O1035" s="75"/>
      <c r="P1035" s="74"/>
      <c r="Q1035" s="75"/>
      <c r="R1035" s="74"/>
      <c r="S1035" s="74"/>
      <c r="T1035" s="74"/>
      <c r="U1035" s="75"/>
      <c r="V1035" s="74"/>
      <c r="W1035" s="75"/>
      <c r="X1035" s="74"/>
      <c r="Y1035" s="74"/>
      <c r="Z1035" s="74"/>
      <c r="AA1035" s="74"/>
      <c r="AB1035" s="74"/>
      <c r="AC1035" s="74"/>
      <c r="AD1035" s="74"/>
      <c r="AE1035" s="74"/>
      <c r="AF1035" s="74"/>
      <c r="AG1035" s="74"/>
      <c r="AH1035" s="74"/>
    </row>
    <row r="1036" s="73" customFormat="1" spans="1:34">
      <c r="A1036" s="74"/>
      <c r="B1036" s="74"/>
      <c r="C1036" s="74"/>
      <c r="D1036" s="74"/>
      <c r="E1036" s="74"/>
      <c r="F1036" s="74"/>
      <c r="G1036" s="74"/>
      <c r="H1036" s="74"/>
      <c r="I1036" s="74"/>
      <c r="J1036" s="74"/>
      <c r="K1036" s="74"/>
      <c r="L1036" s="74"/>
      <c r="M1036" s="74"/>
      <c r="N1036" s="74"/>
      <c r="O1036" s="75"/>
      <c r="P1036" s="74"/>
      <c r="Q1036" s="75"/>
      <c r="R1036" s="74"/>
      <c r="S1036" s="74"/>
      <c r="T1036" s="74"/>
      <c r="U1036" s="75"/>
      <c r="V1036" s="74"/>
      <c r="W1036" s="75"/>
      <c r="X1036" s="74"/>
      <c r="Y1036" s="74"/>
      <c r="Z1036" s="74"/>
      <c r="AA1036" s="74"/>
      <c r="AB1036" s="74"/>
      <c r="AC1036" s="74"/>
      <c r="AD1036" s="74"/>
      <c r="AE1036" s="74"/>
      <c r="AF1036" s="74"/>
      <c r="AG1036" s="74"/>
      <c r="AH1036" s="74"/>
    </row>
    <row r="1037" s="73" customFormat="1" spans="1:34">
      <c r="A1037" s="74"/>
      <c r="B1037" s="74"/>
      <c r="C1037" s="74"/>
      <c r="D1037" s="74"/>
      <c r="E1037" s="74"/>
      <c r="F1037" s="74"/>
      <c r="G1037" s="74"/>
      <c r="H1037" s="74"/>
      <c r="I1037" s="74"/>
      <c r="J1037" s="74"/>
      <c r="K1037" s="74"/>
      <c r="L1037" s="74"/>
      <c r="M1037" s="74"/>
      <c r="N1037" s="74"/>
      <c r="O1037" s="75"/>
      <c r="P1037" s="74"/>
      <c r="Q1037" s="75"/>
      <c r="R1037" s="74"/>
      <c r="S1037" s="74"/>
      <c r="T1037" s="74"/>
      <c r="U1037" s="75"/>
      <c r="V1037" s="74"/>
      <c r="W1037" s="75"/>
      <c r="X1037" s="74"/>
      <c r="Y1037" s="74"/>
      <c r="Z1037" s="74"/>
      <c r="AA1037" s="74"/>
      <c r="AB1037" s="74"/>
      <c r="AC1037" s="74"/>
      <c r="AD1037" s="74"/>
      <c r="AE1037" s="74"/>
      <c r="AF1037" s="74"/>
      <c r="AG1037" s="74"/>
      <c r="AH1037" s="74"/>
    </row>
    <row r="1038" s="73" customFormat="1" spans="1:34">
      <c r="A1038" s="74"/>
      <c r="B1038" s="74"/>
      <c r="C1038" s="74"/>
      <c r="D1038" s="74"/>
      <c r="E1038" s="74"/>
      <c r="F1038" s="74"/>
      <c r="G1038" s="74"/>
      <c r="H1038" s="74"/>
      <c r="I1038" s="74"/>
      <c r="J1038" s="74"/>
      <c r="K1038" s="74"/>
      <c r="L1038" s="74"/>
      <c r="M1038" s="74"/>
      <c r="N1038" s="74"/>
      <c r="O1038" s="75"/>
      <c r="P1038" s="74"/>
      <c r="Q1038" s="75"/>
      <c r="R1038" s="74"/>
      <c r="S1038" s="74"/>
      <c r="T1038" s="74"/>
      <c r="U1038" s="75"/>
      <c r="V1038" s="74"/>
      <c r="W1038" s="75"/>
      <c r="X1038" s="74"/>
      <c r="Y1038" s="74"/>
      <c r="Z1038" s="74"/>
      <c r="AA1038" s="74"/>
      <c r="AB1038" s="74"/>
      <c r="AC1038" s="74"/>
      <c r="AD1038" s="74"/>
      <c r="AE1038" s="74"/>
      <c r="AF1038" s="74"/>
      <c r="AG1038" s="74"/>
      <c r="AH1038" s="74"/>
    </row>
    <row r="1039" s="73" customFormat="1" spans="1:34">
      <c r="A1039" s="74"/>
      <c r="B1039" s="74"/>
      <c r="C1039" s="74"/>
      <c r="D1039" s="74"/>
      <c r="E1039" s="74"/>
      <c r="F1039" s="74"/>
      <c r="G1039" s="74"/>
      <c r="H1039" s="74"/>
      <c r="I1039" s="74"/>
      <c r="J1039" s="74"/>
      <c r="K1039" s="74"/>
      <c r="L1039" s="74"/>
      <c r="M1039" s="74"/>
      <c r="N1039" s="74"/>
      <c r="O1039" s="75"/>
      <c r="P1039" s="74"/>
      <c r="Q1039" s="75"/>
      <c r="R1039" s="74"/>
      <c r="S1039" s="74"/>
      <c r="T1039" s="74"/>
      <c r="U1039" s="75"/>
      <c r="V1039" s="74"/>
      <c r="W1039" s="75"/>
      <c r="X1039" s="74"/>
      <c r="Y1039" s="74"/>
      <c r="Z1039" s="74"/>
      <c r="AA1039" s="74"/>
      <c r="AB1039" s="74"/>
      <c r="AC1039" s="74"/>
      <c r="AD1039" s="74"/>
      <c r="AE1039" s="74"/>
      <c r="AF1039" s="74"/>
      <c r="AG1039" s="74"/>
      <c r="AH1039" s="74"/>
    </row>
    <row r="1040" s="73" customFormat="1" spans="1:34">
      <c r="A1040" s="74"/>
      <c r="B1040" s="74"/>
      <c r="C1040" s="74"/>
      <c r="D1040" s="74"/>
      <c r="E1040" s="74"/>
      <c r="F1040" s="74"/>
      <c r="G1040" s="74"/>
      <c r="H1040" s="74"/>
      <c r="I1040" s="74"/>
      <c r="J1040" s="74"/>
      <c r="K1040" s="74"/>
      <c r="L1040" s="74"/>
      <c r="M1040" s="74"/>
      <c r="N1040" s="74"/>
      <c r="O1040" s="75"/>
      <c r="P1040" s="74"/>
      <c r="Q1040" s="75"/>
      <c r="R1040" s="74"/>
      <c r="S1040" s="74"/>
      <c r="T1040" s="74"/>
      <c r="U1040" s="75"/>
      <c r="V1040" s="74"/>
      <c r="W1040" s="75"/>
      <c r="X1040" s="74"/>
      <c r="Y1040" s="74"/>
      <c r="Z1040" s="74"/>
      <c r="AA1040" s="74"/>
      <c r="AB1040" s="74"/>
      <c r="AC1040" s="74"/>
      <c r="AD1040" s="74"/>
      <c r="AE1040" s="74"/>
      <c r="AF1040" s="74"/>
      <c r="AG1040" s="74"/>
      <c r="AH1040" s="74"/>
    </row>
    <row r="1041" s="73" customFormat="1" spans="1:34">
      <c r="A1041" s="74"/>
      <c r="B1041" s="74"/>
      <c r="C1041" s="74"/>
      <c r="D1041" s="74"/>
      <c r="E1041" s="74"/>
      <c r="F1041" s="74"/>
      <c r="G1041" s="74"/>
      <c r="H1041" s="74"/>
      <c r="I1041" s="74"/>
      <c r="J1041" s="74"/>
      <c r="K1041" s="74"/>
      <c r="L1041" s="74"/>
      <c r="M1041" s="74"/>
      <c r="N1041" s="74"/>
      <c r="O1041" s="75"/>
      <c r="P1041" s="74"/>
      <c r="Q1041" s="75"/>
      <c r="R1041" s="74"/>
      <c r="S1041" s="74"/>
      <c r="T1041" s="74"/>
      <c r="U1041" s="75"/>
      <c r="V1041" s="74"/>
      <c r="W1041" s="75"/>
      <c r="X1041" s="74"/>
      <c r="Y1041" s="74"/>
      <c r="Z1041" s="74"/>
      <c r="AA1041" s="74"/>
      <c r="AB1041" s="74"/>
      <c r="AC1041" s="74"/>
      <c r="AD1041" s="74"/>
      <c r="AE1041" s="74"/>
      <c r="AF1041" s="74"/>
      <c r="AG1041" s="74"/>
      <c r="AH1041" s="74"/>
    </row>
    <row r="1042" s="73" customFormat="1" spans="1:34">
      <c r="A1042" s="74"/>
      <c r="B1042" s="74"/>
      <c r="C1042" s="74"/>
      <c r="D1042" s="74"/>
      <c r="E1042" s="74"/>
      <c r="F1042" s="74"/>
      <c r="G1042" s="74"/>
      <c r="H1042" s="74"/>
      <c r="I1042" s="74"/>
      <c r="J1042" s="74"/>
      <c r="K1042" s="74"/>
      <c r="L1042" s="74"/>
      <c r="M1042" s="74"/>
      <c r="N1042" s="74"/>
      <c r="O1042" s="75"/>
      <c r="P1042" s="74"/>
      <c r="Q1042" s="75"/>
      <c r="R1042" s="74"/>
      <c r="S1042" s="74"/>
      <c r="T1042" s="74"/>
      <c r="U1042" s="75"/>
      <c r="V1042" s="74"/>
      <c r="W1042" s="75"/>
      <c r="X1042" s="74"/>
      <c r="Y1042" s="74"/>
      <c r="Z1042" s="74"/>
      <c r="AA1042" s="74"/>
      <c r="AB1042" s="74"/>
      <c r="AC1042" s="74"/>
      <c r="AD1042" s="74"/>
      <c r="AE1042" s="74"/>
      <c r="AF1042" s="74"/>
      <c r="AG1042" s="74"/>
      <c r="AH1042" s="74"/>
    </row>
    <row r="1043" s="73" customFormat="1" spans="1:34">
      <c r="A1043" s="74"/>
      <c r="B1043" s="74"/>
      <c r="C1043" s="74"/>
      <c r="D1043" s="74"/>
      <c r="E1043" s="74"/>
      <c r="F1043" s="74"/>
      <c r="G1043" s="74"/>
      <c r="H1043" s="74"/>
      <c r="I1043" s="74"/>
      <c r="J1043" s="74"/>
      <c r="K1043" s="74"/>
      <c r="L1043" s="74"/>
      <c r="M1043" s="74"/>
      <c r="N1043" s="74"/>
      <c r="O1043" s="75"/>
      <c r="P1043" s="74"/>
      <c r="Q1043" s="75"/>
      <c r="R1043" s="74"/>
      <c r="S1043" s="74"/>
      <c r="T1043" s="74"/>
      <c r="U1043" s="75"/>
      <c r="V1043" s="74"/>
      <c r="W1043" s="75"/>
      <c r="X1043" s="74"/>
      <c r="Y1043" s="74"/>
      <c r="Z1043" s="74"/>
      <c r="AA1043" s="74"/>
      <c r="AB1043" s="74"/>
      <c r="AC1043" s="74"/>
      <c r="AD1043" s="74"/>
      <c r="AE1043" s="74"/>
      <c r="AF1043" s="74"/>
      <c r="AG1043" s="74"/>
      <c r="AH1043" s="74"/>
    </row>
    <row r="1044" s="73" customFormat="1" spans="1:34">
      <c r="A1044" s="74"/>
      <c r="B1044" s="74"/>
      <c r="C1044" s="74"/>
      <c r="D1044" s="74"/>
      <c r="E1044" s="74"/>
      <c r="F1044" s="74"/>
      <c r="G1044" s="74"/>
      <c r="H1044" s="74"/>
      <c r="I1044" s="74"/>
      <c r="J1044" s="74"/>
      <c r="K1044" s="74"/>
      <c r="L1044" s="74"/>
      <c r="M1044" s="74"/>
      <c r="N1044" s="74"/>
      <c r="O1044" s="75"/>
      <c r="P1044" s="74"/>
      <c r="Q1044" s="75"/>
      <c r="R1044" s="74"/>
      <c r="S1044" s="74"/>
      <c r="T1044" s="74"/>
      <c r="U1044" s="75"/>
      <c r="V1044" s="74"/>
      <c r="W1044" s="75"/>
      <c r="X1044" s="74"/>
      <c r="Y1044" s="74"/>
      <c r="Z1044" s="74"/>
      <c r="AA1044" s="74"/>
      <c r="AB1044" s="74"/>
      <c r="AC1044" s="74"/>
      <c r="AD1044" s="74"/>
      <c r="AE1044" s="74"/>
      <c r="AF1044" s="74"/>
      <c r="AG1044" s="74"/>
      <c r="AH1044" s="74"/>
    </row>
    <row r="1045" s="73" customFormat="1" spans="1:34">
      <c r="A1045" s="74"/>
      <c r="B1045" s="74"/>
      <c r="C1045" s="74"/>
      <c r="D1045" s="74"/>
      <c r="E1045" s="74"/>
      <c r="F1045" s="74"/>
      <c r="G1045" s="74"/>
      <c r="H1045" s="74"/>
      <c r="I1045" s="74"/>
      <c r="J1045" s="74"/>
      <c r="K1045" s="74"/>
      <c r="L1045" s="74"/>
      <c r="M1045" s="74"/>
      <c r="N1045" s="74"/>
      <c r="O1045" s="75"/>
      <c r="P1045" s="74"/>
      <c r="Q1045" s="75"/>
      <c r="R1045" s="74"/>
      <c r="S1045" s="74"/>
      <c r="T1045" s="74"/>
      <c r="U1045" s="75"/>
      <c r="V1045" s="74"/>
      <c r="W1045" s="75"/>
      <c r="X1045" s="74"/>
      <c r="Y1045" s="74"/>
      <c r="Z1045" s="74"/>
      <c r="AA1045" s="74"/>
      <c r="AB1045" s="74"/>
      <c r="AC1045" s="74"/>
      <c r="AD1045" s="74"/>
      <c r="AE1045" s="74"/>
      <c r="AF1045" s="74"/>
      <c r="AG1045" s="74"/>
      <c r="AH1045" s="74"/>
    </row>
    <row r="1046" s="73" customFormat="1" spans="1:34">
      <c r="A1046" s="74"/>
      <c r="B1046" s="74"/>
      <c r="C1046" s="74"/>
      <c r="D1046" s="74"/>
      <c r="E1046" s="74"/>
      <c r="F1046" s="74"/>
      <c r="G1046" s="74"/>
      <c r="H1046" s="74"/>
      <c r="I1046" s="74"/>
      <c r="J1046" s="74"/>
      <c r="K1046" s="74"/>
      <c r="L1046" s="74"/>
      <c r="M1046" s="74"/>
      <c r="N1046" s="74"/>
      <c r="O1046" s="75"/>
      <c r="P1046" s="74"/>
      <c r="Q1046" s="75"/>
      <c r="R1046" s="74"/>
      <c r="S1046" s="74"/>
      <c r="T1046" s="74"/>
      <c r="U1046" s="75"/>
      <c r="V1046" s="74"/>
      <c r="W1046" s="75"/>
      <c r="X1046" s="74"/>
      <c r="Y1046" s="74"/>
      <c r="Z1046" s="74"/>
      <c r="AA1046" s="74"/>
      <c r="AB1046" s="74"/>
      <c r="AC1046" s="74"/>
      <c r="AD1046" s="74"/>
      <c r="AE1046" s="74"/>
      <c r="AF1046" s="74"/>
      <c r="AG1046" s="74"/>
      <c r="AH1046" s="74"/>
    </row>
    <row r="1047" s="73" customFormat="1" spans="1:34">
      <c r="A1047" s="74"/>
      <c r="B1047" s="74"/>
      <c r="C1047" s="74"/>
      <c r="D1047" s="74"/>
      <c r="E1047" s="74"/>
      <c r="F1047" s="74"/>
      <c r="G1047" s="74"/>
      <c r="H1047" s="74"/>
      <c r="I1047" s="74"/>
      <c r="J1047" s="74"/>
      <c r="K1047" s="74"/>
      <c r="L1047" s="74"/>
      <c r="M1047" s="74"/>
      <c r="N1047" s="74"/>
      <c r="O1047" s="75"/>
      <c r="P1047" s="74"/>
      <c r="Q1047" s="75"/>
      <c r="R1047" s="74"/>
      <c r="S1047" s="74"/>
      <c r="T1047" s="74"/>
      <c r="U1047" s="75"/>
      <c r="V1047" s="74"/>
      <c r="W1047" s="75"/>
      <c r="X1047" s="74"/>
      <c r="Y1047" s="74"/>
      <c r="Z1047" s="74"/>
      <c r="AA1047" s="74"/>
      <c r="AB1047" s="74"/>
      <c r="AC1047" s="74"/>
      <c r="AD1047" s="74"/>
      <c r="AE1047" s="74"/>
      <c r="AF1047" s="74"/>
      <c r="AG1047" s="74"/>
      <c r="AH1047" s="74"/>
    </row>
    <row r="1048" s="73" customFormat="1" spans="1:34">
      <c r="A1048" s="74"/>
      <c r="B1048" s="74"/>
      <c r="C1048" s="74"/>
      <c r="D1048" s="74"/>
      <c r="E1048" s="74"/>
      <c r="F1048" s="74"/>
      <c r="G1048" s="74"/>
      <c r="H1048" s="74"/>
      <c r="I1048" s="74"/>
      <c r="J1048" s="74"/>
      <c r="K1048" s="74"/>
      <c r="L1048" s="74"/>
      <c r="M1048" s="74"/>
      <c r="N1048" s="74"/>
      <c r="O1048" s="75"/>
      <c r="P1048" s="74"/>
      <c r="Q1048" s="75"/>
      <c r="R1048" s="74"/>
      <c r="S1048" s="74"/>
      <c r="T1048" s="74"/>
      <c r="U1048" s="75"/>
      <c r="V1048" s="74"/>
      <c r="W1048" s="75"/>
      <c r="X1048" s="74"/>
      <c r="Y1048" s="74"/>
      <c r="Z1048" s="74"/>
      <c r="AA1048" s="74"/>
      <c r="AB1048" s="74"/>
      <c r="AC1048" s="74"/>
      <c r="AD1048" s="74"/>
      <c r="AE1048" s="74"/>
      <c r="AF1048" s="74"/>
      <c r="AG1048" s="74"/>
      <c r="AH1048" s="74"/>
    </row>
    <row r="1049" s="73" customFormat="1" spans="1:34">
      <c r="A1049" s="74"/>
      <c r="B1049" s="74"/>
      <c r="C1049" s="74"/>
      <c r="D1049" s="74"/>
      <c r="E1049" s="74"/>
      <c r="F1049" s="74"/>
      <c r="G1049" s="74"/>
      <c r="H1049" s="74"/>
      <c r="I1049" s="74"/>
      <c r="J1049" s="74"/>
      <c r="K1049" s="74"/>
      <c r="L1049" s="74"/>
      <c r="M1049" s="74"/>
      <c r="N1049" s="74"/>
      <c r="O1049" s="75"/>
      <c r="P1049" s="74"/>
      <c r="Q1049" s="75"/>
      <c r="R1049" s="74"/>
      <c r="S1049" s="74"/>
      <c r="T1049" s="74"/>
      <c r="U1049" s="75"/>
      <c r="V1049" s="74"/>
      <c r="W1049" s="75"/>
      <c r="X1049" s="74"/>
      <c r="Y1049" s="74"/>
      <c r="Z1049" s="74"/>
      <c r="AA1049" s="74"/>
      <c r="AB1049" s="74"/>
      <c r="AC1049" s="74"/>
      <c r="AD1049" s="74"/>
      <c r="AE1049" s="74"/>
      <c r="AF1049" s="74"/>
      <c r="AG1049" s="74"/>
      <c r="AH1049" s="74"/>
    </row>
    <row r="1050" s="73" customFormat="1" spans="1:34">
      <c r="A1050" s="74"/>
      <c r="B1050" s="74"/>
      <c r="C1050" s="74"/>
      <c r="D1050" s="74"/>
      <c r="E1050" s="74"/>
      <c r="F1050" s="74"/>
      <c r="G1050" s="74"/>
      <c r="H1050" s="74"/>
      <c r="I1050" s="74"/>
      <c r="J1050" s="74"/>
      <c r="K1050" s="74"/>
      <c r="L1050" s="74"/>
      <c r="M1050" s="74"/>
      <c r="N1050" s="74"/>
      <c r="O1050" s="75"/>
      <c r="P1050" s="74"/>
      <c r="Q1050" s="75"/>
      <c r="R1050" s="74"/>
      <c r="S1050" s="74"/>
      <c r="T1050" s="74"/>
      <c r="U1050" s="75"/>
      <c r="V1050" s="74"/>
      <c r="W1050" s="75"/>
      <c r="X1050" s="74"/>
      <c r="Y1050" s="74"/>
      <c r="Z1050" s="74"/>
      <c r="AA1050" s="74"/>
      <c r="AB1050" s="74"/>
      <c r="AC1050" s="74"/>
      <c r="AD1050" s="74"/>
      <c r="AE1050" s="74"/>
      <c r="AF1050" s="74"/>
      <c r="AG1050" s="74"/>
      <c r="AH1050" s="74"/>
    </row>
    <row r="1051" s="73" customFormat="1" spans="1:34">
      <c r="A1051" s="74"/>
      <c r="B1051" s="74"/>
      <c r="C1051" s="74"/>
      <c r="D1051" s="74"/>
      <c r="E1051" s="74"/>
      <c r="F1051" s="74"/>
      <c r="G1051" s="74"/>
      <c r="H1051" s="74"/>
      <c r="I1051" s="74"/>
      <c r="J1051" s="74"/>
      <c r="K1051" s="74"/>
      <c r="L1051" s="74"/>
      <c r="M1051" s="74"/>
      <c r="N1051" s="74"/>
      <c r="O1051" s="75"/>
      <c r="P1051" s="74"/>
      <c r="Q1051" s="75"/>
      <c r="R1051" s="74"/>
      <c r="S1051" s="74"/>
      <c r="T1051" s="74"/>
      <c r="U1051" s="75"/>
      <c r="V1051" s="74"/>
      <c r="W1051" s="75"/>
      <c r="X1051" s="74"/>
      <c r="Y1051" s="74"/>
      <c r="Z1051" s="74"/>
      <c r="AA1051" s="74"/>
      <c r="AB1051" s="74"/>
      <c r="AC1051" s="74"/>
      <c r="AD1051" s="74"/>
      <c r="AE1051" s="74"/>
      <c r="AF1051" s="74"/>
      <c r="AG1051" s="74"/>
      <c r="AH1051" s="74"/>
    </row>
    <row r="1052" s="73" customFormat="1" spans="1:34">
      <c r="A1052" s="74"/>
      <c r="B1052" s="74"/>
      <c r="C1052" s="74"/>
      <c r="D1052" s="74"/>
      <c r="E1052" s="74"/>
      <c r="F1052" s="74"/>
      <c r="G1052" s="74"/>
      <c r="H1052" s="74"/>
      <c r="I1052" s="74"/>
      <c r="J1052" s="74"/>
      <c r="K1052" s="74"/>
      <c r="L1052" s="74"/>
      <c r="M1052" s="74"/>
      <c r="N1052" s="74"/>
      <c r="O1052" s="75"/>
      <c r="P1052" s="74"/>
      <c r="Q1052" s="75"/>
      <c r="R1052" s="74"/>
      <c r="S1052" s="74"/>
      <c r="T1052" s="74"/>
      <c r="U1052" s="75"/>
      <c r="V1052" s="74"/>
      <c r="W1052" s="75"/>
      <c r="X1052" s="74"/>
      <c r="Y1052" s="74"/>
      <c r="Z1052" s="74"/>
      <c r="AA1052" s="74"/>
      <c r="AB1052" s="74"/>
      <c r="AC1052" s="74"/>
      <c r="AD1052" s="74"/>
      <c r="AE1052" s="74"/>
      <c r="AF1052" s="74"/>
      <c r="AG1052" s="74"/>
      <c r="AH1052" s="74"/>
    </row>
    <row r="1053" s="73" customFormat="1" spans="1:34">
      <c r="A1053" s="74"/>
      <c r="B1053" s="74"/>
      <c r="C1053" s="74"/>
      <c r="D1053" s="74"/>
      <c r="E1053" s="74"/>
      <c r="F1053" s="74"/>
      <c r="G1053" s="74"/>
      <c r="H1053" s="74"/>
      <c r="I1053" s="74"/>
      <c r="J1053" s="74"/>
      <c r="K1053" s="74"/>
      <c r="L1053" s="74"/>
      <c r="M1053" s="74"/>
      <c r="N1053" s="74"/>
      <c r="O1053" s="75"/>
      <c r="P1053" s="74"/>
      <c r="Q1053" s="75"/>
      <c r="R1053" s="74"/>
      <c r="S1053" s="74"/>
      <c r="T1053" s="74"/>
      <c r="U1053" s="75"/>
      <c r="V1053" s="74"/>
      <c r="W1053" s="75"/>
      <c r="X1053" s="74"/>
      <c r="Y1053" s="74"/>
      <c r="Z1053" s="74"/>
      <c r="AA1053" s="74"/>
      <c r="AB1053" s="74"/>
      <c r="AC1053" s="74"/>
      <c r="AD1053" s="74"/>
      <c r="AE1053" s="74"/>
      <c r="AF1053" s="74"/>
      <c r="AG1053" s="74"/>
      <c r="AH1053" s="74"/>
    </row>
    <row r="1054" s="73" customFormat="1" spans="1:34">
      <c r="A1054" s="74"/>
      <c r="B1054" s="74"/>
      <c r="C1054" s="74"/>
      <c r="D1054" s="74"/>
      <c r="E1054" s="74"/>
      <c r="F1054" s="74"/>
      <c r="G1054" s="74"/>
      <c r="H1054" s="74"/>
      <c r="I1054" s="74"/>
      <c r="J1054" s="74"/>
      <c r="K1054" s="74"/>
      <c r="L1054" s="74"/>
      <c r="M1054" s="74"/>
      <c r="N1054" s="74"/>
      <c r="O1054" s="75"/>
      <c r="P1054" s="74"/>
      <c r="Q1054" s="75"/>
      <c r="R1054" s="74"/>
      <c r="S1054" s="74"/>
      <c r="T1054" s="74"/>
      <c r="U1054" s="75"/>
      <c r="V1054" s="74"/>
      <c r="W1054" s="75"/>
      <c r="X1054" s="74"/>
      <c r="Y1054" s="74"/>
      <c r="Z1054" s="74"/>
      <c r="AA1054" s="74"/>
      <c r="AB1054" s="74"/>
      <c r="AC1054" s="74"/>
      <c r="AD1054" s="74"/>
      <c r="AE1054" s="74"/>
      <c r="AF1054" s="74"/>
      <c r="AG1054" s="74"/>
      <c r="AH1054" s="74"/>
    </row>
    <row r="1055" s="73" customFormat="1" spans="1:34">
      <c r="A1055" s="74"/>
      <c r="B1055" s="74"/>
      <c r="C1055" s="74"/>
      <c r="D1055" s="74"/>
      <c r="E1055" s="74"/>
      <c r="F1055" s="74"/>
      <c r="G1055" s="74"/>
      <c r="H1055" s="74"/>
      <c r="I1055" s="74"/>
      <c r="J1055" s="74"/>
      <c r="K1055" s="74"/>
      <c r="L1055" s="74"/>
      <c r="M1055" s="74"/>
      <c r="N1055" s="74"/>
      <c r="O1055" s="75"/>
      <c r="P1055" s="74"/>
      <c r="Q1055" s="75"/>
      <c r="R1055" s="74"/>
      <c r="S1055" s="74"/>
      <c r="T1055" s="74"/>
      <c r="U1055" s="75"/>
      <c r="V1055" s="74"/>
      <c r="W1055" s="75"/>
      <c r="X1055" s="74"/>
      <c r="Y1055" s="74"/>
      <c r="Z1055" s="74"/>
      <c r="AA1055" s="74"/>
      <c r="AB1055" s="74"/>
      <c r="AC1055" s="74"/>
      <c r="AD1055" s="74"/>
      <c r="AE1055" s="74"/>
      <c r="AF1055" s="74"/>
      <c r="AG1055" s="74"/>
      <c r="AH1055" s="74"/>
    </row>
    <row r="1056" s="73" customFormat="1" spans="1:34">
      <c r="A1056" s="74"/>
      <c r="B1056" s="74"/>
      <c r="C1056" s="74"/>
      <c r="D1056" s="74"/>
      <c r="E1056" s="74"/>
      <c r="F1056" s="74"/>
      <c r="G1056" s="74"/>
      <c r="H1056" s="74"/>
      <c r="I1056" s="74"/>
      <c r="J1056" s="74"/>
      <c r="K1056" s="74"/>
      <c r="L1056" s="74"/>
      <c r="M1056" s="74"/>
      <c r="N1056" s="74"/>
      <c r="O1056" s="75"/>
      <c r="P1056" s="74"/>
      <c r="Q1056" s="75"/>
      <c r="R1056" s="74"/>
      <c r="S1056" s="74"/>
      <c r="T1056" s="74"/>
      <c r="U1056" s="75"/>
      <c r="V1056" s="74"/>
      <c r="W1056" s="75"/>
      <c r="X1056" s="74"/>
      <c r="Y1056" s="74"/>
      <c r="Z1056" s="74"/>
      <c r="AA1056" s="74"/>
      <c r="AB1056" s="74"/>
      <c r="AC1056" s="74"/>
      <c r="AD1056" s="74"/>
      <c r="AE1056" s="74"/>
      <c r="AF1056" s="74"/>
      <c r="AG1056" s="74"/>
      <c r="AH1056" s="74"/>
    </row>
    <row r="1057" s="73" customFormat="1" spans="1:34">
      <c r="A1057" s="74"/>
      <c r="B1057" s="74"/>
      <c r="C1057" s="74"/>
      <c r="D1057" s="74"/>
      <c r="E1057" s="74"/>
      <c r="F1057" s="74"/>
      <c r="G1057" s="74"/>
      <c r="H1057" s="74"/>
      <c r="I1057" s="74"/>
      <c r="J1057" s="74"/>
      <c r="K1057" s="74"/>
      <c r="L1057" s="74"/>
      <c r="M1057" s="74"/>
      <c r="N1057" s="74"/>
      <c r="O1057" s="75"/>
      <c r="P1057" s="74"/>
      <c r="Q1057" s="75"/>
      <c r="R1057" s="74"/>
      <c r="S1057" s="74"/>
      <c r="T1057" s="74"/>
      <c r="U1057" s="75"/>
      <c r="V1057" s="74"/>
      <c r="W1057" s="75"/>
      <c r="X1057" s="74"/>
      <c r="Y1057" s="74"/>
      <c r="Z1057" s="74"/>
      <c r="AA1057" s="74"/>
      <c r="AB1057" s="74"/>
      <c r="AC1057" s="74"/>
      <c r="AD1057" s="74"/>
      <c r="AE1057" s="74"/>
      <c r="AF1057" s="74"/>
      <c r="AG1057" s="74"/>
      <c r="AH1057" s="74"/>
    </row>
    <row r="1059" s="73" customFormat="1" spans="1:34">
      <c r="A1059" s="74"/>
      <c r="B1059" s="74"/>
      <c r="C1059" s="74"/>
      <c r="D1059" s="74"/>
      <c r="E1059" s="74"/>
      <c r="F1059" s="74"/>
      <c r="G1059" s="74"/>
      <c r="H1059" s="74"/>
      <c r="I1059" s="74"/>
      <c r="J1059" s="74"/>
      <c r="K1059" s="74"/>
      <c r="L1059" s="74"/>
      <c r="M1059" s="74"/>
      <c r="N1059" s="74"/>
      <c r="O1059" s="75"/>
      <c r="P1059" s="74"/>
      <c r="Q1059" s="75"/>
      <c r="R1059" s="74"/>
      <c r="S1059" s="74"/>
      <c r="T1059" s="74"/>
      <c r="U1059" s="75"/>
      <c r="V1059" s="74"/>
      <c r="W1059" s="75"/>
      <c r="X1059" s="74"/>
      <c r="Y1059" s="74"/>
      <c r="Z1059" s="74"/>
      <c r="AA1059" s="74"/>
      <c r="AB1059" s="74"/>
      <c r="AC1059" s="74"/>
      <c r="AD1059" s="74"/>
      <c r="AE1059" s="74"/>
      <c r="AF1059" s="74"/>
      <c r="AG1059" s="74"/>
      <c r="AH1059" s="74"/>
    </row>
    <row r="1060" s="73" customFormat="1" spans="1:34">
      <c r="A1060" s="74"/>
      <c r="B1060" s="74"/>
      <c r="C1060" s="74"/>
      <c r="D1060" s="74"/>
      <c r="E1060" s="74"/>
      <c r="F1060" s="74"/>
      <c r="G1060" s="74"/>
      <c r="H1060" s="74"/>
      <c r="I1060" s="74"/>
      <c r="J1060" s="74"/>
      <c r="K1060" s="74"/>
      <c r="L1060" s="74"/>
      <c r="M1060" s="74"/>
      <c r="N1060" s="74"/>
      <c r="O1060" s="75"/>
      <c r="P1060" s="74"/>
      <c r="Q1060" s="75"/>
      <c r="R1060" s="74"/>
      <c r="S1060" s="74"/>
      <c r="T1060" s="74"/>
      <c r="U1060" s="75"/>
      <c r="V1060" s="74"/>
      <c r="W1060" s="75"/>
      <c r="X1060" s="74"/>
      <c r="Y1060" s="74"/>
      <c r="Z1060" s="74"/>
      <c r="AA1060" s="74"/>
      <c r="AB1060" s="74"/>
      <c r="AC1060" s="74"/>
      <c r="AD1060" s="74"/>
      <c r="AE1060" s="74"/>
      <c r="AF1060" s="74"/>
      <c r="AG1060" s="74"/>
      <c r="AH1060" s="74"/>
    </row>
    <row r="1061" s="73" customFormat="1" spans="1:34">
      <c r="A1061" s="74"/>
      <c r="B1061" s="74"/>
      <c r="C1061" s="74"/>
      <c r="D1061" s="74"/>
      <c r="E1061" s="74"/>
      <c r="F1061" s="74"/>
      <c r="G1061" s="74"/>
      <c r="H1061" s="74"/>
      <c r="I1061" s="74"/>
      <c r="J1061" s="74"/>
      <c r="K1061" s="74"/>
      <c r="L1061" s="74"/>
      <c r="M1061" s="74"/>
      <c r="N1061" s="74"/>
      <c r="O1061" s="75"/>
      <c r="P1061" s="74"/>
      <c r="Q1061" s="75"/>
      <c r="R1061" s="74"/>
      <c r="S1061" s="74"/>
      <c r="T1061" s="74"/>
      <c r="U1061" s="75"/>
      <c r="V1061" s="74"/>
      <c r="W1061" s="75"/>
      <c r="X1061" s="74"/>
      <c r="Y1061" s="74"/>
      <c r="Z1061" s="74"/>
      <c r="AA1061" s="74"/>
      <c r="AB1061" s="74"/>
      <c r="AC1061" s="74"/>
      <c r="AD1061" s="74"/>
      <c r="AE1061" s="74"/>
      <c r="AF1061" s="74"/>
      <c r="AG1061" s="74"/>
      <c r="AH1061" s="74"/>
    </row>
    <row r="1062" s="73" customFormat="1" spans="1:34">
      <c r="A1062" s="74"/>
      <c r="B1062" s="74"/>
      <c r="C1062" s="74"/>
      <c r="D1062" s="74"/>
      <c r="E1062" s="74"/>
      <c r="F1062" s="74"/>
      <c r="G1062" s="74"/>
      <c r="H1062" s="74"/>
      <c r="I1062" s="74"/>
      <c r="J1062" s="74"/>
      <c r="K1062" s="74"/>
      <c r="L1062" s="74"/>
      <c r="M1062" s="74"/>
      <c r="N1062" s="74"/>
      <c r="O1062" s="75"/>
      <c r="P1062" s="74"/>
      <c r="Q1062" s="75"/>
      <c r="R1062" s="74"/>
      <c r="S1062" s="74"/>
      <c r="T1062" s="74"/>
      <c r="U1062" s="75"/>
      <c r="V1062" s="74"/>
      <c r="W1062" s="75"/>
      <c r="X1062" s="74"/>
      <c r="Y1062" s="74"/>
      <c r="Z1062" s="74"/>
      <c r="AA1062" s="74"/>
      <c r="AB1062" s="74"/>
      <c r="AC1062" s="74"/>
      <c r="AD1062" s="74"/>
      <c r="AE1062" s="74"/>
      <c r="AF1062" s="74"/>
      <c r="AG1062" s="74"/>
      <c r="AH1062" s="74"/>
    </row>
    <row r="1063" s="73" customFormat="1" spans="1:34">
      <c r="A1063" s="74"/>
      <c r="B1063" s="74"/>
      <c r="C1063" s="74"/>
      <c r="D1063" s="74"/>
      <c r="E1063" s="74"/>
      <c r="F1063" s="74"/>
      <c r="G1063" s="74"/>
      <c r="H1063" s="74"/>
      <c r="I1063" s="74"/>
      <c r="J1063" s="74"/>
      <c r="K1063" s="74"/>
      <c r="L1063" s="74"/>
      <c r="M1063" s="74"/>
      <c r="N1063" s="74"/>
      <c r="O1063" s="75"/>
      <c r="P1063" s="74"/>
      <c r="Q1063" s="75"/>
      <c r="R1063" s="74"/>
      <c r="S1063" s="74"/>
      <c r="T1063" s="74"/>
      <c r="U1063" s="75"/>
      <c r="V1063" s="74"/>
      <c r="W1063" s="75"/>
      <c r="X1063" s="74"/>
      <c r="Y1063" s="74"/>
      <c r="Z1063" s="74"/>
      <c r="AA1063" s="74"/>
      <c r="AB1063" s="74"/>
      <c r="AC1063" s="74"/>
      <c r="AD1063" s="74"/>
      <c r="AE1063" s="74"/>
      <c r="AF1063" s="74"/>
      <c r="AG1063" s="74"/>
      <c r="AH1063" s="74"/>
    </row>
    <row r="1064" s="73" customFormat="1" spans="1:34">
      <c r="A1064" s="74"/>
      <c r="B1064" s="74"/>
      <c r="C1064" s="74"/>
      <c r="D1064" s="74"/>
      <c r="E1064" s="74"/>
      <c r="F1064" s="74"/>
      <c r="G1064" s="74"/>
      <c r="H1064" s="74"/>
      <c r="I1064" s="74"/>
      <c r="J1064" s="74"/>
      <c r="K1064" s="74"/>
      <c r="L1064" s="74"/>
      <c r="M1064" s="74"/>
      <c r="N1064" s="74"/>
      <c r="O1064" s="75"/>
      <c r="P1064" s="74"/>
      <c r="Q1064" s="75"/>
      <c r="R1064" s="74"/>
      <c r="S1064" s="74"/>
      <c r="T1064" s="74"/>
      <c r="U1064" s="75"/>
      <c r="V1064" s="74"/>
      <c r="W1064" s="75"/>
      <c r="X1064" s="74"/>
      <c r="Y1064" s="74"/>
      <c r="Z1064" s="74"/>
      <c r="AA1064" s="74"/>
      <c r="AB1064" s="74"/>
      <c r="AC1064" s="74"/>
      <c r="AD1064" s="74"/>
      <c r="AE1064" s="74"/>
      <c r="AF1064" s="74"/>
      <c r="AG1064" s="74"/>
      <c r="AH1064" s="74"/>
    </row>
    <row r="1065" s="73" customFormat="1" spans="1:34">
      <c r="A1065" s="74"/>
      <c r="B1065" s="74"/>
      <c r="C1065" s="74"/>
      <c r="D1065" s="74"/>
      <c r="E1065" s="74"/>
      <c r="F1065" s="74"/>
      <c r="G1065" s="74"/>
      <c r="H1065" s="74"/>
      <c r="I1065" s="74"/>
      <c r="J1065" s="74"/>
      <c r="K1065" s="74"/>
      <c r="L1065" s="74"/>
      <c r="M1065" s="74"/>
      <c r="N1065" s="74"/>
      <c r="O1065" s="75"/>
      <c r="P1065" s="74"/>
      <c r="Q1065" s="75"/>
      <c r="R1065" s="74"/>
      <c r="S1065" s="74"/>
      <c r="T1065" s="74"/>
      <c r="U1065" s="75"/>
      <c r="V1065" s="74"/>
      <c r="W1065" s="75"/>
      <c r="X1065" s="74"/>
      <c r="Y1065" s="74"/>
      <c r="Z1065" s="74"/>
      <c r="AA1065" s="74"/>
      <c r="AB1065" s="74"/>
      <c r="AC1065" s="74"/>
      <c r="AD1065" s="74"/>
      <c r="AE1065" s="74"/>
      <c r="AF1065" s="74"/>
      <c r="AG1065" s="74"/>
      <c r="AH1065" s="74"/>
    </row>
    <row r="1066" s="73" customFormat="1" spans="1:34">
      <c r="A1066" s="74"/>
      <c r="B1066" s="74"/>
      <c r="C1066" s="74"/>
      <c r="D1066" s="74"/>
      <c r="E1066" s="74"/>
      <c r="F1066" s="74"/>
      <c r="G1066" s="74"/>
      <c r="H1066" s="74"/>
      <c r="I1066" s="74"/>
      <c r="J1066" s="74"/>
      <c r="K1066" s="74"/>
      <c r="L1066" s="74"/>
      <c r="M1066" s="74"/>
      <c r="N1066" s="74"/>
      <c r="O1066" s="75"/>
      <c r="P1066" s="74"/>
      <c r="Q1066" s="75"/>
      <c r="R1066" s="74"/>
      <c r="S1066" s="74"/>
      <c r="T1066" s="74"/>
      <c r="U1066" s="75"/>
      <c r="V1066" s="74"/>
      <c r="W1066" s="75"/>
      <c r="X1066" s="74"/>
      <c r="Y1066" s="74"/>
      <c r="Z1066" s="74"/>
      <c r="AA1066" s="74"/>
      <c r="AB1066" s="74"/>
      <c r="AC1066" s="74"/>
      <c r="AD1066" s="74"/>
      <c r="AE1066" s="74"/>
      <c r="AF1066" s="74"/>
      <c r="AG1066" s="74"/>
      <c r="AH1066" s="74"/>
    </row>
    <row r="1067" s="73" customFormat="1" spans="1:34">
      <c r="A1067" s="74"/>
      <c r="B1067" s="74"/>
      <c r="C1067" s="74"/>
      <c r="D1067" s="74"/>
      <c r="E1067" s="74"/>
      <c r="F1067" s="74"/>
      <c r="G1067" s="74"/>
      <c r="H1067" s="74"/>
      <c r="I1067" s="74"/>
      <c r="J1067" s="74"/>
      <c r="K1067" s="74"/>
      <c r="L1067" s="74"/>
      <c r="M1067" s="74"/>
      <c r="N1067" s="74"/>
      <c r="O1067" s="75"/>
      <c r="P1067" s="74"/>
      <c r="Q1067" s="75"/>
      <c r="R1067" s="74"/>
      <c r="S1067" s="74"/>
      <c r="T1067" s="74"/>
      <c r="U1067" s="75"/>
      <c r="V1067" s="74"/>
      <c r="W1067" s="75"/>
      <c r="X1067" s="74"/>
      <c r="Y1067" s="74"/>
      <c r="Z1067" s="74"/>
      <c r="AA1067" s="74"/>
      <c r="AB1067" s="74"/>
      <c r="AC1067" s="74"/>
      <c r="AD1067" s="74"/>
      <c r="AE1067" s="74"/>
      <c r="AF1067" s="74"/>
      <c r="AG1067" s="74"/>
      <c r="AH1067" s="74"/>
    </row>
    <row r="1068" s="73" customFormat="1" spans="1:34">
      <c r="A1068" s="74"/>
      <c r="B1068" s="74"/>
      <c r="C1068" s="74"/>
      <c r="D1068" s="74"/>
      <c r="E1068" s="74"/>
      <c r="F1068" s="74"/>
      <c r="G1068" s="74"/>
      <c r="H1068" s="74"/>
      <c r="I1068" s="74"/>
      <c r="J1068" s="74"/>
      <c r="K1068" s="74"/>
      <c r="L1068" s="74"/>
      <c r="M1068" s="74"/>
      <c r="N1068" s="74"/>
      <c r="O1068" s="75"/>
      <c r="P1068" s="74"/>
      <c r="Q1068" s="75"/>
      <c r="R1068" s="74"/>
      <c r="S1068" s="74"/>
      <c r="T1068" s="74"/>
      <c r="U1068" s="75"/>
      <c r="V1068" s="74"/>
      <c r="W1068" s="75"/>
      <c r="X1068" s="74"/>
      <c r="Y1068" s="74"/>
      <c r="Z1068" s="74"/>
      <c r="AA1068" s="74"/>
      <c r="AB1068" s="74"/>
      <c r="AC1068" s="74"/>
      <c r="AD1068" s="74"/>
      <c r="AE1068" s="74"/>
      <c r="AF1068" s="74"/>
      <c r="AG1068" s="74"/>
      <c r="AH1068" s="74"/>
    </row>
    <row r="1069" s="73" customFormat="1" spans="1:34">
      <c r="A1069" s="74"/>
      <c r="B1069" s="74"/>
      <c r="C1069" s="74"/>
      <c r="D1069" s="74"/>
      <c r="E1069" s="74"/>
      <c r="F1069" s="74"/>
      <c r="G1069" s="74"/>
      <c r="H1069" s="74"/>
      <c r="I1069" s="74"/>
      <c r="J1069" s="74"/>
      <c r="K1069" s="74"/>
      <c r="L1069" s="74"/>
      <c r="M1069" s="74"/>
      <c r="N1069" s="74"/>
      <c r="O1069" s="75"/>
      <c r="P1069" s="74"/>
      <c r="Q1069" s="75"/>
      <c r="R1069" s="74"/>
      <c r="S1069" s="74"/>
      <c r="T1069" s="74"/>
      <c r="U1069" s="75"/>
      <c r="V1069" s="74"/>
      <c r="W1069" s="75"/>
      <c r="X1069" s="74"/>
      <c r="Y1069" s="74"/>
      <c r="Z1069" s="74"/>
      <c r="AA1069" s="74"/>
      <c r="AB1069" s="74"/>
      <c r="AC1069" s="74"/>
      <c r="AD1069" s="74"/>
      <c r="AE1069" s="74"/>
      <c r="AF1069" s="74"/>
      <c r="AG1069" s="74"/>
      <c r="AH1069" s="74"/>
    </row>
    <row r="1070" s="73" customFormat="1" spans="1:34">
      <c r="A1070" s="74"/>
      <c r="B1070" s="74"/>
      <c r="C1070" s="74"/>
      <c r="D1070" s="74"/>
      <c r="E1070" s="74"/>
      <c r="F1070" s="74"/>
      <c r="G1070" s="74"/>
      <c r="H1070" s="74"/>
      <c r="I1070" s="74"/>
      <c r="J1070" s="74"/>
      <c r="K1070" s="74"/>
      <c r="L1070" s="74"/>
      <c r="M1070" s="74"/>
      <c r="N1070" s="74"/>
      <c r="O1070" s="75"/>
      <c r="P1070" s="74"/>
      <c r="Q1070" s="75"/>
      <c r="R1070" s="74"/>
      <c r="S1070" s="74"/>
      <c r="T1070" s="74"/>
      <c r="U1070" s="75"/>
      <c r="V1070" s="74"/>
      <c r="W1070" s="75"/>
      <c r="X1070" s="74"/>
      <c r="Y1070" s="74"/>
      <c r="Z1070" s="74"/>
      <c r="AA1070" s="74"/>
      <c r="AB1070" s="74"/>
      <c r="AC1070" s="74"/>
      <c r="AD1070" s="74"/>
      <c r="AE1070" s="74"/>
      <c r="AF1070" s="74"/>
      <c r="AG1070" s="74"/>
      <c r="AH1070" s="74"/>
    </row>
    <row r="1071" s="73" customFormat="1" spans="1:34">
      <c r="A1071" s="74"/>
      <c r="B1071" s="74"/>
      <c r="C1071" s="74"/>
      <c r="D1071" s="74"/>
      <c r="E1071" s="74"/>
      <c r="F1071" s="74"/>
      <c r="G1071" s="74"/>
      <c r="H1071" s="74"/>
      <c r="I1071" s="74"/>
      <c r="J1071" s="74"/>
      <c r="K1071" s="74"/>
      <c r="L1071" s="74"/>
      <c r="M1071" s="74"/>
      <c r="N1071" s="74"/>
      <c r="O1071" s="75"/>
      <c r="P1071" s="74"/>
      <c r="Q1071" s="75"/>
      <c r="R1071" s="74"/>
      <c r="S1071" s="74"/>
      <c r="T1071" s="74"/>
      <c r="U1071" s="75"/>
      <c r="V1071" s="74"/>
      <c r="W1071" s="75"/>
      <c r="X1071" s="74"/>
      <c r="Y1071" s="74"/>
      <c r="Z1071" s="74"/>
      <c r="AA1071" s="74"/>
      <c r="AB1071" s="74"/>
      <c r="AC1071" s="74"/>
      <c r="AD1071" s="74"/>
      <c r="AE1071" s="74"/>
      <c r="AF1071" s="74"/>
      <c r="AG1071" s="74"/>
      <c r="AH1071" s="74"/>
    </row>
    <row r="1072" s="73" customFormat="1" spans="1:34">
      <c r="A1072" s="74"/>
      <c r="B1072" s="74"/>
      <c r="C1072" s="74"/>
      <c r="D1072" s="74"/>
      <c r="E1072" s="74"/>
      <c r="F1072" s="74"/>
      <c r="G1072" s="74"/>
      <c r="H1072" s="74"/>
      <c r="I1072" s="74"/>
      <c r="J1072" s="74"/>
      <c r="K1072" s="74"/>
      <c r="L1072" s="74"/>
      <c r="M1072" s="74"/>
      <c r="N1072" s="74"/>
      <c r="O1072" s="75"/>
      <c r="P1072" s="74"/>
      <c r="Q1072" s="75"/>
      <c r="R1072" s="74"/>
      <c r="S1072" s="74"/>
      <c r="T1072" s="74"/>
      <c r="U1072" s="75"/>
      <c r="V1072" s="74"/>
      <c r="W1072" s="75"/>
      <c r="X1072" s="74"/>
      <c r="Y1072" s="74"/>
      <c r="Z1072" s="74"/>
      <c r="AA1072" s="74"/>
      <c r="AB1072" s="74"/>
      <c r="AC1072" s="74"/>
      <c r="AD1072" s="74"/>
      <c r="AE1072" s="74"/>
      <c r="AF1072" s="74"/>
      <c r="AG1072" s="74"/>
      <c r="AH1072" s="74"/>
    </row>
    <row r="1073" s="73" customFormat="1" spans="1:34">
      <c r="A1073" s="74"/>
      <c r="B1073" s="74"/>
      <c r="C1073" s="74"/>
      <c r="D1073" s="74"/>
      <c r="E1073" s="74"/>
      <c r="F1073" s="74"/>
      <c r="G1073" s="74"/>
      <c r="H1073" s="74"/>
      <c r="I1073" s="74"/>
      <c r="J1073" s="74"/>
      <c r="K1073" s="74"/>
      <c r="L1073" s="74"/>
      <c r="M1073" s="74"/>
      <c r="N1073" s="74"/>
      <c r="O1073" s="75"/>
      <c r="P1073" s="74"/>
      <c r="Q1073" s="75"/>
      <c r="R1073" s="74"/>
      <c r="S1073" s="74"/>
      <c r="T1073" s="74"/>
      <c r="U1073" s="75"/>
      <c r="V1073" s="74"/>
      <c r="W1073" s="75"/>
      <c r="X1073" s="74"/>
      <c r="Y1073" s="74"/>
      <c r="Z1073" s="74"/>
      <c r="AA1073" s="74"/>
      <c r="AB1073" s="74"/>
      <c r="AC1073" s="74"/>
      <c r="AD1073" s="74"/>
      <c r="AE1073" s="74"/>
      <c r="AF1073" s="74"/>
      <c r="AG1073" s="74"/>
      <c r="AH1073" s="74"/>
    </row>
    <row r="1074" s="73" customFormat="1" spans="1:34">
      <c r="A1074" s="74"/>
      <c r="B1074" s="74"/>
      <c r="C1074" s="74"/>
      <c r="D1074" s="74"/>
      <c r="E1074" s="74"/>
      <c r="F1074" s="74"/>
      <c r="G1074" s="74"/>
      <c r="H1074" s="74"/>
      <c r="I1074" s="74"/>
      <c r="J1074" s="74"/>
      <c r="K1074" s="74"/>
      <c r="L1074" s="74"/>
      <c r="M1074" s="74"/>
      <c r="N1074" s="74"/>
      <c r="O1074" s="75"/>
      <c r="P1074" s="74"/>
      <c r="Q1074" s="75"/>
      <c r="R1074" s="74"/>
      <c r="S1074" s="74"/>
      <c r="T1074" s="74"/>
      <c r="U1074" s="75"/>
      <c r="V1074" s="74"/>
      <c r="W1074" s="75"/>
      <c r="X1074" s="74"/>
      <c r="Y1074" s="74"/>
      <c r="Z1074" s="74"/>
      <c r="AA1074" s="74"/>
      <c r="AB1074" s="74"/>
      <c r="AC1074" s="74"/>
      <c r="AD1074" s="74"/>
      <c r="AE1074" s="74"/>
      <c r="AF1074" s="74"/>
      <c r="AG1074" s="74"/>
      <c r="AH1074" s="74"/>
    </row>
    <row r="1075" s="73" customFormat="1" spans="1:34">
      <c r="A1075" s="74"/>
      <c r="B1075" s="74"/>
      <c r="C1075" s="74"/>
      <c r="D1075" s="74"/>
      <c r="E1075" s="74"/>
      <c r="F1075" s="74"/>
      <c r="G1075" s="74"/>
      <c r="H1075" s="74"/>
      <c r="I1075" s="74"/>
      <c r="J1075" s="74"/>
      <c r="K1075" s="74"/>
      <c r="L1075" s="74"/>
      <c r="M1075" s="74"/>
      <c r="N1075" s="74"/>
      <c r="O1075" s="75"/>
      <c r="P1075" s="74"/>
      <c r="Q1075" s="75"/>
      <c r="R1075" s="74"/>
      <c r="S1075" s="74"/>
      <c r="T1075" s="74"/>
      <c r="U1075" s="75"/>
      <c r="V1075" s="74"/>
      <c r="W1075" s="75"/>
      <c r="X1075" s="74"/>
      <c r="Y1075" s="74"/>
      <c r="Z1075" s="74"/>
      <c r="AA1075" s="74"/>
      <c r="AB1075" s="74"/>
      <c r="AC1075" s="74"/>
      <c r="AD1075" s="74"/>
      <c r="AE1075" s="74"/>
      <c r="AF1075" s="74"/>
      <c r="AG1075" s="74"/>
      <c r="AH1075" s="74"/>
    </row>
    <row r="1076" s="73" customFormat="1" spans="1:34">
      <c r="A1076" s="74"/>
      <c r="B1076" s="74"/>
      <c r="C1076" s="74"/>
      <c r="D1076" s="74"/>
      <c r="E1076" s="74"/>
      <c r="F1076" s="74"/>
      <c r="G1076" s="74"/>
      <c r="H1076" s="74"/>
      <c r="I1076" s="74"/>
      <c r="J1076" s="74"/>
      <c r="K1076" s="74"/>
      <c r="L1076" s="74"/>
      <c r="M1076" s="74"/>
      <c r="N1076" s="74"/>
      <c r="O1076" s="75"/>
      <c r="P1076" s="74"/>
      <c r="Q1076" s="75"/>
      <c r="R1076" s="74"/>
      <c r="S1076" s="74"/>
      <c r="T1076" s="74"/>
      <c r="U1076" s="75"/>
      <c r="V1076" s="74"/>
      <c r="W1076" s="75"/>
      <c r="X1076" s="74"/>
      <c r="Y1076" s="74"/>
      <c r="Z1076" s="74"/>
      <c r="AA1076" s="74"/>
      <c r="AB1076" s="74"/>
      <c r="AC1076" s="74"/>
      <c r="AD1076" s="74"/>
      <c r="AE1076" s="74"/>
      <c r="AF1076" s="74"/>
      <c r="AG1076" s="74"/>
      <c r="AH1076" s="74"/>
    </row>
    <row r="1077" s="73" customFormat="1" spans="1:34">
      <c r="A1077" s="74"/>
      <c r="B1077" s="74"/>
      <c r="C1077" s="74"/>
      <c r="D1077" s="74"/>
      <c r="E1077" s="74"/>
      <c r="F1077" s="74"/>
      <c r="G1077" s="74"/>
      <c r="H1077" s="74"/>
      <c r="I1077" s="74"/>
      <c r="J1077" s="74"/>
      <c r="K1077" s="74"/>
      <c r="L1077" s="74"/>
      <c r="M1077" s="74"/>
      <c r="N1077" s="74"/>
      <c r="O1077" s="75"/>
      <c r="P1077" s="74"/>
      <c r="Q1077" s="75"/>
      <c r="R1077" s="74"/>
      <c r="S1077" s="74"/>
      <c r="T1077" s="74"/>
      <c r="U1077" s="75"/>
      <c r="V1077" s="74"/>
      <c r="W1077" s="75"/>
      <c r="X1077" s="74"/>
      <c r="Y1077" s="74"/>
      <c r="Z1077" s="74"/>
      <c r="AA1077" s="74"/>
      <c r="AB1077" s="74"/>
      <c r="AC1077" s="74"/>
      <c r="AD1077" s="74"/>
      <c r="AE1077" s="74"/>
      <c r="AF1077" s="74"/>
      <c r="AG1077" s="74"/>
      <c r="AH1077" s="74"/>
    </row>
    <row r="1078" s="73" customFormat="1" spans="1:34">
      <c r="A1078" s="74"/>
      <c r="B1078" s="74"/>
      <c r="C1078" s="74"/>
      <c r="D1078" s="74"/>
      <c r="E1078" s="74"/>
      <c r="F1078" s="74"/>
      <c r="G1078" s="74"/>
      <c r="H1078" s="74"/>
      <c r="I1078" s="74"/>
      <c r="J1078" s="74"/>
      <c r="K1078" s="74"/>
      <c r="L1078" s="74"/>
      <c r="M1078" s="74"/>
      <c r="N1078" s="74"/>
      <c r="O1078" s="75"/>
      <c r="P1078" s="74"/>
      <c r="Q1078" s="75"/>
      <c r="R1078" s="74"/>
      <c r="S1078" s="74"/>
      <c r="T1078" s="74"/>
      <c r="U1078" s="75"/>
      <c r="V1078" s="74"/>
      <c r="W1078" s="75"/>
      <c r="X1078" s="74"/>
      <c r="Y1078" s="74"/>
      <c r="Z1078" s="74"/>
      <c r="AA1078" s="74"/>
      <c r="AB1078" s="74"/>
      <c r="AC1078" s="74"/>
      <c r="AD1078" s="74"/>
      <c r="AE1078" s="74"/>
      <c r="AF1078" s="74"/>
      <c r="AG1078" s="74"/>
      <c r="AH1078" s="74"/>
    </row>
    <row r="1079" s="73" customFormat="1" spans="1:34">
      <c r="A1079" s="74"/>
      <c r="B1079" s="74"/>
      <c r="C1079" s="74"/>
      <c r="D1079" s="74"/>
      <c r="E1079" s="74"/>
      <c r="F1079" s="74"/>
      <c r="G1079" s="74"/>
      <c r="H1079" s="74"/>
      <c r="I1079" s="74"/>
      <c r="J1079" s="74"/>
      <c r="K1079" s="74"/>
      <c r="L1079" s="74"/>
      <c r="M1079" s="74"/>
      <c r="N1079" s="74"/>
      <c r="O1079" s="75"/>
      <c r="P1079" s="74"/>
      <c r="Q1079" s="75"/>
      <c r="R1079" s="74"/>
      <c r="S1079" s="74"/>
      <c r="T1079" s="74"/>
      <c r="U1079" s="75"/>
      <c r="V1079" s="74"/>
      <c r="W1079" s="75"/>
      <c r="X1079" s="74"/>
      <c r="Y1079" s="74"/>
      <c r="Z1079" s="74"/>
      <c r="AA1079" s="74"/>
      <c r="AB1079" s="74"/>
      <c r="AC1079" s="74"/>
      <c r="AD1079" s="74"/>
      <c r="AE1079" s="74"/>
      <c r="AF1079" s="74"/>
      <c r="AG1079" s="74"/>
      <c r="AH1079" s="74"/>
    </row>
    <row r="1080" s="73" customFormat="1" spans="1:34">
      <c r="A1080" s="74"/>
      <c r="B1080" s="74"/>
      <c r="C1080" s="74"/>
      <c r="D1080" s="74"/>
      <c r="E1080" s="74"/>
      <c r="F1080" s="74"/>
      <c r="G1080" s="74"/>
      <c r="H1080" s="74"/>
      <c r="I1080" s="74"/>
      <c r="J1080" s="74"/>
      <c r="K1080" s="74"/>
      <c r="L1080" s="74"/>
      <c r="M1080" s="74"/>
      <c r="N1080" s="74"/>
      <c r="O1080" s="75"/>
      <c r="P1080" s="74"/>
      <c r="Q1080" s="75"/>
      <c r="R1080" s="74"/>
      <c r="S1080" s="74"/>
      <c r="T1080" s="74"/>
      <c r="U1080" s="75"/>
      <c r="V1080" s="74"/>
      <c r="W1080" s="75"/>
      <c r="X1080" s="74"/>
      <c r="Y1080" s="74"/>
      <c r="Z1080" s="74"/>
      <c r="AA1080" s="74"/>
      <c r="AB1080" s="74"/>
      <c r="AC1080" s="74"/>
      <c r="AD1080" s="74"/>
      <c r="AE1080" s="74"/>
      <c r="AF1080" s="74"/>
      <c r="AG1080" s="74"/>
      <c r="AH1080" s="74"/>
    </row>
    <row r="1081" s="73" customFormat="1" spans="1:34">
      <c r="A1081" s="74"/>
      <c r="B1081" s="74"/>
      <c r="C1081" s="74"/>
      <c r="D1081" s="74"/>
      <c r="E1081" s="74"/>
      <c r="F1081" s="74"/>
      <c r="G1081" s="74"/>
      <c r="H1081" s="74"/>
      <c r="I1081" s="74"/>
      <c r="J1081" s="74"/>
      <c r="K1081" s="74"/>
      <c r="L1081" s="74"/>
      <c r="M1081" s="74"/>
      <c r="N1081" s="74"/>
      <c r="O1081" s="75"/>
      <c r="P1081" s="74"/>
      <c r="Q1081" s="75"/>
      <c r="R1081" s="74"/>
      <c r="S1081" s="74"/>
      <c r="T1081" s="74"/>
      <c r="U1081" s="75"/>
      <c r="V1081" s="74"/>
      <c r="W1081" s="75"/>
      <c r="X1081" s="74"/>
      <c r="Y1081" s="74"/>
      <c r="Z1081" s="74"/>
      <c r="AA1081" s="74"/>
      <c r="AB1081" s="74"/>
      <c r="AC1081" s="74"/>
      <c r="AD1081" s="74"/>
      <c r="AE1081" s="74"/>
      <c r="AF1081" s="74"/>
      <c r="AG1081" s="74"/>
      <c r="AH1081" s="74"/>
    </row>
    <row r="1082" s="73" customFormat="1" spans="1:34">
      <c r="A1082" s="74"/>
      <c r="B1082" s="74"/>
      <c r="C1082" s="74"/>
      <c r="D1082" s="74"/>
      <c r="E1082" s="74"/>
      <c r="F1082" s="74"/>
      <c r="G1082" s="74"/>
      <c r="H1082" s="74"/>
      <c r="I1082" s="74"/>
      <c r="J1082" s="74"/>
      <c r="K1082" s="74"/>
      <c r="L1082" s="74"/>
      <c r="M1082" s="74"/>
      <c r="N1082" s="74"/>
      <c r="O1082" s="75"/>
      <c r="P1082" s="74"/>
      <c r="Q1082" s="75"/>
      <c r="R1082" s="74"/>
      <c r="S1082" s="74"/>
      <c r="T1082" s="74"/>
      <c r="U1082" s="75"/>
      <c r="V1082" s="74"/>
      <c r="W1082" s="75"/>
      <c r="X1082" s="74"/>
      <c r="Y1082" s="74"/>
      <c r="Z1082" s="74"/>
      <c r="AA1082" s="74"/>
      <c r="AB1082" s="74"/>
      <c r="AC1082" s="74"/>
      <c r="AD1082" s="74"/>
      <c r="AE1082" s="74"/>
      <c r="AF1082" s="74"/>
      <c r="AG1082" s="74"/>
      <c r="AH1082" s="74"/>
    </row>
    <row r="1083" s="73" customFormat="1" spans="1:34">
      <c r="A1083" s="74"/>
      <c r="B1083" s="74"/>
      <c r="C1083" s="74"/>
      <c r="D1083" s="74"/>
      <c r="E1083" s="74"/>
      <c r="F1083" s="74"/>
      <c r="G1083" s="74"/>
      <c r="H1083" s="74"/>
      <c r="I1083" s="74"/>
      <c r="J1083" s="74"/>
      <c r="K1083" s="74"/>
      <c r="L1083" s="74"/>
      <c r="M1083" s="74"/>
      <c r="N1083" s="74"/>
      <c r="O1083" s="75"/>
      <c r="P1083" s="74"/>
      <c r="Q1083" s="75"/>
      <c r="R1083" s="74"/>
      <c r="S1083" s="74"/>
      <c r="T1083" s="74"/>
      <c r="U1083" s="75"/>
      <c r="V1083" s="74"/>
      <c r="W1083" s="75"/>
      <c r="X1083" s="74"/>
      <c r="Y1083" s="74"/>
      <c r="Z1083" s="74"/>
      <c r="AA1083" s="74"/>
      <c r="AB1083" s="74"/>
      <c r="AC1083" s="74"/>
      <c r="AD1083" s="74"/>
      <c r="AE1083" s="74"/>
      <c r="AF1083" s="74"/>
      <c r="AG1083" s="74"/>
      <c r="AH1083" s="74"/>
    </row>
    <row r="1084" s="73" customFormat="1" spans="1:34">
      <c r="A1084" s="74"/>
      <c r="B1084" s="74"/>
      <c r="C1084" s="74"/>
      <c r="D1084" s="74"/>
      <c r="E1084" s="74"/>
      <c r="F1084" s="74"/>
      <c r="G1084" s="74"/>
      <c r="H1084" s="74"/>
      <c r="I1084" s="74"/>
      <c r="J1084" s="74"/>
      <c r="K1084" s="74"/>
      <c r="L1084" s="74"/>
      <c r="M1084" s="74"/>
      <c r="N1084" s="74"/>
      <c r="O1084" s="75"/>
      <c r="P1084" s="74"/>
      <c r="Q1084" s="75"/>
      <c r="R1084" s="74"/>
      <c r="S1084" s="74"/>
      <c r="T1084" s="74"/>
      <c r="U1084" s="75"/>
      <c r="V1084" s="74"/>
      <c r="W1084" s="75"/>
      <c r="X1084" s="74"/>
      <c r="Y1084" s="74"/>
      <c r="Z1084" s="74"/>
      <c r="AA1084" s="74"/>
      <c r="AB1084" s="74"/>
      <c r="AC1084" s="74"/>
      <c r="AD1084" s="74"/>
      <c r="AE1084" s="74"/>
      <c r="AF1084" s="74"/>
      <c r="AG1084" s="74"/>
      <c r="AH1084" s="74"/>
    </row>
    <row r="1085" s="73" customFormat="1" spans="1:34">
      <c r="A1085" s="74"/>
      <c r="B1085" s="74"/>
      <c r="C1085" s="74"/>
      <c r="D1085" s="74"/>
      <c r="E1085" s="74"/>
      <c r="F1085" s="74"/>
      <c r="G1085" s="74"/>
      <c r="H1085" s="74"/>
      <c r="I1085" s="74"/>
      <c r="J1085" s="74"/>
      <c r="K1085" s="74"/>
      <c r="L1085" s="74"/>
      <c r="M1085" s="74"/>
      <c r="N1085" s="74"/>
      <c r="O1085" s="75"/>
      <c r="P1085" s="74"/>
      <c r="Q1085" s="75"/>
      <c r="R1085" s="74"/>
      <c r="S1085" s="74"/>
      <c r="T1085" s="74"/>
      <c r="U1085" s="75"/>
      <c r="V1085" s="74"/>
      <c r="W1085" s="75"/>
      <c r="X1085" s="74"/>
      <c r="Y1085" s="74"/>
      <c r="Z1085" s="74"/>
      <c r="AA1085" s="74"/>
      <c r="AB1085" s="74"/>
      <c r="AC1085" s="74"/>
      <c r="AD1085" s="74"/>
      <c r="AE1085" s="74"/>
      <c r="AF1085" s="74"/>
      <c r="AG1085" s="74"/>
      <c r="AH1085" s="74"/>
    </row>
    <row r="1086" s="73" customFormat="1" spans="1:34">
      <c r="A1086" s="74"/>
      <c r="B1086" s="74"/>
      <c r="C1086" s="74"/>
      <c r="D1086" s="74"/>
      <c r="E1086" s="74"/>
      <c r="F1086" s="74"/>
      <c r="G1086" s="74"/>
      <c r="H1086" s="74"/>
      <c r="I1086" s="74"/>
      <c r="J1086" s="74"/>
      <c r="K1086" s="74"/>
      <c r="L1086" s="74"/>
      <c r="M1086" s="74"/>
      <c r="N1086" s="74"/>
      <c r="O1086" s="75"/>
      <c r="P1086" s="74"/>
      <c r="Q1086" s="75"/>
      <c r="R1086" s="74"/>
      <c r="S1086" s="74"/>
      <c r="T1086" s="74"/>
      <c r="U1086" s="75"/>
      <c r="V1086" s="74"/>
      <c r="W1086" s="75"/>
      <c r="X1086" s="74"/>
      <c r="Y1086" s="74"/>
      <c r="Z1086" s="74"/>
      <c r="AA1086" s="74"/>
      <c r="AB1086" s="74"/>
      <c r="AC1086" s="74"/>
      <c r="AD1086" s="74"/>
      <c r="AE1086" s="74"/>
      <c r="AF1086" s="74"/>
      <c r="AG1086" s="74"/>
      <c r="AH1086" s="74"/>
    </row>
    <row r="1087" s="73" customFormat="1" spans="1:34">
      <c r="A1087" s="74"/>
      <c r="B1087" s="74"/>
      <c r="C1087" s="74"/>
      <c r="D1087" s="74"/>
      <c r="E1087" s="74"/>
      <c r="F1087" s="74"/>
      <c r="G1087" s="74"/>
      <c r="H1087" s="74"/>
      <c r="I1087" s="74"/>
      <c r="J1087" s="74"/>
      <c r="K1087" s="74"/>
      <c r="L1087" s="74"/>
      <c r="M1087" s="74"/>
      <c r="N1087" s="74"/>
      <c r="O1087" s="75"/>
      <c r="P1087" s="74"/>
      <c r="Q1087" s="75"/>
      <c r="R1087" s="74"/>
      <c r="S1087" s="74"/>
      <c r="T1087" s="74"/>
      <c r="U1087" s="75"/>
      <c r="V1087" s="74"/>
      <c r="W1087" s="75"/>
      <c r="X1087" s="74"/>
      <c r="Y1087" s="74"/>
      <c r="Z1087" s="74"/>
      <c r="AA1087" s="74"/>
      <c r="AB1087" s="74"/>
      <c r="AC1087" s="74"/>
      <c r="AD1087" s="74"/>
      <c r="AE1087" s="74"/>
      <c r="AF1087" s="74"/>
      <c r="AG1087" s="74"/>
      <c r="AH1087" s="74"/>
    </row>
    <row r="1088" s="73" customFormat="1" spans="1:34">
      <c r="A1088" s="74"/>
      <c r="B1088" s="74"/>
      <c r="C1088" s="74"/>
      <c r="D1088" s="74"/>
      <c r="E1088" s="74"/>
      <c r="F1088" s="74"/>
      <c r="G1088" s="74"/>
      <c r="H1088" s="74"/>
      <c r="I1088" s="74"/>
      <c r="J1088" s="74"/>
      <c r="K1088" s="74"/>
      <c r="L1088" s="74"/>
      <c r="M1088" s="74"/>
      <c r="N1088" s="74"/>
      <c r="O1088" s="75"/>
      <c r="P1088" s="74"/>
      <c r="Q1088" s="75"/>
      <c r="R1088" s="74"/>
      <c r="S1088" s="74"/>
      <c r="T1088" s="74"/>
      <c r="U1088" s="75"/>
      <c r="V1088" s="74"/>
      <c r="W1088" s="75"/>
      <c r="X1088" s="74"/>
      <c r="Y1088" s="74"/>
      <c r="Z1088" s="74"/>
      <c r="AA1088" s="74"/>
      <c r="AB1088" s="74"/>
      <c r="AC1088" s="74"/>
      <c r="AD1088" s="74"/>
      <c r="AE1088" s="74"/>
      <c r="AF1088" s="74"/>
      <c r="AG1088" s="74"/>
      <c r="AH1088" s="74"/>
    </row>
    <row r="1089" s="73" customFormat="1" spans="1:34">
      <c r="A1089" s="74"/>
      <c r="B1089" s="74"/>
      <c r="C1089" s="74"/>
      <c r="D1089" s="74"/>
      <c r="E1089" s="74"/>
      <c r="F1089" s="74"/>
      <c r="G1089" s="74"/>
      <c r="H1089" s="74"/>
      <c r="I1089" s="74"/>
      <c r="J1089" s="74"/>
      <c r="K1089" s="74"/>
      <c r="L1089" s="74"/>
      <c r="M1089" s="74"/>
      <c r="N1089" s="74"/>
      <c r="O1089" s="75"/>
      <c r="P1089" s="74"/>
      <c r="Q1089" s="75"/>
      <c r="R1089" s="74"/>
      <c r="S1089" s="74"/>
      <c r="T1089" s="74"/>
      <c r="U1089" s="75"/>
      <c r="V1089" s="74"/>
      <c r="W1089" s="75"/>
      <c r="X1089" s="74"/>
      <c r="Y1089" s="74"/>
      <c r="Z1089" s="74"/>
      <c r="AA1089" s="74"/>
      <c r="AB1089" s="74"/>
      <c r="AC1089" s="74"/>
      <c r="AD1089" s="74"/>
      <c r="AE1089" s="74"/>
      <c r="AF1089" s="74"/>
      <c r="AG1089" s="74"/>
      <c r="AH1089" s="74"/>
    </row>
    <row r="1090" s="73" customFormat="1" spans="1:34">
      <c r="A1090" s="74"/>
      <c r="B1090" s="74"/>
      <c r="C1090" s="74"/>
      <c r="D1090" s="74"/>
      <c r="E1090" s="74"/>
      <c r="F1090" s="74"/>
      <c r="G1090" s="74"/>
      <c r="H1090" s="74"/>
      <c r="I1090" s="74"/>
      <c r="J1090" s="74"/>
      <c r="K1090" s="74"/>
      <c r="L1090" s="74"/>
      <c r="M1090" s="74"/>
      <c r="N1090" s="74"/>
      <c r="O1090" s="75"/>
      <c r="P1090" s="74"/>
      <c r="Q1090" s="75"/>
      <c r="R1090" s="74"/>
      <c r="S1090" s="74"/>
      <c r="T1090" s="74"/>
      <c r="U1090" s="75"/>
      <c r="V1090" s="74"/>
      <c r="W1090" s="75"/>
      <c r="X1090" s="74"/>
      <c r="Y1090" s="74"/>
      <c r="Z1090" s="74"/>
      <c r="AA1090" s="74"/>
      <c r="AB1090" s="74"/>
      <c r="AC1090" s="74"/>
      <c r="AD1090" s="74"/>
      <c r="AE1090" s="74"/>
      <c r="AF1090" s="74"/>
      <c r="AG1090" s="74"/>
      <c r="AH1090" s="74"/>
    </row>
    <row r="1091" s="73" customFormat="1" spans="1:34">
      <c r="A1091" s="74"/>
      <c r="B1091" s="74"/>
      <c r="C1091" s="74"/>
      <c r="D1091" s="74"/>
      <c r="E1091" s="74"/>
      <c r="F1091" s="74"/>
      <c r="G1091" s="74"/>
      <c r="H1091" s="74"/>
      <c r="I1091" s="74"/>
      <c r="J1091" s="74"/>
      <c r="K1091" s="74"/>
      <c r="L1091" s="74"/>
      <c r="M1091" s="74"/>
      <c r="N1091" s="74"/>
      <c r="O1091" s="75"/>
      <c r="P1091" s="74"/>
      <c r="Q1091" s="75"/>
      <c r="R1091" s="74"/>
      <c r="S1091" s="74"/>
      <c r="T1091" s="74"/>
      <c r="U1091" s="75"/>
      <c r="V1091" s="74"/>
      <c r="W1091" s="75"/>
      <c r="X1091" s="74"/>
      <c r="Y1091" s="74"/>
      <c r="Z1091" s="74"/>
      <c r="AA1091" s="74"/>
      <c r="AB1091" s="74"/>
      <c r="AC1091" s="74"/>
      <c r="AD1091" s="74"/>
      <c r="AE1091" s="74"/>
      <c r="AF1091" s="74"/>
      <c r="AG1091" s="74"/>
      <c r="AH1091" s="74"/>
    </row>
    <row r="1092" s="73" customFormat="1" spans="1:34">
      <c r="A1092" s="74"/>
      <c r="B1092" s="74"/>
      <c r="C1092" s="74"/>
      <c r="D1092" s="74"/>
      <c r="E1092" s="74"/>
      <c r="F1092" s="74"/>
      <c r="G1092" s="74"/>
      <c r="H1092" s="74"/>
      <c r="I1092" s="74"/>
      <c r="J1092" s="74"/>
      <c r="K1092" s="74"/>
      <c r="L1092" s="74"/>
      <c r="M1092" s="74"/>
      <c r="N1092" s="74"/>
      <c r="O1092" s="75"/>
      <c r="P1092" s="74"/>
      <c r="Q1092" s="75"/>
      <c r="R1092" s="74"/>
      <c r="S1092" s="74"/>
      <c r="T1092" s="74"/>
      <c r="U1092" s="75"/>
      <c r="V1092" s="74"/>
      <c r="W1092" s="75"/>
      <c r="X1092" s="74"/>
      <c r="Y1092" s="74"/>
      <c r="Z1092" s="74"/>
      <c r="AA1092" s="74"/>
      <c r="AB1092" s="74"/>
      <c r="AC1092" s="74"/>
      <c r="AD1092" s="74"/>
      <c r="AE1092" s="74"/>
      <c r="AF1092" s="74"/>
      <c r="AG1092" s="74"/>
      <c r="AH1092" s="74"/>
    </row>
    <row r="1093" s="73" customFormat="1" spans="1:34">
      <c r="A1093" s="74"/>
      <c r="B1093" s="74"/>
      <c r="C1093" s="74"/>
      <c r="D1093" s="74"/>
      <c r="E1093" s="74"/>
      <c r="F1093" s="74"/>
      <c r="G1093" s="74"/>
      <c r="H1093" s="74"/>
      <c r="I1093" s="74"/>
      <c r="J1093" s="74"/>
      <c r="K1093" s="74"/>
      <c r="L1093" s="74"/>
      <c r="M1093" s="74"/>
      <c r="N1093" s="74"/>
      <c r="O1093" s="75"/>
      <c r="P1093" s="74"/>
      <c r="Q1093" s="75"/>
      <c r="R1093" s="74"/>
      <c r="S1093" s="74"/>
      <c r="T1093" s="74"/>
      <c r="U1093" s="75"/>
      <c r="V1093" s="74"/>
      <c r="W1093" s="75"/>
      <c r="X1093" s="74"/>
      <c r="Y1093" s="74"/>
      <c r="Z1093" s="74"/>
      <c r="AA1093" s="74"/>
      <c r="AB1093" s="74"/>
      <c r="AC1093" s="74"/>
      <c r="AD1093" s="74"/>
      <c r="AE1093" s="74"/>
      <c r="AF1093" s="74"/>
      <c r="AG1093" s="74"/>
      <c r="AH1093" s="74"/>
    </row>
    <row r="1094" s="73" customFormat="1" spans="1:34">
      <c r="A1094" s="74"/>
      <c r="B1094" s="74"/>
      <c r="C1094" s="74"/>
      <c r="D1094" s="74"/>
      <c r="E1094" s="74"/>
      <c r="F1094" s="74"/>
      <c r="G1094" s="74"/>
      <c r="H1094" s="74"/>
      <c r="I1094" s="74"/>
      <c r="J1094" s="74"/>
      <c r="K1094" s="74"/>
      <c r="L1094" s="74"/>
      <c r="M1094" s="74"/>
      <c r="N1094" s="74"/>
      <c r="O1094" s="75"/>
      <c r="P1094" s="74"/>
      <c r="Q1094" s="75"/>
      <c r="R1094" s="74"/>
      <c r="S1094" s="74"/>
      <c r="T1094" s="74"/>
      <c r="U1094" s="75"/>
      <c r="V1094" s="74"/>
      <c r="W1094" s="75"/>
      <c r="X1094" s="74"/>
      <c r="Y1094" s="74"/>
      <c r="Z1094" s="74"/>
      <c r="AA1094" s="74"/>
      <c r="AB1094" s="74"/>
      <c r="AC1094" s="74"/>
      <c r="AD1094" s="74"/>
      <c r="AE1094" s="74"/>
      <c r="AF1094" s="74"/>
      <c r="AG1094" s="74"/>
      <c r="AH1094" s="74"/>
    </row>
    <row r="1095" s="73" customFormat="1" spans="1:34">
      <c r="A1095" s="74"/>
      <c r="B1095" s="74"/>
      <c r="C1095" s="74"/>
      <c r="D1095" s="74"/>
      <c r="E1095" s="74"/>
      <c r="F1095" s="74"/>
      <c r="G1095" s="74"/>
      <c r="H1095" s="74"/>
      <c r="I1095" s="74"/>
      <c r="J1095" s="74"/>
      <c r="K1095" s="74"/>
      <c r="L1095" s="74"/>
      <c r="M1095" s="74"/>
      <c r="N1095" s="74"/>
      <c r="O1095" s="75"/>
      <c r="P1095" s="74"/>
      <c r="Q1095" s="75"/>
      <c r="R1095" s="74"/>
      <c r="S1095" s="74"/>
      <c r="T1095" s="74"/>
      <c r="U1095" s="75"/>
      <c r="V1095" s="74"/>
      <c r="W1095" s="75"/>
      <c r="X1095" s="74"/>
      <c r="Y1095" s="74"/>
      <c r="Z1095" s="74"/>
      <c r="AA1095" s="74"/>
      <c r="AB1095" s="74"/>
      <c r="AC1095" s="74"/>
      <c r="AD1095" s="74"/>
      <c r="AE1095" s="74"/>
      <c r="AF1095" s="74"/>
      <c r="AG1095" s="74"/>
      <c r="AH1095" s="74"/>
    </row>
    <row r="1096" s="73" customFormat="1" spans="1:34">
      <c r="A1096" s="74"/>
      <c r="B1096" s="74"/>
      <c r="C1096" s="74"/>
      <c r="D1096" s="74"/>
      <c r="E1096" s="74"/>
      <c r="F1096" s="74"/>
      <c r="G1096" s="74"/>
      <c r="H1096" s="74"/>
      <c r="I1096" s="74"/>
      <c r="J1096" s="74"/>
      <c r="K1096" s="74"/>
      <c r="L1096" s="74"/>
      <c r="M1096" s="74"/>
      <c r="N1096" s="74"/>
      <c r="O1096" s="75"/>
      <c r="P1096" s="74"/>
      <c r="Q1096" s="75"/>
      <c r="R1096" s="74"/>
      <c r="S1096" s="74"/>
      <c r="T1096" s="74"/>
      <c r="U1096" s="75"/>
      <c r="V1096" s="74"/>
      <c r="W1096" s="75"/>
      <c r="X1096" s="74"/>
      <c r="Y1096" s="74"/>
      <c r="Z1096" s="74"/>
      <c r="AA1096" s="74"/>
      <c r="AB1096" s="74"/>
      <c r="AC1096" s="74"/>
      <c r="AD1096" s="74"/>
      <c r="AE1096" s="74"/>
      <c r="AF1096" s="74"/>
      <c r="AG1096" s="74"/>
      <c r="AH1096" s="74"/>
    </row>
    <row r="1097" s="73" customFormat="1" spans="1:34">
      <c r="A1097" s="74"/>
      <c r="B1097" s="74"/>
      <c r="C1097" s="74"/>
      <c r="D1097" s="74"/>
      <c r="E1097" s="74"/>
      <c r="F1097" s="74"/>
      <c r="G1097" s="74"/>
      <c r="H1097" s="74"/>
      <c r="I1097" s="74"/>
      <c r="J1097" s="74"/>
      <c r="K1097" s="74"/>
      <c r="L1097" s="74"/>
      <c r="M1097" s="74"/>
      <c r="N1097" s="74"/>
      <c r="O1097" s="75"/>
      <c r="P1097" s="74"/>
      <c r="Q1097" s="75"/>
      <c r="R1097" s="74"/>
      <c r="S1097" s="74"/>
      <c r="T1097" s="74"/>
      <c r="U1097" s="75"/>
      <c r="V1097" s="74"/>
      <c r="W1097" s="75"/>
      <c r="X1097" s="74"/>
      <c r="Y1097" s="74"/>
      <c r="Z1097" s="74"/>
      <c r="AA1097" s="74"/>
      <c r="AB1097" s="74"/>
      <c r="AC1097" s="74"/>
      <c r="AD1097" s="74"/>
      <c r="AE1097" s="74"/>
      <c r="AF1097" s="74"/>
      <c r="AG1097" s="74"/>
      <c r="AH1097" s="74"/>
    </row>
    <row r="1098" s="73" customFormat="1" spans="1:34">
      <c r="A1098" s="74"/>
      <c r="B1098" s="74"/>
      <c r="C1098" s="74"/>
      <c r="D1098" s="74"/>
      <c r="E1098" s="74"/>
      <c r="F1098" s="74"/>
      <c r="G1098" s="74"/>
      <c r="H1098" s="74"/>
      <c r="I1098" s="74"/>
      <c r="J1098" s="74"/>
      <c r="K1098" s="74"/>
      <c r="L1098" s="74"/>
      <c r="M1098" s="74"/>
      <c r="N1098" s="74"/>
      <c r="O1098" s="75"/>
      <c r="P1098" s="74"/>
      <c r="Q1098" s="75"/>
      <c r="R1098" s="74"/>
      <c r="S1098" s="74"/>
      <c r="T1098" s="74"/>
      <c r="U1098" s="75"/>
      <c r="V1098" s="74"/>
      <c r="W1098" s="75"/>
      <c r="X1098" s="74"/>
      <c r="Y1098" s="74"/>
      <c r="Z1098" s="74"/>
      <c r="AA1098" s="74"/>
      <c r="AB1098" s="74"/>
      <c r="AC1098" s="74"/>
      <c r="AD1098" s="74"/>
      <c r="AE1098" s="74"/>
      <c r="AF1098" s="74"/>
      <c r="AG1098" s="74"/>
      <c r="AH1098" s="74"/>
    </row>
    <row r="1099" s="73" customFormat="1" spans="1:34">
      <c r="A1099" s="74"/>
      <c r="B1099" s="74"/>
      <c r="C1099" s="74"/>
      <c r="D1099" s="74"/>
      <c r="E1099" s="74"/>
      <c r="F1099" s="74"/>
      <c r="G1099" s="74"/>
      <c r="H1099" s="74"/>
      <c r="I1099" s="74"/>
      <c r="J1099" s="74"/>
      <c r="K1099" s="74"/>
      <c r="L1099" s="74"/>
      <c r="M1099" s="74"/>
      <c r="N1099" s="74"/>
      <c r="O1099" s="75"/>
      <c r="P1099" s="74"/>
      <c r="Q1099" s="75"/>
      <c r="R1099" s="74"/>
      <c r="S1099" s="74"/>
      <c r="T1099" s="74"/>
      <c r="U1099" s="75"/>
      <c r="V1099" s="74"/>
      <c r="W1099" s="75"/>
      <c r="X1099" s="74"/>
      <c r="Y1099" s="74"/>
      <c r="Z1099" s="74"/>
      <c r="AA1099" s="74"/>
      <c r="AB1099" s="74"/>
      <c r="AC1099" s="74"/>
      <c r="AD1099" s="74"/>
      <c r="AE1099" s="74"/>
      <c r="AF1099" s="74"/>
      <c r="AG1099" s="74"/>
      <c r="AH1099" s="74"/>
    </row>
    <row r="1100" s="73" customFormat="1" spans="1:34">
      <c r="A1100" s="74"/>
      <c r="B1100" s="74"/>
      <c r="C1100" s="74"/>
      <c r="D1100" s="74"/>
      <c r="E1100" s="74"/>
      <c r="F1100" s="74"/>
      <c r="G1100" s="74"/>
      <c r="H1100" s="74"/>
      <c r="I1100" s="74"/>
      <c r="J1100" s="74"/>
      <c r="K1100" s="74"/>
      <c r="L1100" s="74"/>
      <c r="M1100" s="74"/>
      <c r="N1100" s="74"/>
      <c r="O1100" s="75"/>
      <c r="P1100" s="74"/>
      <c r="Q1100" s="75"/>
      <c r="R1100" s="74"/>
      <c r="S1100" s="74"/>
      <c r="T1100" s="74"/>
      <c r="U1100" s="75"/>
      <c r="V1100" s="74"/>
      <c r="W1100" s="75"/>
      <c r="X1100" s="74"/>
      <c r="Y1100" s="74"/>
      <c r="Z1100" s="74"/>
      <c r="AA1100" s="74"/>
      <c r="AB1100" s="74"/>
      <c r="AC1100" s="74"/>
      <c r="AD1100" s="74"/>
      <c r="AE1100" s="74"/>
      <c r="AF1100" s="74"/>
      <c r="AG1100" s="74"/>
      <c r="AH1100" s="74"/>
    </row>
    <row r="1101" s="73" customFormat="1" spans="1:34">
      <c r="A1101" s="74"/>
      <c r="B1101" s="74"/>
      <c r="C1101" s="74"/>
      <c r="D1101" s="74"/>
      <c r="E1101" s="74"/>
      <c r="F1101" s="74"/>
      <c r="G1101" s="74"/>
      <c r="H1101" s="74"/>
      <c r="I1101" s="74"/>
      <c r="J1101" s="74"/>
      <c r="K1101" s="74"/>
      <c r="L1101" s="74"/>
      <c r="M1101" s="74"/>
      <c r="N1101" s="74"/>
      <c r="O1101" s="75"/>
      <c r="P1101" s="74"/>
      <c r="Q1101" s="75"/>
      <c r="R1101" s="74"/>
      <c r="S1101" s="74"/>
      <c r="T1101" s="74"/>
      <c r="U1101" s="75"/>
      <c r="V1101" s="74"/>
      <c r="W1101" s="75"/>
      <c r="X1101" s="74"/>
      <c r="Y1101" s="74"/>
      <c r="Z1101" s="74"/>
      <c r="AA1101" s="74"/>
      <c r="AB1101" s="74"/>
      <c r="AC1101" s="74"/>
      <c r="AD1101" s="74"/>
      <c r="AE1101" s="74"/>
      <c r="AF1101" s="74"/>
      <c r="AG1101" s="74"/>
      <c r="AH1101" s="74"/>
    </row>
    <row r="1102" s="73" customFormat="1" spans="1:34">
      <c r="A1102" s="74"/>
      <c r="B1102" s="74"/>
      <c r="C1102" s="74"/>
      <c r="D1102" s="74"/>
      <c r="E1102" s="74"/>
      <c r="F1102" s="74"/>
      <c r="G1102" s="74"/>
      <c r="H1102" s="74"/>
      <c r="I1102" s="74"/>
      <c r="J1102" s="74"/>
      <c r="K1102" s="74"/>
      <c r="L1102" s="74"/>
      <c r="M1102" s="74"/>
      <c r="N1102" s="74"/>
      <c r="O1102" s="75"/>
      <c r="P1102" s="74"/>
      <c r="Q1102" s="75"/>
      <c r="R1102" s="74"/>
      <c r="S1102" s="74"/>
      <c r="T1102" s="74"/>
      <c r="U1102" s="75"/>
      <c r="V1102" s="74"/>
      <c r="W1102" s="75"/>
      <c r="X1102" s="74"/>
      <c r="Y1102" s="74"/>
      <c r="Z1102" s="74"/>
      <c r="AA1102" s="74"/>
      <c r="AB1102" s="74"/>
      <c r="AC1102" s="74"/>
      <c r="AD1102" s="74"/>
      <c r="AE1102" s="74"/>
      <c r="AF1102" s="74"/>
      <c r="AG1102" s="74"/>
      <c r="AH1102" s="74"/>
    </row>
    <row r="1103" s="73" customFormat="1" spans="1:34">
      <c r="A1103" s="74"/>
      <c r="B1103" s="74"/>
      <c r="C1103" s="74"/>
      <c r="D1103" s="74"/>
      <c r="E1103" s="74"/>
      <c r="F1103" s="74"/>
      <c r="G1103" s="74"/>
      <c r="H1103" s="74"/>
      <c r="I1103" s="74"/>
      <c r="J1103" s="74"/>
      <c r="K1103" s="74"/>
      <c r="L1103" s="74"/>
      <c r="M1103" s="74"/>
      <c r="N1103" s="74"/>
      <c r="O1103" s="75"/>
      <c r="P1103" s="74"/>
      <c r="Q1103" s="75"/>
      <c r="R1103" s="74"/>
      <c r="S1103" s="74"/>
      <c r="T1103" s="74"/>
      <c r="U1103" s="75"/>
      <c r="V1103" s="74"/>
      <c r="W1103" s="75"/>
      <c r="X1103" s="74"/>
      <c r="Y1103" s="74"/>
      <c r="Z1103" s="74"/>
      <c r="AA1103" s="74"/>
      <c r="AB1103" s="74"/>
      <c r="AC1103" s="74"/>
      <c r="AD1103" s="74"/>
      <c r="AE1103" s="74"/>
      <c r="AF1103" s="74"/>
      <c r="AG1103" s="74"/>
      <c r="AH1103" s="74"/>
    </row>
    <row r="1104" s="73" customFormat="1" spans="1:34">
      <c r="A1104" s="74"/>
      <c r="B1104" s="74"/>
      <c r="C1104" s="74"/>
      <c r="D1104" s="74"/>
      <c r="E1104" s="74"/>
      <c r="F1104" s="74"/>
      <c r="G1104" s="74"/>
      <c r="H1104" s="74"/>
      <c r="I1104" s="74"/>
      <c r="J1104" s="74"/>
      <c r="K1104" s="74"/>
      <c r="L1104" s="74"/>
      <c r="M1104" s="74"/>
      <c r="N1104" s="74"/>
      <c r="O1104" s="75"/>
      <c r="P1104" s="74"/>
      <c r="Q1104" s="75"/>
      <c r="R1104" s="74"/>
      <c r="S1104" s="74"/>
      <c r="T1104" s="74"/>
      <c r="U1104" s="75"/>
      <c r="V1104" s="74"/>
      <c r="W1104" s="75"/>
      <c r="X1104" s="74"/>
      <c r="Y1104" s="74"/>
      <c r="Z1104" s="74"/>
      <c r="AA1104" s="74"/>
      <c r="AB1104" s="74"/>
      <c r="AC1104" s="74"/>
      <c r="AD1104" s="74"/>
      <c r="AE1104" s="74"/>
      <c r="AF1104" s="74"/>
      <c r="AG1104" s="74"/>
      <c r="AH1104" s="74"/>
    </row>
    <row r="1105" s="73" customFormat="1" spans="1:34">
      <c r="A1105" s="74"/>
      <c r="B1105" s="74"/>
      <c r="C1105" s="74"/>
      <c r="D1105" s="74"/>
      <c r="E1105" s="74"/>
      <c r="F1105" s="74"/>
      <c r="G1105" s="74"/>
      <c r="H1105" s="74"/>
      <c r="I1105" s="74"/>
      <c r="J1105" s="74"/>
      <c r="K1105" s="74"/>
      <c r="L1105" s="74"/>
      <c r="M1105" s="74"/>
      <c r="N1105" s="74"/>
      <c r="O1105" s="75"/>
      <c r="P1105" s="74"/>
      <c r="Q1105" s="75"/>
      <c r="R1105" s="74"/>
      <c r="S1105" s="74"/>
      <c r="T1105" s="74"/>
      <c r="U1105" s="75"/>
      <c r="V1105" s="74"/>
      <c r="W1105" s="75"/>
      <c r="X1105" s="74"/>
      <c r="Y1105" s="74"/>
      <c r="Z1105" s="74"/>
      <c r="AA1105" s="74"/>
      <c r="AB1105" s="74"/>
      <c r="AC1105" s="74"/>
      <c r="AD1105" s="74"/>
      <c r="AE1105" s="74"/>
      <c r="AF1105" s="74"/>
      <c r="AG1105" s="74"/>
      <c r="AH1105" s="74"/>
    </row>
    <row r="1106" s="73" customFormat="1" spans="1:34">
      <c r="A1106" s="74"/>
      <c r="B1106" s="74"/>
      <c r="C1106" s="74"/>
      <c r="D1106" s="74"/>
      <c r="E1106" s="74"/>
      <c r="F1106" s="74"/>
      <c r="G1106" s="74"/>
      <c r="H1106" s="74"/>
      <c r="I1106" s="74"/>
      <c r="J1106" s="74"/>
      <c r="K1106" s="74"/>
      <c r="L1106" s="74"/>
      <c r="M1106" s="74"/>
      <c r="N1106" s="74"/>
      <c r="O1106" s="75"/>
      <c r="P1106" s="74"/>
      <c r="Q1106" s="75"/>
      <c r="R1106" s="74"/>
      <c r="S1106" s="74"/>
      <c r="T1106" s="74"/>
      <c r="U1106" s="75"/>
      <c r="V1106" s="74"/>
      <c r="W1106" s="75"/>
      <c r="X1106" s="74"/>
      <c r="Y1106" s="74"/>
      <c r="Z1106" s="74"/>
      <c r="AA1106" s="74"/>
      <c r="AB1106" s="74"/>
      <c r="AC1106" s="74"/>
      <c r="AD1106" s="74"/>
      <c r="AE1106" s="74"/>
      <c r="AF1106" s="74"/>
      <c r="AG1106" s="74"/>
      <c r="AH1106" s="74"/>
    </row>
    <row r="1107" s="73" customFormat="1" spans="1:34">
      <c r="A1107" s="74"/>
      <c r="B1107" s="74"/>
      <c r="C1107" s="74"/>
      <c r="D1107" s="74"/>
      <c r="E1107" s="74"/>
      <c r="F1107" s="74"/>
      <c r="G1107" s="74"/>
      <c r="H1107" s="74"/>
      <c r="I1107" s="74"/>
      <c r="J1107" s="74"/>
      <c r="K1107" s="74"/>
      <c r="L1107" s="74"/>
      <c r="M1107" s="74"/>
      <c r="N1107" s="74"/>
      <c r="O1107" s="75"/>
      <c r="P1107" s="74"/>
      <c r="Q1107" s="75"/>
      <c r="R1107" s="74"/>
      <c r="S1107" s="74"/>
      <c r="T1107" s="74"/>
      <c r="U1107" s="75"/>
      <c r="V1107" s="74"/>
      <c r="W1107" s="75"/>
      <c r="X1107" s="74"/>
      <c r="Y1107" s="74"/>
      <c r="Z1107" s="74"/>
      <c r="AA1107" s="74"/>
      <c r="AB1107" s="74"/>
      <c r="AC1107" s="74"/>
      <c r="AD1107" s="74"/>
      <c r="AE1107" s="74"/>
      <c r="AF1107" s="74"/>
      <c r="AG1107" s="74"/>
      <c r="AH1107" s="74"/>
    </row>
    <row r="1108" s="73" customFormat="1" spans="1:34">
      <c r="A1108" s="74"/>
      <c r="B1108" s="74"/>
      <c r="C1108" s="74"/>
      <c r="D1108" s="74"/>
      <c r="E1108" s="74"/>
      <c r="F1108" s="74"/>
      <c r="G1108" s="74"/>
      <c r="H1108" s="74"/>
      <c r="I1108" s="74"/>
      <c r="J1108" s="74"/>
      <c r="K1108" s="74"/>
      <c r="L1108" s="74"/>
      <c r="M1108" s="74"/>
      <c r="N1108" s="74"/>
      <c r="O1108" s="75"/>
      <c r="P1108" s="74"/>
      <c r="Q1108" s="75"/>
      <c r="R1108" s="74"/>
      <c r="S1108" s="74"/>
      <c r="T1108" s="74"/>
      <c r="U1108" s="75"/>
      <c r="V1108" s="74"/>
      <c r="W1108" s="75"/>
      <c r="X1108" s="74"/>
      <c r="Y1108" s="74"/>
      <c r="Z1108" s="74"/>
      <c r="AA1108" s="74"/>
      <c r="AB1108" s="74"/>
      <c r="AC1108" s="74"/>
      <c r="AD1108" s="74"/>
      <c r="AE1108" s="74"/>
      <c r="AF1108" s="74"/>
      <c r="AG1108" s="74"/>
      <c r="AH1108" s="74"/>
    </row>
    <row r="1109" s="73" customFormat="1" spans="1:34">
      <c r="A1109" s="74"/>
      <c r="B1109" s="74"/>
      <c r="C1109" s="74"/>
      <c r="D1109" s="74"/>
      <c r="E1109" s="74"/>
      <c r="F1109" s="74"/>
      <c r="G1109" s="74"/>
      <c r="H1109" s="74"/>
      <c r="I1109" s="74"/>
      <c r="J1109" s="74"/>
      <c r="K1109" s="74"/>
      <c r="L1109" s="74"/>
      <c r="M1109" s="74"/>
      <c r="N1109" s="74"/>
      <c r="O1109" s="75"/>
      <c r="P1109" s="74"/>
      <c r="Q1109" s="75"/>
      <c r="R1109" s="74"/>
      <c r="S1109" s="74"/>
      <c r="T1109" s="74"/>
      <c r="U1109" s="75"/>
      <c r="V1109" s="74"/>
      <c r="W1109" s="75"/>
      <c r="X1109" s="74"/>
      <c r="Y1109" s="74"/>
      <c r="Z1109" s="74"/>
      <c r="AA1109" s="74"/>
      <c r="AB1109" s="74"/>
      <c r="AC1109" s="74"/>
      <c r="AD1109" s="74"/>
      <c r="AE1109" s="74"/>
      <c r="AF1109" s="74"/>
      <c r="AG1109" s="74"/>
      <c r="AH1109" s="74"/>
    </row>
    <row r="1110" s="73" customFormat="1" spans="1:34">
      <c r="A1110" s="74"/>
      <c r="B1110" s="74"/>
      <c r="C1110" s="74"/>
      <c r="D1110" s="74"/>
      <c r="E1110" s="74"/>
      <c r="F1110" s="74"/>
      <c r="G1110" s="74"/>
      <c r="H1110" s="74"/>
      <c r="I1110" s="74"/>
      <c r="J1110" s="74"/>
      <c r="K1110" s="74"/>
      <c r="L1110" s="74"/>
      <c r="M1110" s="74"/>
      <c r="N1110" s="74"/>
      <c r="O1110" s="75"/>
      <c r="P1110" s="74"/>
      <c r="Q1110" s="75"/>
      <c r="R1110" s="74"/>
      <c r="S1110" s="74"/>
      <c r="T1110" s="74"/>
      <c r="U1110" s="75"/>
      <c r="V1110" s="74"/>
      <c r="W1110" s="75"/>
      <c r="X1110" s="74"/>
      <c r="Y1110" s="74"/>
      <c r="Z1110" s="74"/>
      <c r="AA1110" s="74"/>
      <c r="AB1110" s="74"/>
      <c r="AC1110" s="74"/>
      <c r="AD1110" s="74"/>
      <c r="AE1110" s="74"/>
      <c r="AF1110" s="74"/>
      <c r="AG1110" s="74"/>
      <c r="AH1110" s="74"/>
    </row>
    <row r="1111" s="73" customFormat="1" spans="1:34">
      <c r="A1111" s="74"/>
      <c r="B1111" s="74"/>
      <c r="C1111" s="74"/>
      <c r="D1111" s="74"/>
      <c r="E1111" s="74"/>
      <c r="F1111" s="74"/>
      <c r="G1111" s="74"/>
      <c r="H1111" s="74"/>
      <c r="I1111" s="74"/>
      <c r="J1111" s="74"/>
      <c r="K1111" s="74"/>
      <c r="L1111" s="74"/>
      <c r="M1111" s="74"/>
      <c r="N1111" s="74"/>
      <c r="O1111" s="75"/>
      <c r="P1111" s="74"/>
      <c r="Q1111" s="75"/>
      <c r="R1111" s="74"/>
      <c r="S1111" s="74"/>
      <c r="T1111" s="74"/>
      <c r="U1111" s="75"/>
      <c r="V1111" s="74"/>
      <c r="W1111" s="75"/>
      <c r="X1111" s="74"/>
      <c r="Y1111" s="74"/>
      <c r="Z1111" s="74"/>
      <c r="AA1111" s="74"/>
      <c r="AB1111" s="74"/>
      <c r="AC1111" s="74"/>
      <c r="AD1111" s="74"/>
      <c r="AE1111" s="74"/>
      <c r="AF1111" s="74"/>
      <c r="AG1111" s="74"/>
      <c r="AH1111" s="74"/>
    </row>
    <row r="1112" s="73" customFormat="1" spans="1:34">
      <c r="A1112" s="74"/>
      <c r="B1112" s="74"/>
      <c r="C1112" s="74"/>
      <c r="D1112" s="74"/>
      <c r="E1112" s="74"/>
      <c r="F1112" s="74"/>
      <c r="G1112" s="74"/>
      <c r="H1112" s="74"/>
      <c r="I1112" s="74"/>
      <c r="J1112" s="74"/>
      <c r="K1112" s="74"/>
      <c r="L1112" s="74"/>
      <c r="M1112" s="74"/>
      <c r="N1112" s="74"/>
      <c r="O1112" s="75"/>
      <c r="P1112" s="74"/>
      <c r="Q1112" s="75"/>
      <c r="R1112" s="74"/>
      <c r="S1112" s="74"/>
      <c r="T1112" s="74"/>
      <c r="U1112" s="75"/>
      <c r="V1112" s="74"/>
      <c r="W1112" s="75"/>
      <c r="X1112" s="74"/>
      <c r="Y1112" s="74"/>
      <c r="Z1112" s="74"/>
      <c r="AA1112" s="74"/>
      <c r="AB1112" s="74"/>
      <c r="AC1112" s="74"/>
      <c r="AD1112" s="74"/>
      <c r="AE1112" s="74"/>
      <c r="AF1112" s="74"/>
      <c r="AG1112" s="74"/>
      <c r="AH1112" s="74"/>
    </row>
    <row r="1113" s="73" customFormat="1" spans="1:34">
      <c r="A1113" s="74"/>
      <c r="B1113" s="74"/>
      <c r="C1113" s="74"/>
      <c r="D1113" s="74"/>
      <c r="E1113" s="74"/>
      <c r="F1113" s="74"/>
      <c r="G1113" s="74"/>
      <c r="H1113" s="74"/>
      <c r="I1113" s="74"/>
      <c r="J1113" s="74"/>
      <c r="K1113" s="74"/>
      <c r="L1113" s="74"/>
      <c r="M1113" s="74"/>
      <c r="N1113" s="74"/>
      <c r="O1113" s="75"/>
      <c r="P1113" s="74"/>
      <c r="Q1113" s="75"/>
      <c r="R1113" s="74"/>
      <c r="S1113" s="74"/>
      <c r="T1113" s="74"/>
      <c r="U1113" s="75"/>
      <c r="V1113" s="74"/>
      <c r="W1113" s="75"/>
      <c r="X1113" s="74"/>
      <c r="Y1113" s="74"/>
      <c r="Z1113" s="74"/>
      <c r="AA1113" s="74"/>
      <c r="AB1113" s="74"/>
      <c r="AC1113" s="74"/>
      <c r="AD1113" s="74"/>
      <c r="AE1113" s="74"/>
      <c r="AF1113" s="74"/>
      <c r="AG1113" s="74"/>
      <c r="AH1113" s="74"/>
    </row>
    <row r="1114" s="73" customFormat="1" spans="1:34">
      <c r="A1114" s="74"/>
      <c r="B1114" s="74"/>
      <c r="C1114" s="74"/>
      <c r="D1114" s="74"/>
      <c r="E1114" s="74"/>
      <c r="F1114" s="74"/>
      <c r="G1114" s="74"/>
      <c r="H1114" s="74"/>
      <c r="I1114" s="74"/>
      <c r="J1114" s="74"/>
      <c r="K1114" s="74"/>
      <c r="L1114" s="74"/>
      <c r="M1114" s="74"/>
      <c r="N1114" s="74"/>
      <c r="O1114" s="75"/>
      <c r="P1114" s="74"/>
      <c r="Q1114" s="75"/>
      <c r="R1114" s="74"/>
      <c r="S1114" s="74"/>
      <c r="T1114" s="74"/>
      <c r="U1114" s="75"/>
      <c r="V1114" s="74"/>
      <c r="W1114" s="75"/>
      <c r="X1114" s="74"/>
      <c r="Y1114" s="74"/>
      <c r="Z1114" s="74"/>
      <c r="AA1114" s="74"/>
      <c r="AB1114" s="74"/>
      <c r="AC1114" s="74"/>
      <c r="AD1114" s="74"/>
      <c r="AE1114" s="74"/>
      <c r="AF1114" s="74"/>
      <c r="AG1114" s="74"/>
      <c r="AH1114" s="74"/>
    </row>
    <row r="1115" s="73" customFormat="1" spans="1:34">
      <c r="A1115" s="74"/>
      <c r="B1115" s="74"/>
      <c r="C1115" s="74"/>
      <c r="D1115" s="74"/>
      <c r="E1115" s="74"/>
      <c r="F1115" s="74"/>
      <c r="G1115" s="74"/>
      <c r="H1115" s="74"/>
      <c r="I1115" s="74"/>
      <c r="J1115" s="74"/>
      <c r="K1115" s="74"/>
      <c r="L1115" s="74"/>
      <c r="M1115" s="74"/>
      <c r="N1115" s="74"/>
      <c r="O1115" s="75"/>
      <c r="P1115" s="74"/>
      <c r="Q1115" s="75"/>
      <c r="R1115" s="74"/>
      <c r="S1115" s="74"/>
      <c r="T1115" s="74"/>
      <c r="U1115" s="75"/>
      <c r="V1115" s="74"/>
      <c r="W1115" s="75"/>
      <c r="X1115" s="74"/>
      <c r="Y1115" s="74"/>
      <c r="Z1115" s="74"/>
      <c r="AA1115" s="74"/>
      <c r="AB1115" s="74"/>
      <c r="AC1115" s="74"/>
      <c r="AD1115" s="74"/>
      <c r="AE1115" s="74"/>
      <c r="AF1115" s="74"/>
      <c r="AG1115" s="74"/>
      <c r="AH1115" s="74"/>
    </row>
    <row r="1116" s="73" customFormat="1" spans="1:34">
      <c r="A1116" s="74"/>
      <c r="B1116" s="74"/>
      <c r="C1116" s="74"/>
      <c r="D1116" s="74"/>
      <c r="E1116" s="74"/>
      <c r="F1116" s="74"/>
      <c r="G1116" s="74"/>
      <c r="H1116" s="74"/>
      <c r="I1116" s="74"/>
      <c r="J1116" s="74"/>
      <c r="K1116" s="74"/>
      <c r="L1116" s="74"/>
      <c r="M1116" s="74"/>
      <c r="N1116" s="74"/>
      <c r="O1116" s="75"/>
      <c r="P1116" s="74"/>
      <c r="Q1116" s="75"/>
      <c r="R1116" s="74"/>
      <c r="S1116" s="74"/>
      <c r="T1116" s="74"/>
      <c r="U1116" s="75"/>
      <c r="V1116" s="74"/>
      <c r="W1116" s="75"/>
      <c r="X1116" s="74"/>
      <c r="Y1116" s="74"/>
      <c r="Z1116" s="74"/>
      <c r="AA1116" s="74"/>
      <c r="AB1116" s="74"/>
      <c r="AC1116" s="74"/>
      <c r="AD1116" s="74"/>
      <c r="AE1116" s="74"/>
      <c r="AF1116" s="74"/>
      <c r="AG1116" s="74"/>
      <c r="AH1116" s="74"/>
    </row>
    <row r="1117" s="73" customFormat="1" spans="1:34">
      <c r="A1117" s="74"/>
      <c r="B1117" s="74"/>
      <c r="C1117" s="74"/>
      <c r="D1117" s="74"/>
      <c r="E1117" s="74"/>
      <c r="F1117" s="74"/>
      <c r="G1117" s="74"/>
      <c r="H1117" s="74"/>
      <c r="I1117" s="74"/>
      <c r="J1117" s="74"/>
      <c r="K1117" s="74"/>
      <c r="L1117" s="74"/>
      <c r="M1117" s="74"/>
      <c r="N1117" s="74"/>
      <c r="O1117" s="75"/>
      <c r="P1117" s="74"/>
      <c r="Q1117" s="75"/>
      <c r="R1117" s="74"/>
      <c r="S1117" s="74"/>
      <c r="T1117" s="74"/>
      <c r="U1117" s="75"/>
      <c r="V1117" s="74"/>
      <c r="W1117" s="75"/>
      <c r="X1117" s="74"/>
      <c r="Y1117" s="74"/>
      <c r="Z1117" s="74"/>
      <c r="AA1117" s="74"/>
      <c r="AB1117" s="74"/>
      <c r="AC1117" s="74"/>
      <c r="AD1117" s="74"/>
      <c r="AE1117" s="74"/>
      <c r="AF1117" s="74"/>
      <c r="AG1117" s="74"/>
      <c r="AH1117" s="74"/>
    </row>
    <row r="1118" s="73" customFormat="1" spans="1:34">
      <c r="A1118" s="74"/>
      <c r="B1118" s="74"/>
      <c r="C1118" s="74"/>
      <c r="D1118" s="74"/>
      <c r="E1118" s="74"/>
      <c r="F1118" s="74"/>
      <c r="G1118" s="74"/>
      <c r="H1118" s="74"/>
      <c r="I1118" s="74"/>
      <c r="J1118" s="74"/>
      <c r="K1118" s="74"/>
      <c r="L1118" s="74"/>
      <c r="M1118" s="74"/>
      <c r="N1118" s="74"/>
      <c r="O1118" s="75"/>
      <c r="P1118" s="74"/>
      <c r="Q1118" s="75"/>
      <c r="R1118" s="74"/>
      <c r="S1118" s="74"/>
      <c r="T1118" s="74"/>
      <c r="U1118" s="75"/>
      <c r="V1118" s="74"/>
      <c r="W1118" s="75"/>
      <c r="X1118" s="74"/>
      <c r="Y1118" s="74"/>
      <c r="Z1118" s="74"/>
      <c r="AA1118" s="74"/>
      <c r="AB1118" s="74"/>
      <c r="AC1118" s="74"/>
      <c r="AD1118" s="74"/>
      <c r="AE1118" s="74"/>
      <c r="AF1118" s="74"/>
      <c r="AG1118" s="74"/>
      <c r="AH1118" s="74"/>
    </row>
    <row r="1119" s="73" customFormat="1" spans="1:34">
      <c r="A1119" s="74"/>
      <c r="B1119" s="74"/>
      <c r="C1119" s="74"/>
      <c r="D1119" s="74"/>
      <c r="E1119" s="74"/>
      <c r="F1119" s="74"/>
      <c r="G1119" s="74"/>
      <c r="H1119" s="74"/>
      <c r="I1119" s="74"/>
      <c r="J1119" s="74"/>
      <c r="K1119" s="74"/>
      <c r="L1119" s="74"/>
      <c r="M1119" s="74"/>
      <c r="N1119" s="74"/>
      <c r="O1119" s="75"/>
      <c r="P1119" s="74"/>
      <c r="Q1119" s="75"/>
      <c r="R1119" s="74"/>
      <c r="S1119" s="74"/>
      <c r="T1119" s="74"/>
      <c r="U1119" s="75"/>
      <c r="V1119" s="74"/>
      <c r="W1119" s="75"/>
      <c r="X1119" s="74"/>
      <c r="Y1119" s="74"/>
      <c r="Z1119" s="74"/>
      <c r="AA1119" s="74"/>
      <c r="AB1119" s="74"/>
      <c r="AC1119" s="74"/>
      <c r="AD1119" s="74"/>
      <c r="AE1119" s="74"/>
      <c r="AF1119" s="74"/>
      <c r="AG1119" s="74"/>
      <c r="AH1119" s="74"/>
    </row>
    <row r="1120" s="73" customFormat="1" spans="1:34">
      <c r="A1120" s="74"/>
      <c r="B1120" s="74"/>
      <c r="C1120" s="74"/>
      <c r="D1120" s="74"/>
      <c r="E1120" s="74"/>
      <c r="F1120" s="74"/>
      <c r="G1120" s="74"/>
      <c r="H1120" s="74"/>
      <c r="I1120" s="74"/>
      <c r="J1120" s="74"/>
      <c r="K1120" s="74"/>
      <c r="L1120" s="74"/>
      <c r="M1120" s="74"/>
      <c r="N1120" s="74"/>
      <c r="O1120" s="75"/>
      <c r="P1120" s="74"/>
      <c r="Q1120" s="75"/>
      <c r="R1120" s="74"/>
      <c r="S1120" s="74"/>
      <c r="T1120" s="74"/>
      <c r="U1120" s="75"/>
      <c r="V1120" s="74"/>
      <c r="W1120" s="75"/>
      <c r="X1120" s="74"/>
      <c r="Y1120" s="74"/>
      <c r="Z1120" s="74"/>
      <c r="AA1120" s="74"/>
      <c r="AB1120" s="74"/>
      <c r="AC1120" s="74"/>
      <c r="AD1120" s="74"/>
      <c r="AE1120" s="74"/>
      <c r="AF1120" s="74"/>
      <c r="AG1120" s="74"/>
      <c r="AH1120" s="74"/>
    </row>
    <row r="1121" s="73" customFormat="1" spans="1:34">
      <c r="A1121" s="74"/>
      <c r="B1121" s="74"/>
      <c r="C1121" s="74"/>
      <c r="D1121" s="74"/>
      <c r="E1121" s="74"/>
      <c r="F1121" s="74"/>
      <c r="G1121" s="74"/>
      <c r="H1121" s="74"/>
      <c r="I1121" s="74"/>
      <c r="J1121" s="74"/>
      <c r="K1121" s="74"/>
      <c r="L1121" s="74"/>
      <c r="M1121" s="74"/>
      <c r="N1121" s="74"/>
      <c r="O1121" s="75"/>
      <c r="P1121" s="74"/>
      <c r="Q1121" s="75"/>
      <c r="R1121" s="74"/>
      <c r="S1121" s="74"/>
      <c r="T1121" s="74"/>
      <c r="U1121" s="75"/>
      <c r="V1121" s="74"/>
      <c r="W1121" s="75"/>
      <c r="X1121" s="74"/>
      <c r="Y1121" s="74"/>
      <c r="Z1121" s="74"/>
      <c r="AA1121" s="74"/>
      <c r="AB1121" s="74"/>
      <c r="AC1121" s="74"/>
      <c r="AD1121" s="74"/>
      <c r="AE1121" s="74"/>
      <c r="AF1121" s="74"/>
      <c r="AG1121" s="74"/>
      <c r="AH1121" s="74"/>
    </row>
    <row r="1122" s="73" customFormat="1" spans="1:34">
      <c r="A1122" s="74"/>
      <c r="B1122" s="74"/>
      <c r="C1122" s="74"/>
      <c r="D1122" s="74"/>
      <c r="E1122" s="74"/>
      <c r="F1122" s="74"/>
      <c r="G1122" s="74"/>
      <c r="H1122" s="74"/>
      <c r="I1122" s="74"/>
      <c r="J1122" s="74"/>
      <c r="K1122" s="74"/>
      <c r="L1122" s="74"/>
      <c r="M1122" s="74"/>
      <c r="N1122" s="74"/>
      <c r="O1122" s="75"/>
      <c r="P1122" s="74"/>
      <c r="Q1122" s="75"/>
      <c r="R1122" s="74"/>
      <c r="S1122" s="74"/>
      <c r="T1122" s="74"/>
      <c r="U1122" s="75"/>
      <c r="V1122" s="74"/>
      <c r="W1122" s="75"/>
      <c r="X1122" s="74"/>
      <c r="Y1122" s="74"/>
      <c r="Z1122" s="74"/>
      <c r="AA1122" s="74"/>
      <c r="AB1122" s="74"/>
      <c r="AC1122" s="74"/>
      <c r="AD1122" s="74"/>
      <c r="AE1122" s="74"/>
      <c r="AF1122" s="74"/>
      <c r="AG1122" s="74"/>
      <c r="AH1122" s="74"/>
    </row>
    <row r="1123" s="73" customFormat="1" spans="1:34">
      <c r="A1123" s="74"/>
      <c r="B1123" s="74"/>
      <c r="C1123" s="74"/>
      <c r="D1123" s="74"/>
      <c r="E1123" s="74"/>
      <c r="F1123" s="74"/>
      <c r="G1123" s="74"/>
      <c r="H1123" s="74"/>
      <c r="I1123" s="74"/>
      <c r="J1123" s="74"/>
      <c r="K1123" s="74"/>
      <c r="L1123" s="74"/>
      <c r="M1123" s="74"/>
      <c r="N1123" s="74"/>
      <c r="O1123" s="75"/>
      <c r="P1123" s="74"/>
      <c r="Q1123" s="75"/>
      <c r="R1123" s="74"/>
      <c r="S1123" s="74"/>
      <c r="T1123" s="74"/>
      <c r="U1123" s="75"/>
      <c r="V1123" s="74"/>
      <c r="W1123" s="75"/>
      <c r="X1123" s="74"/>
      <c r="Y1123" s="74"/>
      <c r="Z1123" s="74"/>
      <c r="AA1123" s="74"/>
      <c r="AB1123" s="74"/>
      <c r="AC1123" s="74"/>
      <c r="AD1123" s="74"/>
      <c r="AE1123" s="74"/>
      <c r="AF1123" s="74"/>
      <c r="AG1123" s="74"/>
      <c r="AH1123" s="74"/>
    </row>
    <row r="1124" s="73" customFormat="1" spans="1:34">
      <c r="A1124" s="74"/>
      <c r="B1124" s="74"/>
      <c r="C1124" s="74"/>
      <c r="D1124" s="74"/>
      <c r="E1124" s="74"/>
      <c r="F1124" s="74"/>
      <c r="G1124" s="74"/>
      <c r="H1124" s="74"/>
      <c r="I1124" s="74"/>
      <c r="J1124" s="74"/>
      <c r="K1124" s="74"/>
      <c r="L1124" s="74"/>
      <c r="M1124" s="74"/>
      <c r="N1124" s="74"/>
      <c r="O1124" s="75"/>
      <c r="P1124" s="74"/>
      <c r="Q1124" s="75"/>
      <c r="R1124" s="74"/>
      <c r="S1124" s="74"/>
      <c r="T1124" s="74"/>
      <c r="U1124" s="75"/>
      <c r="V1124" s="74"/>
      <c r="W1124" s="75"/>
      <c r="X1124" s="74"/>
      <c r="Y1124" s="74"/>
      <c r="Z1124" s="74"/>
      <c r="AA1124" s="74"/>
      <c r="AB1124" s="74"/>
      <c r="AC1124" s="74"/>
      <c r="AD1124" s="74"/>
      <c r="AE1124" s="74"/>
      <c r="AF1124" s="74"/>
      <c r="AG1124" s="74"/>
      <c r="AH1124" s="74"/>
    </row>
    <row r="1125" s="73" customFormat="1" spans="1:34">
      <c r="A1125" s="74"/>
      <c r="B1125" s="74"/>
      <c r="C1125" s="74"/>
      <c r="D1125" s="74"/>
      <c r="E1125" s="74"/>
      <c r="F1125" s="74"/>
      <c r="G1125" s="74"/>
      <c r="H1125" s="74"/>
      <c r="I1125" s="74"/>
      <c r="J1125" s="74"/>
      <c r="K1125" s="74"/>
      <c r="L1125" s="74"/>
      <c r="M1125" s="74"/>
      <c r="N1125" s="74"/>
      <c r="O1125" s="75"/>
      <c r="P1125" s="74"/>
      <c r="Q1125" s="75"/>
      <c r="R1125" s="74"/>
      <c r="S1125" s="74"/>
      <c r="T1125" s="74"/>
      <c r="U1125" s="75"/>
      <c r="V1125" s="74"/>
      <c r="W1125" s="75"/>
      <c r="X1125" s="74"/>
      <c r="Y1125" s="74"/>
      <c r="Z1125" s="74"/>
      <c r="AA1125" s="74"/>
      <c r="AB1125" s="74"/>
      <c r="AC1125" s="74"/>
      <c r="AD1125" s="74"/>
      <c r="AE1125" s="74"/>
      <c r="AF1125" s="74"/>
      <c r="AG1125" s="74"/>
      <c r="AH1125" s="74"/>
    </row>
    <row r="1126" s="73" customFormat="1" spans="1:34">
      <c r="A1126" s="74"/>
      <c r="B1126" s="74"/>
      <c r="C1126" s="74"/>
      <c r="D1126" s="74"/>
      <c r="E1126" s="74"/>
      <c r="F1126" s="74"/>
      <c r="G1126" s="74"/>
      <c r="H1126" s="74"/>
      <c r="I1126" s="74"/>
      <c r="J1126" s="74"/>
      <c r="K1126" s="74"/>
      <c r="L1126" s="74"/>
      <c r="M1126" s="74"/>
      <c r="N1126" s="74"/>
      <c r="O1126" s="75"/>
      <c r="P1126" s="74"/>
      <c r="Q1126" s="75"/>
      <c r="R1126" s="74"/>
      <c r="S1126" s="74"/>
      <c r="T1126" s="74"/>
      <c r="U1126" s="75"/>
      <c r="V1126" s="74"/>
      <c r="W1126" s="75"/>
      <c r="X1126" s="74"/>
      <c r="Y1126" s="74"/>
      <c r="Z1126" s="74"/>
      <c r="AA1126" s="74"/>
      <c r="AB1126" s="74"/>
      <c r="AC1126" s="74"/>
      <c r="AD1126" s="74"/>
      <c r="AE1126" s="74"/>
      <c r="AF1126" s="74"/>
      <c r="AG1126" s="74"/>
      <c r="AH1126" s="74"/>
    </row>
    <row r="1127" s="73" customFormat="1" spans="1:34">
      <c r="A1127" s="74"/>
      <c r="B1127" s="74"/>
      <c r="C1127" s="74"/>
      <c r="D1127" s="74"/>
      <c r="E1127" s="74"/>
      <c r="F1127" s="74"/>
      <c r="G1127" s="74"/>
      <c r="H1127" s="74"/>
      <c r="I1127" s="74"/>
      <c r="J1127" s="74"/>
      <c r="K1127" s="74"/>
      <c r="L1127" s="74"/>
      <c r="M1127" s="74"/>
      <c r="N1127" s="74"/>
      <c r="O1127" s="75"/>
      <c r="P1127" s="74"/>
      <c r="Q1127" s="75"/>
      <c r="R1127" s="74"/>
      <c r="S1127" s="74"/>
      <c r="T1127" s="74"/>
      <c r="U1127" s="75"/>
      <c r="V1127" s="74"/>
      <c r="W1127" s="75"/>
      <c r="X1127" s="74"/>
      <c r="Y1127" s="74"/>
      <c r="Z1127" s="74"/>
      <c r="AA1127" s="74"/>
      <c r="AB1127" s="74"/>
      <c r="AC1127" s="74"/>
      <c r="AD1127" s="74"/>
      <c r="AE1127" s="74"/>
      <c r="AF1127" s="74"/>
      <c r="AG1127" s="74"/>
      <c r="AH1127" s="74"/>
    </row>
    <row r="1128" s="73" customFormat="1" spans="1:34">
      <c r="A1128" s="74"/>
      <c r="B1128" s="74"/>
      <c r="C1128" s="74"/>
      <c r="D1128" s="74"/>
      <c r="E1128" s="74"/>
      <c r="F1128" s="74"/>
      <c r="G1128" s="74"/>
      <c r="H1128" s="74"/>
      <c r="I1128" s="74"/>
      <c r="J1128" s="74"/>
      <c r="K1128" s="74"/>
      <c r="L1128" s="74"/>
      <c r="M1128" s="74"/>
      <c r="N1128" s="74"/>
      <c r="O1128" s="75"/>
      <c r="P1128" s="74"/>
      <c r="Q1128" s="75"/>
      <c r="R1128" s="74"/>
      <c r="S1128" s="74"/>
      <c r="T1128" s="74"/>
      <c r="U1128" s="75"/>
      <c r="V1128" s="74"/>
      <c r="W1128" s="75"/>
      <c r="X1128" s="74"/>
      <c r="Y1128" s="74"/>
      <c r="Z1128" s="74"/>
      <c r="AA1128" s="74"/>
      <c r="AB1128" s="74"/>
      <c r="AC1128" s="74"/>
      <c r="AD1128" s="74"/>
      <c r="AE1128" s="74"/>
      <c r="AF1128" s="74"/>
      <c r="AG1128" s="74"/>
      <c r="AH1128" s="74"/>
    </row>
    <row r="1129" s="73" customFormat="1" spans="1:34">
      <c r="A1129" s="74"/>
      <c r="B1129" s="74"/>
      <c r="C1129" s="74"/>
      <c r="D1129" s="74"/>
      <c r="E1129" s="74"/>
      <c r="F1129" s="74"/>
      <c r="G1129" s="74"/>
      <c r="H1129" s="74"/>
      <c r="I1129" s="74"/>
      <c r="J1129" s="74"/>
      <c r="K1129" s="74"/>
      <c r="L1129" s="74"/>
      <c r="M1129" s="74"/>
      <c r="N1129" s="74"/>
      <c r="O1129" s="75"/>
      <c r="P1129" s="74"/>
      <c r="Q1129" s="75"/>
      <c r="R1129" s="74"/>
      <c r="S1129" s="74"/>
      <c r="T1129" s="74"/>
      <c r="U1129" s="75"/>
      <c r="V1129" s="74"/>
      <c r="W1129" s="75"/>
      <c r="X1129" s="74"/>
      <c r="Y1129" s="74"/>
      <c r="Z1129" s="74"/>
      <c r="AA1129" s="74"/>
      <c r="AB1129" s="74"/>
      <c r="AC1129" s="74"/>
      <c r="AD1129" s="74"/>
      <c r="AE1129" s="74"/>
      <c r="AF1129" s="74"/>
      <c r="AG1129" s="74"/>
      <c r="AH1129" s="74"/>
    </row>
    <row r="1130" s="73" customFormat="1" spans="1:34">
      <c r="A1130" s="74"/>
      <c r="B1130" s="74"/>
      <c r="C1130" s="74"/>
      <c r="D1130" s="74"/>
      <c r="E1130" s="74"/>
      <c r="F1130" s="74"/>
      <c r="G1130" s="74"/>
      <c r="H1130" s="74"/>
      <c r="I1130" s="74"/>
      <c r="J1130" s="74"/>
      <c r="K1130" s="74"/>
      <c r="L1130" s="74"/>
      <c r="M1130" s="74"/>
      <c r="N1130" s="74"/>
      <c r="O1130" s="75"/>
      <c r="P1130" s="74"/>
      <c r="Q1130" s="75"/>
      <c r="R1130" s="74"/>
      <c r="S1130" s="74"/>
      <c r="T1130" s="74"/>
      <c r="U1130" s="75"/>
      <c r="V1130" s="74"/>
      <c r="W1130" s="75"/>
      <c r="X1130" s="74"/>
      <c r="Y1130" s="74"/>
      <c r="Z1130" s="74"/>
      <c r="AA1130" s="74"/>
      <c r="AB1130" s="74"/>
      <c r="AC1130" s="74"/>
      <c r="AD1130" s="74"/>
      <c r="AE1130" s="74"/>
      <c r="AF1130" s="74"/>
      <c r="AG1130" s="74"/>
      <c r="AH1130" s="74"/>
    </row>
    <row r="1131" s="73" customFormat="1" spans="1:34">
      <c r="A1131" s="74"/>
      <c r="B1131" s="74"/>
      <c r="C1131" s="74"/>
      <c r="D1131" s="74"/>
      <c r="E1131" s="74"/>
      <c r="F1131" s="74"/>
      <c r="G1131" s="74"/>
      <c r="H1131" s="74"/>
      <c r="I1131" s="74"/>
      <c r="J1131" s="74"/>
      <c r="K1131" s="74"/>
      <c r="L1131" s="74"/>
      <c r="M1131" s="74"/>
      <c r="N1131" s="74"/>
      <c r="O1131" s="75"/>
      <c r="P1131" s="74"/>
      <c r="Q1131" s="75"/>
      <c r="R1131" s="74"/>
      <c r="S1131" s="74"/>
      <c r="T1131" s="74"/>
      <c r="U1131" s="75"/>
      <c r="V1131" s="74"/>
      <c r="W1131" s="75"/>
      <c r="X1131" s="74"/>
      <c r="Y1131" s="74"/>
      <c r="Z1131" s="74"/>
      <c r="AA1131" s="74"/>
      <c r="AB1131" s="74"/>
      <c r="AC1131" s="74"/>
      <c r="AD1131" s="74"/>
      <c r="AE1131" s="74"/>
      <c r="AF1131" s="74"/>
      <c r="AG1131" s="74"/>
      <c r="AH1131" s="74"/>
    </row>
    <row r="1132" s="73" customFormat="1" spans="1:34">
      <c r="A1132" s="74"/>
      <c r="B1132" s="74"/>
      <c r="C1132" s="74"/>
      <c r="D1132" s="74"/>
      <c r="E1132" s="74"/>
      <c r="F1132" s="74"/>
      <c r="G1132" s="74"/>
      <c r="H1132" s="74"/>
      <c r="I1132" s="74"/>
      <c r="J1132" s="74"/>
      <c r="K1132" s="74"/>
      <c r="L1132" s="74"/>
      <c r="M1132" s="74"/>
      <c r="N1132" s="74"/>
      <c r="O1132" s="75"/>
      <c r="P1132" s="74"/>
      <c r="Q1132" s="75"/>
      <c r="R1132" s="74"/>
      <c r="S1132" s="74"/>
      <c r="T1132" s="74"/>
      <c r="U1132" s="75"/>
      <c r="V1132" s="74"/>
      <c r="W1132" s="75"/>
      <c r="X1132" s="74"/>
      <c r="Y1132" s="74"/>
      <c r="Z1132" s="74"/>
      <c r="AA1132" s="74"/>
      <c r="AB1132" s="74"/>
      <c r="AC1132" s="74"/>
      <c r="AD1132" s="74"/>
      <c r="AE1132" s="74"/>
      <c r="AF1132" s="74"/>
      <c r="AG1132" s="74"/>
      <c r="AH1132" s="74"/>
    </row>
    <row r="1134" s="73" customFormat="1" spans="1:34">
      <c r="A1134" s="74"/>
      <c r="B1134" s="74"/>
      <c r="C1134" s="74"/>
      <c r="D1134" s="74"/>
      <c r="E1134" s="74"/>
      <c r="F1134" s="74"/>
      <c r="G1134" s="74"/>
      <c r="H1134" s="74"/>
      <c r="I1134" s="74"/>
      <c r="J1134" s="74"/>
      <c r="K1134" s="74"/>
      <c r="L1134" s="74"/>
      <c r="M1134" s="74"/>
      <c r="N1134" s="74"/>
      <c r="O1134" s="75"/>
      <c r="P1134" s="74"/>
      <c r="Q1134" s="75"/>
      <c r="R1134" s="74"/>
      <c r="S1134" s="74"/>
      <c r="T1134" s="74"/>
      <c r="U1134" s="75"/>
      <c r="V1134" s="74"/>
      <c r="W1134" s="75"/>
      <c r="X1134" s="74"/>
      <c r="Y1134" s="74"/>
      <c r="Z1134" s="74"/>
      <c r="AA1134" s="74"/>
      <c r="AB1134" s="74"/>
      <c r="AC1134" s="74"/>
      <c r="AD1134" s="74"/>
      <c r="AE1134" s="74"/>
      <c r="AF1134" s="74"/>
      <c r="AG1134" s="74"/>
      <c r="AH1134" s="74"/>
    </row>
    <row r="1135" s="73" customFormat="1" spans="1:34">
      <c r="A1135" s="74"/>
      <c r="B1135" s="74"/>
      <c r="C1135" s="74"/>
      <c r="D1135" s="74"/>
      <c r="E1135" s="74"/>
      <c r="F1135" s="74"/>
      <c r="G1135" s="74"/>
      <c r="H1135" s="74"/>
      <c r="I1135" s="74"/>
      <c r="J1135" s="74"/>
      <c r="K1135" s="74"/>
      <c r="L1135" s="74"/>
      <c r="M1135" s="74"/>
      <c r="N1135" s="74"/>
      <c r="O1135" s="75"/>
      <c r="P1135" s="74"/>
      <c r="Q1135" s="75"/>
      <c r="R1135" s="74"/>
      <c r="S1135" s="74"/>
      <c r="T1135" s="74"/>
      <c r="U1135" s="75"/>
      <c r="V1135" s="74"/>
      <c r="W1135" s="75"/>
      <c r="X1135" s="74"/>
      <c r="Y1135" s="74"/>
      <c r="Z1135" s="74"/>
      <c r="AA1135" s="74"/>
      <c r="AB1135" s="74"/>
      <c r="AC1135" s="74"/>
      <c r="AD1135" s="74"/>
      <c r="AE1135" s="74"/>
      <c r="AF1135" s="74"/>
      <c r="AG1135" s="74"/>
      <c r="AH1135" s="74"/>
    </row>
    <row r="1136" s="73" customFormat="1" spans="1:34">
      <c r="A1136" s="74"/>
      <c r="B1136" s="74"/>
      <c r="C1136" s="74"/>
      <c r="D1136" s="74"/>
      <c r="E1136" s="74"/>
      <c r="F1136" s="74"/>
      <c r="G1136" s="74"/>
      <c r="H1136" s="74"/>
      <c r="I1136" s="74"/>
      <c r="J1136" s="74"/>
      <c r="K1136" s="74"/>
      <c r="L1136" s="74"/>
      <c r="M1136" s="74"/>
      <c r="N1136" s="74"/>
      <c r="O1136" s="75"/>
      <c r="P1136" s="74"/>
      <c r="Q1136" s="75"/>
      <c r="R1136" s="74"/>
      <c r="S1136" s="74"/>
      <c r="T1136" s="74"/>
      <c r="U1136" s="75"/>
      <c r="V1136" s="74"/>
      <c r="W1136" s="75"/>
      <c r="X1136" s="74"/>
      <c r="Y1136" s="74"/>
      <c r="Z1136" s="74"/>
      <c r="AA1136" s="74"/>
      <c r="AB1136" s="74"/>
      <c r="AC1136" s="74"/>
      <c r="AD1136" s="74"/>
      <c r="AE1136" s="74"/>
      <c r="AF1136" s="74"/>
      <c r="AG1136" s="74"/>
      <c r="AH1136" s="74"/>
    </row>
    <row r="1137" s="73" customFormat="1" spans="1:34">
      <c r="A1137" s="74"/>
      <c r="B1137" s="74"/>
      <c r="C1137" s="74"/>
      <c r="D1137" s="74"/>
      <c r="E1137" s="74"/>
      <c r="F1137" s="74"/>
      <c r="G1137" s="74"/>
      <c r="H1137" s="74"/>
      <c r="I1137" s="74"/>
      <c r="J1137" s="74"/>
      <c r="K1137" s="74"/>
      <c r="L1137" s="74"/>
      <c r="M1137" s="74"/>
      <c r="N1137" s="74"/>
      <c r="O1137" s="75"/>
      <c r="P1137" s="74"/>
      <c r="Q1137" s="75"/>
      <c r="R1137" s="74"/>
      <c r="S1137" s="74"/>
      <c r="T1137" s="74"/>
      <c r="U1137" s="75"/>
      <c r="V1137" s="74"/>
      <c r="W1137" s="75"/>
      <c r="X1137" s="74"/>
      <c r="Y1137" s="74"/>
      <c r="Z1137" s="74"/>
      <c r="AA1137" s="74"/>
      <c r="AB1137" s="74"/>
      <c r="AC1137" s="74"/>
      <c r="AD1137" s="74"/>
      <c r="AE1137" s="74"/>
      <c r="AF1137" s="74"/>
      <c r="AG1137" s="74"/>
      <c r="AH1137" s="74"/>
    </row>
    <row r="1138" s="73" customFormat="1" spans="1:34">
      <c r="A1138" s="74"/>
      <c r="B1138" s="74"/>
      <c r="C1138" s="74"/>
      <c r="D1138" s="74"/>
      <c r="E1138" s="74"/>
      <c r="F1138" s="74"/>
      <c r="G1138" s="74"/>
      <c r="H1138" s="74"/>
      <c r="I1138" s="74"/>
      <c r="J1138" s="74"/>
      <c r="K1138" s="74"/>
      <c r="L1138" s="74"/>
      <c r="M1138" s="74"/>
      <c r="N1138" s="74"/>
      <c r="O1138" s="75"/>
      <c r="P1138" s="74"/>
      <c r="Q1138" s="75"/>
      <c r="R1138" s="74"/>
      <c r="S1138" s="74"/>
      <c r="T1138" s="74"/>
      <c r="U1138" s="75"/>
      <c r="V1138" s="74"/>
      <c r="W1138" s="75"/>
      <c r="X1138" s="74"/>
      <c r="Y1138" s="74"/>
      <c r="Z1138" s="74"/>
      <c r="AA1138" s="74"/>
      <c r="AB1138" s="74"/>
      <c r="AC1138" s="74"/>
      <c r="AD1138" s="74"/>
      <c r="AE1138" s="74"/>
      <c r="AF1138" s="74"/>
      <c r="AG1138" s="74"/>
      <c r="AH1138" s="74"/>
    </row>
    <row r="1139" s="73" customFormat="1" spans="1:34">
      <c r="A1139" s="74"/>
      <c r="B1139" s="74"/>
      <c r="C1139" s="74"/>
      <c r="D1139" s="74"/>
      <c r="E1139" s="74"/>
      <c r="F1139" s="74"/>
      <c r="G1139" s="74"/>
      <c r="H1139" s="74"/>
      <c r="I1139" s="74"/>
      <c r="J1139" s="74"/>
      <c r="K1139" s="74"/>
      <c r="L1139" s="74"/>
      <c r="M1139" s="74"/>
      <c r="N1139" s="74"/>
      <c r="O1139" s="75"/>
      <c r="P1139" s="74"/>
      <c r="Q1139" s="75"/>
      <c r="R1139" s="74"/>
      <c r="S1139" s="74"/>
      <c r="T1139" s="74"/>
      <c r="U1139" s="75"/>
      <c r="V1139" s="74"/>
      <c r="W1139" s="75"/>
      <c r="X1139" s="74"/>
      <c r="Y1139" s="74"/>
      <c r="Z1139" s="74"/>
      <c r="AA1139" s="74"/>
      <c r="AB1139" s="74"/>
      <c r="AC1139" s="74"/>
      <c r="AD1139" s="74"/>
      <c r="AE1139" s="74"/>
      <c r="AF1139" s="74"/>
      <c r="AG1139" s="74"/>
      <c r="AH1139" s="74"/>
    </row>
    <row r="1140" s="73" customFormat="1" spans="1:34">
      <c r="A1140" s="74"/>
      <c r="B1140" s="74"/>
      <c r="C1140" s="74"/>
      <c r="D1140" s="74"/>
      <c r="E1140" s="74"/>
      <c r="F1140" s="74"/>
      <c r="G1140" s="74"/>
      <c r="H1140" s="74"/>
      <c r="I1140" s="74"/>
      <c r="J1140" s="74"/>
      <c r="K1140" s="74"/>
      <c r="L1140" s="74"/>
      <c r="M1140" s="74"/>
      <c r="N1140" s="74"/>
      <c r="O1140" s="75"/>
      <c r="P1140" s="74"/>
      <c r="Q1140" s="75"/>
      <c r="R1140" s="74"/>
      <c r="S1140" s="74"/>
      <c r="T1140" s="74"/>
      <c r="U1140" s="75"/>
      <c r="V1140" s="74"/>
      <c r="W1140" s="75"/>
      <c r="X1140" s="74"/>
      <c r="Y1140" s="74"/>
      <c r="Z1140" s="74"/>
      <c r="AA1140" s="74"/>
      <c r="AB1140" s="74"/>
      <c r="AC1140" s="74"/>
      <c r="AD1140" s="74"/>
      <c r="AE1140" s="74"/>
      <c r="AF1140" s="74"/>
      <c r="AG1140" s="74"/>
      <c r="AH1140" s="74"/>
    </row>
    <row r="1141" s="73" customFormat="1" spans="1:34">
      <c r="A1141" s="74"/>
      <c r="B1141" s="74"/>
      <c r="C1141" s="74"/>
      <c r="D1141" s="74"/>
      <c r="E1141" s="74"/>
      <c r="F1141" s="74"/>
      <c r="G1141" s="74"/>
      <c r="H1141" s="74"/>
      <c r="I1141" s="74"/>
      <c r="J1141" s="74"/>
      <c r="K1141" s="74"/>
      <c r="L1141" s="74"/>
      <c r="M1141" s="74"/>
      <c r="N1141" s="74"/>
      <c r="O1141" s="75"/>
      <c r="P1141" s="74"/>
      <c r="Q1141" s="75"/>
      <c r="R1141" s="74"/>
      <c r="S1141" s="74"/>
      <c r="T1141" s="74"/>
      <c r="U1141" s="75"/>
      <c r="V1141" s="74"/>
      <c r="W1141" s="75"/>
      <c r="X1141" s="74"/>
      <c r="Y1141" s="74"/>
      <c r="Z1141" s="74"/>
      <c r="AA1141" s="74"/>
      <c r="AB1141" s="74"/>
      <c r="AC1141" s="74"/>
      <c r="AD1141" s="74"/>
      <c r="AE1141" s="74"/>
      <c r="AF1141" s="74"/>
      <c r="AG1141" s="74"/>
      <c r="AH1141" s="74"/>
    </row>
    <row r="1142" s="73" customFormat="1" spans="1:34">
      <c r="A1142" s="74"/>
      <c r="B1142" s="74"/>
      <c r="C1142" s="74"/>
      <c r="D1142" s="74"/>
      <c r="E1142" s="74"/>
      <c r="F1142" s="74"/>
      <c r="G1142" s="74"/>
      <c r="H1142" s="74"/>
      <c r="I1142" s="74"/>
      <c r="J1142" s="74"/>
      <c r="K1142" s="74"/>
      <c r="L1142" s="74"/>
      <c r="M1142" s="74"/>
      <c r="N1142" s="74"/>
      <c r="O1142" s="75"/>
      <c r="P1142" s="74"/>
      <c r="Q1142" s="75"/>
      <c r="R1142" s="74"/>
      <c r="S1142" s="74"/>
      <c r="T1142" s="74"/>
      <c r="U1142" s="75"/>
      <c r="V1142" s="74"/>
      <c r="W1142" s="75"/>
      <c r="X1142" s="74"/>
      <c r="Y1142" s="74"/>
      <c r="Z1142" s="74"/>
      <c r="AA1142" s="74"/>
      <c r="AB1142" s="74"/>
      <c r="AC1142" s="74"/>
      <c r="AD1142" s="74"/>
      <c r="AE1142" s="74"/>
      <c r="AF1142" s="74"/>
      <c r="AG1142" s="74"/>
      <c r="AH1142" s="74"/>
    </row>
    <row r="1144" s="73" customFormat="1" spans="1:34">
      <c r="A1144" s="74"/>
      <c r="B1144" s="74"/>
      <c r="C1144" s="74"/>
      <c r="D1144" s="74"/>
      <c r="E1144" s="74"/>
      <c r="F1144" s="74"/>
      <c r="G1144" s="74"/>
      <c r="H1144" s="74"/>
      <c r="I1144" s="74"/>
      <c r="J1144" s="74"/>
      <c r="K1144" s="74"/>
      <c r="L1144" s="74"/>
      <c r="M1144" s="74"/>
      <c r="N1144" s="74"/>
      <c r="O1144" s="75"/>
      <c r="P1144" s="74"/>
      <c r="Q1144" s="75"/>
      <c r="R1144" s="74"/>
      <c r="S1144" s="74"/>
      <c r="T1144" s="74"/>
      <c r="U1144" s="75"/>
      <c r="V1144" s="74"/>
      <c r="W1144" s="75"/>
      <c r="X1144" s="74"/>
      <c r="Y1144" s="74"/>
      <c r="Z1144" s="74"/>
      <c r="AA1144" s="74"/>
      <c r="AB1144" s="74"/>
      <c r="AC1144" s="74"/>
      <c r="AD1144" s="74"/>
      <c r="AE1144" s="74"/>
      <c r="AF1144" s="74"/>
      <c r="AG1144" s="74"/>
      <c r="AH1144" s="74"/>
    </row>
    <row r="1145" s="73" customFormat="1" spans="1:34">
      <c r="A1145" s="74"/>
      <c r="B1145" s="74"/>
      <c r="C1145" s="74"/>
      <c r="D1145" s="74"/>
      <c r="E1145" s="74"/>
      <c r="F1145" s="74"/>
      <c r="G1145" s="74"/>
      <c r="H1145" s="74"/>
      <c r="I1145" s="74"/>
      <c r="J1145" s="74"/>
      <c r="K1145" s="74"/>
      <c r="L1145" s="74"/>
      <c r="M1145" s="74"/>
      <c r="N1145" s="74"/>
      <c r="O1145" s="75"/>
      <c r="P1145" s="74"/>
      <c r="Q1145" s="75"/>
      <c r="R1145" s="74"/>
      <c r="S1145" s="74"/>
      <c r="T1145" s="74"/>
      <c r="U1145" s="75"/>
      <c r="V1145" s="74"/>
      <c r="W1145" s="75"/>
      <c r="X1145" s="74"/>
      <c r="Y1145" s="74"/>
      <c r="Z1145" s="74"/>
      <c r="AA1145" s="74"/>
      <c r="AB1145" s="74"/>
      <c r="AC1145" s="74"/>
      <c r="AD1145" s="74"/>
      <c r="AE1145" s="74"/>
      <c r="AF1145" s="74"/>
      <c r="AG1145" s="74"/>
      <c r="AH1145" s="74"/>
    </row>
    <row r="1146" s="73" customFormat="1" spans="1:34">
      <c r="A1146" s="74"/>
      <c r="B1146" s="74"/>
      <c r="C1146" s="74"/>
      <c r="D1146" s="74"/>
      <c r="E1146" s="74"/>
      <c r="F1146" s="74"/>
      <c r="G1146" s="74"/>
      <c r="H1146" s="74"/>
      <c r="I1146" s="74"/>
      <c r="J1146" s="74"/>
      <c r="K1146" s="74"/>
      <c r="L1146" s="74"/>
      <c r="M1146" s="74"/>
      <c r="N1146" s="74"/>
      <c r="O1146" s="75"/>
      <c r="P1146" s="74"/>
      <c r="Q1146" s="75"/>
      <c r="R1146" s="74"/>
      <c r="S1146" s="74"/>
      <c r="T1146" s="74"/>
      <c r="U1146" s="75"/>
      <c r="V1146" s="74"/>
      <c r="W1146" s="75"/>
      <c r="X1146" s="74"/>
      <c r="Y1146" s="74"/>
      <c r="Z1146" s="74"/>
      <c r="AA1146" s="74"/>
      <c r="AB1146" s="74"/>
      <c r="AC1146" s="74"/>
      <c r="AD1146" s="74"/>
      <c r="AE1146" s="74"/>
      <c r="AF1146" s="74"/>
      <c r="AG1146" s="74"/>
      <c r="AH1146" s="74"/>
    </row>
    <row r="1147" s="73" customFormat="1" spans="1:34">
      <c r="A1147" s="74"/>
      <c r="B1147" s="74"/>
      <c r="C1147" s="74"/>
      <c r="D1147" s="74"/>
      <c r="E1147" s="74"/>
      <c r="F1147" s="74"/>
      <c r="G1147" s="74"/>
      <c r="H1147" s="74"/>
      <c r="I1147" s="74"/>
      <c r="J1147" s="74"/>
      <c r="K1147" s="74"/>
      <c r="L1147" s="74"/>
      <c r="M1147" s="74"/>
      <c r="N1147" s="74"/>
      <c r="O1147" s="75"/>
      <c r="P1147" s="74"/>
      <c r="Q1147" s="75"/>
      <c r="R1147" s="74"/>
      <c r="S1147" s="74"/>
      <c r="T1147" s="74"/>
      <c r="U1147" s="75"/>
      <c r="V1147" s="74"/>
      <c r="W1147" s="75"/>
      <c r="X1147" s="74"/>
      <c r="Y1147" s="74"/>
      <c r="Z1147" s="74"/>
      <c r="AA1147" s="74"/>
      <c r="AB1147" s="74"/>
      <c r="AC1147" s="74"/>
      <c r="AD1147" s="74"/>
      <c r="AE1147" s="74"/>
      <c r="AF1147" s="74"/>
      <c r="AG1147" s="74"/>
      <c r="AH1147" s="74"/>
    </row>
    <row r="1148" s="73" customFormat="1" spans="1:34">
      <c r="A1148" s="74"/>
      <c r="B1148" s="74"/>
      <c r="C1148" s="74"/>
      <c r="D1148" s="74"/>
      <c r="E1148" s="74"/>
      <c r="F1148" s="74"/>
      <c r="G1148" s="74"/>
      <c r="H1148" s="74"/>
      <c r="I1148" s="74"/>
      <c r="J1148" s="74"/>
      <c r="K1148" s="74"/>
      <c r="L1148" s="74"/>
      <c r="M1148" s="74"/>
      <c r="N1148" s="74"/>
      <c r="O1148" s="75"/>
      <c r="P1148" s="74"/>
      <c r="Q1148" s="75"/>
      <c r="R1148" s="74"/>
      <c r="S1148" s="74"/>
      <c r="T1148" s="74"/>
      <c r="U1148" s="75"/>
      <c r="V1148" s="74"/>
      <c r="W1148" s="75"/>
      <c r="X1148" s="74"/>
      <c r="Y1148" s="74"/>
      <c r="Z1148" s="74"/>
      <c r="AA1148" s="74"/>
      <c r="AB1148" s="74"/>
      <c r="AC1148" s="74"/>
      <c r="AD1148" s="74"/>
      <c r="AE1148" s="74"/>
      <c r="AF1148" s="74"/>
      <c r="AG1148" s="74"/>
      <c r="AH1148" s="74"/>
    </row>
    <row r="1149" s="73" customFormat="1" spans="1:34">
      <c r="A1149" s="74"/>
      <c r="B1149" s="74"/>
      <c r="C1149" s="74"/>
      <c r="D1149" s="74"/>
      <c r="E1149" s="74"/>
      <c r="F1149" s="74"/>
      <c r="G1149" s="74"/>
      <c r="H1149" s="74"/>
      <c r="I1149" s="74"/>
      <c r="J1149" s="74"/>
      <c r="K1149" s="74"/>
      <c r="L1149" s="74"/>
      <c r="M1149" s="74"/>
      <c r="N1149" s="74"/>
      <c r="O1149" s="75"/>
      <c r="P1149" s="74"/>
      <c r="Q1149" s="75"/>
      <c r="R1149" s="74"/>
      <c r="S1149" s="74"/>
      <c r="T1149" s="74"/>
      <c r="U1149" s="75"/>
      <c r="V1149" s="74"/>
      <c r="W1149" s="75"/>
      <c r="X1149" s="74"/>
      <c r="Y1149" s="74"/>
      <c r="Z1149" s="74"/>
      <c r="AA1149" s="74"/>
      <c r="AB1149" s="74"/>
      <c r="AC1149" s="74"/>
      <c r="AD1149" s="74"/>
      <c r="AE1149" s="74"/>
      <c r="AF1149" s="74"/>
      <c r="AG1149" s="74"/>
      <c r="AH1149" s="74"/>
    </row>
    <row r="1150" s="73" customFormat="1" spans="1:34">
      <c r="A1150" s="74"/>
      <c r="B1150" s="74"/>
      <c r="C1150" s="74"/>
      <c r="D1150" s="74"/>
      <c r="E1150" s="74"/>
      <c r="F1150" s="74"/>
      <c r="G1150" s="74"/>
      <c r="H1150" s="74"/>
      <c r="I1150" s="74"/>
      <c r="J1150" s="74"/>
      <c r="K1150" s="74"/>
      <c r="L1150" s="74"/>
      <c r="M1150" s="74"/>
      <c r="N1150" s="74"/>
      <c r="O1150" s="75"/>
      <c r="P1150" s="74"/>
      <c r="Q1150" s="75"/>
      <c r="R1150" s="74"/>
      <c r="S1150" s="74"/>
      <c r="T1150" s="74"/>
      <c r="U1150" s="75"/>
      <c r="V1150" s="74"/>
      <c r="W1150" s="75"/>
      <c r="X1150" s="74"/>
      <c r="Y1150" s="74"/>
      <c r="Z1150" s="74"/>
      <c r="AA1150" s="74"/>
      <c r="AB1150" s="74"/>
      <c r="AC1150" s="74"/>
      <c r="AD1150" s="74"/>
      <c r="AE1150" s="74"/>
      <c r="AF1150" s="74"/>
      <c r="AG1150" s="74"/>
      <c r="AH1150" s="74"/>
    </row>
    <row r="1151" s="73" customFormat="1" spans="1:34">
      <c r="A1151" s="74"/>
      <c r="B1151" s="74"/>
      <c r="C1151" s="74"/>
      <c r="D1151" s="74"/>
      <c r="E1151" s="74"/>
      <c r="F1151" s="74"/>
      <c r="G1151" s="74"/>
      <c r="H1151" s="74"/>
      <c r="I1151" s="74"/>
      <c r="J1151" s="74"/>
      <c r="K1151" s="74"/>
      <c r="L1151" s="74"/>
      <c r="M1151" s="74"/>
      <c r="N1151" s="74"/>
      <c r="O1151" s="75"/>
      <c r="P1151" s="74"/>
      <c r="Q1151" s="75"/>
      <c r="R1151" s="74"/>
      <c r="S1151" s="74"/>
      <c r="T1151" s="74"/>
      <c r="U1151" s="75"/>
      <c r="V1151" s="74"/>
      <c r="W1151" s="75"/>
      <c r="X1151" s="74"/>
      <c r="Y1151" s="74"/>
      <c r="Z1151" s="74"/>
      <c r="AA1151" s="74"/>
      <c r="AB1151" s="74"/>
      <c r="AC1151" s="74"/>
      <c r="AD1151" s="74"/>
      <c r="AE1151" s="74"/>
      <c r="AF1151" s="74"/>
      <c r="AG1151" s="74"/>
      <c r="AH1151" s="74"/>
    </row>
    <row r="1152" s="73" customFormat="1" spans="1:34">
      <c r="A1152" s="74"/>
      <c r="B1152" s="74"/>
      <c r="C1152" s="74"/>
      <c r="D1152" s="74"/>
      <c r="E1152" s="74"/>
      <c r="F1152" s="74"/>
      <c r="G1152" s="74"/>
      <c r="H1152" s="74"/>
      <c r="I1152" s="74"/>
      <c r="J1152" s="74"/>
      <c r="K1152" s="74"/>
      <c r="L1152" s="74"/>
      <c r="M1152" s="74"/>
      <c r="N1152" s="74"/>
      <c r="O1152" s="75"/>
      <c r="P1152" s="74"/>
      <c r="Q1152" s="75"/>
      <c r="R1152" s="74"/>
      <c r="S1152" s="74"/>
      <c r="T1152" s="74"/>
      <c r="U1152" s="75"/>
      <c r="V1152" s="74"/>
      <c r="W1152" s="75"/>
      <c r="X1152" s="74"/>
      <c r="Y1152" s="74"/>
      <c r="Z1152" s="74"/>
      <c r="AA1152" s="74"/>
      <c r="AB1152" s="74"/>
      <c r="AC1152" s="74"/>
      <c r="AD1152" s="74"/>
      <c r="AE1152" s="74"/>
      <c r="AF1152" s="74"/>
      <c r="AG1152" s="74"/>
      <c r="AH1152" s="74"/>
    </row>
    <row r="1153" s="73" customFormat="1" spans="1:34">
      <c r="A1153" s="74"/>
      <c r="B1153" s="74"/>
      <c r="C1153" s="74"/>
      <c r="D1153" s="74"/>
      <c r="E1153" s="74"/>
      <c r="F1153" s="74"/>
      <c r="G1153" s="74"/>
      <c r="H1153" s="74"/>
      <c r="I1153" s="74"/>
      <c r="J1153" s="74"/>
      <c r="K1153" s="74"/>
      <c r="L1153" s="74"/>
      <c r="M1153" s="74"/>
      <c r="N1153" s="74"/>
      <c r="O1153" s="75"/>
      <c r="P1153" s="74"/>
      <c r="Q1153" s="75"/>
      <c r="R1153" s="74"/>
      <c r="S1153" s="74"/>
      <c r="T1153" s="74"/>
      <c r="U1153" s="75"/>
      <c r="V1153" s="74"/>
      <c r="W1153" s="75"/>
      <c r="X1153" s="74"/>
      <c r="Y1153" s="74"/>
      <c r="Z1153" s="74"/>
      <c r="AA1153" s="74"/>
      <c r="AB1153" s="74"/>
      <c r="AC1153" s="74"/>
      <c r="AD1153" s="74"/>
      <c r="AE1153" s="74"/>
      <c r="AF1153" s="74"/>
      <c r="AG1153" s="74"/>
      <c r="AH1153" s="74"/>
    </row>
    <row r="1154" s="73" customFormat="1" spans="1:34">
      <c r="A1154" s="74"/>
      <c r="B1154" s="74"/>
      <c r="C1154" s="74"/>
      <c r="D1154" s="74"/>
      <c r="E1154" s="74"/>
      <c r="F1154" s="74"/>
      <c r="G1154" s="74"/>
      <c r="H1154" s="74"/>
      <c r="I1154" s="74"/>
      <c r="J1154" s="74"/>
      <c r="K1154" s="74"/>
      <c r="L1154" s="74"/>
      <c r="M1154" s="74"/>
      <c r="N1154" s="74"/>
      <c r="O1154" s="75"/>
      <c r="P1154" s="74"/>
      <c r="Q1154" s="75"/>
      <c r="R1154" s="74"/>
      <c r="S1154" s="74"/>
      <c r="T1154" s="74"/>
      <c r="U1154" s="75"/>
      <c r="V1154" s="74"/>
      <c r="W1154" s="75"/>
      <c r="X1154" s="74"/>
      <c r="Y1154" s="74"/>
      <c r="Z1154" s="74"/>
      <c r="AA1154" s="74"/>
      <c r="AB1154" s="74"/>
      <c r="AC1154" s="74"/>
      <c r="AD1154" s="74"/>
      <c r="AE1154" s="74"/>
      <c r="AF1154" s="74"/>
      <c r="AG1154" s="74"/>
      <c r="AH1154" s="74"/>
    </row>
    <row r="1155" s="73" customFormat="1" spans="1:34">
      <c r="A1155" s="74"/>
      <c r="B1155" s="74"/>
      <c r="C1155" s="74"/>
      <c r="D1155" s="74"/>
      <c r="E1155" s="74"/>
      <c r="F1155" s="74"/>
      <c r="G1155" s="74"/>
      <c r="H1155" s="74"/>
      <c r="I1155" s="74"/>
      <c r="J1155" s="74"/>
      <c r="K1155" s="74"/>
      <c r="L1155" s="74"/>
      <c r="M1155" s="74"/>
      <c r="N1155" s="74"/>
      <c r="O1155" s="75"/>
      <c r="P1155" s="74"/>
      <c r="Q1155" s="75"/>
      <c r="R1155" s="74"/>
      <c r="S1155" s="74"/>
      <c r="T1155" s="74"/>
      <c r="U1155" s="75"/>
      <c r="V1155" s="74"/>
      <c r="W1155" s="75"/>
      <c r="X1155" s="74"/>
      <c r="Y1155" s="74"/>
      <c r="Z1155" s="74"/>
      <c r="AA1155" s="74"/>
      <c r="AB1155" s="74"/>
      <c r="AC1155" s="74"/>
      <c r="AD1155" s="74"/>
      <c r="AE1155" s="74"/>
      <c r="AF1155" s="74"/>
      <c r="AG1155" s="74"/>
      <c r="AH1155" s="74"/>
    </row>
    <row r="1156" s="73" customFormat="1" spans="1:34">
      <c r="A1156" s="74"/>
      <c r="B1156" s="74"/>
      <c r="C1156" s="74"/>
      <c r="D1156" s="74"/>
      <c r="E1156" s="74"/>
      <c r="F1156" s="74"/>
      <c r="G1156" s="74"/>
      <c r="H1156" s="74"/>
      <c r="I1156" s="74"/>
      <c r="J1156" s="74"/>
      <c r="K1156" s="74"/>
      <c r="L1156" s="74"/>
      <c r="M1156" s="74"/>
      <c r="N1156" s="74"/>
      <c r="O1156" s="75"/>
      <c r="P1156" s="74"/>
      <c r="Q1156" s="75"/>
      <c r="R1156" s="74"/>
      <c r="S1156" s="74"/>
      <c r="T1156" s="74"/>
      <c r="U1156" s="75"/>
      <c r="V1156" s="74"/>
      <c r="W1156" s="75"/>
      <c r="X1156" s="74"/>
      <c r="Y1156" s="74"/>
      <c r="Z1156" s="74"/>
      <c r="AA1156" s="74"/>
      <c r="AB1156" s="74"/>
      <c r="AC1156" s="74"/>
      <c r="AD1156" s="74"/>
      <c r="AE1156" s="74"/>
      <c r="AF1156" s="74"/>
      <c r="AG1156" s="74"/>
      <c r="AH1156" s="74"/>
    </row>
    <row r="1157" s="73" customFormat="1" spans="1:34">
      <c r="A1157" s="74"/>
      <c r="B1157" s="74"/>
      <c r="C1157" s="74"/>
      <c r="D1157" s="74"/>
      <c r="E1157" s="74"/>
      <c r="F1157" s="74"/>
      <c r="G1157" s="74"/>
      <c r="H1157" s="74"/>
      <c r="I1157" s="74"/>
      <c r="J1157" s="74"/>
      <c r="K1157" s="74"/>
      <c r="L1157" s="74"/>
      <c r="M1157" s="74"/>
      <c r="N1157" s="74"/>
      <c r="O1157" s="75"/>
      <c r="P1157" s="74"/>
      <c r="Q1157" s="75"/>
      <c r="R1157" s="74"/>
      <c r="S1157" s="74"/>
      <c r="T1157" s="74"/>
      <c r="U1157" s="75"/>
      <c r="V1157" s="74"/>
      <c r="W1157" s="75"/>
      <c r="X1157" s="74"/>
      <c r="Y1157" s="74"/>
      <c r="Z1157" s="74"/>
      <c r="AA1157" s="74"/>
      <c r="AB1157" s="74"/>
      <c r="AC1157" s="74"/>
      <c r="AD1157" s="74"/>
      <c r="AE1157" s="74"/>
      <c r="AF1157" s="74"/>
      <c r="AG1157" s="74"/>
      <c r="AH1157" s="74"/>
    </row>
    <row r="1158" s="73" customFormat="1" spans="1:34">
      <c r="A1158" s="74"/>
      <c r="B1158" s="74"/>
      <c r="C1158" s="74"/>
      <c r="D1158" s="74"/>
      <c r="E1158" s="74"/>
      <c r="F1158" s="74"/>
      <c r="G1158" s="74"/>
      <c r="H1158" s="74"/>
      <c r="I1158" s="74"/>
      <c r="J1158" s="74"/>
      <c r="K1158" s="74"/>
      <c r="L1158" s="74"/>
      <c r="M1158" s="74"/>
      <c r="N1158" s="74"/>
      <c r="O1158" s="75"/>
      <c r="P1158" s="74"/>
      <c r="Q1158" s="75"/>
      <c r="R1158" s="74"/>
      <c r="S1158" s="74"/>
      <c r="T1158" s="74"/>
      <c r="U1158" s="75"/>
      <c r="V1158" s="74"/>
      <c r="W1158" s="75"/>
      <c r="X1158" s="74"/>
      <c r="Y1158" s="74"/>
      <c r="Z1158" s="74"/>
      <c r="AA1158" s="74"/>
      <c r="AB1158" s="74"/>
      <c r="AC1158" s="74"/>
      <c r="AD1158" s="74"/>
      <c r="AE1158" s="74"/>
      <c r="AF1158" s="74"/>
      <c r="AG1158" s="74"/>
      <c r="AH1158" s="74"/>
    </row>
    <row r="1159" s="73" customFormat="1" spans="1:34">
      <c r="A1159" s="74"/>
      <c r="B1159" s="74"/>
      <c r="C1159" s="74"/>
      <c r="D1159" s="74"/>
      <c r="E1159" s="74"/>
      <c r="F1159" s="74"/>
      <c r="G1159" s="74"/>
      <c r="H1159" s="74"/>
      <c r="I1159" s="74"/>
      <c r="J1159" s="74"/>
      <c r="K1159" s="74"/>
      <c r="L1159" s="74"/>
      <c r="M1159" s="74"/>
      <c r="N1159" s="74"/>
      <c r="O1159" s="75"/>
      <c r="P1159" s="74"/>
      <c r="Q1159" s="75"/>
      <c r="R1159" s="74"/>
      <c r="S1159" s="74"/>
      <c r="T1159" s="74"/>
      <c r="U1159" s="75"/>
      <c r="V1159" s="74"/>
      <c r="W1159" s="75"/>
      <c r="X1159" s="74"/>
      <c r="Y1159" s="74"/>
      <c r="Z1159" s="74"/>
      <c r="AA1159" s="74"/>
      <c r="AB1159" s="74"/>
      <c r="AC1159" s="74"/>
      <c r="AD1159" s="74"/>
      <c r="AE1159" s="74"/>
      <c r="AF1159" s="74"/>
      <c r="AG1159" s="74"/>
      <c r="AH1159" s="74"/>
    </row>
    <row r="1160" s="73" customFormat="1" spans="1:34">
      <c r="A1160" s="74"/>
      <c r="B1160" s="74"/>
      <c r="C1160" s="74"/>
      <c r="D1160" s="74"/>
      <c r="E1160" s="74"/>
      <c r="F1160" s="74"/>
      <c r="G1160" s="74"/>
      <c r="H1160" s="74"/>
      <c r="I1160" s="74"/>
      <c r="J1160" s="74"/>
      <c r="K1160" s="74"/>
      <c r="L1160" s="74"/>
      <c r="M1160" s="74"/>
      <c r="N1160" s="74"/>
      <c r="O1160" s="75"/>
      <c r="P1160" s="74"/>
      <c r="Q1160" s="75"/>
      <c r="R1160" s="74"/>
      <c r="S1160" s="74"/>
      <c r="T1160" s="74"/>
      <c r="U1160" s="75"/>
      <c r="V1160" s="74"/>
      <c r="W1160" s="75"/>
      <c r="X1160" s="74"/>
      <c r="Y1160" s="74"/>
      <c r="Z1160" s="74"/>
      <c r="AA1160" s="74"/>
      <c r="AB1160" s="74"/>
      <c r="AC1160" s="74"/>
      <c r="AD1160" s="74"/>
      <c r="AE1160" s="74"/>
      <c r="AF1160" s="74"/>
      <c r="AG1160" s="74"/>
      <c r="AH1160" s="74"/>
    </row>
    <row r="1161" s="73" customFormat="1" spans="1:34">
      <c r="A1161" s="74"/>
      <c r="B1161" s="74"/>
      <c r="C1161" s="74"/>
      <c r="D1161" s="74"/>
      <c r="E1161" s="74"/>
      <c r="F1161" s="74"/>
      <c r="G1161" s="74"/>
      <c r="H1161" s="74"/>
      <c r="I1161" s="74"/>
      <c r="J1161" s="74"/>
      <c r="K1161" s="74"/>
      <c r="L1161" s="74"/>
      <c r="M1161" s="74"/>
      <c r="N1161" s="74"/>
      <c r="O1161" s="75"/>
      <c r="P1161" s="74"/>
      <c r="Q1161" s="75"/>
      <c r="R1161" s="74"/>
      <c r="S1161" s="74"/>
      <c r="T1161" s="74"/>
      <c r="U1161" s="75"/>
      <c r="V1161" s="74"/>
      <c r="W1161" s="75"/>
      <c r="X1161" s="74"/>
      <c r="Y1161" s="74"/>
      <c r="Z1161" s="74"/>
      <c r="AA1161" s="74"/>
      <c r="AB1161" s="74"/>
      <c r="AC1161" s="74"/>
      <c r="AD1161" s="74"/>
      <c r="AE1161" s="74"/>
      <c r="AF1161" s="74"/>
      <c r="AG1161" s="74"/>
      <c r="AH1161" s="74"/>
    </row>
    <row r="1162" s="73" customFormat="1" spans="1:34">
      <c r="A1162" s="74"/>
      <c r="B1162" s="74"/>
      <c r="C1162" s="74"/>
      <c r="D1162" s="74"/>
      <c r="E1162" s="74"/>
      <c r="F1162" s="74"/>
      <c r="G1162" s="74"/>
      <c r="H1162" s="74"/>
      <c r="I1162" s="74"/>
      <c r="J1162" s="74"/>
      <c r="K1162" s="74"/>
      <c r="L1162" s="74"/>
      <c r="M1162" s="74"/>
      <c r="N1162" s="74"/>
      <c r="O1162" s="75"/>
      <c r="P1162" s="74"/>
      <c r="Q1162" s="75"/>
      <c r="R1162" s="74"/>
      <c r="S1162" s="74"/>
      <c r="T1162" s="74"/>
      <c r="U1162" s="75"/>
      <c r="V1162" s="74"/>
      <c r="W1162" s="75"/>
      <c r="X1162" s="74"/>
      <c r="Y1162" s="74"/>
      <c r="Z1162" s="74"/>
      <c r="AA1162" s="74"/>
      <c r="AB1162" s="74"/>
      <c r="AC1162" s="74"/>
      <c r="AD1162" s="74"/>
      <c r="AE1162" s="74"/>
      <c r="AF1162" s="74"/>
      <c r="AG1162" s="74"/>
      <c r="AH1162" s="74"/>
    </row>
    <row r="1163" s="73" customFormat="1" spans="1:34">
      <c r="A1163" s="74"/>
      <c r="B1163" s="74"/>
      <c r="C1163" s="74"/>
      <c r="D1163" s="74"/>
      <c r="E1163" s="74"/>
      <c r="F1163" s="74"/>
      <c r="G1163" s="74"/>
      <c r="H1163" s="74"/>
      <c r="I1163" s="74"/>
      <c r="J1163" s="74"/>
      <c r="K1163" s="74"/>
      <c r="L1163" s="74"/>
      <c r="M1163" s="74"/>
      <c r="N1163" s="74"/>
      <c r="O1163" s="75"/>
      <c r="P1163" s="74"/>
      <c r="Q1163" s="75"/>
      <c r="R1163" s="74"/>
      <c r="S1163" s="74"/>
      <c r="T1163" s="74"/>
      <c r="U1163" s="75"/>
      <c r="V1163" s="74"/>
      <c r="W1163" s="75"/>
      <c r="X1163" s="74"/>
      <c r="Y1163" s="74"/>
      <c r="Z1163" s="74"/>
      <c r="AA1163" s="74"/>
      <c r="AB1163" s="74"/>
      <c r="AC1163" s="74"/>
      <c r="AD1163" s="74"/>
      <c r="AE1163" s="74"/>
      <c r="AF1163" s="74"/>
      <c r="AG1163" s="74"/>
      <c r="AH1163" s="74"/>
    </row>
    <row r="1164" s="73" customFormat="1" spans="1:34">
      <c r="A1164" s="74"/>
      <c r="B1164" s="74"/>
      <c r="C1164" s="74"/>
      <c r="D1164" s="74"/>
      <c r="E1164" s="74"/>
      <c r="F1164" s="74"/>
      <c r="G1164" s="74"/>
      <c r="H1164" s="74"/>
      <c r="I1164" s="74"/>
      <c r="J1164" s="74"/>
      <c r="K1164" s="74"/>
      <c r="L1164" s="74"/>
      <c r="M1164" s="74"/>
      <c r="N1164" s="74"/>
      <c r="O1164" s="75"/>
      <c r="P1164" s="74"/>
      <c r="Q1164" s="75"/>
      <c r="R1164" s="74"/>
      <c r="S1164" s="74"/>
      <c r="T1164" s="74"/>
      <c r="U1164" s="75"/>
      <c r="V1164" s="74"/>
      <c r="W1164" s="75"/>
      <c r="X1164" s="74"/>
      <c r="Y1164" s="74"/>
      <c r="Z1164" s="74"/>
      <c r="AA1164" s="74"/>
      <c r="AB1164" s="74"/>
      <c r="AC1164" s="74"/>
      <c r="AD1164" s="74"/>
      <c r="AE1164" s="74"/>
      <c r="AF1164" s="74"/>
      <c r="AG1164" s="74"/>
      <c r="AH1164" s="74"/>
    </row>
    <row r="1165" s="73" customFormat="1" spans="1:34">
      <c r="A1165" s="74"/>
      <c r="B1165" s="74"/>
      <c r="C1165" s="74"/>
      <c r="D1165" s="74"/>
      <c r="E1165" s="74"/>
      <c r="F1165" s="74"/>
      <c r="G1165" s="74"/>
      <c r="H1165" s="74"/>
      <c r="I1165" s="74"/>
      <c r="J1165" s="74"/>
      <c r="K1165" s="74"/>
      <c r="L1165" s="74"/>
      <c r="M1165" s="74"/>
      <c r="N1165" s="74"/>
      <c r="O1165" s="75"/>
      <c r="P1165" s="74"/>
      <c r="Q1165" s="75"/>
      <c r="R1165" s="74"/>
      <c r="S1165" s="74"/>
      <c r="T1165" s="74"/>
      <c r="U1165" s="75"/>
      <c r="V1165" s="74"/>
      <c r="W1165" s="75"/>
      <c r="X1165" s="74"/>
      <c r="Y1165" s="74"/>
      <c r="Z1165" s="74"/>
      <c r="AA1165" s="74"/>
      <c r="AB1165" s="74"/>
      <c r="AC1165" s="74"/>
      <c r="AD1165" s="74"/>
      <c r="AE1165" s="74"/>
      <c r="AF1165" s="74"/>
      <c r="AG1165" s="74"/>
      <c r="AH1165" s="74"/>
    </row>
    <row r="1166" s="73" customFormat="1" spans="1:34">
      <c r="A1166" s="74"/>
      <c r="B1166" s="74"/>
      <c r="C1166" s="74"/>
      <c r="D1166" s="74"/>
      <c r="E1166" s="74"/>
      <c r="F1166" s="74"/>
      <c r="G1166" s="74"/>
      <c r="H1166" s="74"/>
      <c r="I1166" s="74"/>
      <c r="J1166" s="74"/>
      <c r="K1166" s="74"/>
      <c r="L1166" s="74"/>
      <c r="M1166" s="74"/>
      <c r="N1166" s="74"/>
      <c r="O1166" s="75"/>
      <c r="P1166" s="74"/>
      <c r="Q1166" s="75"/>
      <c r="R1166" s="74"/>
      <c r="S1166" s="74"/>
      <c r="T1166" s="74"/>
      <c r="U1166" s="75"/>
      <c r="V1166" s="74"/>
      <c r="W1166" s="75"/>
      <c r="X1166" s="74"/>
      <c r="Y1166" s="74"/>
      <c r="Z1166" s="74"/>
      <c r="AA1166" s="74"/>
      <c r="AB1166" s="74"/>
      <c r="AC1166" s="74"/>
      <c r="AD1166" s="74"/>
      <c r="AE1166" s="74"/>
      <c r="AF1166" s="74"/>
      <c r="AG1166" s="74"/>
      <c r="AH1166" s="74"/>
    </row>
    <row r="1167" s="73" customFormat="1" spans="1:34">
      <c r="A1167" s="74"/>
      <c r="B1167" s="74"/>
      <c r="C1167" s="74"/>
      <c r="D1167" s="74"/>
      <c r="E1167" s="74"/>
      <c r="F1167" s="74"/>
      <c r="G1167" s="74"/>
      <c r="H1167" s="74"/>
      <c r="I1167" s="74"/>
      <c r="J1167" s="74"/>
      <c r="K1167" s="74"/>
      <c r="L1167" s="74"/>
      <c r="M1167" s="74"/>
      <c r="N1167" s="74"/>
      <c r="O1167" s="75"/>
      <c r="P1167" s="74"/>
      <c r="Q1167" s="75"/>
      <c r="R1167" s="74"/>
      <c r="S1167" s="74"/>
      <c r="T1167" s="74"/>
      <c r="U1167" s="75"/>
      <c r="V1167" s="74"/>
      <c r="W1167" s="75"/>
      <c r="X1167" s="74"/>
      <c r="Y1167" s="74"/>
      <c r="Z1167" s="74"/>
      <c r="AA1167" s="74"/>
      <c r="AB1167" s="74"/>
      <c r="AC1167" s="74"/>
      <c r="AD1167" s="74"/>
      <c r="AE1167" s="74"/>
      <c r="AF1167" s="74"/>
      <c r="AG1167" s="74"/>
      <c r="AH1167" s="74"/>
    </row>
    <row r="1168" s="73" customFormat="1" spans="1:34">
      <c r="A1168" s="74"/>
      <c r="B1168" s="74"/>
      <c r="C1168" s="74"/>
      <c r="D1168" s="74"/>
      <c r="E1168" s="74"/>
      <c r="F1168" s="74"/>
      <c r="G1168" s="74"/>
      <c r="H1168" s="74"/>
      <c r="I1168" s="74"/>
      <c r="J1168" s="74"/>
      <c r="K1168" s="74"/>
      <c r="L1168" s="74"/>
      <c r="M1168" s="74"/>
      <c r="N1168" s="74"/>
      <c r="O1168" s="75"/>
      <c r="P1168" s="74"/>
      <c r="Q1168" s="75"/>
      <c r="R1168" s="74"/>
      <c r="S1168" s="74"/>
      <c r="T1168" s="74"/>
      <c r="U1168" s="75"/>
      <c r="V1168" s="74"/>
      <c r="W1168" s="75"/>
      <c r="X1168" s="74"/>
      <c r="Y1168" s="74"/>
      <c r="Z1168" s="74"/>
      <c r="AA1168" s="74"/>
      <c r="AB1168" s="74"/>
      <c r="AC1168" s="74"/>
      <c r="AD1168" s="74"/>
      <c r="AE1168" s="74"/>
      <c r="AF1168" s="74"/>
      <c r="AG1168" s="74"/>
      <c r="AH1168" s="74"/>
    </row>
    <row r="1169" s="73" customFormat="1" spans="1:34">
      <c r="A1169" s="74"/>
      <c r="B1169" s="74"/>
      <c r="C1169" s="74"/>
      <c r="D1169" s="74"/>
      <c r="E1169" s="74"/>
      <c r="F1169" s="74"/>
      <c r="G1169" s="74"/>
      <c r="H1169" s="74"/>
      <c r="I1169" s="74"/>
      <c r="J1169" s="74"/>
      <c r="K1169" s="74"/>
      <c r="L1169" s="74"/>
      <c r="M1169" s="74"/>
      <c r="N1169" s="74"/>
      <c r="O1169" s="75"/>
      <c r="P1169" s="74"/>
      <c r="Q1169" s="75"/>
      <c r="R1169" s="74"/>
      <c r="S1169" s="74"/>
      <c r="T1169" s="74"/>
      <c r="U1169" s="75"/>
      <c r="V1169" s="74"/>
      <c r="W1169" s="75"/>
      <c r="X1169" s="74"/>
      <c r="Y1169" s="74"/>
      <c r="Z1169" s="74"/>
      <c r="AA1169" s="74"/>
      <c r="AB1169" s="74"/>
      <c r="AC1169" s="74"/>
      <c r="AD1169" s="74"/>
      <c r="AE1169" s="74"/>
      <c r="AF1169" s="74"/>
      <c r="AG1169" s="74"/>
      <c r="AH1169" s="74"/>
    </row>
    <row r="1170" s="73" customFormat="1" spans="1:34">
      <c r="A1170" s="74"/>
      <c r="B1170" s="74"/>
      <c r="C1170" s="74"/>
      <c r="D1170" s="74"/>
      <c r="E1170" s="74"/>
      <c r="F1170" s="74"/>
      <c r="G1170" s="74"/>
      <c r="H1170" s="74"/>
      <c r="I1170" s="74"/>
      <c r="J1170" s="74"/>
      <c r="K1170" s="74"/>
      <c r="L1170" s="74"/>
      <c r="M1170" s="74"/>
      <c r="N1170" s="74"/>
      <c r="O1170" s="75"/>
      <c r="P1170" s="74"/>
      <c r="Q1170" s="75"/>
      <c r="R1170" s="74"/>
      <c r="S1170" s="74"/>
      <c r="T1170" s="74"/>
      <c r="U1170" s="75"/>
      <c r="V1170" s="74"/>
      <c r="W1170" s="75"/>
      <c r="X1170" s="74"/>
      <c r="Y1170" s="74"/>
      <c r="Z1170" s="74"/>
      <c r="AA1170" s="74"/>
      <c r="AB1170" s="74"/>
      <c r="AC1170" s="74"/>
      <c r="AD1170" s="74"/>
      <c r="AE1170" s="74"/>
      <c r="AF1170" s="74"/>
      <c r="AG1170" s="74"/>
      <c r="AH1170" s="74"/>
    </row>
    <row r="1171" s="73" customFormat="1" spans="1:34">
      <c r="A1171" s="74"/>
      <c r="B1171" s="74"/>
      <c r="C1171" s="74"/>
      <c r="D1171" s="74"/>
      <c r="E1171" s="74"/>
      <c r="F1171" s="74"/>
      <c r="G1171" s="74"/>
      <c r="H1171" s="74"/>
      <c r="I1171" s="74"/>
      <c r="J1171" s="74"/>
      <c r="K1171" s="74"/>
      <c r="L1171" s="74"/>
      <c r="M1171" s="74"/>
      <c r="N1171" s="74"/>
      <c r="O1171" s="75"/>
      <c r="P1171" s="74"/>
      <c r="Q1171" s="75"/>
      <c r="R1171" s="74"/>
      <c r="S1171" s="74"/>
      <c r="T1171" s="74"/>
      <c r="U1171" s="75"/>
      <c r="V1171" s="74"/>
      <c r="W1171" s="75"/>
      <c r="X1171" s="74"/>
      <c r="Y1171" s="74"/>
      <c r="Z1171" s="74"/>
      <c r="AA1171" s="74"/>
      <c r="AB1171" s="74"/>
      <c r="AC1171" s="74"/>
      <c r="AD1171" s="74"/>
      <c r="AE1171" s="74"/>
      <c r="AF1171" s="74"/>
      <c r="AG1171" s="74"/>
      <c r="AH1171" s="74"/>
    </row>
    <row r="1172" s="73" customFormat="1" spans="1:34">
      <c r="A1172" s="74"/>
      <c r="B1172" s="74"/>
      <c r="C1172" s="74"/>
      <c r="D1172" s="74"/>
      <c r="E1172" s="74"/>
      <c r="F1172" s="74"/>
      <c r="G1172" s="74"/>
      <c r="H1172" s="74"/>
      <c r="I1172" s="74"/>
      <c r="J1172" s="74"/>
      <c r="K1172" s="74"/>
      <c r="L1172" s="74"/>
      <c r="M1172" s="74"/>
      <c r="N1172" s="74"/>
      <c r="O1172" s="75"/>
      <c r="P1172" s="74"/>
      <c r="Q1172" s="75"/>
      <c r="R1172" s="74"/>
      <c r="S1172" s="74"/>
      <c r="T1172" s="74"/>
      <c r="U1172" s="75"/>
      <c r="V1172" s="74"/>
      <c r="W1172" s="75"/>
      <c r="X1172" s="74"/>
      <c r="Y1172" s="74"/>
      <c r="Z1172" s="74"/>
      <c r="AA1172" s="74"/>
      <c r="AB1172" s="74"/>
      <c r="AC1172" s="74"/>
      <c r="AD1172" s="74"/>
      <c r="AE1172" s="74"/>
      <c r="AF1172" s="74"/>
      <c r="AG1172" s="74"/>
      <c r="AH1172" s="74"/>
    </row>
    <row r="1173" s="73" customFormat="1" spans="1:34">
      <c r="A1173" s="74"/>
      <c r="B1173" s="74"/>
      <c r="C1173" s="74"/>
      <c r="D1173" s="74"/>
      <c r="E1173" s="74"/>
      <c r="F1173" s="74"/>
      <c r="G1173" s="74"/>
      <c r="H1173" s="74"/>
      <c r="I1173" s="74"/>
      <c r="J1173" s="74"/>
      <c r="K1173" s="74"/>
      <c r="L1173" s="74"/>
      <c r="M1173" s="74"/>
      <c r="N1173" s="74"/>
      <c r="O1173" s="75"/>
      <c r="P1173" s="74"/>
      <c r="Q1173" s="75"/>
      <c r="R1173" s="74"/>
      <c r="S1173" s="74"/>
      <c r="T1173" s="74"/>
      <c r="U1173" s="75"/>
      <c r="V1173" s="74"/>
      <c r="W1173" s="75"/>
      <c r="X1173" s="74"/>
      <c r="Y1173" s="74"/>
      <c r="Z1173" s="74"/>
      <c r="AA1173" s="74"/>
      <c r="AB1173" s="74"/>
      <c r="AC1173" s="74"/>
      <c r="AD1173" s="74"/>
      <c r="AE1173" s="74"/>
      <c r="AF1173" s="74"/>
      <c r="AG1173" s="74"/>
      <c r="AH1173" s="74"/>
    </row>
    <row r="1174" s="73" customFormat="1" spans="1:34">
      <c r="A1174" s="74"/>
      <c r="B1174" s="74"/>
      <c r="C1174" s="74"/>
      <c r="D1174" s="74"/>
      <c r="E1174" s="74"/>
      <c r="F1174" s="74"/>
      <c r="G1174" s="74"/>
      <c r="H1174" s="74"/>
      <c r="I1174" s="74"/>
      <c r="J1174" s="74"/>
      <c r="K1174" s="74"/>
      <c r="L1174" s="74"/>
      <c r="M1174" s="74"/>
      <c r="N1174" s="74"/>
      <c r="O1174" s="75"/>
      <c r="P1174" s="74"/>
      <c r="Q1174" s="75"/>
      <c r="R1174" s="74"/>
      <c r="S1174" s="74"/>
      <c r="T1174" s="74"/>
      <c r="U1174" s="75"/>
      <c r="V1174" s="74"/>
      <c r="W1174" s="75"/>
      <c r="X1174" s="74"/>
      <c r="Y1174" s="74"/>
      <c r="Z1174" s="74"/>
      <c r="AA1174" s="74"/>
      <c r="AB1174" s="74"/>
      <c r="AC1174" s="74"/>
      <c r="AD1174" s="74"/>
      <c r="AE1174" s="74"/>
      <c r="AF1174" s="74"/>
      <c r="AG1174" s="74"/>
      <c r="AH1174" s="74"/>
    </row>
    <row r="1175" s="73" customFormat="1" spans="1:34">
      <c r="A1175" s="74"/>
      <c r="B1175" s="74"/>
      <c r="C1175" s="74"/>
      <c r="D1175" s="74"/>
      <c r="E1175" s="74"/>
      <c r="F1175" s="74"/>
      <c r="G1175" s="74"/>
      <c r="H1175" s="74"/>
      <c r="I1175" s="74"/>
      <c r="J1175" s="74"/>
      <c r="K1175" s="74"/>
      <c r="L1175" s="74"/>
      <c r="M1175" s="74"/>
      <c r="N1175" s="74"/>
      <c r="O1175" s="75"/>
      <c r="P1175" s="74"/>
      <c r="Q1175" s="75"/>
      <c r="R1175" s="74"/>
      <c r="S1175" s="74"/>
      <c r="T1175" s="74"/>
      <c r="U1175" s="75"/>
      <c r="V1175" s="74"/>
      <c r="W1175" s="75"/>
      <c r="X1175" s="74"/>
      <c r="Y1175" s="74"/>
      <c r="Z1175" s="74"/>
      <c r="AA1175" s="74"/>
      <c r="AB1175" s="74"/>
      <c r="AC1175" s="74"/>
      <c r="AD1175" s="74"/>
      <c r="AE1175" s="74"/>
      <c r="AF1175" s="74"/>
      <c r="AG1175" s="74"/>
      <c r="AH1175" s="74"/>
    </row>
    <row r="1176" s="73" customFormat="1" spans="1:34">
      <c r="A1176" s="74"/>
      <c r="B1176" s="74"/>
      <c r="C1176" s="74"/>
      <c r="D1176" s="74"/>
      <c r="E1176" s="74"/>
      <c r="F1176" s="74"/>
      <c r="G1176" s="74"/>
      <c r="H1176" s="74"/>
      <c r="I1176" s="74"/>
      <c r="J1176" s="74"/>
      <c r="K1176" s="74"/>
      <c r="L1176" s="74"/>
      <c r="M1176" s="74"/>
      <c r="N1176" s="74"/>
      <c r="O1176" s="75"/>
      <c r="P1176" s="74"/>
      <c r="Q1176" s="75"/>
      <c r="R1176" s="74"/>
      <c r="S1176" s="74"/>
      <c r="T1176" s="74"/>
      <c r="U1176" s="75"/>
      <c r="V1176" s="74"/>
      <c r="W1176" s="75"/>
      <c r="X1176" s="74"/>
      <c r="Y1176" s="74"/>
      <c r="Z1176" s="74"/>
      <c r="AA1176" s="74"/>
      <c r="AB1176" s="74"/>
      <c r="AC1176" s="74"/>
      <c r="AD1176" s="74"/>
      <c r="AE1176" s="74"/>
      <c r="AF1176" s="74"/>
      <c r="AG1176" s="74"/>
      <c r="AH1176" s="74"/>
    </row>
    <row r="1177" s="73" customFormat="1" spans="1:34">
      <c r="A1177" s="74"/>
      <c r="B1177" s="74"/>
      <c r="C1177" s="74"/>
      <c r="D1177" s="74"/>
      <c r="E1177" s="74"/>
      <c r="F1177" s="74"/>
      <c r="G1177" s="74"/>
      <c r="H1177" s="74"/>
      <c r="I1177" s="74"/>
      <c r="J1177" s="74"/>
      <c r="K1177" s="74"/>
      <c r="L1177" s="74"/>
      <c r="M1177" s="74"/>
      <c r="N1177" s="74"/>
      <c r="O1177" s="75"/>
      <c r="P1177" s="74"/>
      <c r="Q1177" s="75"/>
      <c r="R1177" s="74"/>
      <c r="S1177" s="74"/>
      <c r="T1177" s="74"/>
      <c r="U1177" s="75"/>
      <c r="V1177" s="74"/>
      <c r="W1177" s="75"/>
      <c r="X1177" s="74"/>
      <c r="Y1177" s="74"/>
      <c r="Z1177" s="74"/>
      <c r="AA1177" s="74"/>
      <c r="AB1177" s="74"/>
      <c r="AC1177" s="74"/>
      <c r="AD1177" s="74"/>
      <c r="AE1177" s="74"/>
      <c r="AF1177" s="74"/>
      <c r="AG1177" s="74"/>
      <c r="AH1177" s="74"/>
    </row>
    <row r="1178" s="73" customFormat="1" spans="1:34">
      <c r="A1178" s="74"/>
      <c r="B1178" s="74"/>
      <c r="C1178" s="74"/>
      <c r="D1178" s="74"/>
      <c r="E1178" s="74"/>
      <c r="F1178" s="74"/>
      <c r="G1178" s="74"/>
      <c r="H1178" s="74"/>
      <c r="I1178" s="74"/>
      <c r="J1178" s="74"/>
      <c r="K1178" s="74"/>
      <c r="L1178" s="74"/>
      <c r="M1178" s="74"/>
      <c r="N1178" s="74"/>
      <c r="O1178" s="75"/>
      <c r="P1178" s="74"/>
      <c r="Q1178" s="75"/>
      <c r="R1178" s="74"/>
      <c r="S1178" s="74"/>
      <c r="T1178" s="74"/>
      <c r="U1178" s="75"/>
      <c r="V1178" s="74"/>
      <c r="W1178" s="75"/>
      <c r="X1178" s="74"/>
      <c r="Y1178" s="74"/>
      <c r="Z1178" s="74"/>
      <c r="AA1178" s="74"/>
      <c r="AB1178" s="74"/>
      <c r="AC1178" s="74"/>
      <c r="AD1178" s="74"/>
      <c r="AE1178" s="74"/>
      <c r="AF1178" s="74"/>
      <c r="AG1178" s="74"/>
      <c r="AH1178" s="74"/>
    </row>
    <row r="1179" s="73" customFormat="1" spans="1:34">
      <c r="A1179" s="74"/>
      <c r="B1179" s="74"/>
      <c r="C1179" s="74"/>
      <c r="D1179" s="74"/>
      <c r="E1179" s="74"/>
      <c r="F1179" s="74"/>
      <c r="G1179" s="74"/>
      <c r="H1179" s="74"/>
      <c r="I1179" s="74"/>
      <c r="J1179" s="74"/>
      <c r="K1179" s="74"/>
      <c r="L1179" s="74"/>
      <c r="M1179" s="74"/>
      <c r="N1179" s="74"/>
      <c r="O1179" s="75"/>
      <c r="P1179" s="74"/>
      <c r="Q1179" s="75"/>
      <c r="R1179" s="74"/>
      <c r="S1179" s="74"/>
      <c r="T1179" s="74"/>
      <c r="U1179" s="75"/>
      <c r="V1179" s="74"/>
      <c r="W1179" s="75"/>
      <c r="X1179" s="74"/>
      <c r="Y1179" s="74"/>
      <c r="Z1179" s="74"/>
      <c r="AA1179" s="74"/>
      <c r="AB1179" s="74"/>
      <c r="AC1179" s="74"/>
      <c r="AD1179" s="74"/>
      <c r="AE1179" s="74"/>
      <c r="AF1179" s="74"/>
      <c r="AG1179" s="74"/>
      <c r="AH1179" s="74"/>
    </row>
    <row r="1180" s="73" customFormat="1" spans="1:34">
      <c r="A1180" s="74"/>
      <c r="B1180" s="74"/>
      <c r="C1180" s="74"/>
      <c r="D1180" s="74"/>
      <c r="E1180" s="74"/>
      <c r="F1180" s="74"/>
      <c r="G1180" s="74"/>
      <c r="H1180" s="74"/>
      <c r="I1180" s="74"/>
      <c r="J1180" s="74"/>
      <c r="K1180" s="74"/>
      <c r="L1180" s="74"/>
      <c r="M1180" s="74"/>
      <c r="N1180" s="74"/>
      <c r="O1180" s="75"/>
      <c r="P1180" s="74"/>
      <c r="Q1180" s="75"/>
      <c r="R1180" s="74"/>
      <c r="S1180" s="74"/>
      <c r="T1180" s="74"/>
      <c r="U1180" s="75"/>
      <c r="V1180" s="74"/>
      <c r="W1180" s="75"/>
      <c r="X1180" s="74"/>
      <c r="Y1180" s="74"/>
      <c r="Z1180" s="74"/>
      <c r="AA1180" s="74"/>
      <c r="AB1180" s="74"/>
      <c r="AC1180" s="74"/>
      <c r="AD1180" s="74"/>
      <c r="AE1180" s="74"/>
      <c r="AF1180" s="74"/>
      <c r="AG1180" s="74"/>
      <c r="AH1180" s="74"/>
    </row>
    <row r="1181" s="73" customFormat="1" spans="1:34">
      <c r="A1181" s="74"/>
      <c r="B1181" s="74"/>
      <c r="C1181" s="74"/>
      <c r="D1181" s="74"/>
      <c r="E1181" s="74"/>
      <c r="F1181" s="74"/>
      <c r="G1181" s="74"/>
      <c r="H1181" s="74"/>
      <c r="I1181" s="74"/>
      <c r="J1181" s="74"/>
      <c r="K1181" s="74"/>
      <c r="L1181" s="74"/>
      <c r="M1181" s="74"/>
      <c r="N1181" s="74"/>
      <c r="O1181" s="75"/>
      <c r="P1181" s="74"/>
      <c r="Q1181" s="75"/>
      <c r="R1181" s="74"/>
      <c r="S1181" s="74"/>
      <c r="T1181" s="74"/>
      <c r="U1181" s="75"/>
      <c r="V1181" s="74"/>
      <c r="W1181" s="75"/>
      <c r="X1181" s="74"/>
      <c r="Y1181" s="74"/>
      <c r="Z1181" s="74"/>
      <c r="AA1181" s="74"/>
      <c r="AB1181" s="74"/>
      <c r="AC1181" s="74"/>
      <c r="AD1181" s="74"/>
      <c r="AE1181" s="74"/>
      <c r="AF1181" s="74"/>
      <c r="AG1181" s="74"/>
      <c r="AH1181" s="74"/>
    </row>
    <row r="1182" s="73" customFormat="1" spans="1:34">
      <c r="A1182" s="74"/>
      <c r="B1182" s="74"/>
      <c r="C1182" s="74"/>
      <c r="D1182" s="74"/>
      <c r="E1182" s="74"/>
      <c r="F1182" s="74"/>
      <c r="G1182" s="74"/>
      <c r="H1182" s="74"/>
      <c r="I1182" s="74"/>
      <c r="J1182" s="74"/>
      <c r="K1182" s="74"/>
      <c r="L1182" s="74"/>
      <c r="M1182" s="74"/>
      <c r="N1182" s="74"/>
      <c r="O1182" s="75"/>
      <c r="P1182" s="74"/>
      <c r="Q1182" s="75"/>
      <c r="R1182" s="74"/>
      <c r="S1182" s="74"/>
      <c r="T1182" s="74"/>
      <c r="U1182" s="75"/>
      <c r="V1182" s="74"/>
      <c r="W1182" s="75"/>
      <c r="X1182" s="74"/>
      <c r="Y1182" s="74"/>
      <c r="Z1182" s="74"/>
      <c r="AA1182" s="74"/>
      <c r="AB1182" s="74"/>
      <c r="AC1182" s="74"/>
      <c r="AD1182" s="74"/>
      <c r="AE1182" s="74"/>
      <c r="AF1182" s="74"/>
      <c r="AG1182" s="74"/>
      <c r="AH1182" s="74"/>
    </row>
    <row r="1183" s="73" customFormat="1" spans="1:34">
      <c r="A1183" s="74"/>
      <c r="B1183" s="74"/>
      <c r="C1183" s="74"/>
      <c r="D1183" s="74"/>
      <c r="E1183" s="74"/>
      <c r="F1183" s="74"/>
      <c r="G1183" s="74"/>
      <c r="H1183" s="74"/>
      <c r="I1183" s="74"/>
      <c r="J1183" s="74"/>
      <c r="K1183" s="74"/>
      <c r="L1183" s="74"/>
      <c r="M1183" s="74"/>
      <c r="N1183" s="74"/>
      <c r="O1183" s="75"/>
      <c r="P1183" s="74"/>
      <c r="Q1183" s="75"/>
      <c r="R1183" s="74"/>
      <c r="S1183" s="74"/>
      <c r="T1183" s="74"/>
      <c r="U1183" s="75"/>
      <c r="V1183" s="74"/>
      <c r="W1183" s="75"/>
      <c r="X1183" s="74"/>
      <c r="Y1183" s="74"/>
      <c r="Z1183" s="74"/>
      <c r="AA1183" s="74"/>
      <c r="AB1183" s="74"/>
      <c r="AC1183" s="74"/>
      <c r="AD1183" s="74"/>
      <c r="AE1183" s="74"/>
      <c r="AF1183" s="74"/>
      <c r="AG1183" s="74"/>
      <c r="AH1183" s="74"/>
    </row>
    <row r="1184" s="73" customFormat="1" spans="1:34">
      <c r="A1184" s="74"/>
      <c r="B1184" s="74"/>
      <c r="C1184" s="74"/>
      <c r="D1184" s="74"/>
      <c r="E1184" s="74"/>
      <c r="F1184" s="74"/>
      <c r="G1184" s="74"/>
      <c r="H1184" s="74"/>
      <c r="I1184" s="74"/>
      <c r="J1184" s="74"/>
      <c r="K1184" s="74"/>
      <c r="L1184" s="74"/>
      <c r="M1184" s="74"/>
      <c r="N1184" s="74"/>
      <c r="O1184" s="75"/>
      <c r="P1184" s="74"/>
      <c r="Q1184" s="75"/>
      <c r="R1184" s="74"/>
      <c r="S1184" s="74"/>
      <c r="T1184" s="74"/>
      <c r="U1184" s="75"/>
      <c r="V1184" s="74"/>
      <c r="W1184" s="75"/>
      <c r="X1184" s="74"/>
      <c r="Y1184" s="74"/>
      <c r="Z1184" s="74"/>
      <c r="AA1184" s="74"/>
      <c r="AB1184" s="74"/>
      <c r="AC1184" s="74"/>
      <c r="AD1184" s="74"/>
      <c r="AE1184" s="74"/>
      <c r="AF1184" s="74"/>
      <c r="AG1184" s="74"/>
      <c r="AH1184" s="74"/>
    </row>
    <row r="1185" s="73" customFormat="1" spans="1:34">
      <c r="A1185" s="74"/>
      <c r="B1185" s="74"/>
      <c r="C1185" s="74"/>
      <c r="D1185" s="74"/>
      <c r="E1185" s="74"/>
      <c r="F1185" s="74"/>
      <c r="G1185" s="74"/>
      <c r="H1185" s="74"/>
      <c r="I1185" s="74"/>
      <c r="J1185" s="74"/>
      <c r="K1185" s="74"/>
      <c r="L1185" s="74"/>
      <c r="M1185" s="74"/>
      <c r="N1185" s="74"/>
      <c r="O1185" s="75"/>
      <c r="P1185" s="74"/>
      <c r="Q1185" s="75"/>
      <c r="R1185" s="74"/>
      <c r="S1185" s="74"/>
      <c r="T1185" s="74"/>
      <c r="U1185" s="75"/>
      <c r="V1185" s="74"/>
      <c r="W1185" s="75"/>
      <c r="X1185" s="74"/>
      <c r="Y1185" s="74"/>
      <c r="Z1185" s="74"/>
      <c r="AA1185" s="74"/>
      <c r="AB1185" s="74"/>
      <c r="AC1185" s="74"/>
      <c r="AD1185" s="74"/>
      <c r="AE1185" s="74"/>
      <c r="AF1185" s="74"/>
      <c r="AG1185" s="74"/>
      <c r="AH1185" s="74"/>
    </row>
    <row r="1186" s="73" customFormat="1" spans="1:34">
      <c r="A1186" s="74"/>
      <c r="B1186" s="74"/>
      <c r="C1186" s="74"/>
      <c r="D1186" s="74"/>
      <c r="E1186" s="74"/>
      <c r="F1186" s="74"/>
      <c r="G1186" s="74"/>
      <c r="H1186" s="74"/>
      <c r="I1186" s="74"/>
      <c r="J1186" s="74"/>
      <c r="K1186" s="74"/>
      <c r="L1186" s="74"/>
      <c r="M1186" s="74"/>
      <c r="N1186" s="74"/>
      <c r="O1186" s="75"/>
      <c r="P1186" s="74"/>
      <c r="Q1186" s="75"/>
      <c r="R1186" s="74"/>
      <c r="S1186" s="74"/>
      <c r="T1186" s="74"/>
      <c r="U1186" s="75"/>
      <c r="V1186" s="74"/>
      <c r="W1186" s="75"/>
      <c r="X1186" s="74"/>
      <c r="Y1186" s="74"/>
      <c r="Z1186" s="74"/>
      <c r="AA1186" s="74"/>
      <c r="AB1186" s="74"/>
      <c r="AC1186" s="74"/>
      <c r="AD1186" s="74"/>
      <c r="AE1186" s="74"/>
      <c r="AF1186" s="74"/>
      <c r="AG1186" s="74"/>
      <c r="AH1186" s="74"/>
    </row>
    <row r="1187" s="73" customFormat="1" spans="1:34">
      <c r="A1187" s="74"/>
      <c r="B1187" s="74"/>
      <c r="C1187" s="74"/>
      <c r="D1187" s="74"/>
      <c r="E1187" s="74"/>
      <c r="F1187" s="74"/>
      <c r="G1187" s="74"/>
      <c r="H1187" s="74"/>
      <c r="I1187" s="74"/>
      <c r="J1187" s="74"/>
      <c r="K1187" s="74"/>
      <c r="L1187" s="74"/>
      <c r="M1187" s="74"/>
      <c r="N1187" s="74"/>
      <c r="O1187" s="75"/>
      <c r="P1187" s="74"/>
      <c r="Q1187" s="75"/>
      <c r="R1187" s="74"/>
      <c r="S1187" s="74"/>
      <c r="T1187" s="74"/>
      <c r="U1187" s="75"/>
      <c r="V1187" s="74"/>
      <c r="W1187" s="75"/>
      <c r="X1187" s="74"/>
      <c r="Y1187" s="74"/>
      <c r="Z1187" s="74"/>
      <c r="AA1187" s="74"/>
      <c r="AB1187" s="74"/>
      <c r="AC1187" s="74"/>
      <c r="AD1187" s="74"/>
      <c r="AE1187" s="74"/>
      <c r="AF1187" s="74"/>
      <c r="AG1187" s="74"/>
      <c r="AH1187" s="74"/>
    </row>
    <row r="1188" s="73" customFormat="1" spans="1:34">
      <c r="A1188" s="74"/>
      <c r="B1188" s="74"/>
      <c r="C1188" s="74"/>
      <c r="D1188" s="74"/>
      <c r="E1188" s="74"/>
      <c r="F1188" s="74"/>
      <c r="G1188" s="74"/>
      <c r="H1188" s="74"/>
      <c r="I1188" s="74"/>
      <c r="J1188" s="74"/>
      <c r="K1188" s="74"/>
      <c r="L1188" s="74"/>
      <c r="M1188" s="74"/>
      <c r="N1188" s="74"/>
      <c r="O1188" s="75"/>
      <c r="P1188" s="74"/>
      <c r="Q1188" s="75"/>
      <c r="R1188" s="74"/>
      <c r="S1188" s="74"/>
      <c r="T1188" s="74"/>
      <c r="U1188" s="75"/>
      <c r="V1188" s="74"/>
      <c r="W1188" s="75"/>
      <c r="X1188" s="74"/>
      <c r="Y1188" s="74"/>
      <c r="Z1188" s="74"/>
      <c r="AA1188" s="74"/>
      <c r="AB1188" s="74"/>
      <c r="AC1188" s="74"/>
      <c r="AD1188" s="74"/>
      <c r="AE1188" s="74"/>
      <c r="AF1188" s="74"/>
      <c r="AG1188" s="74"/>
      <c r="AH1188" s="74"/>
    </row>
    <row r="1189" s="73" customFormat="1" spans="1:34">
      <c r="A1189" s="74"/>
      <c r="B1189" s="74"/>
      <c r="C1189" s="74"/>
      <c r="D1189" s="74"/>
      <c r="E1189" s="74"/>
      <c r="F1189" s="74"/>
      <c r="G1189" s="74"/>
      <c r="H1189" s="74"/>
      <c r="I1189" s="74"/>
      <c r="J1189" s="74"/>
      <c r="K1189" s="74"/>
      <c r="L1189" s="74"/>
      <c r="M1189" s="74"/>
      <c r="N1189" s="74"/>
      <c r="O1189" s="75"/>
      <c r="P1189" s="74"/>
      <c r="Q1189" s="75"/>
      <c r="R1189" s="74"/>
      <c r="S1189" s="74"/>
      <c r="T1189" s="74"/>
      <c r="U1189" s="75"/>
      <c r="V1189" s="74"/>
      <c r="W1189" s="75"/>
      <c r="X1189" s="74"/>
      <c r="Y1189" s="74"/>
      <c r="Z1189" s="74"/>
      <c r="AA1189" s="74"/>
      <c r="AB1189" s="74"/>
      <c r="AC1189" s="74"/>
      <c r="AD1189" s="74"/>
      <c r="AE1189" s="74"/>
      <c r="AF1189" s="74"/>
      <c r="AG1189" s="74"/>
      <c r="AH1189" s="74"/>
    </row>
    <row r="1190" s="73" customFormat="1" spans="1:34">
      <c r="A1190" s="74"/>
      <c r="B1190" s="74"/>
      <c r="C1190" s="74"/>
      <c r="D1190" s="74"/>
      <c r="E1190" s="74"/>
      <c r="F1190" s="74"/>
      <c r="G1190" s="74"/>
      <c r="H1190" s="74"/>
      <c r="I1190" s="74"/>
      <c r="J1190" s="74"/>
      <c r="K1190" s="74"/>
      <c r="L1190" s="74"/>
      <c r="M1190" s="74"/>
      <c r="N1190" s="74"/>
      <c r="O1190" s="75"/>
      <c r="P1190" s="74"/>
      <c r="Q1190" s="75"/>
      <c r="R1190" s="74"/>
      <c r="S1190" s="74"/>
      <c r="T1190" s="74"/>
      <c r="U1190" s="75"/>
      <c r="V1190" s="74"/>
      <c r="W1190" s="75"/>
      <c r="X1190" s="74"/>
      <c r="Y1190" s="74"/>
      <c r="Z1190" s="74"/>
      <c r="AA1190" s="74"/>
      <c r="AB1190" s="74"/>
      <c r="AC1190" s="74"/>
      <c r="AD1190" s="74"/>
      <c r="AE1190" s="74"/>
      <c r="AF1190" s="74"/>
      <c r="AG1190" s="74"/>
      <c r="AH1190" s="74"/>
    </row>
    <row r="1191" s="73" customFormat="1" spans="1:34">
      <c r="A1191" s="74"/>
      <c r="B1191" s="74"/>
      <c r="C1191" s="74"/>
      <c r="D1191" s="74"/>
      <c r="E1191" s="74"/>
      <c r="F1191" s="74"/>
      <c r="G1191" s="74"/>
      <c r="H1191" s="74"/>
      <c r="I1191" s="74"/>
      <c r="J1191" s="74"/>
      <c r="K1191" s="74"/>
      <c r="L1191" s="74"/>
      <c r="M1191" s="74"/>
      <c r="N1191" s="74"/>
      <c r="O1191" s="75"/>
      <c r="P1191" s="74"/>
      <c r="Q1191" s="75"/>
      <c r="R1191" s="74"/>
      <c r="S1191" s="74"/>
      <c r="T1191" s="74"/>
      <c r="U1191" s="75"/>
      <c r="V1191" s="74"/>
      <c r="W1191" s="75"/>
      <c r="X1191" s="74"/>
      <c r="Y1191" s="74"/>
      <c r="Z1191" s="74"/>
      <c r="AA1191" s="74"/>
      <c r="AB1191" s="74"/>
      <c r="AC1191" s="74"/>
      <c r="AD1191" s="74"/>
      <c r="AE1191" s="74"/>
      <c r="AF1191" s="74"/>
      <c r="AG1191" s="74"/>
      <c r="AH1191" s="74"/>
    </row>
    <row r="1192" s="73" customFormat="1" spans="1:34">
      <c r="A1192" s="74"/>
      <c r="B1192" s="74"/>
      <c r="C1192" s="74"/>
      <c r="D1192" s="74"/>
      <c r="E1192" s="74"/>
      <c r="F1192" s="74"/>
      <c r="G1192" s="74"/>
      <c r="H1192" s="74"/>
      <c r="I1192" s="74"/>
      <c r="J1192" s="74"/>
      <c r="K1192" s="74"/>
      <c r="L1192" s="74"/>
      <c r="M1192" s="74"/>
      <c r="N1192" s="74"/>
      <c r="O1192" s="75"/>
      <c r="P1192" s="74"/>
      <c r="Q1192" s="75"/>
      <c r="R1192" s="74"/>
      <c r="S1192" s="74"/>
      <c r="T1192" s="74"/>
      <c r="U1192" s="75"/>
      <c r="V1192" s="74"/>
      <c r="W1192" s="75"/>
      <c r="X1192" s="74"/>
      <c r="Y1192" s="74"/>
      <c r="Z1192" s="74"/>
      <c r="AA1192" s="74"/>
      <c r="AB1192" s="74"/>
      <c r="AC1192" s="74"/>
      <c r="AD1192" s="74"/>
      <c r="AE1192" s="74"/>
      <c r="AF1192" s="74"/>
      <c r="AG1192" s="74"/>
      <c r="AH1192" s="74"/>
    </row>
    <row r="1193" s="73" customFormat="1" spans="1:34">
      <c r="A1193" s="74"/>
      <c r="B1193" s="74"/>
      <c r="C1193" s="74"/>
      <c r="D1193" s="74"/>
      <c r="E1193" s="74"/>
      <c r="F1193" s="74"/>
      <c r="G1193" s="74"/>
      <c r="H1193" s="74"/>
      <c r="I1193" s="74"/>
      <c r="J1193" s="74"/>
      <c r="K1193" s="74"/>
      <c r="L1193" s="74"/>
      <c r="M1193" s="74"/>
      <c r="N1193" s="74"/>
      <c r="O1193" s="75"/>
      <c r="P1193" s="74"/>
      <c r="Q1193" s="75"/>
      <c r="R1193" s="74"/>
      <c r="S1193" s="74"/>
      <c r="T1193" s="74"/>
      <c r="U1193" s="75"/>
      <c r="V1193" s="74"/>
      <c r="W1193" s="75"/>
      <c r="X1193" s="74"/>
      <c r="Y1193" s="74"/>
      <c r="Z1193" s="74"/>
      <c r="AA1193" s="74"/>
      <c r="AB1193" s="74"/>
      <c r="AC1193" s="74"/>
      <c r="AD1193" s="74"/>
      <c r="AE1193" s="74"/>
      <c r="AF1193" s="74"/>
      <c r="AG1193" s="74"/>
      <c r="AH1193" s="74"/>
    </row>
    <row r="1194" s="73" customFormat="1" spans="1:34">
      <c r="A1194" s="74"/>
      <c r="B1194" s="74"/>
      <c r="C1194" s="74"/>
      <c r="D1194" s="74"/>
      <c r="E1194" s="74"/>
      <c r="F1194" s="74"/>
      <c r="G1194" s="74"/>
      <c r="H1194" s="74"/>
      <c r="I1194" s="74"/>
      <c r="J1194" s="74"/>
      <c r="K1194" s="74"/>
      <c r="L1194" s="74"/>
      <c r="M1194" s="74"/>
      <c r="N1194" s="74"/>
      <c r="O1194" s="75"/>
      <c r="P1194" s="74"/>
      <c r="Q1194" s="75"/>
      <c r="R1194" s="74"/>
      <c r="S1194" s="74"/>
      <c r="T1194" s="74"/>
      <c r="U1194" s="75"/>
      <c r="V1194" s="74"/>
      <c r="W1194" s="75"/>
      <c r="X1194" s="74"/>
      <c r="Y1194" s="74"/>
      <c r="Z1194" s="74"/>
      <c r="AA1194" s="74"/>
      <c r="AB1194" s="74"/>
      <c r="AC1194" s="74"/>
      <c r="AD1194" s="74"/>
      <c r="AE1194" s="74"/>
      <c r="AF1194" s="74"/>
      <c r="AG1194" s="74"/>
      <c r="AH1194" s="74"/>
    </row>
    <row r="1195" s="73" customFormat="1" spans="1:34">
      <c r="A1195" s="74"/>
      <c r="B1195" s="74"/>
      <c r="C1195" s="74"/>
      <c r="D1195" s="74"/>
      <c r="E1195" s="74"/>
      <c r="F1195" s="74"/>
      <c r="G1195" s="74"/>
      <c r="H1195" s="74"/>
      <c r="I1195" s="74"/>
      <c r="J1195" s="74"/>
      <c r="K1195" s="74"/>
      <c r="L1195" s="74"/>
      <c r="M1195" s="74"/>
      <c r="N1195" s="74"/>
      <c r="O1195" s="75"/>
      <c r="P1195" s="74"/>
      <c r="Q1195" s="75"/>
      <c r="R1195" s="74"/>
      <c r="S1195" s="74"/>
      <c r="T1195" s="74"/>
      <c r="U1195" s="75"/>
      <c r="V1195" s="74"/>
      <c r="W1195" s="75"/>
      <c r="X1195" s="74"/>
      <c r="Y1195" s="74"/>
      <c r="Z1195" s="74"/>
      <c r="AA1195" s="74"/>
      <c r="AB1195" s="74"/>
      <c r="AC1195" s="74"/>
      <c r="AD1195" s="74"/>
      <c r="AE1195" s="74"/>
      <c r="AF1195" s="74"/>
      <c r="AG1195" s="74"/>
      <c r="AH1195" s="74"/>
    </row>
    <row r="1196" s="73" customFormat="1" spans="1:34">
      <c r="A1196" s="74"/>
      <c r="B1196" s="74"/>
      <c r="C1196" s="74"/>
      <c r="D1196" s="74"/>
      <c r="E1196" s="74"/>
      <c r="F1196" s="74"/>
      <c r="G1196" s="74"/>
      <c r="H1196" s="74"/>
      <c r="I1196" s="74"/>
      <c r="J1196" s="74"/>
      <c r="K1196" s="74"/>
      <c r="L1196" s="74"/>
      <c r="M1196" s="74"/>
      <c r="N1196" s="74"/>
      <c r="O1196" s="75"/>
      <c r="P1196" s="74"/>
      <c r="Q1196" s="75"/>
      <c r="R1196" s="74"/>
      <c r="S1196" s="74"/>
      <c r="T1196" s="74"/>
      <c r="U1196" s="75"/>
      <c r="V1196" s="74"/>
      <c r="W1196" s="75"/>
      <c r="X1196" s="74"/>
      <c r="Y1196" s="74"/>
      <c r="Z1196" s="74"/>
      <c r="AA1196" s="74"/>
      <c r="AB1196" s="74"/>
      <c r="AC1196" s="74"/>
      <c r="AD1196" s="74"/>
      <c r="AE1196" s="74"/>
      <c r="AF1196" s="74"/>
      <c r="AG1196" s="74"/>
      <c r="AH1196" s="74"/>
    </row>
    <row r="1197" s="73" customFormat="1" spans="1:34">
      <c r="A1197" s="74"/>
      <c r="B1197" s="74"/>
      <c r="C1197" s="74"/>
      <c r="D1197" s="74"/>
      <c r="E1197" s="74"/>
      <c r="F1197" s="74"/>
      <c r="G1197" s="74"/>
      <c r="H1197" s="74"/>
      <c r="I1197" s="74"/>
      <c r="J1197" s="74"/>
      <c r="K1197" s="74"/>
      <c r="L1197" s="74"/>
      <c r="M1197" s="74"/>
      <c r="N1197" s="74"/>
      <c r="O1197" s="75"/>
      <c r="P1197" s="74"/>
      <c r="Q1197" s="75"/>
      <c r="R1197" s="74"/>
      <c r="S1197" s="74"/>
      <c r="T1197" s="74"/>
      <c r="U1197" s="75"/>
      <c r="V1197" s="74"/>
      <c r="W1197" s="75"/>
      <c r="X1197" s="74"/>
      <c r="Y1197" s="74"/>
      <c r="Z1197" s="74"/>
      <c r="AA1197" s="74"/>
      <c r="AB1197" s="74"/>
      <c r="AC1197" s="74"/>
      <c r="AD1197" s="74"/>
      <c r="AE1197" s="74"/>
      <c r="AF1197" s="74"/>
      <c r="AG1197" s="74"/>
      <c r="AH1197" s="74"/>
    </row>
    <row r="1198" s="73" customFormat="1" spans="1:34">
      <c r="A1198" s="74"/>
      <c r="B1198" s="74"/>
      <c r="C1198" s="74"/>
      <c r="D1198" s="74"/>
      <c r="E1198" s="74"/>
      <c r="F1198" s="74"/>
      <c r="G1198" s="74"/>
      <c r="H1198" s="74"/>
      <c r="I1198" s="74"/>
      <c r="J1198" s="74"/>
      <c r="K1198" s="74"/>
      <c r="L1198" s="74"/>
      <c r="M1198" s="74"/>
      <c r="N1198" s="74"/>
      <c r="O1198" s="75"/>
      <c r="P1198" s="74"/>
      <c r="Q1198" s="75"/>
      <c r="R1198" s="74"/>
      <c r="S1198" s="74"/>
      <c r="T1198" s="74"/>
      <c r="U1198" s="75"/>
      <c r="V1198" s="74"/>
      <c r="W1198" s="75"/>
      <c r="X1198" s="74"/>
      <c r="Y1198" s="74"/>
      <c r="Z1198" s="74"/>
      <c r="AA1198" s="74"/>
      <c r="AB1198" s="74"/>
      <c r="AC1198" s="74"/>
      <c r="AD1198" s="74"/>
      <c r="AE1198" s="74"/>
      <c r="AF1198" s="74"/>
      <c r="AG1198" s="74"/>
      <c r="AH1198" s="74"/>
    </row>
    <row r="1199" s="73" customFormat="1" spans="1:34">
      <c r="A1199" s="74"/>
      <c r="B1199" s="74"/>
      <c r="C1199" s="74"/>
      <c r="D1199" s="74"/>
      <c r="E1199" s="74"/>
      <c r="F1199" s="74"/>
      <c r="G1199" s="74"/>
      <c r="H1199" s="74"/>
      <c r="I1199" s="74"/>
      <c r="J1199" s="74"/>
      <c r="K1199" s="74"/>
      <c r="L1199" s="74"/>
      <c r="M1199" s="74"/>
      <c r="N1199" s="74"/>
      <c r="O1199" s="75"/>
      <c r="P1199" s="74"/>
      <c r="Q1199" s="75"/>
      <c r="R1199" s="74"/>
      <c r="S1199" s="74"/>
      <c r="T1199" s="74"/>
      <c r="U1199" s="75"/>
      <c r="V1199" s="74"/>
      <c r="W1199" s="75"/>
      <c r="X1199" s="74"/>
      <c r="Y1199" s="74"/>
      <c r="Z1199" s="74"/>
      <c r="AA1199" s="74"/>
      <c r="AB1199" s="74"/>
      <c r="AC1199" s="74"/>
      <c r="AD1199" s="74"/>
      <c r="AE1199" s="74"/>
      <c r="AF1199" s="74"/>
      <c r="AG1199" s="74"/>
      <c r="AH1199" s="74"/>
    </row>
    <row r="1200" s="73" customFormat="1" spans="1:34">
      <c r="A1200" s="74"/>
      <c r="B1200" s="74"/>
      <c r="C1200" s="74"/>
      <c r="D1200" s="74"/>
      <c r="E1200" s="74"/>
      <c r="F1200" s="74"/>
      <c r="G1200" s="74"/>
      <c r="H1200" s="74"/>
      <c r="I1200" s="74"/>
      <c r="J1200" s="74"/>
      <c r="K1200" s="74"/>
      <c r="L1200" s="74"/>
      <c r="M1200" s="74"/>
      <c r="N1200" s="74"/>
      <c r="O1200" s="75"/>
      <c r="P1200" s="74"/>
      <c r="Q1200" s="75"/>
      <c r="R1200" s="74"/>
      <c r="S1200" s="74"/>
      <c r="T1200" s="74"/>
      <c r="U1200" s="75"/>
      <c r="V1200" s="74"/>
      <c r="W1200" s="75"/>
      <c r="X1200" s="74"/>
      <c r="Y1200" s="74"/>
      <c r="Z1200" s="74"/>
      <c r="AA1200" s="74"/>
      <c r="AB1200" s="74"/>
      <c r="AC1200" s="74"/>
      <c r="AD1200" s="74"/>
      <c r="AE1200" s="74"/>
      <c r="AF1200" s="74"/>
      <c r="AG1200" s="74"/>
      <c r="AH1200" s="74"/>
    </row>
    <row r="1201" s="73" customFormat="1" spans="1:34">
      <c r="A1201" s="74"/>
      <c r="B1201" s="74"/>
      <c r="C1201" s="74"/>
      <c r="D1201" s="74"/>
      <c r="E1201" s="74"/>
      <c r="F1201" s="74"/>
      <c r="G1201" s="74"/>
      <c r="H1201" s="74"/>
      <c r="I1201" s="74"/>
      <c r="J1201" s="74"/>
      <c r="K1201" s="74"/>
      <c r="L1201" s="74"/>
      <c r="M1201" s="74"/>
      <c r="N1201" s="74"/>
      <c r="O1201" s="75"/>
      <c r="P1201" s="74"/>
      <c r="Q1201" s="75"/>
      <c r="R1201" s="74"/>
      <c r="S1201" s="74"/>
      <c r="T1201" s="74"/>
      <c r="U1201" s="75"/>
      <c r="V1201" s="74"/>
      <c r="W1201" s="75"/>
      <c r="X1201" s="74"/>
      <c r="Y1201" s="74"/>
      <c r="Z1201" s="74"/>
      <c r="AA1201" s="74"/>
      <c r="AB1201" s="74"/>
      <c r="AC1201" s="74"/>
      <c r="AD1201" s="74"/>
      <c r="AE1201" s="74"/>
      <c r="AF1201" s="74"/>
      <c r="AG1201" s="74"/>
      <c r="AH1201" s="74"/>
    </row>
    <row r="1202" s="73" customFormat="1" spans="1:34">
      <c r="A1202" s="74"/>
      <c r="B1202" s="74"/>
      <c r="C1202" s="74"/>
      <c r="D1202" s="74"/>
      <c r="E1202" s="74"/>
      <c r="F1202" s="74"/>
      <c r="G1202" s="74"/>
      <c r="H1202" s="74"/>
      <c r="I1202" s="74"/>
      <c r="J1202" s="74"/>
      <c r="K1202" s="74"/>
      <c r="L1202" s="74"/>
      <c r="M1202" s="74"/>
      <c r="N1202" s="74"/>
      <c r="O1202" s="75"/>
      <c r="P1202" s="74"/>
      <c r="Q1202" s="75"/>
      <c r="R1202" s="74"/>
      <c r="S1202" s="74"/>
      <c r="T1202" s="74"/>
      <c r="U1202" s="75"/>
      <c r="V1202" s="74"/>
      <c r="W1202" s="75"/>
      <c r="X1202" s="74"/>
      <c r="Y1202" s="74"/>
      <c r="Z1202" s="74"/>
      <c r="AA1202" s="74"/>
      <c r="AB1202" s="74"/>
      <c r="AC1202" s="74"/>
      <c r="AD1202" s="74"/>
      <c r="AE1202" s="74"/>
      <c r="AF1202" s="74"/>
      <c r="AG1202" s="74"/>
      <c r="AH1202" s="74"/>
    </row>
    <row r="1203" s="73" customFormat="1" spans="1:34">
      <c r="A1203" s="74"/>
      <c r="B1203" s="74"/>
      <c r="C1203" s="74"/>
      <c r="D1203" s="74"/>
      <c r="E1203" s="74"/>
      <c r="F1203" s="74"/>
      <c r="G1203" s="74"/>
      <c r="H1203" s="74"/>
      <c r="I1203" s="74"/>
      <c r="J1203" s="74"/>
      <c r="K1203" s="74"/>
      <c r="L1203" s="74"/>
      <c r="M1203" s="74"/>
      <c r="N1203" s="74"/>
      <c r="O1203" s="75"/>
      <c r="P1203" s="74"/>
      <c r="Q1203" s="75"/>
      <c r="R1203" s="74"/>
      <c r="S1203" s="74"/>
      <c r="T1203" s="74"/>
      <c r="U1203" s="75"/>
      <c r="V1203" s="74"/>
      <c r="W1203" s="75"/>
      <c r="X1203" s="74"/>
      <c r="Y1203" s="74"/>
      <c r="Z1203" s="74"/>
      <c r="AA1203" s="74"/>
      <c r="AB1203" s="74"/>
      <c r="AC1203" s="74"/>
      <c r="AD1203" s="74"/>
      <c r="AE1203" s="74"/>
      <c r="AF1203" s="74"/>
      <c r="AG1203" s="74"/>
      <c r="AH1203" s="74"/>
    </row>
    <row r="1204" s="73" customFormat="1" spans="1:34">
      <c r="A1204" s="74"/>
      <c r="B1204" s="74"/>
      <c r="C1204" s="74"/>
      <c r="D1204" s="74"/>
      <c r="E1204" s="74"/>
      <c r="F1204" s="74"/>
      <c r="G1204" s="74"/>
      <c r="H1204" s="74"/>
      <c r="I1204" s="74"/>
      <c r="J1204" s="74"/>
      <c r="K1204" s="74"/>
      <c r="L1204" s="74"/>
      <c r="M1204" s="74"/>
      <c r="N1204" s="74"/>
      <c r="O1204" s="75"/>
      <c r="P1204" s="74"/>
      <c r="Q1204" s="75"/>
      <c r="R1204" s="74"/>
      <c r="S1204" s="74"/>
      <c r="T1204" s="74"/>
      <c r="U1204" s="75"/>
      <c r="V1204" s="74"/>
      <c r="W1204" s="75"/>
      <c r="X1204" s="74"/>
      <c r="Y1204" s="74"/>
      <c r="Z1204" s="74"/>
      <c r="AA1204" s="74"/>
      <c r="AB1204" s="74"/>
      <c r="AC1204" s="74"/>
      <c r="AD1204" s="74"/>
      <c r="AE1204" s="74"/>
      <c r="AF1204" s="74"/>
      <c r="AG1204" s="74"/>
      <c r="AH1204" s="74"/>
    </row>
    <row r="1205" s="73" customFormat="1" spans="1:34">
      <c r="A1205" s="74"/>
      <c r="B1205" s="74"/>
      <c r="C1205" s="74"/>
      <c r="D1205" s="74"/>
      <c r="E1205" s="74"/>
      <c r="F1205" s="74"/>
      <c r="G1205" s="74"/>
      <c r="H1205" s="74"/>
      <c r="I1205" s="74"/>
      <c r="J1205" s="74"/>
      <c r="K1205" s="74"/>
      <c r="L1205" s="74"/>
      <c r="M1205" s="74"/>
      <c r="N1205" s="74"/>
      <c r="O1205" s="75"/>
      <c r="P1205" s="74"/>
      <c r="Q1205" s="75"/>
      <c r="R1205" s="74"/>
      <c r="S1205" s="74"/>
      <c r="T1205" s="74"/>
      <c r="U1205" s="75"/>
      <c r="V1205" s="74"/>
      <c r="W1205" s="75"/>
      <c r="X1205" s="74"/>
      <c r="Y1205" s="74"/>
      <c r="Z1205" s="74"/>
      <c r="AA1205" s="74"/>
      <c r="AB1205" s="74"/>
      <c r="AC1205" s="74"/>
      <c r="AD1205" s="74"/>
      <c r="AE1205" s="74"/>
      <c r="AF1205" s="74"/>
      <c r="AG1205" s="74"/>
      <c r="AH1205" s="74"/>
    </row>
    <row r="1206" s="73" customFormat="1" spans="1:34">
      <c r="A1206" s="74"/>
      <c r="B1206" s="74"/>
      <c r="C1206" s="74"/>
      <c r="D1206" s="74"/>
      <c r="E1206" s="74"/>
      <c r="F1206" s="74"/>
      <c r="G1206" s="74"/>
      <c r="H1206" s="74"/>
      <c r="I1206" s="74"/>
      <c r="J1206" s="74"/>
      <c r="K1206" s="74"/>
      <c r="L1206" s="74"/>
      <c r="M1206" s="74"/>
      <c r="N1206" s="74"/>
      <c r="O1206" s="75"/>
      <c r="P1206" s="74"/>
      <c r="Q1206" s="75"/>
      <c r="R1206" s="74"/>
      <c r="S1206" s="74"/>
      <c r="T1206" s="74"/>
      <c r="U1206" s="75"/>
      <c r="V1206" s="74"/>
      <c r="W1206" s="75"/>
      <c r="X1206" s="74"/>
      <c r="Y1206" s="74"/>
      <c r="Z1206" s="74"/>
      <c r="AA1206" s="74"/>
      <c r="AB1206" s="74"/>
      <c r="AC1206" s="74"/>
      <c r="AD1206" s="74"/>
      <c r="AE1206" s="74"/>
      <c r="AF1206" s="74"/>
      <c r="AG1206" s="74"/>
      <c r="AH1206" s="74"/>
    </row>
    <row r="1207" s="73" customFormat="1" spans="1:34">
      <c r="A1207" s="74"/>
      <c r="B1207" s="74"/>
      <c r="C1207" s="74"/>
      <c r="D1207" s="74"/>
      <c r="E1207" s="74"/>
      <c r="F1207" s="74"/>
      <c r="G1207" s="74"/>
      <c r="H1207" s="74"/>
      <c r="I1207" s="74"/>
      <c r="J1207" s="74"/>
      <c r="K1207" s="74"/>
      <c r="L1207" s="74"/>
      <c r="M1207" s="74"/>
      <c r="N1207" s="74"/>
      <c r="O1207" s="75"/>
      <c r="P1207" s="74"/>
      <c r="Q1207" s="75"/>
      <c r="R1207" s="74"/>
      <c r="S1207" s="74"/>
      <c r="T1207" s="74"/>
      <c r="U1207" s="75"/>
      <c r="V1207" s="74"/>
      <c r="W1207" s="75"/>
      <c r="X1207" s="74"/>
      <c r="Y1207" s="74"/>
      <c r="Z1207" s="74"/>
      <c r="AA1207" s="74"/>
      <c r="AB1207" s="74"/>
      <c r="AC1207" s="74"/>
      <c r="AD1207" s="74"/>
      <c r="AE1207" s="74"/>
      <c r="AF1207" s="74"/>
      <c r="AG1207" s="74"/>
      <c r="AH1207" s="74"/>
    </row>
    <row r="1208" s="73" customFormat="1" spans="1:34">
      <c r="A1208" s="74"/>
      <c r="B1208" s="74"/>
      <c r="C1208" s="74"/>
      <c r="D1208" s="74"/>
      <c r="E1208" s="74"/>
      <c r="F1208" s="74"/>
      <c r="G1208" s="74"/>
      <c r="H1208" s="74"/>
      <c r="I1208" s="74"/>
      <c r="J1208" s="74"/>
      <c r="K1208" s="74"/>
      <c r="L1208" s="74"/>
      <c r="M1208" s="74"/>
      <c r="N1208" s="74"/>
      <c r="O1208" s="75"/>
      <c r="P1208" s="74"/>
      <c r="Q1208" s="75"/>
      <c r="R1208" s="74"/>
      <c r="S1208" s="74"/>
      <c r="T1208" s="74"/>
      <c r="U1208" s="75"/>
      <c r="V1208" s="74"/>
      <c r="W1208" s="75"/>
      <c r="X1208" s="74"/>
      <c r="Y1208" s="74"/>
      <c r="Z1208" s="74"/>
      <c r="AA1208" s="74"/>
      <c r="AB1208" s="74"/>
      <c r="AC1208" s="74"/>
      <c r="AD1208" s="74"/>
      <c r="AE1208" s="74"/>
      <c r="AF1208" s="74"/>
      <c r="AG1208" s="74"/>
      <c r="AH1208" s="74"/>
    </row>
    <row r="1209" s="73" customFormat="1" spans="1:34">
      <c r="A1209" s="74"/>
      <c r="B1209" s="74"/>
      <c r="C1209" s="74"/>
      <c r="D1209" s="74"/>
      <c r="E1209" s="74"/>
      <c r="F1209" s="74"/>
      <c r="G1209" s="74"/>
      <c r="H1209" s="74"/>
      <c r="I1209" s="74"/>
      <c r="J1209" s="74"/>
      <c r="K1209" s="74"/>
      <c r="L1209" s="74"/>
      <c r="M1209" s="74"/>
      <c r="N1209" s="74"/>
      <c r="O1209" s="75"/>
      <c r="P1209" s="74"/>
      <c r="Q1209" s="75"/>
      <c r="R1209" s="74"/>
      <c r="S1209" s="74"/>
      <c r="T1209" s="74"/>
      <c r="U1209" s="75"/>
      <c r="V1209" s="74"/>
      <c r="W1209" s="75"/>
      <c r="X1209" s="74"/>
      <c r="Y1209" s="74"/>
      <c r="Z1209" s="74"/>
      <c r="AA1209" s="74"/>
      <c r="AB1209" s="74"/>
      <c r="AC1209" s="74"/>
      <c r="AD1209" s="74"/>
      <c r="AE1209" s="74"/>
      <c r="AF1209" s="74"/>
      <c r="AG1209" s="74"/>
      <c r="AH1209" s="74"/>
    </row>
    <row r="1210" s="73" customFormat="1" spans="1:34">
      <c r="A1210" s="74"/>
      <c r="B1210" s="74"/>
      <c r="C1210" s="74"/>
      <c r="D1210" s="74"/>
      <c r="E1210" s="74"/>
      <c r="F1210" s="74"/>
      <c r="G1210" s="74"/>
      <c r="H1210" s="74"/>
      <c r="I1210" s="74"/>
      <c r="J1210" s="74"/>
      <c r="K1210" s="74"/>
      <c r="L1210" s="74"/>
      <c r="M1210" s="74"/>
      <c r="N1210" s="74"/>
      <c r="O1210" s="75"/>
      <c r="P1210" s="74"/>
      <c r="Q1210" s="75"/>
      <c r="R1210" s="74"/>
      <c r="S1210" s="74"/>
      <c r="T1210" s="74"/>
      <c r="U1210" s="75"/>
      <c r="V1210" s="74"/>
      <c r="W1210" s="75"/>
      <c r="X1210" s="74"/>
      <c r="Y1210" s="74"/>
      <c r="Z1210" s="74"/>
      <c r="AA1210" s="74"/>
      <c r="AB1210" s="74"/>
      <c r="AC1210" s="74"/>
      <c r="AD1210" s="74"/>
      <c r="AE1210" s="74"/>
      <c r="AF1210" s="74"/>
      <c r="AG1210" s="74"/>
      <c r="AH1210" s="74"/>
    </row>
    <row r="1211" s="73" customFormat="1" spans="1:34">
      <c r="A1211" s="74"/>
      <c r="B1211" s="74"/>
      <c r="C1211" s="74"/>
      <c r="D1211" s="74"/>
      <c r="E1211" s="74"/>
      <c r="F1211" s="74"/>
      <c r="G1211" s="74"/>
      <c r="H1211" s="74"/>
      <c r="I1211" s="74"/>
      <c r="J1211" s="74"/>
      <c r="K1211" s="74"/>
      <c r="L1211" s="74"/>
      <c r="M1211" s="74"/>
      <c r="N1211" s="74"/>
      <c r="O1211" s="75"/>
      <c r="P1211" s="74"/>
      <c r="Q1211" s="75"/>
      <c r="R1211" s="74"/>
      <c r="S1211" s="74"/>
      <c r="T1211" s="74"/>
      <c r="U1211" s="75"/>
      <c r="V1211" s="74"/>
      <c r="W1211" s="75"/>
      <c r="X1211" s="74"/>
      <c r="Y1211" s="74"/>
      <c r="Z1211" s="74"/>
      <c r="AA1211" s="74"/>
      <c r="AB1211" s="74"/>
      <c r="AC1211" s="74"/>
      <c r="AD1211" s="74"/>
      <c r="AE1211" s="74"/>
      <c r="AF1211" s="74"/>
      <c r="AG1211" s="74"/>
      <c r="AH1211" s="74"/>
    </row>
    <row r="1212" s="73" customFormat="1" spans="1:34">
      <c r="A1212" s="74"/>
      <c r="B1212" s="74"/>
      <c r="C1212" s="74"/>
      <c r="D1212" s="74"/>
      <c r="E1212" s="74"/>
      <c r="F1212" s="74"/>
      <c r="G1212" s="74"/>
      <c r="H1212" s="74"/>
      <c r="I1212" s="74"/>
      <c r="J1212" s="74"/>
      <c r="K1212" s="74"/>
      <c r="L1212" s="74"/>
      <c r="M1212" s="74"/>
      <c r="N1212" s="74"/>
      <c r="O1212" s="75"/>
      <c r="P1212" s="74"/>
      <c r="Q1212" s="75"/>
      <c r="R1212" s="74"/>
      <c r="S1212" s="74"/>
      <c r="T1212" s="74"/>
      <c r="U1212" s="75"/>
      <c r="V1212" s="74"/>
      <c r="W1212" s="75"/>
      <c r="X1212" s="74"/>
      <c r="Y1212" s="74"/>
      <c r="Z1212" s="74"/>
      <c r="AA1212" s="74"/>
      <c r="AB1212" s="74"/>
      <c r="AC1212" s="74"/>
      <c r="AD1212" s="74"/>
      <c r="AE1212" s="74"/>
      <c r="AF1212" s="74"/>
      <c r="AG1212" s="74"/>
      <c r="AH1212" s="74"/>
    </row>
    <row r="1213" s="73" customFormat="1" spans="1:34">
      <c r="A1213" s="74"/>
      <c r="B1213" s="74"/>
      <c r="C1213" s="74"/>
      <c r="D1213" s="74"/>
      <c r="E1213" s="74"/>
      <c r="F1213" s="74"/>
      <c r="G1213" s="74"/>
      <c r="H1213" s="74"/>
      <c r="I1213" s="74"/>
      <c r="J1213" s="74"/>
      <c r="K1213" s="74"/>
      <c r="L1213" s="74"/>
      <c r="M1213" s="74"/>
      <c r="N1213" s="74"/>
      <c r="O1213" s="75"/>
      <c r="P1213" s="74"/>
      <c r="Q1213" s="75"/>
      <c r="R1213" s="74"/>
      <c r="S1213" s="74"/>
      <c r="T1213" s="74"/>
      <c r="U1213" s="75"/>
      <c r="V1213" s="74"/>
      <c r="W1213" s="75"/>
      <c r="X1213" s="74"/>
      <c r="Y1213" s="74"/>
      <c r="Z1213" s="74"/>
      <c r="AA1213" s="74"/>
      <c r="AB1213" s="74"/>
      <c r="AC1213" s="74"/>
      <c r="AD1213" s="74"/>
      <c r="AE1213" s="74"/>
      <c r="AF1213" s="74"/>
      <c r="AG1213" s="74"/>
      <c r="AH1213" s="74"/>
    </row>
    <row r="1214" s="73" customFormat="1" spans="1:34">
      <c r="A1214" s="74"/>
      <c r="B1214" s="74"/>
      <c r="C1214" s="74"/>
      <c r="D1214" s="74"/>
      <c r="E1214" s="74"/>
      <c r="F1214" s="74"/>
      <c r="G1214" s="74"/>
      <c r="H1214" s="74"/>
      <c r="I1214" s="74"/>
      <c r="J1214" s="74"/>
      <c r="K1214" s="74"/>
      <c r="L1214" s="74"/>
      <c r="M1214" s="74"/>
      <c r="N1214" s="74"/>
      <c r="O1214" s="75"/>
      <c r="P1214" s="74"/>
      <c r="Q1214" s="75"/>
      <c r="R1214" s="74"/>
      <c r="S1214" s="74"/>
      <c r="T1214" s="74"/>
      <c r="U1214" s="75"/>
      <c r="V1214" s="74"/>
      <c r="W1214" s="75"/>
      <c r="X1214" s="74"/>
      <c r="Y1214" s="74"/>
      <c r="Z1214" s="74"/>
      <c r="AA1214" s="74"/>
      <c r="AB1214" s="74"/>
      <c r="AC1214" s="74"/>
      <c r="AD1214" s="74"/>
      <c r="AE1214" s="74"/>
      <c r="AF1214" s="74"/>
      <c r="AG1214" s="74"/>
      <c r="AH1214" s="74"/>
    </row>
    <row r="1215" s="73" customFormat="1" spans="1:34">
      <c r="A1215" s="74"/>
      <c r="B1215" s="74"/>
      <c r="C1215" s="74"/>
      <c r="D1215" s="74"/>
      <c r="E1215" s="74"/>
      <c r="F1215" s="74"/>
      <c r="G1215" s="74"/>
      <c r="H1215" s="74"/>
      <c r="I1215" s="74"/>
      <c r="J1215" s="74"/>
      <c r="K1215" s="74"/>
      <c r="L1215" s="74"/>
      <c r="M1215" s="74"/>
      <c r="N1215" s="74"/>
      <c r="O1215" s="75"/>
      <c r="P1215" s="74"/>
      <c r="Q1215" s="75"/>
      <c r="R1215" s="74"/>
      <c r="S1215" s="74"/>
      <c r="T1215" s="74"/>
      <c r="U1215" s="75"/>
      <c r="V1215" s="74"/>
      <c r="W1215" s="75"/>
      <c r="X1215" s="74"/>
      <c r="Y1215" s="74"/>
      <c r="Z1215" s="74"/>
      <c r="AA1215" s="74"/>
      <c r="AB1215" s="74"/>
      <c r="AC1215" s="74"/>
      <c r="AD1215" s="74"/>
      <c r="AE1215" s="74"/>
      <c r="AF1215" s="74"/>
      <c r="AG1215" s="74"/>
      <c r="AH1215" s="74"/>
    </row>
    <row r="1216" s="73" customFormat="1" spans="1:34">
      <c r="A1216" s="74"/>
      <c r="B1216" s="74"/>
      <c r="C1216" s="74"/>
      <c r="D1216" s="74"/>
      <c r="E1216" s="74"/>
      <c r="F1216" s="74"/>
      <c r="G1216" s="74"/>
      <c r="H1216" s="74"/>
      <c r="I1216" s="74"/>
      <c r="J1216" s="74"/>
      <c r="K1216" s="74"/>
      <c r="L1216" s="74"/>
      <c r="M1216" s="74"/>
      <c r="N1216" s="74"/>
      <c r="O1216" s="75"/>
      <c r="P1216" s="74"/>
      <c r="Q1216" s="75"/>
      <c r="R1216" s="74"/>
      <c r="S1216" s="74"/>
      <c r="T1216" s="74"/>
      <c r="U1216" s="75"/>
      <c r="V1216" s="74"/>
      <c r="W1216" s="75"/>
      <c r="X1216" s="74"/>
      <c r="Y1216" s="74"/>
      <c r="Z1216" s="74"/>
      <c r="AA1216" s="74"/>
      <c r="AB1216" s="74"/>
      <c r="AC1216" s="74"/>
      <c r="AD1216" s="74"/>
      <c r="AE1216" s="74"/>
      <c r="AF1216" s="74"/>
      <c r="AG1216" s="74"/>
      <c r="AH1216" s="74"/>
    </row>
    <row r="1217" s="73" customFormat="1" spans="1:34">
      <c r="A1217" s="74"/>
      <c r="B1217" s="74"/>
      <c r="C1217" s="74"/>
      <c r="D1217" s="74"/>
      <c r="E1217" s="74"/>
      <c r="F1217" s="74"/>
      <c r="G1217" s="74"/>
      <c r="H1217" s="74"/>
      <c r="I1217" s="74"/>
      <c r="J1217" s="74"/>
      <c r="K1217" s="74"/>
      <c r="L1217" s="74"/>
      <c r="M1217" s="74"/>
      <c r="N1217" s="74"/>
      <c r="O1217" s="75"/>
      <c r="P1217" s="74"/>
      <c r="Q1217" s="75"/>
      <c r="R1217" s="74"/>
      <c r="S1217" s="74"/>
      <c r="T1217" s="74"/>
      <c r="U1217" s="75"/>
      <c r="V1217" s="74"/>
      <c r="W1217" s="75"/>
      <c r="X1217" s="74"/>
      <c r="Y1217" s="74"/>
      <c r="Z1217" s="74"/>
      <c r="AA1217" s="74"/>
      <c r="AB1217" s="74"/>
      <c r="AC1217" s="74"/>
      <c r="AD1217" s="74"/>
      <c r="AE1217" s="74"/>
      <c r="AF1217" s="74"/>
      <c r="AG1217" s="74"/>
      <c r="AH1217" s="74"/>
    </row>
    <row r="1218" s="73" customFormat="1" spans="1:34">
      <c r="A1218" s="74"/>
      <c r="B1218" s="74"/>
      <c r="C1218" s="74"/>
      <c r="D1218" s="74"/>
      <c r="E1218" s="74"/>
      <c r="F1218" s="74"/>
      <c r="G1218" s="74"/>
      <c r="H1218" s="74"/>
      <c r="I1218" s="74"/>
      <c r="J1218" s="74"/>
      <c r="K1218" s="74"/>
      <c r="L1218" s="74"/>
      <c r="M1218" s="74"/>
      <c r="N1218" s="74"/>
      <c r="O1218" s="75"/>
      <c r="P1218" s="74"/>
      <c r="Q1218" s="75"/>
      <c r="R1218" s="74"/>
      <c r="S1218" s="74"/>
      <c r="T1218" s="74"/>
      <c r="U1218" s="75"/>
      <c r="V1218" s="74"/>
      <c r="W1218" s="75"/>
      <c r="X1218" s="74"/>
      <c r="Y1218" s="74"/>
      <c r="Z1218" s="74"/>
      <c r="AA1218" s="74"/>
      <c r="AB1218" s="74"/>
      <c r="AC1218" s="74"/>
      <c r="AD1218" s="74"/>
      <c r="AE1218" s="74"/>
      <c r="AF1218" s="74"/>
      <c r="AG1218" s="74"/>
      <c r="AH1218" s="74"/>
    </row>
    <row r="1219" s="73" customFormat="1" spans="1:34">
      <c r="A1219" s="74"/>
      <c r="B1219" s="74"/>
      <c r="C1219" s="74"/>
      <c r="D1219" s="74"/>
      <c r="E1219" s="74"/>
      <c r="F1219" s="74"/>
      <c r="G1219" s="74"/>
      <c r="H1219" s="74"/>
      <c r="I1219" s="74"/>
      <c r="J1219" s="74"/>
      <c r="K1219" s="74"/>
      <c r="L1219" s="74"/>
      <c r="M1219" s="74"/>
      <c r="N1219" s="74"/>
      <c r="O1219" s="75"/>
      <c r="P1219" s="74"/>
      <c r="Q1219" s="75"/>
      <c r="R1219" s="74"/>
      <c r="S1219" s="74"/>
      <c r="T1219" s="74"/>
      <c r="U1219" s="75"/>
      <c r="V1219" s="74"/>
      <c r="W1219" s="75"/>
      <c r="X1219" s="74"/>
      <c r="Y1219" s="74"/>
      <c r="Z1219" s="74"/>
      <c r="AA1219" s="74"/>
      <c r="AB1219" s="74"/>
      <c r="AC1219" s="74"/>
      <c r="AD1219" s="74"/>
      <c r="AE1219" s="74"/>
      <c r="AF1219" s="74"/>
      <c r="AG1219" s="74"/>
      <c r="AH1219" s="74"/>
    </row>
    <row r="1220" s="73" customFormat="1" spans="1:34">
      <c r="A1220" s="74"/>
      <c r="B1220" s="74"/>
      <c r="C1220" s="74"/>
      <c r="D1220" s="74"/>
      <c r="E1220" s="74"/>
      <c r="F1220" s="74"/>
      <c r="G1220" s="74"/>
      <c r="H1220" s="74"/>
      <c r="I1220" s="74"/>
      <c r="J1220" s="74"/>
      <c r="K1220" s="74"/>
      <c r="L1220" s="74"/>
      <c r="M1220" s="74"/>
      <c r="N1220" s="74"/>
      <c r="O1220" s="75"/>
      <c r="P1220" s="74"/>
      <c r="Q1220" s="75"/>
      <c r="R1220" s="74"/>
      <c r="S1220" s="74"/>
      <c r="T1220" s="74"/>
      <c r="U1220" s="75"/>
      <c r="V1220" s="74"/>
      <c r="W1220" s="75"/>
      <c r="X1220" s="74"/>
      <c r="Y1220" s="74"/>
      <c r="Z1220" s="74"/>
      <c r="AA1220" s="74"/>
      <c r="AB1220" s="74"/>
      <c r="AC1220" s="74"/>
      <c r="AD1220" s="74"/>
      <c r="AE1220" s="74"/>
      <c r="AF1220" s="74"/>
      <c r="AG1220" s="74"/>
      <c r="AH1220" s="74"/>
    </row>
    <row r="1221" s="73" customFormat="1" spans="1:34">
      <c r="A1221" s="74"/>
      <c r="B1221" s="74"/>
      <c r="C1221" s="74"/>
      <c r="D1221" s="74"/>
      <c r="E1221" s="74"/>
      <c r="F1221" s="74"/>
      <c r="G1221" s="74"/>
      <c r="H1221" s="74"/>
      <c r="I1221" s="74"/>
      <c r="J1221" s="74"/>
      <c r="K1221" s="74"/>
      <c r="L1221" s="74"/>
      <c r="M1221" s="74"/>
      <c r="N1221" s="74"/>
      <c r="O1221" s="75"/>
      <c r="P1221" s="74"/>
      <c r="Q1221" s="75"/>
      <c r="R1221" s="74"/>
      <c r="S1221" s="74"/>
      <c r="T1221" s="74"/>
      <c r="U1221" s="75"/>
      <c r="V1221" s="74"/>
      <c r="W1221" s="75"/>
      <c r="X1221" s="74"/>
      <c r="Y1221" s="74"/>
      <c r="Z1221" s="74"/>
      <c r="AA1221" s="74"/>
      <c r="AB1221" s="74"/>
      <c r="AC1221" s="74"/>
      <c r="AD1221" s="74"/>
      <c r="AE1221" s="74"/>
      <c r="AF1221" s="74"/>
      <c r="AG1221" s="74"/>
      <c r="AH1221" s="74"/>
    </row>
    <row r="1222" s="73" customFormat="1" spans="1:34">
      <c r="A1222" s="74"/>
      <c r="B1222" s="74"/>
      <c r="C1222" s="74"/>
      <c r="D1222" s="74"/>
      <c r="E1222" s="74"/>
      <c r="F1222" s="74"/>
      <c r="G1222" s="74"/>
      <c r="H1222" s="74"/>
      <c r="I1222" s="74"/>
      <c r="J1222" s="74"/>
      <c r="K1222" s="74"/>
      <c r="L1222" s="74"/>
      <c r="M1222" s="74"/>
      <c r="N1222" s="74"/>
      <c r="O1222" s="75"/>
      <c r="P1222" s="74"/>
      <c r="Q1222" s="75"/>
      <c r="R1222" s="74"/>
      <c r="S1222" s="74"/>
      <c r="T1222" s="74"/>
      <c r="U1222" s="75"/>
      <c r="V1222" s="74"/>
      <c r="W1222" s="75"/>
      <c r="X1222" s="74"/>
      <c r="Y1222" s="74"/>
      <c r="Z1222" s="74"/>
      <c r="AA1222" s="74"/>
      <c r="AB1222" s="74"/>
      <c r="AC1222" s="74"/>
      <c r="AD1222" s="74"/>
      <c r="AE1222" s="74"/>
      <c r="AF1222" s="74"/>
      <c r="AG1222" s="74"/>
      <c r="AH1222" s="74"/>
    </row>
    <row r="1223" s="73" customFormat="1" spans="1:34">
      <c r="A1223" s="74"/>
      <c r="B1223" s="74"/>
      <c r="C1223" s="74"/>
      <c r="D1223" s="74"/>
      <c r="E1223" s="74"/>
      <c r="F1223" s="74"/>
      <c r="G1223" s="74"/>
      <c r="H1223" s="74"/>
      <c r="I1223" s="74"/>
      <c r="J1223" s="74"/>
      <c r="K1223" s="74"/>
      <c r="L1223" s="74"/>
      <c r="M1223" s="74"/>
      <c r="N1223" s="74"/>
      <c r="O1223" s="75"/>
      <c r="P1223" s="74"/>
      <c r="Q1223" s="75"/>
      <c r="R1223" s="74"/>
      <c r="S1223" s="74"/>
      <c r="T1223" s="74"/>
      <c r="U1223" s="75"/>
      <c r="V1223" s="74"/>
      <c r="W1223" s="75"/>
      <c r="X1223" s="74"/>
      <c r="Y1223" s="74"/>
      <c r="Z1223" s="74"/>
      <c r="AA1223" s="74"/>
      <c r="AB1223" s="74"/>
      <c r="AC1223" s="74"/>
      <c r="AD1223" s="74"/>
      <c r="AE1223" s="74"/>
      <c r="AF1223" s="74"/>
      <c r="AG1223" s="74"/>
      <c r="AH1223" s="74"/>
    </row>
    <row r="1224" s="73" customFormat="1" spans="1:34">
      <c r="A1224" s="74"/>
      <c r="B1224" s="74"/>
      <c r="C1224" s="74"/>
      <c r="D1224" s="74"/>
      <c r="E1224" s="74"/>
      <c r="F1224" s="74"/>
      <c r="G1224" s="74"/>
      <c r="H1224" s="74"/>
      <c r="I1224" s="74"/>
      <c r="J1224" s="74"/>
      <c r="K1224" s="74"/>
      <c r="L1224" s="74"/>
      <c r="M1224" s="74"/>
      <c r="N1224" s="74"/>
      <c r="O1224" s="75"/>
      <c r="P1224" s="74"/>
      <c r="Q1224" s="75"/>
      <c r="R1224" s="74"/>
      <c r="S1224" s="74"/>
      <c r="T1224" s="74"/>
      <c r="U1224" s="75"/>
      <c r="V1224" s="74"/>
      <c r="W1224" s="75"/>
      <c r="X1224" s="74"/>
      <c r="Y1224" s="74"/>
      <c r="Z1224" s="74"/>
      <c r="AA1224" s="74"/>
      <c r="AB1224" s="74"/>
      <c r="AC1224" s="74"/>
      <c r="AD1224" s="74"/>
      <c r="AE1224" s="74"/>
      <c r="AF1224" s="74"/>
      <c r="AG1224" s="74"/>
      <c r="AH1224" s="74"/>
    </row>
    <row r="1225" s="73" customFormat="1" spans="1:34">
      <c r="A1225" s="74"/>
      <c r="B1225" s="74"/>
      <c r="C1225" s="74"/>
      <c r="D1225" s="74"/>
      <c r="E1225" s="74"/>
      <c r="F1225" s="74"/>
      <c r="G1225" s="74"/>
      <c r="H1225" s="74"/>
      <c r="I1225" s="74"/>
      <c r="J1225" s="74"/>
      <c r="K1225" s="74"/>
      <c r="L1225" s="74"/>
      <c r="M1225" s="74"/>
      <c r="N1225" s="74"/>
      <c r="O1225" s="75"/>
      <c r="P1225" s="74"/>
      <c r="Q1225" s="75"/>
      <c r="R1225" s="74"/>
      <c r="S1225" s="74"/>
      <c r="T1225" s="74"/>
      <c r="U1225" s="75"/>
      <c r="V1225" s="74"/>
      <c r="W1225" s="75"/>
      <c r="X1225" s="74"/>
      <c r="Y1225" s="74"/>
      <c r="Z1225" s="74"/>
      <c r="AA1225" s="74"/>
      <c r="AB1225" s="74"/>
      <c r="AC1225" s="74"/>
      <c r="AD1225" s="74"/>
      <c r="AE1225" s="74"/>
      <c r="AF1225" s="74"/>
      <c r="AG1225" s="74"/>
      <c r="AH1225" s="74"/>
    </row>
    <row r="1226" s="73" customFormat="1" spans="1:34">
      <c r="A1226" s="74"/>
      <c r="B1226" s="74"/>
      <c r="C1226" s="74"/>
      <c r="D1226" s="74"/>
      <c r="E1226" s="74"/>
      <c r="F1226" s="74"/>
      <c r="G1226" s="74"/>
      <c r="H1226" s="74"/>
      <c r="I1226" s="74"/>
      <c r="J1226" s="74"/>
      <c r="K1226" s="74"/>
      <c r="L1226" s="74"/>
      <c r="M1226" s="74"/>
      <c r="N1226" s="74"/>
      <c r="O1226" s="75"/>
      <c r="P1226" s="74"/>
      <c r="Q1226" s="75"/>
      <c r="R1226" s="74"/>
      <c r="S1226" s="74"/>
      <c r="T1226" s="74"/>
      <c r="U1226" s="75"/>
      <c r="V1226" s="74"/>
      <c r="W1226" s="75"/>
      <c r="X1226" s="74"/>
      <c r="Y1226" s="74"/>
      <c r="Z1226" s="74"/>
      <c r="AA1226" s="74"/>
      <c r="AB1226" s="74"/>
      <c r="AC1226" s="74"/>
      <c r="AD1226" s="74"/>
      <c r="AE1226" s="74"/>
      <c r="AF1226" s="74"/>
      <c r="AG1226" s="74"/>
      <c r="AH1226" s="74"/>
    </row>
    <row r="1227" s="73" customFormat="1" spans="1:34">
      <c r="A1227" s="74"/>
      <c r="B1227" s="74"/>
      <c r="C1227" s="74"/>
      <c r="D1227" s="74"/>
      <c r="E1227" s="74"/>
      <c r="F1227" s="74"/>
      <c r="G1227" s="74"/>
      <c r="H1227" s="74"/>
      <c r="I1227" s="74"/>
      <c r="J1227" s="74"/>
      <c r="K1227" s="74"/>
      <c r="L1227" s="74"/>
      <c r="M1227" s="74"/>
      <c r="N1227" s="74"/>
      <c r="O1227" s="75"/>
      <c r="P1227" s="74"/>
      <c r="Q1227" s="75"/>
      <c r="R1227" s="74"/>
      <c r="S1227" s="74"/>
      <c r="T1227" s="74"/>
      <c r="U1227" s="75"/>
      <c r="V1227" s="74"/>
      <c r="W1227" s="75"/>
      <c r="X1227" s="74"/>
      <c r="Y1227" s="74"/>
      <c r="Z1227" s="74"/>
      <c r="AA1227" s="74"/>
      <c r="AB1227" s="74"/>
      <c r="AC1227" s="74"/>
      <c r="AD1227" s="74"/>
      <c r="AE1227" s="74"/>
      <c r="AF1227" s="74"/>
      <c r="AG1227" s="74"/>
      <c r="AH1227" s="74"/>
    </row>
    <row r="1228" s="73" customFormat="1" spans="1:34">
      <c r="A1228" s="74"/>
      <c r="B1228" s="74"/>
      <c r="C1228" s="74"/>
      <c r="D1228" s="74"/>
      <c r="E1228" s="74"/>
      <c r="F1228" s="74"/>
      <c r="G1228" s="74"/>
      <c r="H1228" s="74"/>
      <c r="I1228" s="74"/>
      <c r="J1228" s="74"/>
      <c r="K1228" s="74"/>
      <c r="L1228" s="74"/>
      <c r="M1228" s="74"/>
      <c r="N1228" s="74"/>
      <c r="O1228" s="75"/>
      <c r="P1228" s="74"/>
      <c r="Q1228" s="75"/>
      <c r="R1228" s="74"/>
      <c r="S1228" s="74"/>
      <c r="T1228" s="74"/>
      <c r="U1228" s="75"/>
      <c r="V1228" s="74"/>
      <c r="W1228" s="75"/>
      <c r="X1228" s="74"/>
      <c r="Y1228" s="74"/>
      <c r="Z1228" s="74"/>
      <c r="AA1228" s="74"/>
      <c r="AB1228" s="74"/>
      <c r="AC1228" s="74"/>
      <c r="AD1228" s="74"/>
      <c r="AE1228" s="74"/>
      <c r="AF1228" s="74"/>
      <c r="AG1228" s="74"/>
      <c r="AH1228" s="74"/>
    </row>
    <row r="1229" s="73" customFormat="1" spans="1:34">
      <c r="A1229" s="74"/>
      <c r="B1229" s="74"/>
      <c r="C1229" s="74"/>
      <c r="D1229" s="74"/>
      <c r="E1229" s="74"/>
      <c r="F1229" s="74"/>
      <c r="G1229" s="74"/>
      <c r="H1229" s="74"/>
      <c r="I1229" s="74"/>
      <c r="J1229" s="74"/>
      <c r="K1229" s="74"/>
      <c r="L1229" s="74"/>
      <c r="M1229" s="74"/>
      <c r="N1229" s="74"/>
      <c r="O1229" s="75"/>
      <c r="P1229" s="74"/>
      <c r="Q1229" s="75"/>
      <c r="R1229" s="74"/>
      <c r="S1229" s="74"/>
      <c r="T1229" s="74"/>
      <c r="U1229" s="75"/>
      <c r="V1229" s="74"/>
      <c r="W1229" s="75"/>
      <c r="X1229" s="74"/>
      <c r="Y1229" s="74"/>
      <c r="Z1229" s="74"/>
      <c r="AA1229" s="74"/>
      <c r="AB1229" s="74"/>
      <c r="AC1229" s="74"/>
      <c r="AD1229" s="74"/>
      <c r="AE1229" s="74"/>
      <c r="AF1229" s="74"/>
      <c r="AG1229" s="74"/>
      <c r="AH1229" s="74"/>
    </row>
    <row r="1230" s="73" customFormat="1" spans="1:34">
      <c r="A1230" s="74"/>
      <c r="B1230" s="74"/>
      <c r="C1230" s="74"/>
      <c r="D1230" s="74"/>
      <c r="E1230" s="74"/>
      <c r="F1230" s="74"/>
      <c r="G1230" s="74"/>
      <c r="H1230" s="74"/>
      <c r="I1230" s="74"/>
      <c r="J1230" s="74"/>
      <c r="K1230" s="74"/>
      <c r="L1230" s="74"/>
      <c r="M1230" s="74"/>
      <c r="N1230" s="74"/>
      <c r="O1230" s="75"/>
      <c r="P1230" s="74"/>
      <c r="Q1230" s="75"/>
      <c r="R1230" s="74"/>
      <c r="S1230" s="74"/>
      <c r="T1230" s="74"/>
      <c r="U1230" s="75"/>
      <c r="V1230" s="74"/>
      <c r="W1230" s="75"/>
      <c r="X1230" s="74"/>
      <c r="Y1230" s="74"/>
      <c r="Z1230" s="74"/>
      <c r="AA1230" s="74"/>
      <c r="AB1230" s="74"/>
      <c r="AC1230" s="74"/>
      <c r="AD1230" s="74"/>
      <c r="AE1230" s="74"/>
      <c r="AF1230" s="74"/>
      <c r="AG1230" s="74"/>
      <c r="AH1230" s="74"/>
    </row>
    <row r="1231" s="73" customFormat="1" spans="1:34">
      <c r="A1231" s="74"/>
      <c r="B1231" s="74"/>
      <c r="C1231" s="74"/>
      <c r="D1231" s="74"/>
      <c r="E1231" s="74"/>
      <c r="F1231" s="74"/>
      <c r="G1231" s="74"/>
      <c r="H1231" s="74"/>
      <c r="I1231" s="74"/>
      <c r="J1231" s="74"/>
      <c r="K1231" s="74"/>
      <c r="L1231" s="74"/>
      <c r="M1231" s="74"/>
      <c r="N1231" s="74"/>
      <c r="O1231" s="75"/>
      <c r="P1231" s="74"/>
      <c r="Q1231" s="75"/>
      <c r="R1231" s="74"/>
      <c r="S1231" s="74"/>
      <c r="T1231" s="74"/>
      <c r="U1231" s="75"/>
      <c r="V1231" s="74"/>
      <c r="W1231" s="75"/>
      <c r="X1231" s="74"/>
      <c r="Y1231" s="74"/>
      <c r="Z1231" s="74"/>
      <c r="AA1231" s="74"/>
      <c r="AB1231" s="74"/>
      <c r="AC1231" s="74"/>
      <c r="AD1231" s="74"/>
      <c r="AE1231" s="74"/>
      <c r="AF1231" s="74"/>
      <c r="AG1231" s="74"/>
      <c r="AH1231" s="74"/>
    </row>
    <row r="1232" s="73" customFormat="1" spans="1:34">
      <c r="A1232" s="74"/>
      <c r="B1232" s="74"/>
      <c r="C1232" s="74"/>
      <c r="D1232" s="74"/>
      <c r="E1232" s="74"/>
      <c r="F1232" s="74"/>
      <c r="G1232" s="74"/>
      <c r="H1232" s="74"/>
      <c r="I1232" s="74"/>
      <c r="J1232" s="74"/>
      <c r="K1232" s="74"/>
      <c r="L1232" s="74"/>
      <c r="M1232" s="74"/>
      <c r="N1232" s="74"/>
      <c r="O1232" s="75"/>
      <c r="P1232" s="74"/>
      <c r="Q1232" s="75"/>
      <c r="R1232" s="74"/>
      <c r="S1232" s="74"/>
      <c r="T1232" s="74"/>
      <c r="U1232" s="75"/>
      <c r="V1232" s="74"/>
      <c r="W1232" s="75"/>
      <c r="X1232" s="74"/>
      <c r="Y1232" s="74"/>
      <c r="Z1232" s="74"/>
      <c r="AA1232" s="74"/>
      <c r="AB1232" s="74"/>
      <c r="AC1232" s="74"/>
      <c r="AD1232" s="74"/>
      <c r="AE1232" s="74"/>
      <c r="AF1232" s="74"/>
      <c r="AG1232" s="74"/>
      <c r="AH1232" s="74"/>
    </row>
    <row r="1233" s="73" customFormat="1" spans="1:34">
      <c r="A1233" s="74"/>
      <c r="B1233" s="74"/>
      <c r="C1233" s="74"/>
      <c r="D1233" s="74"/>
      <c r="E1233" s="74"/>
      <c r="F1233" s="74"/>
      <c r="G1233" s="74"/>
      <c r="H1233" s="74"/>
      <c r="I1233" s="74"/>
      <c r="J1233" s="74"/>
      <c r="K1233" s="74"/>
      <c r="L1233" s="74"/>
      <c r="M1233" s="74"/>
      <c r="N1233" s="74"/>
      <c r="O1233" s="75"/>
      <c r="P1233" s="74"/>
      <c r="Q1233" s="75"/>
      <c r="R1233" s="74"/>
      <c r="S1233" s="74"/>
      <c r="T1233" s="74"/>
      <c r="U1233" s="75"/>
      <c r="V1233" s="74"/>
      <c r="W1233" s="75"/>
      <c r="X1233" s="74"/>
      <c r="Y1233" s="74"/>
      <c r="Z1233" s="74"/>
      <c r="AA1233" s="74"/>
      <c r="AB1233" s="74"/>
      <c r="AC1233" s="74"/>
      <c r="AD1233" s="74"/>
      <c r="AE1233" s="74"/>
      <c r="AF1233" s="74"/>
      <c r="AG1233" s="74"/>
      <c r="AH1233" s="74"/>
    </row>
    <row r="1234" s="73" customFormat="1" spans="1:34">
      <c r="A1234" s="74"/>
      <c r="B1234" s="74"/>
      <c r="C1234" s="74"/>
      <c r="D1234" s="74"/>
      <c r="E1234" s="74"/>
      <c r="F1234" s="74"/>
      <c r="G1234" s="74"/>
      <c r="H1234" s="74"/>
      <c r="I1234" s="74"/>
      <c r="J1234" s="74"/>
      <c r="K1234" s="74"/>
      <c r="L1234" s="74"/>
      <c r="M1234" s="74"/>
      <c r="N1234" s="74"/>
      <c r="O1234" s="75"/>
      <c r="P1234" s="74"/>
      <c r="Q1234" s="75"/>
      <c r="R1234" s="74"/>
      <c r="S1234" s="74"/>
      <c r="T1234" s="74"/>
      <c r="U1234" s="75"/>
      <c r="V1234" s="74"/>
      <c r="W1234" s="75"/>
      <c r="X1234" s="74"/>
      <c r="Y1234" s="74"/>
      <c r="Z1234" s="74"/>
      <c r="AA1234" s="74"/>
      <c r="AB1234" s="74"/>
      <c r="AC1234" s="74"/>
      <c r="AD1234" s="74"/>
      <c r="AE1234" s="74"/>
      <c r="AF1234" s="74"/>
      <c r="AG1234" s="74"/>
      <c r="AH1234" s="74"/>
    </row>
    <row r="1235" s="73" customFormat="1" spans="1:34">
      <c r="A1235" s="74"/>
      <c r="B1235" s="74"/>
      <c r="C1235" s="74"/>
      <c r="D1235" s="74"/>
      <c r="E1235" s="74"/>
      <c r="F1235" s="74"/>
      <c r="G1235" s="74"/>
      <c r="H1235" s="74"/>
      <c r="I1235" s="74"/>
      <c r="J1235" s="74"/>
      <c r="K1235" s="74"/>
      <c r="L1235" s="74"/>
      <c r="M1235" s="74"/>
      <c r="N1235" s="74"/>
      <c r="O1235" s="75"/>
      <c r="P1235" s="74"/>
      <c r="Q1235" s="75"/>
      <c r="R1235" s="74"/>
      <c r="S1235" s="74"/>
      <c r="T1235" s="74"/>
      <c r="U1235" s="75"/>
      <c r="V1235" s="74"/>
      <c r="W1235" s="75"/>
      <c r="X1235" s="74"/>
      <c r="Y1235" s="74"/>
      <c r="Z1235" s="74"/>
      <c r="AA1235" s="74"/>
      <c r="AB1235" s="74"/>
      <c r="AC1235" s="74"/>
      <c r="AD1235" s="74"/>
      <c r="AE1235" s="74"/>
      <c r="AF1235" s="74"/>
      <c r="AG1235" s="74"/>
      <c r="AH1235" s="74"/>
    </row>
    <row r="1236" s="73" customFormat="1" spans="1:34">
      <c r="A1236" s="74"/>
      <c r="B1236" s="74"/>
      <c r="C1236" s="74"/>
      <c r="D1236" s="74"/>
      <c r="E1236" s="74"/>
      <c r="F1236" s="74"/>
      <c r="G1236" s="74"/>
      <c r="H1236" s="74"/>
      <c r="I1236" s="74"/>
      <c r="J1236" s="74"/>
      <c r="K1236" s="74"/>
      <c r="L1236" s="74"/>
      <c r="M1236" s="74"/>
      <c r="N1236" s="74"/>
      <c r="O1236" s="75"/>
      <c r="P1236" s="74"/>
      <c r="Q1236" s="75"/>
      <c r="R1236" s="74"/>
      <c r="S1236" s="74"/>
      <c r="T1236" s="74"/>
      <c r="U1236" s="75"/>
      <c r="V1236" s="74"/>
      <c r="W1236" s="75"/>
      <c r="X1236" s="74"/>
      <c r="Y1236" s="74"/>
      <c r="Z1236" s="74"/>
      <c r="AA1236" s="74"/>
      <c r="AB1236" s="74"/>
      <c r="AC1236" s="74"/>
      <c r="AD1236" s="74"/>
      <c r="AE1236" s="74"/>
      <c r="AF1236" s="74"/>
      <c r="AG1236" s="74"/>
      <c r="AH1236" s="74"/>
    </row>
    <row r="1237" s="73" customFormat="1" spans="1:34">
      <c r="A1237" s="74"/>
      <c r="B1237" s="74"/>
      <c r="C1237" s="74"/>
      <c r="D1237" s="74"/>
      <c r="E1237" s="74"/>
      <c r="F1237" s="74"/>
      <c r="G1237" s="74"/>
      <c r="H1237" s="74"/>
      <c r="I1237" s="74"/>
      <c r="J1237" s="74"/>
      <c r="K1237" s="74"/>
      <c r="L1237" s="74"/>
      <c r="M1237" s="74"/>
      <c r="N1237" s="74"/>
      <c r="O1237" s="75"/>
      <c r="P1237" s="74"/>
      <c r="Q1237" s="75"/>
      <c r="R1237" s="74"/>
      <c r="S1237" s="74"/>
      <c r="T1237" s="74"/>
      <c r="U1237" s="75"/>
      <c r="V1237" s="74"/>
      <c r="W1237" s="75"/>
      <c r="X1237" s="74"/>
      <c r="Y1237" s="74"/>
      <c r="Z1237" s="74"/>
      <c r="AA1237" s="74"/>
      <c r="AB1237" s="74"/>
      <c r="AC1237" s="74"/>
      <c r="AD1237" s="74"/>
      <c r="AE1237" s="74"/>
      <c r="AF1237" s="74"/>
      <c r="AG1237" s="74"/>
      <c r="AH1237" s="74"/>
    </row>
    <row r="1238" s="73" customFormat="1" spans="1:34">
      <c r="A1238" s="74"/>
      <c r="B1238" s="74"/>
      <c r="C1238" s="74"/>
      <c r="D1238" s="74"/>
      <c r="E1238" s="74"/>
      <c r="F1238" s="74"/>
      <c r="G1238" s="74"/>
      <c r="H1238" s="74"/>
      <c r="I1238" s="74"/>
      <c r="J1238" s="74"/>
      <c r="K1238" s="74"/>
      <c r="L1238" s="74"/>
      <c r="M1238" s="74"/>
      <c r="N1238" s="74"/>
      <c r="O1238" s="75"/>
      <c r="P1238" s="74"/>
      <c r="Q1238" s="75"/>
      <c r="R1238" s="74"/>
      <c r="S1238" s="74"/>
      <c r="T1238" s="74"/>
      <c r="U1238" s="75"/>
      <c r="V1238" s="74"/>
      <c r="W1238" s="75"/>
      <c r="X1238" s="74"/>
      <c r="Y1238" s="74"/>
      <c r="Z1238" s="74"/>
      <c r="AA1238" s="74"/>
      <c r="AB1238" s="74"/>
      <c r="AC1238" s="74"/>
      <c r="AD1238" s="74"/>
      <c r="AE1238" s="74"/>
      <c r="AF1238" s="74"/>
      <c r="AG1238" s="74"/>
      <c r="AH1238" s="74"/>
    </row>
    <row r="1239" s="73" customFormat="1" spans="1:34">
      <c r="A1239" s="74"/>
      <c r="B1239" s="74"/>
      <c r="C1239" s="74"/>
      <c r="D1239" s="74"/>
      <c r="E1239" s="74"/>
      <c r="F1239" s="74"/>
      <c r="G1239" s="74"/>
      <c r="H1239" s="74"/>
      <c r="I1239" s="74"/>
      <c r="J1239" s="74"/>
      <c r="K1239" s="74"/>
      <c r="L1239" s="74"/>
      <c r="M1239" s="74"/>
      <c r="N1239" s="74"/>
      <c r="O1239" s="75"/>
      <c r="P1239" s="74"/>
      <c r="Q1239" s="75"/>
      <c r="R1239" s="74"/>
      <c r="S1239" s="74"/>
      <c r="T1239" s="74"/>
      <c r="U1239" s="75"/>
      <c r="V1239" s="74"/>
      <c r="W1239" s="75"/>
      <c r="X1239" s="74"/>
      <c r="Y1239" s="74"/>
      <c r="Z1239" s="74"/>
      <c r="AA1239" s="74"/>
      <c r="AB1239" s="74"/>
      <c r="AC1239" s="74"/>
      <c r="AD1239" s="74"/>
      <c r="AE1239" s="74"/>
      <c r="AF1239" s="74"/>
      <c r="AG1239" s="74"/>
      <c r="AH1239" s="74"/>
    </row>
    <row r="1241" s="73" customFormat="1" spans="1:34">
      <c r="A1241" s="74"/>
      <c r="B1241" s="74"/>
      <c r="C1241" s="74"/>
      <c r="D1241" s="74"/>
      <c r="E1241" s="74"/>
      <c r="F1241" s="74"/>
      <c r="G1241" s="74"/>
      <c r="H1241" s="74"/>
      <c r="I1241" s="74"/>
      <c r="J1241" s="74"/>
      <c r="K1241" s="74"/>
      <c r="L1241" s="74"/>
      <c r="M1241" s="74"/>
      <c r="N1241" s="74"/>
      <c r="O1241" s="75"/>
      <c r="P1241" s="74"/>
      <c r="Q1241" s="75"/>
      <c r="R1241" s="74"/>
      <c r="S1241" s="74"/>
      <c r="T1241" s="74"/>
      <c r="U1241" s="75"/>
      <c r="V1241" s="74"/>
      <c r="W1241" s="75"/>
      <c r="X1241" s="74"/>
      <c r="Y1241" s="74"/>
      <c r="Z1241" s="74"/>
      <c r="AA1241" s="74"/>
      <c r="AB1241" s="74"/>
      <c r="AC1241" s="74"/>
      <c r="AD1241" s="74"/>
      <c r="AE1241" s="74"/>
      <c r="AF1241" s="74"/>
      <c r="AG1241" s="74"/>
      <c r="AH1241" s="74"/>
    </row>
    <row r="1242" s="73" customFormat="1" spans="1:34">
      <c r="A1242" s="74"/>
      <c r="B1242" s="74"/>
      <c r="C1242" s="74"/>
      <c r="D1242" s="74"/>
      <c r="E1242" s="74"/>
      <c r="F1242" s="74"/>
      <c r="G1242" s="74"/>
      <c r="H1242" s="74"/>
      <c r="I1242" s="74"/>
      <c r="J1242" s="74"/>
      <c r="K1242" s="74"/>
      <c r="L1242" s="74"/>
      <c r="M1242" s="74"/>
      <c r="N1242" s="74"/>
      <c r="O1242" s="75"/>
      <c r="P1242" s="74"/>
      <c r="Q1242" s="75"/>
      <c r="R1242" s="74"/>
      <c r="S1242" s="74"/>
      <c r="T1242" s="74"/>
      <c r="U1242" s="75"/>
      <c r="V1242" s="74"/>
      <c r="W1242" s="75"/>
      <c r="X1242" s="74"/>
      <c r="Y1242" s="74"/>
      <c r="Z1242" s="74"/>
      <c r="AA1242" s="74"/>
      <c r="AB1242" s="74"/>
      <c r="AC1242" s="74"/>
      <c r="AD1242" s="74"/>
      <c r="AE1242" s="74"/>
      <c r="AF1242" s="74"/>
      <c r="AG1242" s="74"/>
      <c r="AH1242" s="74"/>
    </row>
    <row r="1243" s="73" customFormat="1" spans="1:34">
      <c r="A1243" s="74"/>
      <c r="B1243" s="74"/>
      <c r="C1243" s="74"/>
      <c r="D1243" s="74"/>
      <c r="E1243" s="74"/>
      <c r="F1243" s="74"/>
      <c r="G1243" s="74"/>
      <c r="H1243" s="74"/>
      <c r="I1243" s="74"/>
      <c r="J1243" s="74"/>
      <c r="K1243" s="74"/>
      <c r="L1243" s="74"/>
      <c r="M1243" s="74"/>
      <c r="N1243" s="74"/>
      <c r="O1243" s="75"/>
      <c r="P1243" s="74"/>
      <c r="Q1243" s="75"/>
      <c r="R1243" s="74"/>
      <c r="S1243" s="74"/>
      <c r="T1243" s="74"/>
      <c r="U1243" s="75"/>
      <c r="V1243" s="74"/>
      <c r="W1243" s="75"/>
      <c r="X1243" s="74"/>
      <c r="Y1243" s="74"/>
      <c r="Z1243" s="74"/>
      <c r="AA1243" s="74"/>
      <c r="AB1243" s="74"/>
      <c r="AC1243" s="74"/>
      <c r="AD1243" s="74"/>
      <c r="AE1243" s="74"/>
      <c r="AF1243" s="74"/>
      <c r="AG1243" s="74"/>
      <c r="AH1243" s="74"/>
    </row>
    <row r="1244" s="73" customFormat="1" spans="1:34">
      <c r="A1244" s="74"/>
      <c r="B1244" s="74"/>
      <c r="C1244" s="74"/>
      <c r="D1244" s="74"/>
      <c r="E1244" s="74"/>
      <c r="F1244" s="74"/>
      <c r="G1244" s="74"/>
      <c r="H1244" s="74"/>
      <c r="I1244" s="74"/>
      <c r="J1244" s="74"/>
      <c r="K1244" s="74"/>
      <c r="L1244" s="74"/>
      <c r="M1244" s="74"/>
      <c r="N1244" s="74"/>
      <c r="O1244" s="75"/>
      <c r="P1244" s="74"/>
      <c r="Q1244" s="75"/>
      <c r="R1244" s="74"/>
      <c r="S1244" s="74"/>
      <c r="T1244" s="74"/>
      <c r="U1244" s="75"/>
      <c r="V1244" s="74"/>
      <c r="W1244" s="75"/>
      <c r="X1244" s="74"/>
      <c r="Y1244" s="74"/>
      <c r="Z1244" s="74"/>
      <c r="AA1244" s="74"/>
      <c r="AB1244" s="74"/>
      <c r="AC1244" s="74"/>
      <c r="AD1244" s="74"/>
      <c r="AE1244" s="74"/>
      <c r="AF1244" s="74"/>
      <c r="AG1244" s="74"/>
      <c r="AH1244" s="74"/>
    </row>
    <row r="1245" s="73" customFormat="1" spans="1:34">
      <c r="A1245" s="74"/>
      <c r="B1245" s="74"/>
      <c r="C1245" s="74"/>
      <c r="D1245" s="74"/>
      <c r="E1245" s="74"/>
      <c r="F1245" s="74"/>
      <c r="G1245" s="74"/>
      <c r="H1245" s="74"/>
      <c r="I1245" s="74"/>
      <c r="J1245" s="74"/>
      <c r="K1245" s="74"/>
      <c r="L1245" s="74"/>
      <c r="M1245" s="74"/>
      <c r="N1245" s="74"/>
      <c r="O1245" s="75"/>
      <c r="P1245" s="74"/>
      <c r="Q1245" s="75"/>
      <c r="R1245" s="74"/>
      <c r="S1245" s="74"/>
      <c r="T1245" s="74"/>
      <c r="U1245" s="75"/>
      <c r="V1245" s="74"/>
      <c r="W1245" s="75"/>
      <c r="X1245" s="74"/>
      <c r="Y1245" s="74"/>
      <c r="Z1245" s="74"/>
      <c r="AA1245" s="74"/>
      <c r="AB1245" s="74"/>
      <c r="AC1245" s="74"/>
      <c r="AD1245" s="74"/>
      <c r="AE1245" s="74"/>
      <c r="AF1245" s="74"/>
      <c r="AG1245" s="74"/>
      <c r="AH1245" s="74"/>
    </row>
    <row r="1246" s="73" customFormat="1" spans="1:34">
      <c r="A1246" s="74"/>
      <c r="B1246" s="74"/>
      <c r="C1246" s="74"/>
      <c r="D1246" s="74"/>
      <c r="E1246" s="74"/>
      <c r="F1246" s="74"/>
      <c r="G1246" s="74"/>
      <c r="H1246" s="74"/>
      <c r="I1246" s="74"/>
      <c r="J1246" s="74"/>
      <c r="K1246" s="74"/>
      <c r="L1246" s="74"/>
      <c r="M1246" s="74"/>
      <c r="N1246" s="74"/>
      <c r="O1246" s="75"/>
      <c r="P1246" s="74"/>
      <c r="Q1246" s="75"/>
      <c r="R1246" s="74"/>
      <c r="S1246" s="74"/>
      <c r="T1246" s="74"/>
      <c r="U1246" s="75"/>
      <c r="V1246" s="74"/>
      <c r="W1246" s="75"/>
      <c r="X1246" s="74"/>
      <c r="Y1246" s="74"/>
      <c r="Z1246" s="74"/>
      <c r="AA1246" s="74"/>
      <c r="AB1246" s="74"/>
      <c r="AC1246" s="74"/>
      <c r="AD1246" s="74"/>
      <c r="AE1246" s="74"/>
      <c r="AF1246" s="74"/>
      <c r="AG1246" s="74"/>
      <c r="AH1246" s="74"/>
    </row>
    <row r="1247" s="73" customFormat="1" spans="1:34">
      <c r="A1247" s="74"/>
      <c r="B1247" s="74"/>
      <c r="C1247" s="74"/>
      <c r="D1247" s="74"/>
      <c r="E1247" s="74"/>
      <c r="F1247" s="74"/>
      <c r="G1247" s="74"/>
      <c r="H1247" s="74"/>
      <c r="I1247" s="74"/>
      <c r="J1247" s="74"/>
      <c r="K1247" s="74"/>
      <c r="L1247" s="74"/>
      <c r="M1247" s="74"/>
      <c r="N1247" s="74"/>
      <c r="O1247" s="75"/>
      <c r="P1247" s="74"/>
      <c r="Q1247" s="75"/>
      <c r="R1247" s="74"/>
      <c r="S1247" s="74"/>
      <c r="T1247" s="74"/>
      <c r="U1247" s="75"/>
      <c r="V1247" s="74"/>
      <c r="W1247" s="75"/>
      <c r="X1247" s="74"/>
      <c r="Y1247" s="74"/>
      <c r="Z1247" s="74"/>
      <c r="AA1247" s="74"/>
      <c r="AB1247" s="74"/>
      <c r="AC1247" s="74"/>
      <c r="AD1247" s="74"/>
      <c r="AE1247" s="74"/>
      <c r="AF1247" s="74"/>
      <c r="AG1247" s="74"/>
      <c r="AH1247" s="74"/>
    </row>
    <row r="1248" s="73" customFormat="1" spans="1:34">
      <c r="A1248" s="74"/>
      <c r="B1248" s="74"/>
      <c r="C1248" s="74"/>
      <c r="D1248" s="74"/>
      <c r="E1248" s="74"/>
      <c r="F1248" s="74"/>
      <c r="G1248" s="74"/>
      <c r="H1248" s="74"/>
      <c r="I1248" s="74"/>
      <c r="J1248" s="74"/>
      <c r="K1248" s="74"/>
      <c r="L1248" s="74"/>
      <c r="M1248" s="74"/>
      <c r="N1248" s="74"/>
      <c r="O1248" s="75"/>
      <c r="P1248" s="74"/>
      <c r="Q1248" s="75"/>
      <c r="R1248" s="74"/>
      <c r="S1248" s="74"/>
      <c r="T1248" s="74"/>
      <c r="U1248" s="75"/>
      <c r="V1248" s="74"/>
      <c r="W1248" s="75"/>
      <c r="X1248" s="74"/>
      <c r="Y1248" s="74"/>
      <c r="Z1248" s="74"/>
      <c r="AA1248" s="74"/>
      <c r="AB1248" s="74"/>
      <c r="AC1248" s="74"/>
      <c r="AD1248" s="74"/>
      <c r="AE1248" s="74"/>
      <c r="AF1248" s="74"/>
      <c r="AG1248" s="74"/>
      <c r="AH1248" s="74"/>
    </row>
    <row r="1249" s="73" customFormat="1" spans="1:34">
      <c r="A1249" s="74"/>
      <c r="B1249" s="74"/>
      <c r="C1249" s="74"/>
      <c r="D1249" s="74"/>
      <c r="E1249" s="74"/>
      <c r="F1249" s="74"/>
      <c r="G1249" s="74"/>
      <c r="H1249" s="74"/>
      <c r="I1249" s="74"/>
      <c r="J1249" s="74"/>
      <c r="K1249" s="74"/>
      <c r="L1249" s="74"/>
      <c r="M1249" s="74"/>
      <c r="N1249" s="74"/>
      <c r="O1249" s="75"/>
      <c r="P1249" s="74"/>
      <c r="Q1249" s="75"/>
      <c r="R1249" s="74"/>
      <c r="S1249" s="74"/>
      <c r="T1249" s="74"/>
      <c r="U1249" s="75"/>
      <c r="V1249" s="74"/>
      <c r="W1249" s="75"/>
      <c r="X1249" s="74"/>
      <c r="Y1249" s="74"/>
      <c r="Z1249" s="74"/>
      <c r="AA1249" s="74"/>
      <c r="AB1249" s="74"/>
      <c r="AC1249" s="74"/>
      <c r="AD1249" s="74"/>
      <c r="AE1249" s="74"/>
      <c r="AF1249" s="74"/>
      <c r="AG1249" s="74"/>
      <c r="AH1249" s="74"/>
    </row>
    <row r="1250" s="73" customFormat="1" spans="1:34">
      <c r="A1250" s="74"/>
      <c r="B1250" s="74"/>
      <c r="C1250" s="74"/>
      <c r="D1250" s="74"/>
      <c r="E1250" s="74"/>
      <c r="F1250" s="74"/>
      <c r="G1250" s="74"/>
      <c r="H1250" s="74"/>
      <c r="I1250" s="74"/>
      <c r="J1250" s="74"/>
      <c r="K1250" s="74"/>
      <c r="L1250" s="74"/>
      <c r="M1250" s="74"/>
      <c r="N1250" s="74"/>
      <c r="O1250" s="75"/>
      <c r="P1250" s="74"/>
      <c r="Q1250" s="75"/>
      <c r="R1250" s="74"/>
      <c r="S1250" s="74"/>
      <c r="T1250" s="74"/>
      <c r="U1250" s="75"/>
      <c r="V1250" s="74"/>
      <c r="W1250" s="75"/>
      <c r="X1250" s="74"/>
      <c r="Y1250" s="74"/>
      <c r="Z1250" s="74"/>
      <c r="AA1250" s="74"/>
      <c r="AB1250" s="74"/>
      <c r="AC1250" s="74"/>
      <c r="AD1250" s="74"/>
      <c r="AE1250" s="74"/>
      <c r="AF1250" s="74"/>
      <c r="AG1250" s="74"/>
      <c r="AH1250" s="74"/>
    </row>
    <row r="1251" s="73" customFormat="1" spans="1:34">
      <c r="A1251" s="74"/>
      <c r="B1251" s="74"/>
      <c r="C1251" s="74"/>
      <c r="D1251" s="74"/>
      <c r="E1251" s="74"/>
      <c r="F1251" s="74"/>
      <c r="G1251" s="74"/>
      <c r="H1251" s="74"/>
      <c r="I1251" s="74"/>
      <c r="J1251" s="74"/>
      <c r="K1251" s="74"/>
      <c r="L1251" s="74"/>
      <c r="M1251" s="74"/>
      <c r="N1251" s="74"/>
      <c r="O1251" s="75"/>
      <c r="P1251" s="74"/>
      <c r="Q1251" s="75"/>
      <c r="R1251" s="74"/>
      <c r="S1251" s="74"/>
      <c r="T1251" s="74"/>
      <c r="U1251" s="75"/>
      <c r="V1251" s="74"/>
      <c r="W1251" s="75"/>
      <c r="X1251" s="74"/>
      <c r="Y1251" s="74"/>
      <c r="Z1251" s="74"/>
      <c r="AA1251" s="74"/>
      <c r="AB1251" s="74"/>
      <c r="AC1251" s="74"/>
      <c r="AD1251" s="74"/>
      <c r="AE1251" s="74"/>
      <c r="AF1251" s="74"/>
      <c r="AG1251" s="74"/>
      <c r="AH1251" s="74"/>
    </row>
    <row r="1252" s="73" customFormat="1" spans="1:34">
      <c r="A1252" s="74"/>
      <c r="B1252" s="74"/>
      <c r="C1252" s="74"/>
      <c r="D1252" s="74"/>
      <c r="E1252" s="74"/>
      <c r="F1252" s="74"/>
      <c r="G1252" s="74"/>
      <c r="H1252" s="74"/>
      <c r="I1252" s="74"/>
      <c r="J1252" s="74"/>
      <c r="K1252" s="74"/>
      <c r="L1252" s="74"/>
      <c r="M1252" s="74"/>
      <c r="N1252" s="74"/>
      <c r="O1252" s="75"/>
      <c r="P1252" s="74"/>
      <c r="Q1252" s="75"/>
      <c r="R1252" s="74"/>
      <c r="S1252" s="74"/>
      <c r="T1252" s="74"/>
      <c r="U1252" s="75"/>
      <c r="V1252" s="74"/>
      <c r="W1252" s="75"/>
      <c r="X1252" s="74"/>
      <c r="Y1252" s="74"/>
      <c r="Z1252" s="74"/>
      <c r="AA1252" s="74"/>
      <c r="AB1252" s="74"/>
      <c r="AC1252" s="74"/>
      <c r="AD1252" s="74"/>
      <c r="AE1252" s="74"/>
      <c r="AF1252" s="74"/>
      <c r="AG1252" s="74"/>
      <c r="AH1252" s="74"/>
    </row>
    <row r="1253" s="73" customFormat="1" spans="1:34">
      <c r="A1253" s="74"/>
      <c r="B1253" s="74"/>
      <c r="C1253" s="74"/>
      <c r="D1253" s="74"/>
      <c r="E1253" s="74"/>
      <c r="F1253" s="74"/>
      <c r="G1253" s="74"/>
      <c r="H1253" s="74"/>
      <c r="I1253" s="74"/>
      <c r="J1253" s="74"/>
      <c r="K1253" s="74"/>
      <c r="L1253" s="74"/>
      <c r="M1253" s="74"/>
      <c r="N1253" s="74"/>
      <c r="O1253" s="75"/>
      <c r="P1253" s="74"/>
      <c r="Q1253" s="75"/>
      <c r="R1253" s="74"/>
      <c r="S1253" s="74"/>
      <c r="T1253" s="74"/>
      <c r="U1253" s="75"/>
      <c r="V1253" s="74"/>
      <c r="W1253" s="75"/>
      <c r="X1253" s="74"/>
      <c r="Y1253" s="74"/>
      <c r="Z1253" s="74"/>
      <c r="AA1253" s="74"/>
      <c r="AB1253" s="74"/>
      <c r="AC1253" s="74"/>
      <c r="AD1253" s="74"/>
      <c r="AE1253" s="74"/>
      <c r="AF1253" s="74"/>
      <c r="AG1253" s="74"/>
      <c r="AH1253" s="74"/>
    </row>
    <row r="1254" s="73" customFormat="1" spans="1:34">
      <c r="A1254" s="74"/>
      <c r="B1254" s="74"/>
      <c r="C1254" s="74"/>
      <c r="D1254" s="74"/>
      <c r="E1254" s="74"/>
      <c r="F1254" s="74"/>
      <c r="G1254" s="74"/>
      <c r="H1254" s="74"/>
      <c r="I1254" s="74"/>
      <c r="J1254" s="74"/>
      <c r="K1254" s="74"/>
      <c r="L1254" s="74"/>
      <c r="M1254" s="74"/>
      <c r="N1254" s="74"/>
      <c r="O1254" s="75"/>
      <c r="P1254" s="74"/>
      <c r="Q1254" s="75"/>
      <c r="R1254" s="74"/>
      <c r="S1254" s="74"/>
      <c r="T1254" s="74"/>
      <c r="U1254" s="75"/>
      <c r="V1254" s="74"/>
      <c r="W1254" s="75"/>
      <c r="X1254" s="74"/>
      <c r="Y1254" s="74"/>
      <c r="Z1254" s="74"/>
      <c r="AA1254" s="74"/>
      <c r="AB1254" s="74"/>
      <c r="AC1254" s="74"/>
      <c r="AD1254" s="74"/>
      <c r="AE1254" s="74"/>
      <c r="AF1254" s="74"/>
      <c r="AG1254" s="74"/>
      <c r="AH1254" s="74"/>
    </row>
    <row r="1255" s="73" customFormat="1" spans="1:34">
      <c r="A1255" s="74"/>
      <c r="B1255" s="74"/>
      <c r="C1255" s="74"/>
      <c r="D1255" s="74"/>
      <c r="E1255" s="74"/>
      <c r="F1255" s="74"/>
      <c r="G1255" s="74"/>
      <c r="H1255" s="74"/>
      <c r="I1255" s="74"/>
      <c r="J1255" s="74"/>
      <c r="K1255" s="74"/>
      <c r="L1255" s="74"/>
      <c r="M1255" s="74"/>
      <c r="N1255" s="74"/>
      <c r="O1255" s="75"/>
      <c r="P1255" s="74"/>
      <c r="Q1255" s="75"/>
      <c r="R1255" s="74"/>
      <c r="S1255" s="74"/>
      <c r="T1255" s="74"/>
      <c r="U1255" s="75"/>
      <c r="V1255" s="74"/>
      <c r="W1255" s="75"/>
      <c r="X1255" s="74"/>
      <c r="Y1255" s="74"/>
      <c r="Z1255" s="74"/>
      <c r="AA1255" s="74"/>
      <c r="AB1255" s="74"/>
      <c r="AC1255" s="74"/>
      <c r="AD1255" s="74"/>
      <c r="AE1255" s="74"/>
      <c r="AF1255" s="74"/>
      <c r="AG1255" s="74"/>
      <c r="AH1255" s="74"/>
    </row>
    <row r="1256" s="73" customFormat="1" spans="1:34">
      <c r="A1256" s="74"/>
      <c r="B1256" s="74"/>
      <c r="C1256" s="74"/>
      <c r="D1256" s="74"/>
      <c r="E1256" s="74"/>
      <c r="F1256" s="74"/>
      <c r="G1256" s="74"/>
      <c r="H1256" s="74"/>
      <c r="I1256" s="74"/>
      <c r="J1256" s="74"/>
      <c r="K1256" s="74"/>
      <c r="L1256" s="74"/>
      <c r="M1256" s="74"/>
      <c r="N1256" s="74"/>
      <c r="O1256" s="75"/>
      <c r="P1256" s="74"/>
      <c r="Q1256" s="75"/>
      <c r="R1256" s="74"/>
      <c r="S1256" s="74"/>
      <c r="T1256" s="74"/>
      <c r="U1256" s="75"/>
      <c r="V1256" s="74"/>
      <c r="W1256" s="75"/>
      <c r="X1256" s="74"/>
      <c r="Y1256" s="74"/>
      <c r="Z1256" s="74"/>
      <c r="AA1256" s="74"/>
      <c r="AB1256" s="74"/>
      <c r="AC1256" s="74"/>
      <c r="AD1256" s="74"/>
      <c r="AE1256" s="74"/>
      <c r="AF1256" s="74"/>
      <c r="AG1256" s="74"/>
      <c r="AH1256" s="74"/>
    </row>
    <row r="1257" s="73" customFormat="1" spans="1:34">
      <c r="A1257" s="74"/>
      <c r="B1257" s="74"/>
      <c r="C1257" s="74"/>
      <c r="D1257" s="74"/>
      <c r="E1257" s="74"/>
      <c r="F1257" s="74"/>
      <c r="G1257" s="74"/>
      <c r="H1257" s="74"/>
      <c r="I1257" s="74"/>
      <c r="J1257" s="74"/>
      <c r="K1257" s="74"/>
      <c r="L1257" s="74"/>
      <c r="M1257" s="74"/>
      <c r="N1257" s="74"/>
      <c r="O1257" s="75"/>
      <c r="P1257" s="74"/>
      <c r="Q1257" s="75"/>
      <c r="R1257" s="74"/>
      <c r="S1257" s="74"/>
      <c r="T1257" s="74"/>
      <c r="U1257" s="75"/>
      <c r="V1257" s="74"/>
      <c r="W1257" s="75"/>
      <c r="X1257" s="74"/>
      <c r="Y1257" s="74"/>
      <c r="Z1257" s="74"/>
      <c r="AA1257" s="74"/>
      <c r="AB1257" s="74"/>
      <c r="AC1257" s="74"/>
      <c r="AD1257" s="74"/>
      <c r="AE1257" s="74"/>
      <c r="AF1257" s="74"/>
      <c r="AG1257" s="74"/>
      <c r="AH1257" s="74"/>
    </row>
    <row r="1258" s="73" customFormat="1" spans="1:34">
      <c r="A1258" s="74"/>
      <c r="B1258" s="74"/>
      <c r="C1258" s="74"/>
      <c r="D1258" s="74"/>
      <c r="E1258" s="74"/>
      <c r="F1258" s="74"/>
      <c r="G1258" s="74"/>
      <c r="H1258" s="74"/>
      <c r="I1258" s="74"/>
      <c r="J1258" s="74"/>
      <c r="K1258" s="74"/>
      <c r="L1258" s="74"/>
      <c r="M1258" s="74"/>
      <c r="N1258" s="74"/>
      <c r="O1258" s="75"/>
      <c r="P1258" s="74"/>
      <c r="Q1258" s="75"/>
      <c r="R1258" s="74"/>
      <c r="S1258" s="74"/>
      <c r="T1258" s="74"/>
      <c r="U1258" s="75"/>
      <c r="V1258" s="74"/>
      <c r="W1258" s="75"/>
      <c r="X1258" s="74"/>
      <c r="Y1258" s="74"/>
      <c r="Z1258" s="74"/>
      <c r="AA1258" s="74"/>
      <c r="AB1258" s="74"/>
      <c r="AC1258" s="74"/>
      <c r="AD1258" s="74"/>
      <c r="AE1258" s="74"/>
      <c r="AF1258" s="74"/>
      <c r="AG1258" s="74"/>
      <c r="AH1258" s="74"/>
    </row>
    <row r="1259" s="73" customFormat="1" spans="1:34">
      <c r="A1259" s="74"/>
      <c r="B1259" s="74"/>
      <c r="C1259" s="74"/>
      <c r="D1259" s="74"/>
      <c r="E1259" s="74"/>
      <c r="F1259" s="74"/>
      <c r="G1259" s="74"/>
      <c r="H1259" s="74"/>
      <c r="I1259" s="74"/>
      <c r="J1259" s="74"/>
      <c r="K1259" s="74"/>
      <c r="L1259" s="74"/>
      <c r="M1259" s="74"/>
      <c r="N1259" s="74"/>
      <c r="O1259" s="75"/>
      <c r="P1259" s="74"/>
      <c r="Q1259" s="75"/>
      <c r="R1259" s="74"/>
      <c r="S1259" s="74"/>
      <c r="T1259" s="74"/>
      <c r="U1259" s="75"/>
      <c r="V1259" s="74"/>
      <c r="W1259" s="75"/>
      <c r="X1259" s="74"/>
      <c r="Y1259" s="74"/>
      <c r="Z1259" s="74"/>
      <c r="AA1259" s="74"/>
      <c r="AB1259" s="74"/>
      <c r="AC1259" s="74"/>
      <c r="AD1259" s="74"/>
      <c r="AE1259" s="74"/>
      <c r="AF1259" s="74"/>
      <c r="AG1259" s="74"/>
      <c r="AH1259" s="74"/>
    </row>
    <row r="1260" s="73" customFormat="1" spans="1:34">
      <c r="A1260" s="74"/>
      <c r="B1260" s="74"/>
      <c r="C1260" s="74"/>
      <c r="D1260" s="74"/>
      <c r="E1260" s="74"/>
      <c r="F1260" s="74"/>
      <c r="G1260" s="74"/>
      <c r="H1260" s="74"/>
      <c r="I1260" s="74"/>
      <c r="J1260" s="74"/>
      <c r="K1260" s="74"/>
      <c r="L1260" s="74"/>
      <c r="M1260" s="74"/>
      <c r="N1260" s="74"/>
      <c r="O1260" s="75"/>
      <c r="P1260" s="74"/>
      <c r="Q1260" s="75"/>
      <c r="R1260" s="74"/>
      <c r="S1260" s="74"/>
      <c r="T1260" s="74"/>
      <c r="U1260" s="75"/>
      <c r="V1260" s="74"/>
      <c r="W1260" s="75"/>
      <c r="X1260" s="74"/>
      <c r="Y1260" s="74"/>
      <c r="Z1260" s="74"/>
      <c r="AA1260" s="74"/>
      <c r="AB1260" s="74"/>
      <c r="AC1260" s="74"/>
      <c r="AD1260" s="74"/>
      <c r="AE1260" s="74"/>
      <c r="AF1260" s="74"/>
      <c r="AG1260" s="74"/>
      <c r="AH1260" s="74"/>
    </row>
    <row r="1261" s="73" customFormat="1" spans="1:34">
      <c r="A1261" s="74"/>
      <c r="B1261" s="74"/>
      <c r="C1261" s="74"/>
      <c r="D1261" s="74"/>
      <c r="E1261" s="74"/>
      <c r="F1261" s="74"/>
      <c r="G1261" s="74"/>
      <c r="H1261" s="74"/>
      <c r="I1261" s="74"/>
      <c r="J1261" s="74"/>
      <c r="K1261" s="74"/>
      <c r="L1261" s="74"/>
      <c r="M1261" s="74"/>
      <c r="N1261" s="74"/>
      <c r="O1261" s="75"/>
      <c r="P1261" s="74"/>
      <c r="Q1261" s="75"/>
      <c r="R1261" s="74"/>
      <c r="S1261" s="74"/>
      <c r="T1261" s="74"/>
      <c r="U1261" s="75"/>
      <c r="V1261" s="74"/>
      <c r="W1261" s="74"/>
      <c r="X1261" s="74"/>
      <c r="Y1261" s="74"/>
      <c r="Z1261" s="74"/>
      <c r="AA1261" s="74"/>
      <c r="AB1261" s="74"/>
      <c r="AC1261" s="74"/>
      <c r="AD1261" s="74"/>
      <c r="AE1261" s="74"/>
      <c r="AF1261" s="74"/>
      <c r="AG1261" s="74"/>
      <c r="AH1261" s="74"/>
    </row>
    <row r="1262" s="73" customFormat="1" spans="1:34">
      <c r="A1262" s="74"/>
      <c r="B1262" s="74"/>
      <c r="C1262" s="74"/>
      <c r="D1262" s="74"/>
      <c r="E1262" s="74"/>
      <c r="F1262" s="74"/>
      <c r="G1262" s="74"/>
      <c r="H1262" s="74"/>
      <c r="I1262" s="74"/>
      <c r="J1262" s="74"/>
      <c r="K1262" s="74"/>
      <c r="L1262" s="74"/>
      <c r="M1262" s="74"/>
      <c r="N1262" s="74"/>
      <c r="O1262" s="75"/>
      <c r="P1262" s="74"/>
      <c r="Q1262" s="75"/>
      <c r="R1262" s="74"/>
      <c r="S1262" s="74"/>
      <c r="T1262" s="74"/>
      <c r="U1262" s="75"/>
      <c r="V1262" s="74"/>
      <c r="W1262" s="75"/>
      <c r="X1262" s="74"/>
      <c r="Y1262" s="74"/>
      <c r="Z1262" s="74"/>
      <c r="AA1262" s="74"/>
      <c r="AB1262" s="74"/>
      <c r="AC1262" s="74"/>
      <c r="AD1262" s="74"/>
      <c r="AE1262" s="74"/>
      <c r="AF1262" s="74"/>
      <c r="AG1262" s="74"/>
      <c r="AH1262" s="74"/>
    </row>
    <row r="1263" s="73" customFormat="1" spans="1:34">
      <c r="A1263" s="74"/>
      <c r="B1263" s="74"/>
      <c r="C1263" s="74"/>
      <c r="D1263" s="74"/>
      <c r="E1263" s="74"/>
      <c r="F1263" s="74"/>
      <c r="G1263" s="74"/>
      <c r="H1263" s="74"/>
      <c r="I1263" s="74"/>
      <c r="J1263" s="74"/>
      <c r="K1263" s="74"/>
      <c r="L1263" s="74"/>
      <c r="M1263" s="74"/>
      <c r="N1263" s="74"/>
      <c r="O1263" s="75"/>
      <c r="P1263" s="74"/>
      <c r="Q1263" s="75"/>
      <c r="R1263" s="74"/>
      <c r="S1263" s="74"/>
      <c r="T1263" s="74"/>
      <c r="U1263" s="75"/>
      <c r="V1263" s="74"/>
      <c r="W1263" s="75"/>
      <c r="X1263" s="74"/>
      <c r="Y1263" s="74"/>
      <c r="Z1263" s="74"/>
      <c r="AA1263" s="74"/>
      <c r="AB1263" s="74"/>
      <c r="AC1263" s="74"/>
      <c r="AD1263" s="74"/>
      <c r="AE1263" s="74"/>
      <c r="AF1263" s="74"/>
      <c r="AG1263" s="74"/>
      <c r="AH1263" s="74"/>
    </row>
    <row r="1264" s="73" customFormat="1" spans="1:34">
      <c r="A1264" s="74"/>
      <c r="B1264" s="74"/>
      <c r="C1264" s="74"/>
      <c r="D1264" s="74"/>
      <c r="E1264" s="74"/>
      <c r="F1264" s="74"/>
      <c r="G1264" s="74"/>
      <c r="H1264" s="74"/>
      <c r="I1264" s="74"/>
      <c r="J1264" s="74"/>
      <c r="K1264" s="74"/>
      <c r="L1264" s="74"/>
      <c r="M1264" s="74"/>
      <c r="N1264" s="74"/>
      <c r="O1264" s="75"/>
      <c r="P1264" s="74"/>
      <c r="Q1264" s="75"/>
      <c r="R1264" s="74"/>
      <c r="S1264" s="74"/>
      <c r="T1264" s="74"/>
      <c r="U1264" s="75"/>
      <c r="V1264" s="74"/>
      <c r="W1264" s="75"/>
      <c r="X1264" s="74"/>
      <c r="Y1264" s="74"/>
      <c r="Z1264" s="74"/>
      <c r="AA1264" s="74"/>
      <c r="AB1264" s="74"/>
      <c r="AC1264" s="74"/>
      <c r="AD1264" s="74"/>
      <c r="AE1264" s="74"/>
      <c r="AF1264" s="74"/>
      <c r="AG1264" s="74"/>
      <c r="AH1264" s="74"/>
    </row>
    <row r="1265" s="73" customFormat="1" spans="1:34">
      <c r="A1265" s="74"/>
      <c r="B1265" s="74"/>
      <c r="C1265" s="74"/>
      <c r="D1265" s="74"/>
      <c r="E1265" s="74"/>
      <c r="F1265" s="74"/>
      <c r="G1265" s="74"/>
      <c r="H1265" s="74"/>
      <c r="I1265" s="74"/>
      <c r="J1265" s="74"/>
      <c r="K1265" s="74"/>
      <c r="L1265" s="74"/>
      <c r="M1265" s="74"/>
      <c r="N1265" s="74"/>
      <c r="O1265" s="75"/>
      <c r="P1265" s="74"/>
      <c r="Q1265" s="75"/>
      <c r="R1265" s="74"/>
      <c r="S1265" s="74"/>
      <c r="T1265" s="74"/>
      <c r="U1265" s="75"/>
      <c r="V1265" s="74"/>
      <c r="W1265" s="75"/>
      <c r="X1265" s="74"/>
      <c r="Y1265" s="74"/>
      <c r="Z1265" s="74"/>
      <c r="AA1265" s="74"/>
      <c r="AB1265" s="74"/>
      <c r="AC1265" s="74"/>
      <c r="AD1265" s="74"/>
      <c r="AE1265" s="74"/>
      <c r="AF1265" s="74"/>
      <c r="AG1265" s="74"/>
      <c r="AH1265" s="74"/>
    </row>
    <row r="1266" s="73" customFormat="1" spans="1:34">
      <c r="A1266" s="74"/>
      <c r="B1266" s="74"/>
      <c r="C1266" s="74"/>
      <c r="D1266" s="74"/>
      <c r="E1266" s="74"/>
      <c r="F1266" s="74"/>
      <c r="G1266" s="74"/>
      <c r="H1266" s="74"/>
      <c r="I1266" s="74"/>
      <c r="J1266" s="74"/>
      <c r="K1266" s="74"/>
      <c r="L1266" s="74"/>
      <c r="M1266" s="74"/>
      <c r="N1266" s="74"/>
      <c r="O1266" s="75"/>
      <c r="P1266" s="74"/>
      <c r="Q1266" s="75"/>
      <c r="R1266" s="74"/>
      <c r="S1266" s="74"/>
      <c r="T1266" s="74"/>
      <c r="U1266" s="75"/>
      <c r="V1266" s="74"/>
      <c r="W1266" s="74"/>
      <c r="X1266" s="74"/>
      <c r="Y1266" s="74"/>
      <c r="Z1266" s="74"/>
      <c r="AA1266" s="74"/>
      <c r="AB1266" s="74"/>
      <c r="AC1266" s="74"/>
      <c r="AD1266" s="74"/>
      <c r="AE1266" s="74"/>
      <c r="AF1266" s="74"/>
      <c r="AG1266" s="74"/>
      <c r="AH1266" s="74"/>
    </row>
    <row r="1267" s="73" customFormat="1" spans="1:34">
      <c r="A1267" s="74"/>
      <c r="B1267" s="74"/>
      <c r="C1267" s="74"/>
      <c r="D1267" s="74"/>
      <c r="E1267" s="74"/>
      <c r="F1267" s="74"/>
      <c r="G1267" s="74"/>
      <c r="H1267" s="74"/>
      <c r="I1267" s="74"/>
      <c r="J1267" s="74"/>
      <c r="K1267" s="74"/>
      <c r="L1267" s="74"/>
      <c r="M1267" s="74"/>
      <c r="N1267" s="74"/>
      <c r="O1267" s="75"/>
      <c r="P1267" s="74"/>
      <c r="Q1267" s="75"/>
      <c r="R1267" s="74"/>
      <c r="S1267" s="74"/>
      <c r="T1267" s="74"/>
      <c r="U1267" s="75"/>
      <c r="V1267" s="74"/>
      <c r="W1267" s="75"/>
      <c r="X1267" s="74"/>
      <c r="Y1267" s="74"/>
      <c r="Z1267" s="74"/>
      <c r="AA1267" s="74"/>
      <c r="AB1267" s="74"/>
      <c r="AC1267" s="74"/>
      <c r="AD1267" s="74"/>
      <c r="AE1267" s="74"/>
      <c r="AF1267" s="74"/>
      <c r="AG1267" s="74"/>
      <c r="AH1267" s="74"/>
    </row>
    <row r="1268" s="73" customFormat="1" spans="1:34">
      <c r="A1268" s="74"/>
      <c r="B1268" s="74"/>
      <c r="C1268" s="74"/>
      <c r="D1268" s="74"/>
      <c r="E1268" s="74"/>
      <c r="F1268" s="74"/>
      <c r="G1268" s="74"/>
      <c r="H1268" s="74"/>
      <c r="I1268" s="74"/>
      <c r="J1268" s="74"/>
      <c r="K1268" s="74"/>
      <c r="L1268" s="74"/>
      <c r="M1268" s="74"/>
      <c r="N1268" s="74"/>
      <c r="O1268" s="75"/>
      <c r="P1268" s="74"/>
      <c r="Q1268" s="75"/>
      <c r="R1268" s="74"/>
      <c r="S1268" s="74"/>
      <c r="T1268" s="74"/>
      <c r="U1268" s="75"/>
      <c r="V1268" s="74"/>
      <c r="W1268" s="75"/>
      <c r="X1268" s="74"/>
      <c r="Y1268" s="74"/>
      <c r="Z1268" s="74"/>
      <c r="AA1268" s="74"/>
      <c r="AB1268" s="74"/>
      <c r="AC1268" s="74"/>
      <c r="AD1268" s="74"/>
      <c r="AE1268" s="74"/>
      <c r="AF1268" s="74"/>
      <c r="AG1268" s="74"/>
      <c r="AH1268" s="74"/>
    </row>
    <row r="1270" s="73" customFormat="1" spans="1:34">
      <c r="A1270" s="74"/>
      <c r="B1270" s="74"/>
      <c r="C1270" s="74"/>
      <c r="D1270" s="74"/>
      <c r="E1270" s="74"/>
      <c r="F1270" s="74"/>
      <c r="G1270" s="74"/>
      <c r="H1270" s="74"/>
      <c r="I1270" s="74"/>
      <c r="J1270" s="74"/>
      <c r="K1270" s="74"/>
      <c r="L1270" s="74"/>
      <c r="M1270" s="74"/>
      <c r="N1270" s="74"/>
      <c r="O1270" s="75"/>
      <c r="P1270" s="74"/>
      <c r="Q1270" s="75"/>
      <c r="R1270" s="74"/>
      <c r="S1270" s="74"/>
      <c r="T1270" s="74"/>
      <c r="U1270" s="75"/>
      <c r="V1270" s="74"/>
      <c r="W1270" s="75"/>
      <c r="X1270" s="74"/>
      <c r="Y1270" s="74"/>
      <c r="Z1270" s="74"/>
      <c r="AA1270" s="74"/>
      <c r="AB1270" s="74"/>
      <c r="AC1270" s="74"/>
      <c r="AD1270" s="74"/>
      <c r="AE1270" s="74"/>
      <c r="AF1270" s="74"/>
      <c r="AG1270" s="74"/>
      <c r="AH1270" s="74"/>
    </row>
    <row r="1271" s="73" customFormat="1" spans="1:34">
      <c r="A1271" s="74"/>
      <c r="B1271" s="74"/>
      <c r="C1271" s="74"/>
      <c r="D1271" s="74"/>
      <c r="E1271" s="74"/>
      <c r="F1271" s="74"/>
      <c r="G1271" s="74"/>
      <c r="H1271" s="74"/>
      <c r="I1271" s="74"/>
      <c r="J1271" s="74"/>
      <c r="K1271" s="74"/>
      <c r="L1271" s="74"/>
      <c r="M1271" s="74"/>
      <c r="N1271" s="74"/>
      <c r="O1271" s="75"/>
      <c r="P1271" s="74"/>
      <c r="Q1271" s="75"/>
      <c r="R1271" s="74"/>
      <c r="S1271" s="74"/>
      <c r="T1271" s="74"/>
      <c r="U1271" s="75"/>
      <c r="V1271" s="74"/>
      <c r="W1271" s="75"/>
      <c r="X1271" s="74"/>
      <c r="Y1271" s="74"/>
      <c r="Z1271" s="74"/>
      <c r="AA1271" s="74"/>
      <c r="AB1271" s="74"/>
      <c r="AC1271" s="74"/>
      <c r="AD1271" s="74"/>
      <c r="AE1271" s="74"/>
      <c r="AF1271" s="74"/>
      <c r="AG1271" s="74"/>
      <c r="AH1271" s="74"/>
    </row>
    <row r="1272" s="73" customFormat="1" spans="1:34">
      <c r="A1272" s="74"/>
      <c r="B1272" s="74"/>
      <c r="C1272" s="74"/>
      <c r="D1272" s="74"/>
      <c r="E1272" s="74"/>
      <c r="F1272" s="74"/>
      <c r="G1272" s="74"/>
      <c r="H1272" s="74"/>
      <c r="I1272" s="74"/>
      <c r="J1272" s="74"/>
      <c r="K1272" s="74"/>
      <c r="L1272" s="74"/>
      <c r="M1272" s="74"/>
      <c r="N1272" s="74"/>
      <c r="O1272" s="75"/>
      <c r="P1272" s="74"/>
      <c r="Q1272" s="75"/>
      <c r="R1272" s="74"/>
      <c r="S1272" s="74"/>
      <c r="T1272" s="74"/>
      <c r="U1272" s="75"/>
      <c r="V1272" s="74"/>
      <c r="W1272" s="75"/>
      <c r="X1272" s="74"/>
      <c r="Y1272" s="74"/>
      <c r="Z1272" s="74"/>
      <c r="AA1272" s="74"/>
      <c r="AB1272" s="74"/>
      <c r="AC1272" s="74"/>
      <c r="AD1272" s="74"/>
      <c r="AE1272" s="74"/>
      <c r="AF1272" s="74"/>
      <c r="AG1272" s="74"/>
      <c r="AH1272" s="74"/>
    </row>
    <row r="1273" s="73" customFormat="1" spans="1:34">
      <c r="A1273" s="74"/>
      <c r="B1273" s="74"/>
      <c r="C1273" s="74"/>
      <c r="D1273" s="74"/>
      <c r="E1273" s="74"/>
      <c r="F1273" s="74"/>
      <c r="G1273" s="74"/>
      <c r="H1273" s="74"/>
      <c r="I1273" s="74"/>
      <c r="J1273" s="74"/>
      <c r="K1273" s="74"/>
      <c r="L1273" s="74"/>
      <c r="M1273" s="74"/>
      <c r="N1273" s="74"/>
      <c r="O1273" s="75"/>
      <c r="P1273" s="74"/>
      <c r="Q1273" s="75"/>
      <c r="R1273" s="74"/>
      <c r="S1273" s="74"/>
      <c r="T1273" s="74"/>
      <c r="U1273" s="75"/>
      <c r="V1273" s="74"/>
      <c r="W1273" s="75"/>
      <c r="X1273" s="74"/>
      <c r="Y1273" s="74"/>
      <c r="Z1273" s="74"/>
      <c r="AA1273" s="74"/>
      <c r="AB1273" s="74"/>
      <c r="AC1273" s="74"/>
      <c r="AD1273" s="74"/>
      <c r="AE1273" s="74"/>
      <c r="AF1273" s="74"/>
      <c r="AG1273" s="74"/>
      <c r="AH1273" s="74"/>
    </row>
    <row r="1274" s="73" customFormat="1" spans="1:34">
      <c r="A1274" s="74"/>
      <c r="B1274" s="74"/>
      <c r="C1274" s="74"/>
      <c r="D1274" s="74"/>
      <c r="E1274" s="74"/>
      <c r="F1274" s="74"/>
      <c r="G1274" s="74"/>
      <c r="H1274" s="74"/>
      <c r="I1274" s="74"/>
      <c r="J1274" s="74"/>
      <c r="K1274" s="74"/>
      <c r="L1274" s="74"/>
      <c r="M1274" s="74"/>
      <c r="N1274" s="74"/>
      <c r="O1274" s="75"/>
      <c r="P1274" s="74"/>
      <c r="Q1274" s="75"/>
      <c r="R1274" s="74"/>
      <c r="S1274" s="74"/>
      <c r="T1274" s="74"/>
      <c r="U1274" s="75"/>
      <c r="V1274" s="74"/>
      <c r="W1274" s="75"/>
      <c r="X1274" s="74"/>
      <c r="Y1274" s="74"/>
      <c r="Z1274" s="74"/>
      <c r="AA1274" s="74"/>
      <c r="AB1274" s="74"/>
      <c r="AC1274" s="74"/>
      <c r="AD1274" s="74"/>
      <c r="AE1274" s="74"/>
      <c r="AF1274" s="74"/>
      <c r="AG1274" s="74"/>
      <c r="AH1274" s="74"/>
    </row>
    <row r="1275" s="73" customFormat="1" spans="1:34">
      <c r="A1275" s="74"/>
      <c r="B1275" s="74"/>
      <c r="C1275" s="74"/>
      <c r="D1275" s="74"/>
      <c r="E1275" s="74"/>
      <c r="F1275" s="74"/>
      <c r="G1275" s="74"/>
      <c r="H1275" s="74"/>
      <c r="I1275" s="74"/>
      <c r="J1275" s="74"/>
      <c r="K1275" s="74"/>
      <c r="L1275" s="74"/>
      <c r="M1275" s="74"/>
      <c r="N1275" s="74"/>
      <c r="O1275" s="75"/>
      <c r="P1275" s="74"/>
      <c r="Q1275" s="75"/>
      <c r="R1275" s="74"/>
      <c r="S1275" s="74"/>
      <c r="T1275" s="74"/>
      <c r="U1275" s="75"/>
      <c r="V1275" s="74"/>
      <c r="W1275" s="75"/>
      <c r="X1275" s="74"/>
      <c r="Y1275" s="74"/>
      <c r="Z1275" s="74"/>
      <c r="AA1275" s="74"/>
      <c r="AB1275" s="74"/>
      <c r="AC1275" s="74"/>
      <c r="AD1275" s="74"/>
      <c r="AE1275" s="74"/>
      <c r="AF1275" s="74"/>
      <c r="AG1275" s="74"/>
      <c r="AH1275" s="74"/>
    </row>
    <row r="1276" s="73" customFormat="1" spans="1:34">
      <c r="A1276" s="74"/>
      <c r="B1276" s="74"/>
      <c r="C1276" s="74"/>
      <c r="D1276" s="74"/>
      <c r="E1276" s="74"/>
      <c r="F1276" s="74"/>
      <c r="G1276" s="74"/>
      <c r="H1276" s="74"/>
      <c r="I1276" s="74"/>
      <c r="J1276" s="74"/>
      <c r="K1276" s="74"/>
      <c r="L1276" s="74"/>
      <c r="M1276" s="74"/>
      <c r="N1276" s="74"/>
      <c r="O1276" s="75"/>
      <c r="P1276" s="74"/>
      <c r="Q1276" s="75"/>
      <c r="R1276" s="74"/>
      <c r="S1276" s="74"/>
      <c r="T1276" s="74"/>
      <c r="U1276" s="75"/>
      <c r="V1276" s="74"/>
      <c r="W1276" s="75"/>
      <c r="X1276" s="74"/>
      <c r="Y1276" s="74"/>
      <c r="Z1276" s="74"/>
      <c r="AA1276" s="74"/>
      <c r="AB1276" s="74"/>
      <c r="AC1276" s="74"/>
      <c r="AD1276" s="74"/>
      <c r="AE1276" s="74"/>
      <c r="AF1276" s="74"/>
      <c r="AG1276" s="74"/>
      <c r="AH1276" s="74"/>
    </row>
    <row r="1277" s="73" customFormat="1" spans="1:34">
      <c r="A1277" s="74"/>
      <c r="B1277" s="74"/>
      <c r="C1277" s="74"/>
      <c r="D1277" s="74"/>
      <c r="E1277" s="74"/>
      <c r="F1277" s="74"/>
      <c r="G1277" s="74"/>
      <c r="H1277" s="74"/>
      <c r="I1277" s="74"/>
      <c r="J1277" s="74"/>
      <c r="K1277" s="74"/>
      <c r="L1277" s="74"/>
      <c r="M1277" s="74"/>
      <c r="N1277" s="74"/>
      <c r="O1277" s="75"/>
      <c r="P1277" s="74"/>
      <c r="Q1277" s="75"/>
      <c r="R1277" s="74"/>
      <c r="S1277" s="74"/>
      <c r="T1277" s="74"/>
      <c r="U1277" s="75"/>
      <c r="V1277" s="74"/>
      <c r="W1277" s="75"/>
      <c r="X1277" s="74"/>
      <c r="Y1277" s="74"/>
      <c r="Z1277" s="74"/>
      <c r="AA1277" s="74"/>
      <c r="AB1277" s="74"/>
      <c r="AC1277" s="74"/>
      <c r="AD1277" s="74"/>
      <c r="AE1277" s="74"/>
      <c r="AF1277" s="74"/>
      <c r="AG1277" s="74"/>
      <c r="AH1277" s="74"/>
    </row>
    <row r="1278" s="73" customFormat="1" spans="1:34">
      <c r="A1278" s="74"/>
      <c r="B1278" s="74"/>
      <c r="C1278" s="74"/>
      <c r="D1278" s="74"/>
      <c r="E1278" s="74"/>
      <c r="F1278" s="74"/>
      <c r="G1278" s="74"/>
      <c r="H1278" s="74"/>
      <c r="I1278" s="74"/>
      <c r="J1278" s="74"/>
      <c r="K1278" s="74"/>
      <c r="L1278" s="74"/>
      <c r="M1278" s="74"/>
      <c r="N1278" s="74"/>
      <c r="O1278" s="75"/>
      <c r="P1278" s="74"/>
      <c r="Q1278" s="75"/>
      <c r="R1278" s="74"/>
      <c r="S1278" s="74"/>
      <c r="T1278" s="74"/>
      <c r="U1278" s="75"/>
      <c r="V1278" s="74"/>
      <c r="W1278" s="75"/>
      <c r="X1278" s="74"/>
      <c r="Y1278" s="74"/>
      <c r="Z1278" s="74"/>
      <c r="AA1278" s="74"/>
      <c r="AB1278" s="74"/>
      <c r="AC1278" s="74"/>
      <c r="AD1278" s="74"/>
      <c r="AE1278" s="74"/>
      <c r="AF1278" s="74"/>
      <c r="AG1278" s="74"/>
      <c r="AH1278" s="74"/>
    </row>
    <row r="1279" s="73" customFormat="1" spans="1:34">
      <c r="A1279" s="74"/>
      <c r="B1279" s="74"/>
      <c r="C1279" s="74"/>
      <c r="D1279" s="74"/>
      <c r="E1279" s="74"/>
      <c r="F1279" s="74"/>
      <c r="G1279" s="74"/>
      <c r="H1279" s="74"/>
      <c r="I1279" s="74"/>
      <c r="J1279" s="74"/>
      <c r="K1279" s="74"/>
      <c r="L1279" s="74"/>
      <c r="M1279" s="74"/>
      <c r="N1279" s="74"/>
      <c r="O1279" s="75"/>
      <c r="P1279" s="74"/>
      <c r="Q1279" s="75"/>
      <c r="R1279" s="74"/>
      <c r="S1279" s="74"/>
      <c r="T1279" s="74"/>
      <c r="U1279" s="75"/>
      <c r="V1279" s="74"/>
      <c r="W1279" s="75"/>
      <c r="X1279" s="74"/>
      <c r="Y1279" s="74"/>
      <c r="Z1279" s="74"/>
      <c r="AA1279" s="74"/>
      <c r="AB1279" s="74"/>
      <c r="AC1279" s="74"/>
      <c r="AD1279" s="74"/>
      <c r="AE1279" s="74"/>
      <c r="AF1279" s="74"/>
      <c r="AG1279" s="74"/>
      <c r="AH1279" s="74"/>
    </row>
    <row r="1280" s="73" customFormat="1" spans="1:34">
      <c r="A1280" s="74"/>
      <c r="B1280" s="74"/>
      <c r="C1280" s="74"/>
      <c r="D1280" s="74"/>
      <c r="E1280" s="74"/>
      <c r="F1280" s="74"/>
      <c r="G1280" s="74"/>
      <c r="H1280" s="74"/>
      <c r="I1280" s="74"/>
      <c r="J1280" s="74"/>
      <c r="K1280" s="74"/>
      <c r="L1280" s="74"/>
      <c r="M1280" s="74"/>
      <c r="N1280" s="74"/>
      <c r="O1280" s="75"/>
      <c r="P1280" s="74"/>
      <c r="Q1280" s="75"/>
      <c r="R1280" s="74"/>
      <c r="S1280" s="74"/>
      <c r="T1280" s="74"/>
      <c r="U1280" s="75"/>
      <c r="V1280" s="74"/>
      <c r="W1280" s="75"/>
      <c r="X1280" s="74"/>
      <c r="Y1280" s="74"/>
      <c r="Z1280" s="74"/>
      <c r="AA1280" s="74"/>
      <c r="AB1280" s="74"/>
      <c r="AC1280" s="74"/>
      <c r="AD1280" s="74"/>
      <c r="AE1280" s="74"/>
      <c r="AF1280" s="74"/>
      <c r="AG1280" s="74"/>
      <c r="AH1280" s="74"/>
    </row>
    <row r="1281" s="73" customFormat="1" spans="1:34">
      <c r="A1281" s="74"/>
      <c r="B1281" s="74"/>
      <c r="C1281" s="74"/>
      <c r="D1281" s="74"/>
      <c r="E1281" s="74"/>
      <c r="F1281" s="74"/>
      <c r="G1281" s="74"/>
      <c r="H1281" s="74"/>
      <c r="I1281" s="74"/>
      <c r="J1281" s="74"/>
      <c r="K1281" s="74"/>
      <c r="L1281" s="74"/>
      <c r="M1281" s="74"/>
      <c r="N1281" s="74"/>
      <c r="O1281" s="75"/>
      <c r="P1281" s="74"/>
      <c r="Q1281" s="75"/>
      <c r="R1281" s="74"/>
      <c r="S1281" s="74"/>
      <c r="T1281" s="74"/>
      <c r="U1281" s="75"/>
      <c r="V1281" s="74"/>
      <c r="W1281" s="75"/>
      <c r="X1281" s="74"/>
      <c r="Y1281" s="74"/>
      <c r="Z1281" s="74"/>
      <c r="AA1281" s="74"/>
      <c r="AB1281" s="74"/>
      <c r="AC1281" s="74"/>
      <c r="AD1281" s="74"/>
      <c r="AE1281" s="74"/>
      <c r="AF1281" s="74"/>
      <c r="AG1281" s="74"/>
      <c r="AH1281" s="74"/>
    </row>
    <row r="1282" s="73" customFormat="1" spans="1:34">
      <c r="A1282" s="74"/>
      <c r="B1282" s="74"/>
      <c r="C1282" s="74"/>
      <c r="D1282" s="74"/>
      <c r="E1282" s="74"/>
      <c r="F1282" s="74"/>
      <c r="G1282" s="74"/>
      <c r="H1282" s="74"/>
      <c r="I1282" s="74"/>
      <c r="J1282" s="74"/>
      <c r="K1282" s="74"/>
      <c r="L1282" s="74"/>
      <c r="M1282" s="74"/>
      <c r="N1282" s="74"/>
      <c r="O1282" s="75"/>
      <c r="P1282" s="74"/>
      <c r="Q1282" s="75"/>
      <c r="R1282" s="74"/>
      <c r="S1282" s="74"/>
      <c r="T1282" s="74"/>
      <c r="U1282" s="75"/>
      <c r="V1282" s="74"/>
      <c r="W1282" s="75"/>
      <c r="X1282" s="74"/>
      <c r="Y1282" s="74"/>
      <c r="Z1282" s="74"/>
      <c r="AA1282" s="74"/>
      <c r="AB1282" s="74"/>
      <c r="AC1282" s="74"/>
      <c r="AD1282" s="74"/>
      <c r="AE1282" s="74"/>
      <c r="AF1282" s="74"/>
      <c r="AG1282" s="74"/>
      <c r="AH1282" s="74"/>
    </row>
    <row r="1283" s="73" customFormat="1" spans="1:34">
      <c r="A1283" s="74"/>
      <c r="B1283" s="74"/>
      <c r="C1283" s="74"/>
      <c r="D1283" s="74"/>
      <c r="E1283" s="74"/>
      <c r="F1283" s="74"/>
      <c r="G1283" s="74"/>
      <c r="H1283" s="74"/>
      <c r="I1283" s="74"/>
      <c r="J1283" s="74"/>
      <c r="K1283" s="74"/>
      <c r="L1283" s="74"/>
      <c r="M1283" s="74"/>
      <c r="N1283" s="74"/>
      <c r="O1283" s="75"/>
      <c r="P1283" s="74"/>
      <c r="Q1283" s="75"/>
      <c r="R1283" s="74"/>
      <c r="S1283" s="74"/>
      <c r="T1283" s="74"/>
      <c r="U1283" s="75"/>
      <c r="V1283" s="74"/>
      <c r="W1283" s="75"/>
      <c r="X1283" s="74"/>
      <c r="Y1283" s="74"/>
      <c r="Z1283" s="74"/>
      <c r="AA1283" s="74"/>
      <c r="AB1283" s="74"/>
      <c r="AC1283" s="74"/>
      <c r="AD1283" s="74"/>
      <c r="AE1283" s="74"/>
      <c r="AF1283" s="74"/>
      <c r="AG1283" s="74"/>
      <c r="AH1283" s="74"/>
    </row>
    <row r="1284" s="73" customFormat="1" spans="1:34">
      <c r="A1284" s="74"/>
      <c r="B1284" s="74"/>
      <c r="C1284" s="74"/>
      <c r="D1284" s="74"/>
      <c r="E1284" s="74"/>
      <c r="F1284" s="74"/>
      <c r="G1284" s="74"/>
      <c r="H1284" s="74"/>
      <c r="I1284" s="74"/>
      <c r="J1284" s="74"/>
      <c r="K1284" s="74"/>
      <c r="L1284" s="74"/>
      <c r="M1284" s="74"/>
      <c r="N1284" s="74"/>
      <c r="O1284" s="75"/>
      <c r="P1284" s="74"/>
      <c r="Q1284" s="75"/>
      <c r="R1284" s="74"/>
      <c r="S1284" s="74"/>
      <c r="T1284" s="74"/>
      <c r="U1284" s="75"/>
      <c r="V1284" s="74"/>
      <c r="W1284" s="75"/>
      <c r="X1284" s="74"/>
      <c r="Y1284" s="74"/>
      <c r="Z1284" s="74"/>
      <c r="AA1284" s="74"/>
      <c r="AB1284" s="74"/>
      <c r="AC1284" s="74"/>
      <c r="AD1284" s="74"/>
      <c r="AE1284" s="74"/>
      <c r="AF1284" s="74"/>
      <c r="AG1284" s="74"/>
      <c r="AH1284" s="74"/>
    </row>
    <row r="1285" s="73" customFormat="1" spans="1:34">
      <c r="A1285" s="74"/>
      <c r="B1285" s="74"/>
      <c r="C1285" s="74"/>
      <c r="D1285" s="74"/>
      <c r="E1285" s="74"/>
      <c r="F1285" s="74"/>
      <c r="G1285" s="74"/>
      <c r="H1285" s="74"/>
      <c r="I1285" s="74"/>
      <c r="J1285" s="74"/>
      <c r="K1285" s="74"/>
      <c r="L1285" s="74"/>
      <c r="M1285" s="74"/>
      <c r="N1285" s="74"/>
      <c r="O1285" s="75"/>
      <c r="P1285" s="74"/>
      <c r="Q1285" s="75"/>
      <c r="R1285" s="74"/>
      <c r="S1285" s="74"/>
      <c r="T1285" s="74"/>
      <c r="U1285" s="75"/>
      <c r="V1285" s="74"/>
      <c r="W1285" s="75"/>
      <c r="X1285" s="74"/>
      <c r="Y1285" s="74"/>
      <c r="Z1285" s="74"/>
      <c r="AA1285" s="74"/>
      <c r="AB1285" s="74"/>
      <c r="AC1285" s="74"/>
      <c r="AD1285" s="74"/>
      <c r="AE1285" s="74"/>
      <c r="AF1285" s="74"/>
      <c r="AG1285" s="74"/>
      <c r="AH1285" s="74"/>
    </row>
    <row r="1286" s="73" customFormat="1" spans="1:34">
      <c r="A1286" s="74"/>
      <c r="B1286" s="74"/>
      <c r="C1286" s="74"/>
      <c r="D1286" s="74"/>
      <c r="E1286" s="74"/>
      <c r="F1286" s="74"/>
      <c r="G1286" s="74"/>
      <c r="H1286" s="74"/>
      <c r="I1286" s="74"/>
      <c r="J1286" s="74"/>
      <c r="K1286" s="74"/>
      <c r="L1286" s="74"/>
      <c r="M1286" s="74"/>
      <c r="N1286" s="74"/>
      <c r="O1286" s="75"/>
      <c r="P1286" s="74"/>
      <c r="Q1286" s="75"/>
      <c r="R1286" s="74"/>
      <c r="S1286" s="74"/>
      <c r="T1286" s="74"/>
      <c r="U1286" s="75"/>
      <c r="V1286" s="74"/>
      <c r="W1286" s="75"/>
      <c r="X1286" s="74"/>
      <c r="Y1286" s="74"/>
      <c r="Z1286" s="74"/>
      <c r="AA1286" s="74"/>
      <c r="AB1286" s="74"/>
      <c r="AC1286" s="74"/>
      <c r="AD1286" s="74"/>
      <c r="AE1286" s="74"/>
      <c r="AF1286" s="74"/>
      <c r="AG1286" s="74"/>
      <c r="AH1286" s="74"/>
    </row>
    <row r="1287" s="73" customFormat="1" spans="1:34">
      <c r="A1287" s="74"/>
      <c r="B1287" s="74"/>
      <c r="C1287" s="74"/>
      <c r="D1287" s="74"/>
      <c r="E1287" s="74"/>
      <c r="F1287" s="74"/>
      <c r="G1287" s="74"/>
      <c r="H1287" s="74"/>
      <c r="I1287" s="74"/>
      <c r="J1287" s="74"/>
      <c r="K1287" s="74"/>
      <c r="L1287" s="74"/>
      <c r="M1287" s="74"/>
      <c r="N1287" s="74"/>
      <c r="O1287" s="75"/>
      <c r="P1287" s="74"/>
      <c r="Q1287" s="75"/>
      <c r="R1287" s="74"/>
      <c r="S1287" s="74"/>
      <c r="T1287" s="74"/>
      <c r="U1287" s="75"/>
      <c r="V1287" s="74"/>
      <c r="W1287" s="75"/>
      <c r="X1287" s="74"/>
      <c r="Y1287" s="74"/>
      <c r="Z1287" s="74"/>
      <c r="AA1287" s="74"/>
      <c r="AB1287" s="74"/>
      <c r="AC1287" s="74"/>
      <c r="AD1287" s="74"/>
      <c r="AE1287" s="74"/>
      <c r="AF1287" s="74"/>
      <c r="AG1287" s="74"/>
      <c r="AH1287" s="74"/>
    </row>
    <row r="1288" s="73" customFormat="1" spans="1:34">
      <c r="A1288" s="74"/>
      <c r="B1288" s="74"/>
      <c r="C1288" s="74"/>
      <c r="D1288" s="74"/>
      <c r="E1288" s="74"/>
      <c r="F1288" s="74"/>
      <c r="G1288" s="74"/>
      <c r="H1288" s="74"/>
      <c r="I1288" s="74"/>
      <c r="J1288" s="74"/>
      <c r="K1288" s="74"/>
      <c r="L1288" s="74"/>
      <c r="M1288" s="74"/>
      <c r="N1288" s="74"/>
      <c r="O1288" s="75"/>
      <c r="P1288" s="74"/>
      <c r="Q1288" s="75"/>
      <c r="R1288" s="74"/>
      <c r="S1288" s="74"/>
      <c r="T1288" s="74"/>
      <c r="U1288" s="75"/>
      <c r="V1288" s="74"/>
      <c r="W1288" s="75"/>
      <c r="X1288" s="74"/>
      <c r="Y1288" s="74"/>
      <c r="Z1288" s="74"/>
      <c r="AA1288" s="74"/>
      <c r="AB1288" s="74"/>
      <c r="AC1288" s="74"/>
      <c r="AD1288" s="74"/>
      <c r="AE1288" s="74"/>
      <c r="AF1288" s="74"/>
      <c r="AG1288" s="74"/>
      <c r="AH1288" s="74"/>
    </row>
    <row r="1289" s="73" customFormat="1" spans="1:34">
      <c r="A1289" s="74"/>
      <c r="B1289" s="74"/>
      <c r="C1289" s="74"/>
      <c r="D1289" s="74"/>
      <c r="E1289" s="74"/>
      <c r="F1289" s="74"/>
      <c r="G1289" s="74"/>
      <c r="H1289" s="74"/>
      <c r="I1289" s="74"/>
      <c r="J1289" s="74"/>
      <c r="K1289" s="74"/>
      <c r="L1289" s="74"/>
      <c r="M1289" s="74"/>
      <c r="N1289" s="74"/>
      <c r="O1289" s="75"/>
      <c r="P1289" s="74"/>
      <c r="Q1289" s="75"/>
      <c r="R1289" s="74"/>
      <c r="S1289" s="74"/>
      <c r="T1289" s="74"/>
      <c r="U1289" s="75"/>
      <c r="V1289" s="74"/>
      <c r="W1289" s="75"/>
      <c r="X1289" s="74"/>
      <c r="Y1289" s="74"/>
      <c r="Z1289" s="74"/>
      <c r="AA1289" s="74"/>
      <c r="AB1289" s="74"/>
      <c r="AC1289" s="74"/>
      <c r="AD1289" s="74"/>
      <c r="AE1289" s="74"/>
      <c r="AF1289" s="74"/>
      <c r="AG1289" s="74"/>
      <c r="AH1289" s="74"/>
    </row>
    <row r="1290" s="73" customFormat="1" spans="1:34">
      <c r="A1290" s="74"/>
      <c r="B1290" s="74"/>
      <c r="C1290" s="74"/>
      <c r="D1290" s="74"/>
      <c r="E1290" s="74"/>
      <c r="F1290" s="74"/>
      <c r="G1290" s="74"/>
      <c r="H1290" s="74"/>
      <c r="I1290" s="74"/>
      <c r="J1290" s="74"/>
      <c r="K1290" s="74"/>
      <c r="L1290" s="74"/>
      <c r="M1290" s="74"/>
      <c r="N1290" s="74"/>
      <c r="O1290" s="75"/>
      <c r="P1290" s="74"/>
      <c r="Q1290" s="75"/>
      <c r="R1290" s="74"/>
      <c r="S1290" s="74"/>
      <c r="T1290" s="74"/>
      <c r="U1290" s="75"/>
      <c r="V1290" s="74"/>
      <c r="W1290" s="75"/>
      <c r="X1290" s="74"/>
      <c r="Y1290" s="74"/>
      <c r="Z1290" s="74"/>
      <c r="AA1290" s="74"/>
      <c r="AB1290" s="74"/>
      <c r="AC1290" s="74"/>
      <c r="AD1290" s="74"/>
      <c r="AE1290" s="74"/>
      <c r="AF1290" s="74"/>
      <c r="AG1290" s="74"/>
      <c r="AH1290" s="74"/>
    </row>
    <row r="1291" s="73" customFormat="1" spans="1:34">
      <c r="A1291" s="74"/>
      <c r="B1291" s="74"/>
      <c r="C1291" s="74"/>
      <c r="D1291" s="74"/>
      <c r="E1291" s="74"/>
      <c r="F1291" s="74"/>
      <c r="G1291" s="74"/>
      <c r="H1291" s="74"/>
      <c r="I1291" s="74"/>
      <c r="J1291" s="74"/>
      <c r="K1291" s="74"/>
      <c r="L1291" s="74"/>
      <c r="M1291" s="74"/>
      <c r="N1291" s="74"/>
      <c r="O1291" s="75"/>
      <c r="P1291" s="74"/>
      <c r="Q1291" s="75"/>
      <c r="R1291" s="74"/>
      <c r="S1291" s="74"/>
      <c r="T1291" s="74"/>
      <c r="U1291" s="75"/>
      <c r="V1291" s="74"/>
      <c r="W1291" s="75"/>
      <c r="X1291" s="74"/>
      <c r="Y1291" s="74"/>
      <c r="Z1291" s="74"/>
      <c r="AA1291" s="74"/>
      <c r="AB1291" s="74"/>
      <c r="AC1291" s="74"/>
      <c r="AD1291" s="74"/>
      <c r="AE1291" s="74"/>
      <c r="AF1291" s="74"/>
      <c r="AG1291" s="74"/>
      <c r="AH1291" s="74"/>
    </row>
    <row r="1292" s="73" customFormat="1" spans="1:34">
      <c r="A1292" s="74"/>
      <c r="B1292" s="74"/>
      <c r="C1292" s="74"/>
      <c r="D1292" s="74"/>
      <c r="E1292" s="74"/>
      <c r="F1292" s="74"/>
      <c r="G1292" s="74"/>
      <c r="H1292" s="74"/>
      <c r="I1292" s="74"/>
      <c r="J1292" s="74"/>
      <c r="K1292" s="74"/>
      <c r="L1292" s="74"/>
      <c r="M1292" s="74"/>
      <c r="N1292" s="74"/>
      <c r="O1292" s="75"/>
      <c r="P1292" s="74"/>
      <c r="Q1292" s="75"/>
      <c r="R1292" s="74"/>
      <c r="S1292" s="74"/>
      <c r="T1292" s="74"/>
      <c r="U1292" s="75"/>
      <c r="V1292" s="74"/>
      <c r="W1292" s="75"/>
      <c r="X1292" s="74"/>
      <c r="Y1292" s="74"/>
      <c r="Z1292" s="74"/>
      <c r="AA1292" s="74"/>
      <c r="AB1292" s="74"/>
      <c r="AC1292" s="74"/>
      <c r="AD1292" s="74"/>
      <c r="AE1292" s="74"/>
      <c r="AF1292" s="74"/>
      <c r="AG1292" s="74"/>
      <c r="AH1292" s="74"/>
    </row>
    <row r="1293" s="73" customFormat="1" spans="1:34">
      <c r="A1293" s="74"/>
      <c r="B1293" s="74"/>
      <c r="C1293" s="74"/>
      <c r="D1293" s="74"/>
      <c r="E1293" s="74"/>
      <c r="F1293" s="74"/>
      <c r="G1293" s="74"/>
      <c r="H1293" s="74"/>
      <c r="I1293" s="74"/>
      <c r="J1293" s="74"/>
      <c r="K1293" s="74"/>
      <c r="L1293" s="74"/>
      <c r="M1293" s="74"/>
      <c r="N1293" s="74"/>
      <c r="O1293" s="75"/>
      <c r="P1293" s="74"/>
      <c r="Q1293" s="75"/>
      <c r="R1293" s="74"/>
      <c r="S1293" s="74"/>
      <c r="T1293" s="74"/>
      <c r="U1293" s="75"/>
      <c r="V1293" s="74"/>
      <c r="W1293" s="75"/>
      <c r="X1293" s="74"/>
      <c r="Y1293" s="74"/>
      <c r="Z1293" s="74"/>
      <c r="AA1293" s="74"/>
      <c r="AB1293" s="74"/>
      <c r="AC1293" s="74"/>
      <c r="AD1293" s="74"/>
      <c r="AE1293" s="74"/>
      <c r="AF1293" s="74"/>
      <c r="AG1293" s="74"/>
      <c r="AH1293" s="74"/>
    </row>
    <row r="1294" s="73" customFormat="1" spans="1:34">
      <c r="A1294" s="74"/>
      <c r="B1294" s="74"/>
      <c r="C1294" s="74"/>
      <c r="D1294" s="74"/>
      <c r="E1294" s="74"/>
      <c r="F1294" s="74"/>
      <c r="G1294" s="74"/>
      <c r="H1294" s="74"/>
      <c r="I1294" s="74"/>
      <c r="J1294" s="74"/>
      <c r="K1294" s="74"/>
      <c r="L1294" s="74"/>
      <c r="M1294" s="74"/>
      <c r="N1294" s="74"/>
      <c r="O1294" s="75"/>
      <c r="P1294" s="74"/>
      <c r="Q1294" s="75"/>
      <c r="R1294" s="74"/>
      <c r="S1294" s="74"/>
      <c r="T1294" s="74"/>
      <c r="U1294" s="75"/>
      <c r="V1294" s="74"/>
      <c r="W1294" s="75"/>
      <c r="X1294" s="74"/>
      <c r="Y1294" s="74"/>
      <c r="Z1294" s="74"/>
      <c r="AA1294" s="74"/>
      <c r="AB1294" s="74"/>
      <c r="AC1294" s="74"/>
      <c r="AD1294" s="74"/>
      <c r="AE1294" s="74"/>
      <c r="AF1294" s="74"/>
      <c r="AG1294" s="74"/>
      <c r="AH1294" s="74"/>
    </row>
    <row r="1295" s="73" customFormat="1" spans="1:34">
      <c r="A1295" s="74"/>
      <c r="B1295" s="74"/>
      <c r="C1295" s="74"/>
      <c r="D1295" s="74"/>
      <c r="E1295" s="74"/>
      <c r="F1295" s="74"/>
      <c r="G1295" s="74"/>
      <c r="H1295" s="74"/>
      <c r="I1295" s="74"/>
      <c r="J1295" s="74"/>
      <c r="K1295" s="74"/>
      <c r="L1295" s="74"/>
      <c r="M1295" s="74"/>
      <c r="N1295" s="74"/>
      <c r="O1295" s="75"/>
      <c r="P1295" s="74"/>
      <c r="Q1295" s="75"/>
      <c r="R1295" s="74"/>
      <c r="S1295" s="74"/>
      <c r="T1295" s="74"/>
      <c r="U1295" s="75"/>
      <c r="V1295" s="74"/>
      <c r="W1295" s="75"/>
      <c r="X1295" s="74"/>
      <c r="Y1295" s="74"/>
      <c r="Z1295" s="74"/>
      <c r="AA1295" s="74"/>
      <c r="AB1295" s="74"/>
      <c r="AC1295" s="74"/>
      <c r="AD1295" s="74"/>
      <c r="AE1295" s="74"/>
      <c r="AF1295" s="74"/>
      <c r="AG1295" s="74"/>
      <c r="AH1295" s="74"/>
    </row>
    <row r="1296" s="73" customFormat="1" spans="1:34">
      <c r="A1296" s="74"/>
      <c r="B1296" s="74"/>
      <c r="C1296" s="74"/>
      <c r="D1296" s="74"/>
      <c r="E1296" s="74"/>
      <c r="F1296" s="74"/>
      <c r="G1296" s="74"/>
      <c r="H1296" s="74"/>
      <c r="I1296" s="74"/>
      <c r="J1296" s="74"/>
      <c r="K1296" s="74"/>
      <c r="L1296" s="74"/>
      <c r="M1296" s="74"/>
      <c r="N1296" s="74"/>
      <c r="O1296" s="75"/>
      <c r="P1296" s="74"/>
      <c r="Q1296" s="75"/>
      <c r="R1296" s="74"/>
      <c r="S1296" s="74"/>
      <c r="T1296" s="74"/>
      <c r="U1296" s="75"/>
      <c r="V1296" s="74"/>
      <c r="W1296" s="75"/>
      <c r="X1296" s="74"/>
      <c r="Y1296" s="74"/>
      <c r="Z1296" s="74"/>
      <c r="AA1296" s="74"/>
      <c r="AB1296" s="74"/>
      <c r="AC1296" s="74"/>
      <c r="AD1296" s="74"/>
      <c r="AE1296" s="74"/>
      <c r="AF1296" s="74"/>
      <c r="AG1296" s="74"/>
      <c r="AH1296" s="74"/>
    </row>
    <row r="1297" s="73" customFormat="1" spans="1:34">
      <c r="A1297" s="74"/>
      <c r="B1297" s="74"/>
      <c r="C1297" s="74"/>
      <c r="D1297" s="74"/>
      <c r="E1297" s="74"/>
      <c r="F1297" s="74"/>
      <c r="G1297" s="74"/>
      <c r="H1297" s="74"/>
      <c r="I1297" s="74"/>
      <c r="J1297" s="74"/>
      <c r="K1297" s="74"/>
      <c r="L1297" s="74"/>
      <c r="M1297" s="74"/>
      <c r="N1297" s="74"/>
      <c r="O1297" s="75"/>
      <c r="P1297" s="74"/>
      <c r="Q1297" s="75"/>
      <c r="R1297" s="74"/>
      <c r="S1297" s="74"/>
      <c r="T1297" s="74"/>
      <c r="U1297" s="75"/>
      <c r="V1297" s="74"/>
      <c r="W1297" s="75"/>
      <c r="X1297" s="74"/>
      <c r="Y1297" s="74"/>
      <c r="Z1297" s="74"/>
      <c r="AA1297" s="74"/>
      <c r="AB1297" s="74"/>
      <c r="AC1297" s="74"/>
      <c r="AD1297" s="74"/>
      <c r="AE1297" s="74"/>
      <c r="AF1297" s="74"/>
      <c r="AG1297" s="74"/>
      <c r="AH1297" s="74"/>
    </row>
    <row r="1298" s="73" customFormat="1" spans="1:34">
      <c r="A1298" s="74"/>
      <c r="B1298" s="74"/>
      <c r="C1298" s="74"/>
      <c r="D1298" s="74"/>
      <c r="E1298" s="74"/>
      <c r="F1298" s="74"/>
      <c r="G1298" s="74"/>
      <c r="H1298" s="74"/>
      <c r="I1298" s="74"/>
      <c r="J1298" s="74"/>
      <c r="K1298" s="74"/>
      <c r="L1298" s="74"/>
      <c r="M1298" s="74"/>
      <c r="N1298" s="74"/>
      <c r="O1298" s="75"/>
      <c r="P1298" s="74"/>
      <c r="Q1298" s="75"/>
      <c r="R1298" s="74"/>
      <c r="S1298" s="74"/>
      <c r="T1298" s="74"/>
      <c r="U1298" s="75"/>
      <c r="V1298" s="74"/>
      <c r="W1298" s="75"/>
      <c r="X1298" s="74"/>
      <c r="Y1298" s="74"/>
      <c r="Z1298" s="74"/>
      <c r="AA1298" s="74"/>
      <c r="AB1298" s="74"/>
      <c r="AC1298" s="74"/>
      <c r="AD1298" s="74"/>
      <c r="AE1298" s="74"/>
      <c r="AF1298" s="74"/>
      <c r="AG1298" s="74"/>
      <c r="AH1298" s="74"/>
    </row>
    <row r="1299" s="73" customFormat="1" spans="1:34">
      <c r="A1299" s="74"/>
      <c r="B1299" s="74"/>
      <c r="C1299" s="74"/>
      <c r="D1299" s="74"/>
      <c r="E1299" s="74"/>
      <c r="F1299" s="74"/>
      <c r="G1299" s="74"/>
      <c r="H1299" s="74"/>
      <c r="I1299" s="74"/>
      <c r="J1299" s="74"/>
      <c r="K1299" s="74"/>
      <c r="L1299" s="74"/>
      <c r="M1299" s="74"/>
      <c r="N1299" s="74"/>
      <c r="O1299" s="75"/>
      <c r="P1299" s="74"/>
      <c r="Q1299" s="75"/>
      <c r="R1299" s="74"/>
      <c r="S1299" s="74"/>
      <c r="T1299" s="74"/>
      <c r="U1299" s="75"/>
      <c r="V1299" s="74"/>
      <c r="W1299" s="75"/>
      <c r="X1299" s="74"/>
      <c r="Y1299" s="74"/>
      <c r="Z1299" s="74"/>
      <c r="AA1299" s="74"/>
      <c r="AB1299" s="74"/>
      <c r="AC1299" s="74"/>
      <c r="AD1299" s="74"/>
      <c r="AE1299" s="74"/>
      <c r="AF1299" s="74"/>
      <c r="AG1299" s="74"/>
      <c r="AH1299" s="74"/>
    </row>
    <row r="1300" s="73" customFormat="1" spans="1:34">
      <c r="A1300" s="74"/>
      <c r="B1300" s="74"/>
      <c r="C1300" s="74"/>
      <c r="D1300" s="74"/>
      <c r="E1300" s="74"/>
      <c r="F1300" s="74"/>
      <c r="G1300" s="74"/>
      <c r="H1300" s="74"/>
      <c r="I1300" s="74"/>
      <c r="J1300" s="74"/>
      <c r="K1300" s="74"/>
      <c r="L1300" s="74"/>
      <c r="M1300" s="74"/>
      <c r="N1300" s="74"/>
      <c r="O1300" s="75"/>
      <c r="P1300" s="74"/>
      <c r="Q1300" s="75"/>
      <c r="R1300" s="74"/>
      <c r="S1300" s="74"/>
      <c r="T1300" s="74"/>
      <c r="U1300" s="75"/>
      <c r="V1300" s="74"/>
      <c r="W1300" s="75"/>
      <c r="X1300" s="74"/>
      <c r="Y1300" s="74"/>
      <c r="Z1300" s="74"/>
      <c r="AA1300" s="74"/>
      <c r="AB1300" s="74"/>
      <c r="AC1300" s="74"/>
      <c r="AD1300" s="74"/>
      <c r="AE1300" s="74"/>
      <c r="AF1300" s="74"/>
      <c r="AG1300" s="74"/>
      <c r="AH1300" s="74"/>
    </row>
    <row r="1301" s="73" customFormat="1" spans="1:34">
      <c r="A1301" s="74"/>
      <c r="B1301" s="74"/>
      <c r="C1301" s="74"/>
      <c r="D1301" s="74"/>
      <c r="E1301" s="74"/>
      <c r="F1301" s="74"/>
      <c r="G1301" s="74"/>
      <c r="H1301" s="74"/>
      <c r="I1301" s="74"/>
      <c r="J1301" s="74"/>
      <c r="K1301" s="74"/>
      <c r="L1301" s="74"/>
      <c r="M1301" s="74"/>
      <c r="N1301" s="74"/>
      <c r="O1301" s="75"/>
      <c r="P1301" s="74"/>
      <c r="Q1301" s="75"/>
      <c r="R1301" s="74"/>
      <c r="S1301" s="74"/>
      <c r="T1301" s="74"/>
      <c r="U1301" s="75"/>
      <c r="V1301" s="74"/>
      <c r="W1301" s="75"/>
      <c r="X1301" s="74"/>
      <c r="Y1301" s="74"/>
      <c r="Z1301" s="74"/>
      <c r="AA1301" s="74"/>
      <c r="AB1301" s="74"/>
      <c r="AC1301" s="74"/>
      <c r="AD1301" s="74"/>
      <c r="AE1301" s="74"/>
      <c r="AF1301" s="74"/>
      <c r="AG1301" s="74"/>
      <c r="AH1301" s="74"/>
    </row>
    <row r="1302" s="73" customFormat="1" spans="1:34">
      <c r="A1302" s="74"/>
      <c r="B1302" s="74"/>
      <c r="C1302" s="74"/>
      <c r="D1302" s="74"/>
      <c r="E1302" s="74"/>
      <c r="F1302" s="74"/>
      <c r="G1302" s="74"/>
      <c r="H1302" s="74"/>
      <c r="I1302" s="74"/>
      <c r="J1302" s="74"/>
      <c r="K1302" s="74"/>
      <c r="L1302" s="74"/>
      <c r="M1302" s="74"/>
      <c r="N1302" s="74"/>
      <c r="O1302" s="75"/>
      <c r="P1302" s="74"/>
      <c r="Q1302" s="75"/>
      <c r="R1302" s="74"/>
      <c r="S1302" s="74"/>
      <c r="T1302" s="74"/>
      <c r="U1302" s="75"/>
      <c r="V1302" s="74"/>
      <c r="W1302" s="75"/>
      <c r="X1302" s="74"/>
      <c r="Y1302" s="74"/>
      <c r="Z1302" s="74"/>
      <c r="AA1302" s="74"/>
      <c r="AB1302" s="74"/>
      <c r="AC1302" s="74"/>
      <c r="AD1302" s="74"/>
      <c r="AE1302" s="74"/>
      <c r="AF1302" s="74"/>
      <c r="AG1302" s="74"/>
      <c r="AH1302" s="74"/>
    </row>
    <row r="1303" s="73" customFormat="1" spans="1:34">
      <c r="A1303" s="74"/>
      <c r="B1303" s="74"/>
      <c r="C1303" s="74"/>
      <c r="D1303" s="74"/>
      <c r="E1303" s="74"/>
      <c r="F1303" s="74"/>
      <c r="G1303" s="74"/>
      <c r="H1303" s="74"/>
      <c r="I1303" s="74"/>
      <c r="J1303" s="74"/>
      <c r="K1303" s="74"/>
      <c r="L1303" s="74"/>
      <c r="M1303" s="74"/>
      <c r="N1303" s="74"/>
      <c r="O1303" s="75"/>
      <c r="P1303" s="74"/>
      <c r="Q1303" s="75"/>
      <c r="R1303" s="74"/>
      <c r="S1303" s="74"/>
      <c r="T1303" s="74"/>
      <c r="U1303" s="75"/>
      <c r="V1303" s="74"/>
      <c r="W1303" s="75"/>
      <c r="X1303" s="74"/>
      <c r="Y1303" s="74"/>
      <c r="Z1303" s="74"/>
      <c r="AA1303" s="74"/>
      <c r="AB1303" s="74"/>
      <c r="AC1303" s="74"/>
      <c r="AD1303" s="74"/>
      <c r="AE1303" s="74"/>
      <c r="AF1303" s="74"/>
      <c r="AG1303" s="74"/>
      <c r="AH1303" s="74"/>
    </row>
    <row r="1304" s="73" customFormat="1" spans="1:34">
      <c r="A1304" s="74"/>
      <c r="B1304" s="74"/>
      <c r="C1304" s="74"/>
      <c r="D1304" s="74"/>
      <c r="E1304" s="74"/>
      <c r="F1304" s="74"/>
      <c r="G1304" s="74"/>
      <c r="H1304" s="74"/>
      <c r="I1304" s="74"/>
      <c r="J1304" s="74"/>
      <c r="K1304" s="74"/>
      <c r="L1304" s="74"/>
      <c r="M1304" s="74"/>
      <c r="N1304" s="74"/>
      <c r="O1304" s="75"/>
      <c r="P1304" s="74"/>
      <c r="Q1304" s="75"/>
      <c r="R1304" s="74"/>
      <c r="S1304" s="74"/>
      <c r="T1304" s="74"/>
      <c r="U1304" s="75"/>
      <c r="V1304" s="74"/>
      <c r="W1304" s="75"/>
      <c r="X1304" s="74"/>
      <c r="Y1304" s="74"/>
      <c r="Z1304" s="74"/>
      <c r="AA1304" s="74"/>
      <c r="AB1304" s="74"/>
      <c r="AC1304" s="74"/>
      <c r="AD1304" s="74"/>
      <c r="AE1304" s="74"/>
      <c r="AF1304" s="74"/>
      <c r="AG1304" s="74"/>
      <c r="AH1304" s="74"/>
    </row>
    <row r="1305" s="73" customFormat="1" spans="1:34">
      <c r="A1305" s="74"/>
      <c r="B1305" s="74"/>
      <c r="C1305" s="74"/>
      <c r="D1305" s="74"/>
      <c r="E1305" s="74"/>
      <c r="F1305" s="74"/>
      <c r="G1305" s="74"/>
      <c r="H1305" s="74"/>
      <c r="I1305" s="74"/>
      <c r="J1305" s="74"/>
      <c r="K1305" s="74"/>
      <c r="L1305" s="74"/>
      <c r="M1305" s="74"/>
      <c r="N1305" s="74"/>
      <c r="O1305" s="75"/>
      <c r="P1305" s="74"/>
      <c r="Q1305" s="75"/>
      <c r="R1305" s="74"/>
      <c r="S1305" s="74"/>
      <c r="T1305" s="74"/>
      <c r="U1305" s="75"/>
      <c r="V1305" s="74"/>
      <c r="W1305" s="75"/>
      <c r="X1305" s="74"/>
      <c r="Y1305" s="74"/>
      <c r="Z1305" s="74"/>
      <c r="AA1305" s="74"/>
      <c r="AB1305" s="74"/>
      <c r="AC1305" s="74"/>
      <c r="AD1305" s="74"/>
      <c r="AE1305" s="74"/>
      <c r="AF1305" s="74"/>
      <c r="AG1305" s="74"/>
      <c r="AH1305" s="74"/>
    </row>
    <row r="1306" s="73" customFormat="1" spans="1:34">
      <c r="A1306" s="74"/>
      <c r="B1306" s="74"/>
      <c r="C1306" s="74"/>
      <c r="D1306" s="74"/>
      <c r="E1306" s="74"/>
      <c r="F1306" s="74"/>
      <c r="G1306" s="74"/>
      <c r="H1306" s="74"/>
      <c r="I1306" s="74"/>
      <c r="J1306" s="74"/>
      <c r="K1306" s="74"/>
      <c r="L1306" s="74"/>
      <c r="M1306" s="74"/>
      <c r="N1306" s="74"/>
      <c r="O1306" s="75"/>
      <c r="P1306" s="74"/>
      <c r="Q1306" s="75"/>
      <c r="R1306" s="74"/>
      <c r="S1306" s="74"/>
      <c r="T1306" s="74"/>
      <c r="U1306" s="75"/>
      <c r="V1306" s="74"/>
      <c r="W1306" s="75"/>
      <c r="X1306" s="74"/>
      <c r="Y1306" s="74"/>
      <c r="Z1306" s="74"/>
      <c r="AA1306" s="74"/>
      <c r="AB1306" s="74"/>
      <c r="AC1306" s="74"/>
      <c r="AD1306" s="74"/>
      <c r="AE1306" s="74"/>
      <c r="AF1306" s="74"/>
      <c r="AG1306" s="74"/>
      <c r="AH1306" s="74"/>
    </row>
    <row r="1307" s="73" customFormat="1" spans="1:34">
      <c r="A1307" s="74"/>
      <c r="B1307" s="74"/>
      <c r="C1307" s="74"/>
      <c r="D1307" s="74"/>
      <c r="E1307" s="74"/>
      <c r="F1307" s="74"/>
      <c r="G1307" s="74"/>
      <c r="H1307" s="74"/>
      <c r="I1307" s="74"/>
      <c r="J1307" s="74"/>
      <c r="K1307" s="74"/>
      <c r="L1307" s="74"/>
      <c r="M1307" s="74"/>
      <c r="N1307" s="74"/>
      <c r="O1307" s="75"/>
      <c r="P1307" s="74"/>
      <c r="Q1307" s="75"/>
      <c r="R1307" s="74"/>
      <c r="S1307" s="74"/>
      <c r="T1307" s="74"/>
      <c r="U1307" s="75"/>
      <c r="V1307" s="74"/>
      <c r="W1307" s="75"/>
      <c r="X1307" s="74"/>
      <c r="Y1307" s="74"/>
      <c r="Z1307" s="74"/>
      <c r="AA1307" s="74"/>
      <c r="AB1307" s="74"/>
      <c r="AC1307" s="74"/>
      <c r="AD1307" s="74"/>
      <c r="AE1307" s="74"/>
      <c r="AF1307" s="74"/>
      <c r="AG1307" s="74"/>
      <c r="AH1307" s="74"/>
    </row>
    <row r="1308" s="73" customFormat="1" spans="1:34">
      <c r="A1308" s="74"/>
      <c r="B1308" s="74"/>
      <c r="C1308" s="74"/>
      <c r="D1308" s="74"/>
      <c r="E1308" s="74"/>
      <c r="F1308" s="74"/>
      <c r="G1308" s="74"/>
      <c r="H1308" s="74"/>
      <c r="I1308" s="74"/>
      <c r="J1308" s="74"/>
      <c r="K1308" s="74"/>
      <c r="L1308" s="74"/>
      <c r="M1308" s="74"/>
      <c r="N1308" s="74"/>
      <c r="O1308" s="75"/>
      <c r="P1308" s="74"/>
      <c r="Q1308" s="75"/>
      <c r="R1308" s="74"/>
      <c r="S1308" s="74"/>
      <c r="T1308" s="74"/>
      <c r="U1308" s="75"/>
      <c r="V1308" s="74"/>
      <c r="W1308" s="75"/>
      <c r="X1308" s="74"/>
      <c r="Y1308" s="74"/>
      <c r="Z1308" s="74"/>
      <c r="AA1308" s="74"/>
      <c r="AB1308" s="74"/>
      <c r="AC1308" s="74"/>
      <c r="AD1308" s="74"/>
      <c r="AE1308" s="74"/>
      <c r="AF1308" s="74"/>
      <c r="AG1308" s="74"/>
      <c r="AH1308" s="74"/>
    </row>
    <row r="1309" s="73" customFormat="1" spans="1:34">
      <c r="A1309" s="74"/>
      <c r="B1309" s="74"/>
      <c r="C1309" s="74"/>
      <c r="D1309" s="74"/>
      <c r="E1309" s="74"/>
      <c r="F1309" s="74"/>
      <c r="G1309" s="74"/>
      <c r="H1309" s="74"/>
      <c r="I1309" s="74"/>
      <c r="J1309" s="74"/>
      <c r="K1309" s="74"/>
      <c r="L1309" s="74"/>
      <c r="M1309" s="74"/>
      <c r="N1309" s="74"/>
      <c r="O1309" s="75"/>
      <c r="P1309" s="74"/>
      <c r="Q1309" s="75"/>
      <c r="R1309" s="74"/>
      <c r="S1309" s="74"/>
      <c r="T1309" s="74"/>
      <c r="U1309" s="75"/>
      <c r="V1309" s="74"/>
      <c r="W1309" s="75"/>
      <c r="X1309" s="74"/>
      <c r="Y1309" s="74"/>
      <c r="Z1309" s="74"/>
      <c r="AA1309" s="74"/>
      <c r="AB1309" s="74"/>
      <c r="AC1309" s="74"/>
      <c r="AD1309" s="74"/>
      <c r="AE1309" s="74"/>
      <c r="AF1309" s="74"/>
      <c r="AG1309" s="74"/>
      <c r="AH1309" s="74"/>
    </row>
    <row r="1310" s="73" customFormat="1" spans="1:34">
      <c r="A1310" s="74"/>
      <c r="B1310" s="74"/>
      <c r="C1310" s="74"/>
      <c r="D1310" s="74"/>
      <c r="E1310" s="74"/>
      <c r="F1310" s="74"/>
      <c r="G1310" s="74"/>
      <c r="H1310" s="74"/>
      <c r="I1310" s="74"/>
      <c r="J1310" s="74"/>
      <c r="K1310" s="74"/>
      <c r="L1310" s="74"/>
      <c r="M1310" s="74"/>
      <c r="N1310" s="74"/>
      <c r="O1310" s="75"/>
      <c r="P1310" s="74"/>
      <c r="Q1310" s="75"/>
      <c r="R1310" s="74"/>
      <c r="S1310" s="74"/>
      <c r="T1310" s="74"/>
      <c r="U1310" s="75"/>
      <c r="V1310" s="74"/>
      <c r="W1310" s="75"/>
      <c r="X1310" s="74"/>
      <c r="Y1310" s="74"/>
      <c r="Z1310" s="74"/>
      <c r="AA1310" s="74"/>
      <c r="AB1310" s="74"/>
      <c r="AC1310" s="74"/>
      <c r="AD1310" s="74"/>
      <c r="AE1310" s="74"/>
      <c r="AF1310" s="74"/>
      <c r="AG1310" s="74"/>
      <c r="AH1310" s="74"/>
    </row>
    <row r="1311" s="73" customFormat="1" spans="1:34">
      <c r="A1311" s="74"/>
      <c r="B1311" s="74"/>
      <c r="C1311" s="74"/>
      <c r="D1311" s="74"/>
      <c r="E1311" s="74"/>
      <c r="F1311" s="74"/>
      <c r="G1311" s="74"/>
      <c r="H1311" s="74"/>
      <c r="I1311" s="74"/>
      <c r="J1311" s="74"/>
      <c r="K1311" s="74"/>
      <c r="L1311" s="74"/>
      <c r="M1311" s="74"/>
      <c r="N1311" s="74"/>
      <c r="O1311" s="75"/>
      <c r="P1311" s="74"/>
      <c r="Q1311" s="75"/>
      <c r="R1311" s="74"/>
      <c r="S1311" s="74"/>
      <c r="T1311" s="74"/>
      <c r="U1311" s="75"/>
      <c r="V1311" s="74"/>
      <c r="W1311" s="75"/>
      <c r="X1311" s="74"/>
      <c r="Y1311" s="74"/>
      <c r="Z1311" s="74"/>
      <c r="AA1311" s="74"/>
      <c r="AB1311" s="74"/>
      <c r="AC1311" s="74"/>
      <c r="AD1311" s="74"/>
      <c r="AE1311" s="74"/>
      <c r="AF1311" s="74"/>
      <c r="AG1311" s="74"/>
      <c r="AH1311" s="74"/>
    </row>
    <row r="1312" s="73" customFormat="1" spans="1:34">
      <c r="A1312" s="74"/>
      <c r="B1312" s="74"/>
      <c r="C1312" s="74"/>
      <c r="D1312" s="74"/>
      <c r="E1312" s="74"/>
      <c r="F1312" s="74"/>
      <c r="G1312" s="74"/>
      <c r="H1312" s="74"/>
      <c r="I1312" s="74"/>
      <c r="J1312" s="74"/>
      <c r="K1312" s="74"/>
      <c r="L1312" s="74"/>
      <c r="M1312" s="74"/>
      <c r="N1312" s="74"/>
      <c r="O1312" s="75"/>
      <c r="P1312" s="74"/>
      <c r="Q1312" s="75"/>
      <c r="R1312" s="74"/>
      <c r="S1312" s="74"/>
      <c r="T1312" s="74"/>
      <c r="U1312" s="75"/>
      <c r="V1312" s="74"/>
      <c r="W1312" s="75"/>
      <c r="X1312" s="74"/>
      <c r="Y1312" s="74"/>
      <c r="Z1312" s="74"/>
      <c r="AA1312" s="74"/>
      <c r="AB1312" s="74"/>
      <c r="AC1312" s="74"/>
      <c r="AD1312" s="74"/>
      <c r="AE1312" s="74"/>
      <c r="AF1312" s="74"/>
      <c r="AG1312" s="74"/>
      <c r="AH1312" s="74"/>
    </row>
    <row r="1313" s="73" customFormat="1" spans="1:34">
      <c r="A1313" s="74"/>
      <c r="B1313" s="74"/>
      <c r="C1313" s="74"/>
      <c r="D1313" s="74"/>
      <c r="E1313" s="74"/>
      <c r="F1313" s="74"/>
      <c r="G1313" s="74"/>
      <c r="H1313" s="74"/>
      <c r="I1313" s="74"/>
      <c r="J1313" s="74"/>
      <c r="K1313" s="74"/>
      <c r="L1313" s="74"/>
      <c r="M1313" s="74"/>
      <c r="N1313" s="74"/>
      <c r="O1313" s="75"/>
      <c r="P1313" s="74"/>
      <c r="Q1313" s="75"/>
      <c r="R1313" s="74"/>
      <c r="S1313" s="74"/>
      <c r="T1313" s="74"/>
      <c r="U1313" s="75"/>
      <c r="V1313" s="74"/>
      <c r="W1313" s="75"/>
      <c r="X1313" s="74"/>
      <c r="Y1313" s="74"/>
      <c r="Z1313" s="74"/>
      <c r="AA1313" s="74"/>
      <c r="AB1313" s="74"/>
      <c r="AC1313" s="74"/>
      <c r="AD1313" s="74"/>
      <c r="AE1313" s="74"/>
      <c r="AF1313" s="74"/>
      <c r="AG1313" s="74"/>
      <c r="AH1313" s="74"/>
    </row>
    <row r="1314" s="73" customFormat="1" spans="1:34">
      <c r="A1314" s="74"/>
      <c r="B1314" s="74"/>
      <c r="C1314" s="74"/>
      <c r="D1314" s="74"/>
      <c r="E1314" s="74"/>
      <c r="F1314" s="74"/>
      <c r="G1314" s="74"/>
      <c r="H1314" s="74"/>
      <c r="I1314" s="74"/>
      <c r="J1314" s="74"/>
      <c r="K1314" s="74"/>
      <c r="L1314" s="74"/>
      <c r="M1314" s="74"/>
      <c r="N1314" s="74"/>
      <c r="O1314" s="75"/>
      <c r="P1314" s="74"/>
      <c r="Q1314" s="75"/>
      <c r="R1314" s="74"/>
      <c r="S1314" s="74"/>
      <c r="T1314" s="74"/>
      <c r="U1314" s="75"/>
      <c r="V1314" s="74"/>
      <c r="W1314" s="75"/>
      <c r="X1314" s="74"/>
      <c r="Y1314" s="74"/>
      <c r="Z1314" s="74"/>
      <c r="AA1314" s="74"/>
      <c r="AB1314" s="74"/>
      <c r="AC1314" s="74"/>
      <c r="AD1314" s="74"/>
      <c r="AE1314" s="74"/>
      <c r="AF1314" s="74"/>
      <c r="AG1314" s="74"/>
      <c r="AH1314" s="74"/>
    </row>
    <row r="1315" s="73" customFormat="1" spans="1:34">
      <c r="A1315" s="74"/>
      <c r="B1315" s="74"/>
      <c r="C1315" s="74"/>
      <c r="D1315" s="74"/>
      <c r="E1315" s="74"/>
      <c r="F1315" s="74"/>
      <c r="G1315" s="74"/>
      <c r="H1315" s="74"/>
      <c r="I1315" s="74"/>
      <c r="J1315" s="74"/>
      <c r="K1315" s="74"/>
      <c r="L1315" s="74"/>
      <c r="M1315" s="74"/>
      <c r="N1315" s="74"/>
      <c r="O1315" s="75"/>
      <c r="P1315" s="74"/>
      <c r="Q1315" s="75"/>
      <c r="R1315" s="74"/>
      <c r="S1315" s="74"/>
      <c r="T1315" s="74"/>
      <c r="U1315" s="75"/>
      <c r="V1315" s="74"/>
      <c r="W1315" s="75"/>
      <c r="X1315" s="74"/>
      <c r="Y1315" s="74"/>
      <c r="Z1315" s="74"/>
      <c r="AA1315" s="74"/>
      <c r="AB1315" s="74"/>
      <c r="AC1315" s="74"/>
      <c r="AD1315" s="74"/>
      <c r="AE1315" s="74"/>
      <c r="AF1315" s="74"/>
      <c r="AG1315" s="74"/>
      <c r="AH1315" s="74"/>
    </row>
    <row r="1316" s="73" customFormat="1" spans="1:34">
      <c r="A1316" s="74"/>
      <c r="B1316" s="74"/>
      <c r="C1316" s="74"/>
      <c r="D1316" s="74"/>
      <c r="E1316" s="74"/>
      <c r="F1316" s="74"/>
      <c r="G1316" s="74"/>
      <c r="H1316" s="74"/>
      <c r="I1316" s="74"/>
      <c r="J1316" s="74"/>
      <c r="K1316" s="74"/>
      <c r="L1316" s="74"/>
      <c r="M1316" s="74"/>
      <c r="N1316" s="74"/>
      <c r="O1316" s="75"/>
      <c r="P1316" s="74"/>
      <c r="Q1316" s="75"/>
      <c r="R1316" s="74"/>
      <c r="S1316" s="74"/>
      <c r="T1316" s="74"/>
      <c r="U1316" s="75"/>
      <c r="V1316" s="74"/>
      <c r="W1316" s="75"/>
      <c r="X1316" s="74"/>
      <c r="Y1316" s="74"/>
      <c r="Z1316" s="74"/>
      <c r="AA1316" s="74"/>
      <c r="AB1316" s="74"/>
      <c r="AC1316" s="74"/>
      <c r="AD1316" s="74"/>
      <c r="AE1316" s="74"/>
      <c r="AF1316" s="74"/>
      <c r="AG1316" s="74"/>
      <c r="AH1316" s="74"/>
    </row>
    <row r="1317" s="73" customFormat="1" spans="1:34">
      <c r="A1317" s="74"/>
      <c r="B1317" s="74"/>
      <c r="C1317" s="74"/>
      <c r="D1317" s="74"/>
      <c r="E1317" s="74"/>
      <c r="F1317" s="74"/>
      <c r="G1317" s="74"/>
      <c r="H1317" s="74"/>
      <c r="I1317" s="74"/>
      <c r="J1317" s="74"/>
      <c r="K1317" s="74"/>
      <c r="L1317" s="74"/>
      <c r="M1317" s="74"/>
      <c r="N1317" s="74"/>
      <c r="O1317" s="75"/>
      <c r="P1317" s="74"/>
      <c r="Q1317" s="75"/>
      <c r="R1317" s="74"/>
      <c r="S1317" s="74"/>
      <c r="T1317" s="74"/>
      <c r="U1317" s="75"/>
      <c r="V1317" s="74"/>
      <c r="W1317" s="75"/>
      <c r="X1317" s="74"/>
      <c r="Y1317" s="74"/>
      <c r="Z1317" s="74"/>
      <c r="AA1317" s="74"/>
      <c r="AB1317" s="74"/>
      <c r="AC1317" s="74"/>
      <c r="AD1317" s="74"/>
      <c r="AE1317" s="74"/>
      <c r="AF1317" s="74"/>
      <c r="AG1317" s="74"/>
      <c r="AH1317" s="74"/>
    </row>
    <row r="1318" s="73" customFormat="1" spans="1:34">
      <c r="A1318" s="74"/>
      <c r="B1318" s="74"/>
      <c r="C1318" s="74"/>
      <c r="D1318" s="74"/>
      <c r="E1318" s="74"/>
      <c r="F1318" s="74"/>
      <c r="G1318" s="74"/>
      <c r="H1318" s="74"/>
      <c r="I1318" s="74"/>
      <c r="J1318" s="74"/>
      <c r="K1318" s="74"/>
      <c r="L1318" s="74"/>
      <c r="M1318" s="74"/>
      <c r="N1318" s="74"/>
      <c r="O1318" s="75"/>
      <c r="P1318" s="74"/>
      <c r="Q1318" s="75"/>
      <c r="R1318" s="74"/>
      <c r="S1318" s="74"/>
      <c r="T1318" s="74"/>
      <c r="U1318" s="75"/>
      <c r="V1318" s="74"/>
      <c r="W1318" s="75"/>
      <c r="X1318" s="74"/>
      <c r="Y1318" s="74"/>
      <c r="Z1318" s="74"/>
      <c r="AA1318" s="74"/>
      <c r="AB1318" s="74"/>
      <c r="AC1318" s="74"/>
      <c r="AD1318" s="74"/>
      <c r="AE1318" s="74"/>
      <c r="AF1318" s="74"/>
      <c r="AG1318" s="74"/>
      <c r="AH1318" s="74"/>
    </row>
    <row r="1319" s="73" customFormat="1" spans="1:34">
      <c r="A1319" s="74"/>
      <c r="B1319" s="74"/>
      <c r="C1319" s="74"/>
      <c r="D1319" s="74"/>
      <c r="E1319" s="74"/>
      <c r="F1319" s="74"/>
      <c r="G1319" s="74"/>
      <c r="H1319" s="74"/>
      <c r="I1319" s="74"/>
      <c r="J1319" s="74"/>
      <c r="K1319" s="74"/>
      <c r="L1319" s="74"/>
      <c r="M1319" s="74"/>
      <c r="N1319" s="74"/>
      <c r="O1319" s="75"/>
      <c r="P1319" s="74"/>
      <c r="Q1319" s="75"/>
      <c r="R1319" s="74"/>
      <c r="S1319" s="74"/>
      <c r="T1319" s="74"/>
      <c r="U1319" s="75"/>
      <c r="V1319" s="74"/>
      <c r="W1319" s="75"/>
      <c r="X1319" s="74"/>
      <c r="Y1319" s="74"/>
      <c r="Z1319" s="74"/>
      <c r="AA1319" s="74"/>
      <c r="AB1319" s="74"/>
      <c r="AC1319" s="74"/>
      <c r="AD1319" s="74"/>
      <c r="AE1319" s="74"/>
      <c r="AF1319" s="74"/>
      <c r="AG1319" s="74"/>
      <c r="AH1319" s="74"/>
    </row>
    <row r="1320" s="73" customFormat="1" spans="1:34">
      <c r="A1320" s="74"/>
      <c r="B1320" s="74"/>
      <c r="C1320" s="74"/>
      <c r="D1320" s="74"/>
      <c r="E1320" s="74"/>
      <c r="F1320" s="74"/>
      <c r="G1320" s="74"/>
      <c r="H1320" s="74"/>
      <c r="I1320" s="74"/>
      <c r="J1320" s="74"/>
      <c r="K1320" s="74"/>
      <c r="L1320" s="74"/>
      <c r="M1320" s="74"/>
      <c r="N1320" s="74"/>
      <c r="O1320" s="75"/>
      <c r="P1320" s="74"/>
      <c r="Q1320" s="75"/>
      <c r="R1320" s="74"/>
      <c r="S1320" s="74"/>
      <c r="T1320" s="74"/>
      <c r="U1320" s="75"/>
      <c r="V1320" s="74"/>
      <c r="W1320" s="75"/>
      <c r="X1320" s="74"/>
      <c r="Y1320" s="74"/>
      <c r="Z1320" s="74"/>
      <c r="AA1320" s="74"/>
      <c r="AB1320" s="74"/>
      <c r="AC1320" s="74"/>
      <c r="AD1320" s="74"/>
      <c r="AE1320" s="74"/>
      <c r="AF1320" s="74"/>
      <c r="AG1320" s="74"/>
      <c r="AH1320" s="74"/>
    </row>
    <row r="1321" s="73" customFormat="1" spans="1:34">
      <c r="A1321" s="74"/>
      <c r="B1321" s="74"/>
      <c r="C1321" s="74"/>
      <c r="D1321" s="74"/>
      <c r="E1321" s="74"/>
      <c r="F1321" s="74"/>
      <c r="G1321" s="74"/>
      <c r="H1321" s="74"/>
      <c r="I1321" s="74"/>
      <c r="J1321" s="74"/>
      <c r="K1321" s="74"/>
      <c r="L1321" s="74"/>
      <c r="M1321" s="74"/>
      <c r="N1321" s="74"/>
      <c r="O1321" s="75"/>
      <c r="P1321" s="74"/>
      <c r="Q1321" s="75"/>
      <c r="R1321" s="74"/>
      <c r="S1321" s="74"/>
      <c r="T1321" s="74"/>
      <c r="U1321" s="75"/>
      <c r="V1321" s="74"/>
      <c r="W1321" s="75"/>
      <c r="X1321" s="74"/>
      <c r="Y1321" s="74"/>
      <c r="Z1321" s="74"/>
      <c r="AA1321" s="74"/>
      <c r="AB1321" s="74"/>
      <c r="AC1321" s="74"/>
      <c r="AD1321" s="74"/>
      <c r="AE1321" s="74"/>
      <c r="AF1321" s="74"/>
      <c r="AG1321" s="74"/>
      <c r="AH1321" s="74"/>
    </row>
    <row r="1322" s="73" customFormat="1" spans="1:34">
      <c r="A1322" s="74"/>
      <c r="B1322" s="74"/>
      <c r="C1322" s="74"/>
      <c r="D1322" s="74"/>
      <c r="E1322" s="74"/>
      <c r="F1322" s="74"/>
      <c r="G1322" s="74"/>
      <c r="H1322" s="74"/>
      <c r="I1322" s="74"/>
      <c r="J1322" s="74"/>
      <c r="K1322" s="74"/>
      <c r="L1322" s="74"/>
      <c r="M1322" s="74"/>
      <c r="N1322" s="74"/>
      <c r="O1322" s="75"/>
      <c r="P1322" s="74"/>
      <c r="Q1322" s="75"/>
      <c r="R1322" s="74"/>
      <c r="S1322" s="74"/>
      <c r="T1322" s="74"/>
      <c r="U1322" s="75"/>
      <c r="V1322" s="74"/>
      <c r="W1322" s="75"/>
      <c r="X1322" s="74"/>
      <c r="Y1322" s="74"/>
      <c r="Z1322" s="74"/>
      <c r="AA1322" s="74"/>
      <c r="AB1322" s="74"/>
      <c r="AC1322" s="74"/>
      <c r="AD1322" s="74"/>
      <c r="AE1322" s="74"/>
      <c r="AF1322" s="74"/>
      <c r="AG1322" s="74"/>
      <c r="AH1322" s="74"/>
    </row>
    <row r="1323" s="73" customFormat="1" spans="1:34">
      <c r="A1323" s="74"/>
      <c r="B1323" s="74"/>
      <c r="C1323" s="74"/>
      <c r="D1323" s="74"/>
      <c r="E1323" s="74"/>
      <c r="F1323" s="74"/>
      <c r="G1323" s="74"/>
      <c r="H1323" s="74"/>
      <c r="I1323" s="74"/>
      <c r="J1323" s="74"/>
      <c r="K1323" s="74"/>
      <c r="L1323" s="74"/>
      <c r="M1323" s="74"/>
      <c r="N1323" s="74"/>
      <c r="O1323" s="75"/>
      <c r="P1323" s="74"/>
      <c r="Q1323" s="75"/>
      <c r="R1323" s="74"/>
      <c r="S1323" s="74"/>
      <c r="T1323" s="74"/>
      <c r="U1323" s="75"/>
      <c r="V1323" s="74"/>
      <c r="W1323" s="75"/>
      <c r="X1323" s="74"/>
      <c r="Y1323" s="74"/>
      <c r="Z1323" s="74"/>
      <c r="AA1323" s="74"/>
      <c r="AB1323" s="74"/>
      <c r="AC1323" s="74"/>
      <c r="AD1323" s="74"/>
      <c r="AE1323" s="74"/>
      <c r="AF1323" s="74"/>
      <c r="AG1323" s="74"/>
      <c r="AH1323" s="74"/>
    </row>
    <row r="1324" s="73" customFormat="1" spans="1:34">
      <c r="A1324" s="74"/>
      <c r="B1324" s="74"/>
      <c r="C1324" s="74"/>
      <c r="D1324" s="74"/>
      <c r="E1324" s="74"/>
      <c r="F1324" s="74"/>
      <c r="G1324" s="74"/>
      <c r="H1324" s="74"/>
      <c r="I1324" s="74"/>
      <c r="J1324" s="74"/>
      <c r="K1324" s="74"/>
      <c r="L1324" s="74"/>
      <c r="M1324" s="74"/>
      <c r="N1324" s="74"/>
      <c r="O1324" s="75"/>
      <c r="P1324" s="74"/>
      <c r="Q1324" s="75"/>
      <c r="R1324" s="74"/>
      <c r="S1324" s="74"/>
      <c r="T1324" s="74"/>
      <c r="U1324" s="75"/>
      <c r="V1324" s="74"/>
      <c r="W1324" s="75"/>
      <c r="X1324" s="74"/>
      <c r="Y1324" s="74"/>
      <c r="Z1324" s="74"/>
      <c r="AA1324" s="74"/>
      <c r="AB1324" s="74"/>
      <c r="AC1324" s="74"/>
      <c r="AD1324" s="74"/>
      <c r="AE1324" s="74"/>
      <c r="AF1324" s="74"/>
      <c r="AG1324" s="74"/>
      <c r="AH1324" s="74"/>
    </row>
    <row r="1325" s="73" customFormat="1" spans="1:34">
      <c r="A1325" s="74"/>
      <c r="B1325" s="74"/>
      <c r="C1325" s="74"/>
      <c r="D1325" s="74"/>
      <c r="E1325" s="74"/>
      <c r="F1325" s="74"/>
      <c r="G1325" s="74"/>
      <c r="H1325" s="74"/>
      <c r="I1325" s="74"/>
      <c r="J1325" s="74"/>
      <c r="K1325" s="74"/>
      <c r="L1325" s="74"/>
      <c r="M1325" s="74"/>
      <c r="N1325" s="74"/>
      <c r="O1325" s="75"/>
      <c r="P1325" s="74"/>
      <c r="Q1325" s="75"/>
      <c r="R1325" s="74"/>
      <c r="S1325" s="74"/>
      <c r="T1325" s="74"/>
      <c r="U1325" s="75"/>
      <c r="V1325" s="74"/>
      <c r="W1325" s="75"/>
      <c r="X1325" s="74"/>
      <c r="Y1325" s="74"/>
      <c r="Z1325" s="74"/>
      <c r="AA1325" s="74"/>
      <c r="AB1325" s="74"/>
      <c r="AC1325" s="74"/>
      <c r="AD1325" s="74"/>
      <c r="AE1325" s="74"/>
      <c r="AF1325" s="74"/>
      <c r="AG1325" s="74"/>
      <c r="AH1325" s="74"/>
    </row>
    <row r="1327" s="73" customFormat="1" spans="1:34">
      <c r="A1327" s="74"/>
      <c r="B1327" s="74"/>
      <c r="C1327" s="74"/>
      <c r="D1327" s="74"/>
      <c r="E1327" s="74"/>
      <c r="F1327" s="74"/>
      <c r="G1327" s="74"/>
      <c r="H1327" s="74"/>
      <c r="I1327" s="74"/>
      <c r="J1327" s="74"/>
      <c r="K1327" s="74"/>
      <c r="L1327" s="74"/>
      <c r="M1327" s="74"/>
      <c r="N1327" s="74"/>
      <c r="O1327" s="75"/>
      <c r="P1327" s="74"/>
      <c r="Q1327" s="75"/>
      <c r="R1327" s="74"/>
      <c r="S1327" s="74"/>
      <c r="T1327" s="74"/>
      <c r="U1327" s="75"/>
      <c r="V1327" s="74"/>
      <c r="W1327" s="75"/>
      <c r="X1327" s="74"/>
      <c r="Y1327" s="74"/>
      <c r="Z1327" s="74"/>
      <c r="AA1327" s="74"/>
      <c r="AB1327" s="74"/>
      <c r="AC1327" s="74"/>
      <c r="AD1327" s="74"/>
      <c r="AE1327" s="74"/>
      <c r="AF1327" s="74"/>
      <c r="AG1327" s="74"/>
      <c r="AH1327" s="74"/>
    </row>
    <row r="1328" s="73" customFormat="1" spans="1:34">
      <c r="A1328" s="74"/>
      <c r="B1328" s="74"/>
      <c r="C1328" s="74"/>
      <c r="D1328" s="74"/>
      <c r="E1328" s="74"/>
      <c r="F1328" s="74"/>
      <c r="G1328" s="74"/>
      <c r="H1328" s="74"/>
      <c r="I1328" s="74"/>
      <c r="J1328" s="74"/>
      <c r="K1328" s="74"/>
      <c r="L1328" s="74"/>
      <c r="M1328" s="74"/>
      <c r="N1328" s="74"/>
      <c r="O1328" s="75"/>
      <c r="P1328" s="74"/>
      <c r="Q1328" s="75"/>
      <c r="R1328" s="74"/>
      <c r="S1328" s="74"/>
      <c r="T1328" s="74"/>
      <c r="U1328" s="75"/>
      <c r="V1328" s="74"/>
      <c r="W1328" s="75"/>
      <c r="X1328" s="74"/>
      <c r="Y1328" s="74"/>
      <c r="Z1328" s="74"/>
      <c r="AA1328" s="74"/>
      <c r="AB1328" s="74"/>
      <c r="AC1328" s="74"/>
      <c r="AD1328" s="74"/>
      <c r="AE1328" s="74"/>
      <c r="AF1328" s="74"/>
      <c r="AG1328" s="74"/>
      <c r="AH1328" s="74"/>
    </row>
    <row r="1329" s="73" customFormat="1" spans="1:34">
      <c r="A1329" s="74"/>
      <c r="B1329" s="74"/>
      <c r="C1329" s="74"/>
      <c r="D1329" s="74"/>
      <c r="E1329" s="74"/>
      <c r="F1329" s="74"/>
      <c r="G1329" s="74"/>
      <c r="H1329" s="74"/>
      <c r="I1329" s="74"/>
      <c r="J1329" s="74"/>
      <c r="K1329" s="74"/>
      <c r="L1329" s="74"/>
      <c r="M1329" s="74"/>
      <c r="N1329" s="74"/>
      <c r="O1329" s="75"/>
      <c r="P1329" s="74"/>
      <c r="Q1329" s="75"/>
      <c r="R1329" s="74"/>
      <c r="S1329" s="74"/>
      <c r="T1329" s="74"/>
      <c r="U1329" s="75"/>
      <c r="V1329" s="74"/>
      <c r="W1329" s="75"/>
      <c r="X1329" s="74"/>
      <c r="Y1329" s="74"/>
      <c r="Z1329" s="74"/>
      <c r="AA1329" s="74"/>
      <c r="AB1329" s="74"/>
      <c r="AC1329" s="74"/>
      <c r="AD1329" s="74"/>
      <c r="AE1329" s="74"/>
      <c r="AF1329" s="74"/>
      <c r="AG1329" s="74"/>
      <c r="AH1329" s="74"/>
    </row>
    <row r="1330" s="73" customFormat="1" spans="1:34">
      <c r="A1330" s="74"/>
      <c r="B1330" s="74"/>
      <c r="C1330" s="74"/>
      <c r="D1330" s="74"/>
      <c r="E1330" s="74"/>
      <c r="F1330" s="74"/>
      <c r="G1330" s="74"/>
      <c r="H1330" s="74"/>
      <c r="I1330" s="74"/>
      <c r="J1330" s="74"/>
      <c r="K1330" s="74"/>
      <c r="L1330" s="74"/>
      <c r="M1330" s="74"/>
      <c r="N1330" s="74"/>
      <c r="O1330" s="75"/>
      <c r="P1330" s="74"/>
      <c r="Q1330" s="75"/>
      <c r="R1330" s="74"/>
      <c r="S1330" s="74"/>
      <c r="T1330" s="74"/>
      <c r="U1330" s="75"/>
      <c r="V1330" s="74"/>
      <c r="W1330" s="75"/>
      <c r="X1330" s="74"/>
      <c r="Y1330" s="74"/>
      <c r="Z1330" s="74"/>
      <c r="AA1330" s="74"/>
      <c r="AB1330" s="74"/>
      <c r="AC1330" s="74"/>
      <c r="AD1330" s="74"/>
      <c r="AE1330" s="74"/>
      <c r="AF1330" s="74"/>
      <c r="AG1330" s="74"/>
      <c r="AH1330" s="74"/>
    </row>
    <row r="1331" s="73" customFormat="1" spans="1:34">
      <c r="A1331" s="74"/>
      <c r="B1331" s="74"/>
      <c r="C1331" s="74"/>
      <c r="D1331" s="74"/>
      <c r="E1331" s="74"/>
      <c r="F1331" s="74"/>
      <c r="G1331" s="74"/>
      <c r="H1331" s="74"/>
      <c r="I1331" s="74"/>
      <c r="J1331" s="74"/>
      <c r="K1331" s="74"/>
      <c r="L1331" s="74"/>
      <c r="M1331" s="74"/>
      <c r="N1331" s="74"/>
      <c r="O1331" s="75"/>
      <c r="P1331" s="74"/>
      <c r="Q1331" s="75"/>
      <c r="R1331" s="74"/>
      <c r="S1331" s="74"/>
      <c r="T1331" s="74"/>
      <c r="U1331" s="75"/>
      <c r="V1331" s="74"/>
      <c r="W1331" s="75"/>
      <c r="X1331" s="74"/>
      <c r="Y1331" s="74"/>
      <c r="Z1331" s="74"/>
      <c r="AA1331" s="74"/>
      <c r="AB1331" s="74"/>
      <c r="AC1331" s="74"/>
      <c r="AD1331" s="74"/>
      <c r="AE1331" s="74"/>
      <c r="AF1331" s="74"/>
      <c r="AG1331" s="74"/>
      <c r="AH1331" s="74"/>
    </row>
    <row r="1332" s="73" customFormat="1" spans="1:34">
      <c r="A1332" s="74"/>
      <c r="B1332" s="74"/>
      <c r="C1332" s="74"/>
      <c r="D1332" s="74"/>
      <c r="E1332" s="74"/>
      <c r="F1332" s="74"/>
      <c r="G1332" s="74"/>
      <c r="H1332" s="74"/>
      <c r="I1332" s="74"/>
      <c r="J1332" s="74"/>
      <c r="K1332" s="74"/>
      <c r="L1332" s="74"/>
      <c r="M1332" s="74"/>
      <c r="N1332" s="74"/>
      <c r="O1332" s="75"/>
      <c r="P1332" s="74"/>
      <c r="Q1332" s="75"/>
      <c r="R1332" s="74"/>
      <c r="S1332" s="74"/>
      <c r="T1332" s="74"/>
      <c r="U1332" s="75"/>
      <c r="V1332" s="74"/>
      <c r="W1332" s="75"/>
      <c r="X1332" s="74"/>
      <c r="Y1332" s="74"/>
      <c r="Z1332" s="74"/>
      <c r="AA1332" s="74"/>
      <c r="AB1332" s="74"/>
      <c r="AC1332" s="74"/>
      <c r="AD1332" s="74"/>
      <c r="AE1332" s="74"/>
      <c r="AF1332" s="74"/>
      <c r="AG1332" s="74"/>
      <c r="AH1332" s="74"/>
    </row>
    <row r="1333" s="73" customFormat="1" spans="1:34">
      <c r="A1333" s="74"/>
      <c r="B1333" s="74"/>
      <c r="C1333" s="74"/>
      <c r="D1333" s="74"/>
      <c r="E1333" s="74"/>
      <c r="F1333" s="74"/>
      <c r="G1333" s="74"/>
      <c r="H1333" s="74"/>
      <c r="I1333" s="74"/>
      <c r="J1333" s="74"/>
      <c r="K1333" s="74"/>
      <c r="L1333" s="74"/>
      <c r="M1333" s="74"/>
      <c r="N1333" s="74"/>
      <c r="O1333" s="75"/>
      <c r="P1333" s="74"/>
      <c r="Q1333" s="75"/>
      <c r="R1333" s="74"/>
      <c r="S1333" s="74"/>
      <c r="T1333" s="74"/>
      <c r="U1333" s="75"/>
      <c r="V1333" s="74"/>
      <c r="W1333" s="75"/>
      <c r="X1333" s="74"/>
      <c r="Y1333" s="74"/>
      <c r="Z1333" s="74"/>
      <c r="AA1333" s="74"/>
      <c r="AB1333" s="74"/>
      <c r="AC1333" s="74"/>
      <c r="AD1333" s="74"/>
      <c r="AE1333" s="74"/>
      <c r="AF1333" s="74"/>
      <c r="AG1333" s="74"/>
      <c r="AH1333" s="74"/>
    </row>
    <row r="1334" s="73" customFormat="1" spans="1:34">
      <c r="A1334" s="74"/>
      <c r="B1334" s="74"/>
      <c r="C1334" s="74"/>
      <c r="D1334" s="74"/>
      <c r="E1334" s="74"/>
      <c r="F1334" s="74"/>
      <c r="G1334" s="74"/>
      <c r="H1334" s="74"/>
      <c r="I1334" s="74"/>
      <c r="J1334" s="74"/>
      <c r="K1334" s="74"/>
      <c r="L1334" s="74"/>
      <c r="M1334" s="74"/>
      <c r="N1334" s="74"/>
      <c r="O1334" s="75"/>
      <c r="P1334" s="74"/>
      <c r="Q1334" s="75"/>
      <c r="R1334" s="74"/>
      <c r="S1334" s="74"/>
      <c r="T1334" s="74"/>
      <c r="U1334" s="75"/>
      <c r="V1334" s="74"/>
      <c r="W1334" s="75"/>
      <c r="X1334" s="74"/>
      <c r="Y1334" s="74"/>
      <c r="Z1334" s="74"/>
      <c r="AA1334" s="74"/>
      <c r="AB1334" s="74"/>
      <c r="AC1334" s="74"/>
      <c r="AD1334" s="74"/>
      <c r="AE1334" s="74"/>
      <c r="AF1334" s="74"/>
      <c r="AG1334" s="74"/>
      <c r="AH1334" s="74"/>
    </row>
    <row r="1335" s="73" customFormat="1" spans="1:34">
      <c r="A1335" s="74"/>
      <c r="B1335" s="74"/>
      <c r="C1335" s="74"/>
      <c r="D1335" s="74"/>
      <c r="E1335" s="74"/>
      <c r="F1335" s="74"/>
      <c r="G1335" s="74"/>
      <c r="H1335" s="74"/>
      <c r="I1335" s="74"/>
      <c r="J1335" s="74"/>
      <c r="K1335" s="74"/>
      <c r="L1335" s="74"/>
      <c r="M1335" s="74"/>
      <c r="N1335" s="74"/>
      <c r="O1335" s="75"/>
      <c r="P1335" s="74"/>
      <c r="Q1335" s="75"/>
      <c r="R1335" s="74"/>
      <c r="S1335" s="74"/>
      <c r="T1335" s="74"/>
      <c r="U1335" s="75"/>
      <c r="V1335" s="74"/>
      <c r="W1335" s="75"/>
      <c r="X1335" s="74"/>
      <c r="Y1335" s="74"/>
      <c r="Z1335" s="74"/>
      <c r="AA1335" s="74"/>
      <c r="AB1335" s="74"/>
      <c r="AC1335" s="74"/>
      <c r="AD1335" s="74"/>
      <c r="AE1335" s="74"/>
      <c r="AF1335" s="74"/>
      <c r="AG1335" s="74"/>
      <c r="AH1335" s="74"/>
    </row>
    <row r="1336" s="73" customFormat="1" spans="1:34">
      <c r="A1336" s="74"/>
      <c r="B1336" s="74"/>
      <c r="C1336" s="74"/>
      <c r="D1336" s="74"/>
      <c r="E1336" s="74"/>
      <c r="F1336" s="74"/>
      <c r="G1336" s="74"/>
      <c r="H1336" s="74"/>
      <c r="I1336" s="74"/>
      <c r="J1336" s="74"/>
      <c r="K1336" s="74"/>
      <c r="L1336" s="74"/>
      <c r="M1336" s="74"/>
      <c r="N1336" s="74"/>
      <c r="O1336" s="75"/>
      <c r="P1336" s="74"/>
      <c r="Q1336" s="75"/>
      <c r="R1336" s="74"/>
      <c r="S1336" s="74"/>
      <c r="T1336" s="74"/>
      <c r="U1336" s="75"/>
      <c r="V1336" s="74"/>
      <c r="W1336" s="75"/>
      <c r="X1336" s="74"/>
      <c r="Y1336" s="74"/>
      <c r="Z1336" s="74"/>
      <c r="AA1336" s="74"/>
      <c r="AB1336" s="74"/>
      <c r="AC1336" s="74"/>
      <c r="AD1336" s="74"/>
      <c r="AE1336" s="74"/>
      <c r="AF1336" s="74"/>
      <c r="AG1336" s="74"/>
      <c r="AH1336" s="74"/>
    </row>
    <row r="1337" s="73" customFormat="1" spans="1:34">
      <c r="A1337" s="74"/>
      <c r="B1337" s="74"/>
      <c r="C1337" s="74"/>
      <c r="D1337" s="74"/>
      <c r="E1337" s="74"/>
      <c r="F1337" s="74"/>
      <c r="G1337" s="74"/>
      <c r="H1337" s="74"/>
      <c r="I1337" s="74"/>
      <c r="J1337" s="74"/>
      <c r="K1337" s="74"/>
      <c r="L1337" s="74"/>
      <c r="M1337" s="74"/>
      <c r="N1337" s="74"/>
      <c r="O1337" s="75"/>
      <c r="P1337" s="74"/>
      <c r="Q1337" s="75"/>
      <c r="R1337" s="74"/>
      <c r="S1337" s="74"/>
      <c r="T1337" s="74"/>
      <c r="U1337" s="75"/>
      <c r="V1337" s="74"/>
      <c r="W1337" s="75"/>
      <c r="X1337" s="74"/>
      <c r="Y1337" s="74"/>
      <c r="Z1337" s="74"/>
      <c r="AA1337" s="74"/>
      <c r="AB1337" s="74"/>
      <c r="AC1337" s="74"/>
      <c r="AD1337" s="74"/>
      <c r="AE1337" s="74"/>
      <c r="AF1337" s="74"/>
      <c r="AG1337" s="74"/>
      <c r="AH1337" s="74"/>
    </row>
    <row r="1338" s="73" customFormat="1" spans="1:34">
      <c r="A1338" s="74"/>
      <c r="B1338" s="74"/>
      <c r="C1338" s="74"/>
      <c r="D1338" s="74"/>
      <c r="E1338" s="74"/>
      <c r="F1338" s="74"/>
      <c r="G1338" s="74"/>
      <c r="H1338" s="74"/>
      <c r="I1338" s="74"/>
      <c r="J1338" s="74"/>
      <c r="K1338" s="74"/>
      <c r="L1338" s="74"/>
      <c r="M1338" s="74"/>
      <c r="N1338" s="74"/>
      <c r="O1338" s="75"/>
      <c r="P1338" s="74"/>
      <c r="Q1338" s="75"/>
      <c r="R1338" s="74"/>
      <c r="S1338" s="74"/>
      <c r="T1338" s="74"/>
      <c r="U1338" s="75"/>
      <c r="V1338" s="74"/>
      <c r="W1338" s="75"/>
      <c r="X1338" s="74"/>
      <c r="Y1338" s="74"/>
      <c r="Z1338" s="74"/>
      <c r="AA1338" s="74"/>
      <c r="AB1338" s="74"/>
      <c r="AC1338" s="74"/>
      <c r="AD1338" s="74"/>
      <c r="AE1338" s="74"/>
      <c r="AF1338" s="74"/>
      <c r="AG1338" s="74"/>
      <c r="AH1338" s="74"/>
    </row>
    <row r="1339" s="73" customFormat="1" spans="1:34">
      <c r="A1339" s="74"/>
      <c r="B1339" s="74"/>
      <c r="C1339" s="74"/>
      <c r="D1339" s="74"/>
      <c r="E1339" s="74"/>
      <c r="F1339" s="74"/>
      <c r="G1339" s="74"/>
      <c r="H1339" s="74"/>
      <c r="I1339" s="74"/>
      <c r="J1339" s="74"/>
      <c r="K1339" s="74"/>
      <c r="L1339" s="74"/>
      <c r="M1339" s="74"/>
      <c r="N1339" s="74"/>
      <c r="O1339" s="75"/>
      <c r="P1339" s="74"/>
      <c r="Q1339" s="75"/>
      <c r="R1339" s="74"/>
      <c r="S1339" s="74"/>
      <c r="T1339" s="74"/>
      <c r="U1339" s="75"/>
      <c r="V1339" s="74"/>
      <c r="W1339" s="75"/>
      <c r="X1339" s="74"/>
      <c r="Y1339" s="74"/>
      <c r="Z1339" s="74"/>
      <c r="AA1339" s="74"/>
      <c r="AB1339" s="74"/>
      <c r="AC1339" s="74"/>
      <c r="AD1339" s="74"/>
      <c r="AE1339" s="74"/>
      <c r="AF1339" s="74"/>
      <c r="AG1339" s="74"/>
      <c r="AH1339" s="74"/>
    </row>
    <row r="1340" s="73" customFormat="1" spans="1:34">
      <c r="A1340" s="74"/>
      <c r="B1340" s="74"/>
      <c r="C1340" s="74"/>
      <c r="D1340" s="74"/>
      <c r="E1340" s="74"/>
      <c r="F1340" s="74"/>
      <c r="G1340" s="74"/>
      <c r="H1340" s="74"/>
      <c r="I1340" s="74"/>
      <c r="J1340" s="74"/>
      <c r="K1340" s="74"/>
      <c r="L1340" s="74"/>
      <c r="M1340" s="74"/>
      <c r="N1340" s="74"/>
      <c r="O1340" s="75"/>
      <c r="P1340" s="74"/>
      <c r="Q1340" s="75"/>
      <c r="R1340" s="74"/>
      <c r="S1340" s="74"/>
      <c r="T1340" s="74"/>
      <c r="U1340" s="75"/>
      <c r="V1340" s="74"/>
      <c r="W1340" s="75"/>
      <c r="X1340" s="74"/>
      <c r="Y1340" s="74"/>
      <c r="Z1340" s="74"/>
      <c r="AA1340" s="74"/>
      <c r="AB1340" s="74"/>
      <c r="AC1340" s="74"/>
      <c r="AD1340" s="74"/>
      <c r="AE1340" s="74"/>
      <c r="AF1340" s="74"/>
      <c r="AG1340" s="74"/>
      <c r="AH1340" s="74"/>
    </row>
    <row r="1341" s="73" customFormat="1" spans="1:34">
      <c r="A1341" s="74"/>
      <c r="B1341" s="74"/>
      <c r="C1341" s="74"/>
      <c r="D1341" s="74"/>
      <c r="E1341" s="74"/>
      <c r="F1341" s="74"/>
      <c r="G1341" s="74"/>
      <c r="H1341" s="74"/>
      <c r="I1341" s="74"/>
      <c r="J1341" s="74"/>
      <c r="K1341" s="74"/>
      <c r="L1341" s="74"/>
      <c r="M1341" s="74"/>
      <c r="N1341" s="74"/>
      <c r="O1341" s="75"/>
      <c r="P1341" s="74"/>
      <c r="Q1341" s="75"/>
      <c r="R1341" s="74"/>
      <c r="S1341" s="74"/>
      <c r="T1341" s="74"/>
      <c r="U1341" s="75"/>
      <c r="V1341" s="74"/>
      <c r="W1341" s="75"/>
      <c r="X1341" s="74"/>
      <c r="Y1341" s="74"/>
      <c r="Z1341" s="74"/>
      <c r="AA1341" s="74"/>
      <c r="AB1341" s="74"/>
      <c r="AC1341" s="74"/>
      <c r="AD1341" s="74"/>
      <c r="AE1341" s="74"/>
      <c r="AF1341" s="74"/>
      <c r="AG1341" s="74"/>
      <c r="AH1341" s="74"/>
    </row>
    <row r="1342" s="73" customFormat="1" spans="1:34">
      <c r="A1342" s="74"/>
      <c r="B1342" s="74"/>
      <c r="C1342" s="74"/>
      <c r="D1342" s="74"/>
      <c r="E1342" s="74"/>
      <c r="F1342" s="74"/>
      <c r="G1342" s="74"/>
      <c r="H1342" s="74"/>
      <c r="I1342" s="74"/>
      <c r="J1342" s="74"/>
      <c r="K1342" s="74"/>
      <c r="L1342" s="74"/>
      <c r="M1342" s="74"/>
      <c r="N1342" s="74"/>
      <c r="O1342" s="75"/>
      <c r="P1342" s="74"/>
      <c r="Q1342" s="75"/>
      <c r="R1342" s="74"/>
      <c r="S1342" s="74"/>
      <c r="T1342" s="74"/>
      <c r="U1342" s="75"/>
      <c r="V1342" s="74"/>
      <c r="W1342" s="75"/>
      <c r="X1342" s="74"/>
      <c r="Y1342" s="74"/>
      <c r="Z1342" s="74"/>
      <c r="AA1342" s="74"/>
      <c r="AB1342" s="74"/>
      <c r="AC1342" s="74"/>
      <c r="AD1342" s="74"/>
      <c r="AE1342" s="74"/>
      <c r="AF1342" s="74"/>
      <c r="AG1342" s="74"/>
      <c r="AH1342" s="74"/>
    </row>
    <row r="1343" s="73" customFormat="1" spans="1:34">
      <c r="A1343" s="74"/>
      <c r="B1343" s="74"/>
      <c r="C1343" s="74"/>
      <c r="D1343" s="74"/>
      <c r="E1343" s="74"/>
      <c r="F1343" s="74"/>
      <c r="G1343" s="74"/>
      <c r="H1343" s="74"/>
      <c r="I1343" s="74"/>
      <c r="J1343" s="74"/>
      <c r="K1343" s="74"/>
      <c r="L1343" s="74"/>
      <c r="M1343" s="74"/>
      <c r="N1343" s="74"/>
      <c r="O1343" s="75"/>
      <c r="P1343" s="74"/>
      <c r="Q1343" s="75"/>
      <c r="R1343" s="74"/>
      <c r="S1343" s="74"/>
      <c r="T1343" s="74"/>
      <c r="U1343" s="75"/>
      <c r="V1343" s="74"/>
      <c r="W1343" s="75"/>
      <c r="X1343" s="74"/>
      <c r="Y1343" s="74"/>
      <c r="Z1343" s="74"/>
      <c r="AA1343" s="74"/>
      <c r="AB1343" s="74"/>
      <c r="AC1343" s="74"/>
      <c r="AD1343" s="74"/>
      <c r="AE1343" s="74"/>
      <c r="AF1343" s="74"/>
      <c r="AG1343" s="74"/>
      <c r="AH1343" s="74"/>
    </row>
    <row r="1344" s="73" customFormat="1" spans="1:34">
      <c r="A1344" s="74"/>
      <c r="B1344" s="74"/>
      <c r="C1344" s="74"/>
      <c r="D1344" s="74"/>
      <c r="E1344" s="74"/>
      <c r="F1344" s="74"/>
      <c r="G1344" s="74"/>
      <c r="H1344" s="74"/>
      <c r="I1344" s="74"/>
      <c r="J1344" s="74"/>
      <c r="K1344" s="74"/>
      <c r="L1344" s="74"/>
      <c r="M1344" s="74"/>
      <c r="N1344" s="74"/>
      <c r="O1344" s="75"/>
      <c r="P1344" s="74"/>
      <c r="Q1344" s="75"/>
      <c r="R1344" s="74"/>
      <c r="S1344" s="74"/>
      <c r="T1344" s="74"/>
      <c r="U1344" s="75"/>
      <c r="V1344" s="74"/>
      <c r="W1344" s="75"/>
      <c r="X1344" s="74"/>
      <c r="Y1344" s="74"/>
      <c r="Z1344" s="74"/>
      <c r="AA1344" s="74"/>
      <c r="AB1344" s="74"/>
      <c r="AC1344" s="74"/>
      <c r="AD1344" s="74"/>
      <c r="AE1344" s="74"/>
      <c r="AF1344" s="74"/>
      <c r="AG1344" s="74"/>
      <c r="AH1344" s="74"/>
    </row>
    <row r="1345" s="73" customFormat="1" spans="1:34">
      <c r="A1345" s="74"/>
      <c r="B1345" s="74"/>
      <c r="C1345" s="74"/>
      <c r="D1345" s="74"/>
      <c r="E1345" s="74"/>
      <c r="F1345" s="74"/>
      <c r="G1345" s="74"/>
      <c r="H1345" s="74"/>
      <c r="I1345" s="74"/>
      <c r="J1345" s="74"/>
      <c r="K1345" s="74"/>
      <c r="L1345" s="74"/>
      <c r="M1345" s="74"/>
      <c r="N1345" s="74"/>
      <c r="O1345" s="75"/>
      <c r="P1345" s="74"/>
      <c r="Q1345" s="75"/>
      <c r="R1345" s="74"/>
      <c r="S1345" s="74"/>
      <c r="T1345" s="74"/>
      <c r="U1345" s="75"/>
      <c r="V1345" s="74"/>
      <c r="W1345" s="75"/>
      <c r="X1345" s="74"/>
      <c r="Y1345" s="74"/>
      <c r="Z1345" s="74"/>
      <c r="AA1345" s="74"/>
      <c r="AB1345" s="74"/>
      <c r="AC1345" s="74"/>
      <c r="AD1345" s="74"/>
      <c r="AE1345" s="74"/>
      <c r="AF1345" s="74"/>
      <c r="AG1345" s="74"/>
      <c r="AH1345" s="74"/>
    </row>
    <row r="1346" s="73" customFormat="1" spans="1:34">
      <c r="A1346" s="74"/>
      <c r="B1346" s="74"/>
      <c r="C1346" s="74"/>
      <c r="D1346" s="74"/>
      <c r="E1346" s="74"/>
      <c r="F1346" s="74"/>
      <c r="G1346" s="74"/>
      <c r="H1346" s="74"/>
      <c r="I1346" s="74"/>
      <c r="J1346" s="74"/>
      <c r="K1346" s="74"/>
      <c r="L1346" s="74"/>
      <c r="M1346" s="74"/>
      <c r="N1346" s="74"/>
      <c r="O1346" s="75"/>
      <c r="P1346" s="74"/>
      <c r="Q1346" s="75"/>
      <c r="R1346" s="74"/>
      <c r="S1346" s="74"/>
      <c r="T1346" s="74"/>
      <c r="U1346" s="75"/>
      <c r="V1346" s="74"/>
      <c r="W1346" s="75"/>
      <c r="X1346" s="74"/>
      <c r="Y1346" s="74"/>
      <c r="Z1346" s="74"/>
      <c r="AA1346" s="74"/>
      <c r="AB1346" s="74"/>
      <c r="AC1346" s="74"/>
      <c r="AD1346" s="74"/>
      <c r="AE1346" s="74"/>
      <c r="AF1346" s="74"/>
      <c r="AG1346" s="74"/>
      <c r="AH1346" s="74"/>
    </row>
    <row r="1347" s="73" customFormat="1" spans="1:34">
      <c r="A1347" s="74"/>
      <c r="B1347" s="74"/>
      <c r="C1347" s="74"/>
      <c r="D1347" s="74"/>
      <c r="E1347" s="74"/>
      <c r="F1347" s="74"/>
      <c r="G1347" s="74"/>
      <c r="H1347" s="74"/>
      <c r="I1347" s="74"/>
      <c r="J1347" s="74"/>
      <c r="K1347" s="74"/>
      <c r="L1347" s="74"/>
      <c r="M1347" s="74"/>
      <c r="N1347" s="74"/>
      <c r="O1347" s="75"/>
      <c r="P1347" s="74"/>
      <c r="Q1347" s="75"/>
      <c r="R1347" s="74"/>
      <c r="S1347" s="74"/>
      <c r="T1347" s="74"/>
      <c r="U1347" s="75"/>
      <c r="V1347" s="74"/>
      <c r="W1347" s="75"/>
      <c r="X1347" s="74"/>
      <c r="Y1347" s="74"/>
      <c r="Z1347" s="74"/>
      <c r="AA1347" s="74"/>
      <c r="AB1347" s="74"/>
      <c r="AC1347" s="74"/>
      <c r="AD1347" s="74"/>
      <c r="AE1347" s="74"/>
      <c r="AF1347" s="74"/>
      <c r="AG1347" s="74"/>
      <c r="AH1347" s="74"/>
    </row>
    <row r="1348" s="73" customFormat="1" spans="1:34">
      <c r="A1348" s="74"/>
      <c r="B1348" s="74"/>
      <c r="C1348" s="74"/>
      <c r="D1348" s="74"/>
      <c r="E1348" s="74"/>
      <c r="F1348" s="74"/>
      <c r="G1348" s="74"/>
      <c r="H1348" s="74"/>
      <c r="I1348" s="74"/>
      <c r="J1348" s="74"/>
      <c r="K1348" s="74"/>
      <c r="L1348" s="74"/>
      <c r="M1348" s="74"/>
      <c r="N1348" s="74"/>
      <c r="O1348" s="75"/>
      <c r="P1348" s="74"/>
      <c r="Q1348" s="75"/>
      <c r="R1348" s="74"/>
      <c r="S1348" s="74"/>
      <c r="T1348" s="74"/>
      <c r="U1348" s="75"/>
      <c r="V1348" s="74"/>
      <c r="W1348" s="75"/>
      <c r="X1348" s="74"/>
      <c r="Y1348" s="74"/>
      <c r="Z1348" s="74"/>
      <c r="AA1348" s="74"/>
      <c r="AB1348" s="74"/>
      <c r="AC1348" s="74"/>
      <c r="AD1348" s="74"/>
      <c r="AE1348" s="74"/>
      <c r="AF1348" s="74"/>
      <c r="AG1348" s="74"/>
      <c r="AH1348" s="74"/>
    </row>
    <row r="1349" s="73" customFormat="1" spans="1:34">
      <c r="A1349" s="74"/>
      <c r="B1349" s="74"/>
      <c r="C1349" s="74"/>
      <c r="D1349" s="74"/>
      <c r="E1349" s="74"/>
      <c r="F1349" s="74"/>
      <c r="G1349" s="74"/>
      <c r="H1349" s="74"/>
      <c r="I1349" s="74"/>
      <c r="J1349" s="74"/>
      <c r="K1349" s="74"/>
      <c r="L1349" s="74"/>
      <c r="M1349" s="74"/>
      <c r="N1349" s="74"/>
      <c r="O1349" s="75"/>
      <c r="P1349" s="74"/>
      <c r="Q1349" s="75"/>
      <c r="R1349" s="74"/>
      <c r="S1349" s="74"/>
      <c r="T1349" s="74"/>
      <c r="U1349" s="75"/>
      <c r="V1349" s="74"/>
      <c r="W1349" s="75"/>
      <c r="X1349" s="74"/>
      <c r="Y1349" s="74"/>
      <c r="Z1349" s="74"/>
      <c r="AA1349" s="74"/>
      <c r="AB1349" s="74"/>
      <c r="AC1349" s="74"/>
      <c r="AD1349" s="74"/>
      <c r="AE1349" s="74"/>
      <c r="AF1349" s="74"/>
      <c r="AG1349" s="74"/>
      <c r="AH1349" s="74"/>
    </row>
    <row r="1350" s="73" customFormat="1" spans="1:34">
      <c r="A1350" s="74"/>
      <c r="B1350" s="74"/>
      <c r="C1350" s="74"/>
      <c r="D1350" s="74"/>
      <c r="E1350" s="74"/>
      <c r="F1350" s="74"/>
      <c r="G1350" s="74"/>
      <c r="H1350" s="74"/>
      <c r="I1350" s="74"/>
      <c r="J1350" s="74"/>
      <c r="K1350" s="74"/>
      <c r="L1350" s="74"/>
      <c r="M1350" s="74"/>
      <c r="N1350" s="74"/>
      <c r="O1350" s="75"/>
      <c r="P1350" s="74"/>
      <c r="Q1350" s="75"/>
      <c r="R1350" s="74"/>
      <c r="S1350" s="74"/>
      <c r="T1350" s="74"/>
      <c r="U1350" s="75"/>
      <c r="V1350" s="74"/>
      <c r="W1350" s="75"/>
      <c r="X1350" s="74"/>
      <c r="Y1350" s="74"/>
      <c r="Z1350" s="74"/>
      <c r="AA1350" s="74"/>
      <c r="AB1350" s="74"/>
      <c r="AC1350" s="74"/>
      <c r="AD1350" s="74"/>
      <c r="AE1350" s="74"/>
      <c r="AF1350" s="74"/>
      <c r="AG1350" s="74"/>
      <c r="AH1350" s="74"/>
    </row>
    <row r="1351" s="73" customFormat="1" spans="1:34">
      <c r="A1351" s="74"/>
      <c r="B1351" s="74"/>
      <c r="C1351" s="74"/>
      <c r="D1351" s="74"/>
      <c r="E1351" s="74"/>
      <c r="F1351" s="74"/>
      <c r="G1351" s="74"/>
      <c r="H1351" s="74"/>
      <c r="I1351" s="74"/>
      <c r="J1351" s="74"/>
      <c r="K1351" s="74"/>
      <c r="L1351" s="74"/>
      <c r="M1351" s="74"/>
      <c r="N1351" s="74"/>
      <c r="O1351" s="75"/>
      <c r="P1351" s="74"/>
      <c r="Q1351" s="75"/>
      <c r="R1351" s="74"/>
      <c r="S1351" s="74"/>
      <c r="T1351" s="74"/>
      <c r="U1351" s="75"/>
      <c r="V1351" s="74"/>
      <c r="W1351" s="75"/>
      <c r="X1351" s="74"/>
      <c r="Y1351" s="74"/>
      <c r="Z1351" s="74"/>
      <c r="AA1351" s="74"/>
      <c r="AB1351" s="74"/>
      <c r="AC1351" s="74"/>
      <c r="AD1351" s="74"/>
      <c r="AE1351" s="74"/>
      <c r="AF1351" s="74"/>
      <c r="AG1351" s="74"/>
      <c r="AH1351" s="74"/>
    </row>
    <row r="1352" s="73" customFormat="1" spans="1:34">
      <c r="A1352" s="74"/>
      <c r="B1352" s="74"/>
      <c r="C1352" s="74"/>
      <c r="D1352" s="74"/>
      <c r="E1352" s="74"/>
      <c r="F1352" s="74"/>
      <c r="G1352" s="74"/>
      <c r="H1352" s="74"/>
      <c r="I1352" s="74"/>
      <c r="J1352" s="74"/>
      <c r="K1352" s="74"/>
      <c r="L1352" s="74"/>
      <c r="M1352" s="74"/>
      <c r="N1352" s="74"/>
      <c r="O1352" s="75"/>
      <c r="P1352" s="74"/>
      <c r="Q1352" s="75"/>
      <c r="R1352" s="74"/>
      <c r="S1352" s="74"/>
      <c r="T1352" s="74"/>
      <c r="U1352" s="75"/>
      <c r="V1352" s="74"/>
      <c r="W1352" s="75"/>
      <c r="X1352" s="74"/>
      <c r="Y1352" s="74"/>
      <c r="Z1352" s="74"/>
      <c r="AA1352" s="74"/>
      <c r="AB1352" s="74"/>
      <c r="AC1352" s="74"/>
      <c r="AD1352" s="74"/>
      <c r="AE1352" s="74"/>
      <c r="AF1352" s="74"/>
      <c r="AG1352" s="74"/>
      <c r="AH1352" s="74"/>
    </row>
    <row r="1353" s="73" customFormat="1" spans="1:34">
      <c r="A1353" s="74"/>
      <c r="B1353" s="74"/>
      <c r="C1353" s="74"/>
      <c r="D1353" s="74"/>
      <c r="E1353" s="74"/>
      <c r="F1353" s="74"/>
      <c r="G1353" s="74"/>
      <c r="H1353" s="74"/>
      <c r="I1353" s="74"/>
      <c r="J1353" s="74"/>
      <c r="K1353" s="74"/>
      <c r="L1353" s="74"/>
      <c r="M1353" s="74"/>
      <c r="N1353" s="74"/>
      <c r="O1353" s="75"/>
      <c r="P1353" s="74"/>
      <c r="Q1353" s="75"/>
      <c r="R1353" s="74"/>
      <c r="S1353" s="74"/>
      <c r="T1353" s="74"/>
      <c r="U1353" s="75"/>
      <c r="V1353" s="74"/>
      <c r="W1353" s="75"/>
      <c r="X1353" s="74"/>
      <c r="Y1353" s="74"/>
      <c r="Z1353" s="74"/>
      <c r="AA1353" s="74"/>
      <c r="AB1353" s="74"/>
      <c r="AC1353" s="74"/>
      <c r="AD1353" s="74"/>
      <c r="AE1353" s="74"/>
      <c r="AF1353" s="74"/>
      <c r="AG1353" s="74"/>
      <c r="AH1353" s="74"/>
    </row>
    <row r="1354" s="73" customFormat="1" spans="1:34">
      <c r="A1354" s="74"/>
      <c r="B1354" s="74"/>
      <c r="C1354" s="74"/>
      <c r="D1354" s="74"/>
      <c r="E1354" s="74"/>
      <c r="F1354" s="74"/>
      <c r="G1354" s="74"/>
      <c r="H1354" s="74"/>
      <c r="I1354" s="74"/>
      <c r="J1354" s="74"/>
      <c r="K1354" s="74"/>
      <c r="L1354" s="74"/>
      <c r="M1354" s="74"/>
      <c r="N1354" s="74"/>
      <c r="O1354" s="75"/>
      <c r="P1354" s="74"/>
      <c r="Q1354" s="75"/>
      <c r="R1354" s="74"/>
      <c r="S1354" s="74"/>
      <c r="T1354" s="74"/>
      <c r="U1354" s="75"/>
      <c r="V1354" s="74"/>
      <c r="W1354" s="75"/>
      <c r="X1354" s="74"/>
      <c r="Y1354" s="74"/>
      <c r="Z1354" s="74"/>
      <c r="AA1354" s="74"/>
      <c r="AB1354" s="74"/>
      <c r="AC1354" s="74"/>
      <c r="AD1354" s="74"/>
      <c r="AE1354" s="74"/>
      <c r="AF1354" s="74"/>
      <c r="AG1354" s="74"/>
      <c r="AH1354" s="74"/>
    </row>
    <row r="1355" s="73" customFormat="1" spans="1:34">
      <c r="A1355" s="74"/>
      <c r="B1355" s="74"/>
      <c r="C1355" s="74"/>
      <c r="D1355" s="74"/>
      <c r="E1355" s="74"/>
      <c r="F1355" s="74"/>
      <c r="G1355" s="74"/>
      <c r="H1355" s="74"/>
      <c r="I1355" s="74"/>
      <c r="J1355" s="74"/>
      <c r="K1355" s="74"/>
      <c r="L1355" s="74"/>
      <c r="M1355" s="74"/>
      <c r="N1355" s="74"/>
      <c r="O1355" s="75"/>
      <c r="P1355" s="74"/>
      <c r="Q1355" s="75"/>
      <c r="R1355" s="74"/>
      <c r="S1355" s="74"/>
      <c r="T1355" s="74"/>
      <c r="U1355" s="75"/>
      <c r="V1355" s="74"/>
      <c r="W1355" s="75"/>
      <c r="X1355" s="74"/>
      <c r="Y1355" s="74"/>
      <c r="Z1355" s="74"/>
      <c r="AA1355" s="74"/>
      <c r="AB1355" s="74"/>
      <c r="AC1355" s="74"/>
      <c r="AD1355" s="74"/>
      <c r="AE1355" s="74"/>
      <c r="AF1355" s="74"/>
      <c r="AG1355" s="74"/>
      <c r="AH1355" s="74"/>
    </row>
    <row r="1356" s="73" customFormat="1" spans="1:34">
      <c r="A1356" s="74"/>
      <c r="B1356" s="74"/>
      <c r="C1356" s="74"/>
      <c r="D1356" s="74"/>
      <c r="E1356" s="74"/>
      <c r="F1356" s="74"/>
      <c r="G1356" s="74"/>
      <c r="H1356" s="74"/>
      <c r="I1356" s="74"/>
      <c r="J1356" s="74"/>
      <c r="K1356" s="74"/>
      <c r="L1356" s="74"/>
      <c r="M1356" s="74"/>
      <c r="N1356" s="74"/>
      <c r="O1356" s="75"/>
      <c r="P1356" s="74"/>
      <c r="Q1356" s="75"/>
      <c r="R1356" s="74"/>
      <c r="S1356" s="74"/>
      <c r="T1356" s="74"/>
      <c r="U1356" s="75"/>
      <c r="V1356" s="74"/>
      <c r="W1356" s="75"/>
      <c r="X1356" s="74"/>
      <c r="Y1356" s="74"/>
      <c r="Z1356" s="74"/>
      <c r="AA1356" s="74"/>
      <c r="AB1356" s="74"/>
      <c r="AC1356" s="74"/>
      <c r="AD1356" s="74"/>
      <c r="AE1356" s="74"/>
      <c r="AF1356" s="74"/>
      <c r="AG1356" s="74"/>
      <c r="AH1356" s="74"/>
    </row>
    <row r="1357" s="73" customFormat="1" spans="1:34">
      <c r="A1357" s="74"/>
      <c r="B1357" s="74"/>
      <c r="C1357" s="74"/>
      <c r="D1357" s="74"/>
      <c r="E1357" s="74"/>
      <c r="F1357" s="74"/>
      <c r="G1357" s="74"/>
      <c r="H1357" s="74"/>
      <c r="I1357" s="74"/>
      <c r="J1357" s="74"/>
      <c r="K1357" s="74"/>
      <c r="L1357" s="74"/>
      <c r="M1357" s="74"/>
      <c r="N1357" s="74"/>
      <c r="O1357" s="75"/>
      <c r="P1357" s="74"/>
      <c r="Q1357" s="75"/>
      <c r="R1357" s="74"/>
      <c r="S1357" s="74"/>
      <c r="T1357" s="74"/>
      <c r="U1357" s="75"/>
      <c r="V1357" s="74"/>
      <c r="W1357" s="75"/>
      <c r="X1357" s="74"/>
      <c r="Y1357" s="74"/>
      <c r="Z1357" s="74"/>
      <c r="AA1357" s="74"/>
      <c r="AB1357" s="74"/>
      <c r="AC1357" s="74"/>
      <c r="AD1357" s="74"/>
      <c r="AE1357" s="74"/>
      <c r="AF1357" s="74"/>
      <c r="AG1357" s="74"/>
      <c r="AH1357" s="74"/>
    </row>
    <row r="1358" s="73" customFormat="1" spans="1:34">
      <c r="A1358" s="74"/>
      <c r="B1358" s="74"/>
      <c r="C1358" s="74"/>
      <c r="D1358" s="74"/>
      <c r="E1358" s="74"/>
      <c r="F1358" s="74"/>
      <c r="G1358" s="74"/>
      <c r="H1358" s="74"/>
      <c r="I1358" s="74"/>
      <c r="J1358" s="74"/>
      <c r="K1358" s="74"/>
      <c r="L1358" s="74"/>
      <c r="M1358" s="74"/>
      <c r="N1358" s="74"/>
      <c r="O1358" s="75"/>
      <c r="P1358" s="74"/>
      <c r="Q1358" s="75"/>
      <c r="R1358" s="74"/>
      <c r="S1358" s="74"/>
      <c r="T1358" s="74"/>
      <c r="U1358" s="75"/>
      <c r="V1358" s="74"/>
      <c r="W1358" s="75"/>
      <c r="X1358" s="74"/>
      <c r="Y1358" s="74"/>
      <c r="Z1358" s="74"/>
      <c r="AA1358" s="74"/>
      <c r="AB1358" s="74"/>
      <c r="AC1358" s="74"/>
      <c r="AD1358" s="74"/>
      <c r="AE1358" s="74"/>
      <c r="AF1358" s="74"/>
      <c r="AG1358" s="74"/>
      <c r="AH1358" s="74"/>
    </row>
    <row r="1359" s="73" customFormat="1" spans="1:34">
      <c r="A1359" s="74"/>
      <c r="B1359" s="74"/>
      <c r="C1359" s="74"/>
      <c r="D1359" s="74"/>
      <c r="E1359" s="74"/>
      <c r="F1359" s="74"/>
      <c r="G1359" s="74"/>
      <c r="H1359" s="74"/>
      <c r="I1359" s="74"/>
      <c r="J1359" s="74"/>
      <c r="K1359" s="74"/>
      <c r="L1359" s="74"/>
      <c r="M1359" s="74"/>
      <c r="N1359" s="74"/>
      <c r="O1359" s="75"/>
      <c r="P1359" s="74"/>
      <c r="Q1359" s="75"/>
      <c r="R1359" s="74"/>
      <c r="S1359" s="74"/>
      <c r="T1359" s="74"/>
      <c r="U1359" s="75"/>
      <c r="V1359" s="74"/>
      <c r="W1359" s="75"/>
      <c r="X1359" s="74"/>
      <c r="Y1359" s="74"/>
      <c r="Z1359" s="74"/>
      <c r="AA1359" s="74"/>
      <c r="AB1359" s="74"/>
      <c r="AC1359" s="74"/>
      <c r="AD1359" s="74"/>
      <c r="AE1359" s="74"/>
      <c r="AF1359" s="74"/>
      <c r="AG1359" s="74"/>
      <c r="AH1359" s="74"/>
    </row>
    <row r="1360" s="73" customFormat="1" spans="1:34">
      <c r="A1360" s="74"/>
      <c r="B1360" s="74"/>
      <c r="C1360" s="74"/>
      <c r="D1360" s="74"/>
      <c r="E1360" s="74"/>
      <c r="F1360" s="74"/>
      <c r="G1360" s="74"/>
      <c r="H1360" s="74"/>
      <c r="I1360" s="74"/>
      <c r="J1360" s="74"/>
      <c r="K1360" s="74"/>
      <c r="L1360" s="74"/>
      <c r="M1360" s="74"/>
      <c r="N1360" s="74"/>
      <c r="O1360" s="75"/>
      <c r="P1360" s="74"/>
      <c r="Q1360" s="75"/>
      <c r="R1360" s="74"/>
      <c r="S1360" s="74"/>
      <c r="T1360" s="74"/>
      <c r="U1360" s="75"/>
      <c r="V1360" s="74"/>
      <c r="W1360" s="75"/>
      <c r="X1360" s="74"/>
      <c r="Y1360" s="74"/>
      <c r="Z1360" s="74"/>
      <c r="AA1360" s="74"/>
      <c r="AB1360" s="74"/>
      <c r="AC1360" s="74"/>
      <c r="AD1360" s="74"/>
      <c r="AE1360" s="74"/>
      <c r="AF1360" s="74"/>
      <c r="AG1360" s="74"/>
      <c r="AH1360" s="74"/>
    </row>
    <row r="1361" s="73" customFormat="1" spans="1:34">
      <c r="A1361" s="74"/>
      <c r="B1361" s="74"/>
      <c r="C1361" s="74"/>
      <c r="D1361" s="74"/>
      <c r="E1361" s="74"/>
      <c r="F1361" s="74"/>
      <c r="G1361" s="74"/>
      <c r="H1361" s="74"/>
      <c r="I1361" s="74"/>
      <c r="J1361" s="74"/>
      <c r="K1361" s="74"/>
      <c r="L1361" s="74"/>
      <c r="M1361" s="74"/>
      <c r="N1361" s="74"/>
      <c r="O1361" s="75"/>
      <c r="P1361" s="74"/>
      <c r="Q1361" s="75"/>
      <c r="R1361" s="74"/>
      <c r="S1361" s="74"/>
      <c r="T1361" s="74"/>
      <c r="U1361" s="75"/>
      <c r="V1361" s="74"/>
      <c r="W1361" s="75"/>
      <c r="X1361" s="74"/>
      <c r="Y1361" s="74"/>
      <c r="Z1361" s="74"/>
      <c r="AA1361" s="74"/>
      <c r="AB1361" s="74"/>
      <c r="AC1361" s="74"/>
      <c r="AD1361" s="74"/>
      <c r="AE1361" s="74"/>
      <c r="AF1361" s="74"/>
      <c r="AG1361" s="74"/>
      <c r="AH1361" s="74"/>
    </row>
    <row r="1362" s="73" customFormat="1" spans="1:34">
      <c r="A1362" s="74"/>
      <c r="B1362" s="74"/>
      <c r="C1362" s="74"/>
      <c r="D1362" s="74"/>
      <c r="E1362" s="74"/>
      <c r="F1362" s="74"/>
      <c r="G1362" s="74"/>
      <c r="H1362" s="74"/>
      <c r="I1362" s="74"/>
      <c r="J1362" s="74"/>
      <c r="K1362" s="74"/>
      <c r="L1362" s="74"/>
      <c r="M1362" s="74"/>
      <c r="N1362" s="74"/>
      <c r="O1362" s="75"/>
      <c r="P1362" s="74"/>
      <c r="Q1362" s="75"/>
      <c r="R1362" s="74"/>
      <c r="S1362" s="74"/>
      <c r="T1362" s="74"/>
      <c r="U1362" s="75"/>
      <c r="V1362" s="74"/>
      <c r="W1362" s="75"/>
      <c r="X1362" s="74"/>
      <c r="Y1362" s="74"/>
      <c r="Z1362" s="74"/>
      <c r="AA1362" s="74"/>
      <c r="AB1362" s="74"/>
      <c r="AC1362" s="74"/>
      <c r="AD1362" s="74"/>
      <c r="AE1362" s="74"/>
      <c r="AF1362" s="74"/>
      <c r="AG1362" s="74"/>
      <c r="AH1362" s="74"/>
    </row>
    <row r="1363" s="73" customFormat="1" spans="1:34">
      <c r="A1363" s="74"/>
      <c r="B1363" s="74"/>
      <c r="C1363" s="74"/>
      <c r="D1363" s="74"/>
      <c r="E1363" s="74"/>
      <c r="F1363" s="74"/>
      <c r="G1363" s="74"/>
      <c r="H1363" s="74"/>
      <c r="I1363" s="74"/>
      <c r="J1363" s="74"/>
      <c r="K1363" s="74"/>
      <c r="L1363" s="74"/>
      <c r="M1363" s="74"/>
      <c r="N1363" s="74"/>
      <c r="O1363" s="75"/>
      <c r="P1363" s="74"/>
      <c r="Q1363" s="75"/>
      <c r="R1363" s="74"/>
      <c r="S1363" s="74"/>
      <c r="T1363" s="74"/>
      <c r="U1363" s="75"/>
      <c r="V1363" s="74"/>
      <c r="W1363" s="75"/>
      <c r="X1363" s="74"/>
      <c r="Y1363" s="74"/>
      <c r="Z1363" s="74"/>
      <c r="AA1363" s="74"/>
      <c r="AB1363" s="74"/>
      <c r="AC1363" s="74"/>
      <c r="AD1363" s="74"/>
      <c r="AE1363" s="74"/>
      <c r="AF1363" s="74"/>
      <c r="AG1363" s="74"/>
      <c r="AH1363" s="74"/>
    </row>
    <row r="1364" s="73" customFormat="1" spans="1:34">
      <c r="A1364" s="74"/>
      <c r="B1364" s="74"/>
      <c r="C1364" s="74"/>
      <c r="D1364" s="74"/>
      <c r="E1364" s="74"/>
      <c r="F1364" s="74"/>
      <c r="G1364" s="74"/>
      <c r="H1364" s="74"/>
      <c r="I1364" s="74"/>
      <c r="J1364" s="74"/>
      <c r="K1364" s="74"/>
      <c r="L1364" s="74"/>
      <c r="M1364" s="74"/>
      <c r="N1364" s="74"/>
      <c r="O1364" s="75"/>
      <c r="P1364" s="74"/>
      <c r="Q1364" s="75"/>
      <c r="R1364" s="74"/>
      <c r="S1364" s="74"/>
      <c r="T1364" s="74"/>
      <c r="U1364" s="75"/>
      <c r="V1364" s="74"/>
      <c r="W1364" s="75"/>
      <c r="X1364" s="74"/>
      <c r="Y1364" s="74"/>
      <c r="Z1364" s="74"/>
      <c r="AA1364" s="74"/>
      <c r="AB1364" s="74"/>
      <c r="AC1364" s="74"/>
      <c r="AD1364" s="74"/>
      <c r="AE1364" s="74"/>
      <c r="AF1364" s="74"/>
      <c r="AG1364" s="74"/>
      <c r="AH1364" s="74"/>
    </row>
    <row r="1365" s="73" customFormat="1" spans="1:34">
      <c r="A1365" s="74"/>
      <c r="B1365" s="74"/>
      <c r="C1365" s="74"/>
      <c r="D1365" s="74"/>
      <c r="E1365" s="74"/>
      <c r="F1365" s="74"/>
      <c r="G1365" s="74"/>
      <c r="H1365" s="74"/>
      <c r="I1365" s="74"/>
      <c r="J1365" s="74"/>
      <c r="K1365" s="74"/>
      <c r="L1365" s="74"/>
      <c r="M1365" s="74"/>
      <c r="N1365" s="74"/>
      <c r="O1365" s="75"/>
      <c r="P1365" s="74"/>
      <c r="Q1365" s="75"/>
      <c r="R1365" s="74"/>
      <c r="S1365" s="74"/>
      <c r="T1365" s="74"/>
      <c r="U1365" s="75"/>
      <c r="V1365" s="74"/>
      <c r="W1365" s="75"/>
      <c r="X1365" s="74"/>
      <c r="Y1365" s="74"/>
      <c r="Z1365" s="74"/>
      <c r="AA1365" s="74"/>
      <c r="AB1365" s="74"/>
      <c r="AC1365" s="74"/>
      <c r="AD1365" s="74"/>
      <c r="AE1365" s="74"/>
      <c r="AF1365" s="74"/>
      <c r="AG1365" s="74"/>
      <c r="AH1365" s="74"/>
    </row>
    <row r="1366" s="73" customFormat="1" spans="1:34">
      <c r="A1366" s="74"/>
      <c r="B1366" s="74"/>
      <c r="C1366" s="74"/>
      <c r="D1366" s="74"/>
      <c r="E1366" s="74"/>
      <c r="F1366" s="74"/>
      <c r="G1366" s="74"/>
      <c r="H1366" s="74"/>
      <c r="I1366" s="74"/>
      <c r="J1366" s="74"/>
      <c r="K1366" s="74"/>
      <c r="L1366" s="74"/>
      <c r="M1366" s="74"/>
      <c r="N1366" s="74"/>
      <c r="O1366" s="75"/>
      <c r="P1366" s="74"/>
      <c r="Q1366" s="75"/>
      <c r="R1366" s="74"/>
      <c r="S1366" s="74"/>
      <c r="T1366" s="74"/>
      <c r="U1366" s="75"/>
      <c r="V1366" s="74"/>
      <c r="W1366" s="75"/>
      <c r="X1366" s="74"/>
      <c r="Y1366" s="74"/>
      <c r="Z1366" s="74"/>
      <c r="AA1366" s="74"/>
      <c r="AB1366" s="74"/>
      <c r="AC1366" s="74"/>
      <c r="AD1366" s="74"/>
      <c r="AE1366" s="74"/>
      <c r="AF1366" s="74"/>
      <c r="AG1366" s="74"/>
      <c r="AH1366" s="74"/>
    </row>
    <row r="1367" s="73" customFormat="1" spans="1:34">
      <c r="A1367" s="74"/>
      <c r="B1367" s="74"/>
      <c r="C1367" s="74"/>
      <c r="D1367" s="74"/>
      <c r="E1367" s="74"/>
      <c r="F1367" s="74"/>
      <c r="G1367" s="74"/>
      <c r="H1367" s="74"/>
      <c r="I1367" s="74"/>
      <c r="J1367" s="74"/>
      <c r="K1367" s="74"/>
      <c r="L1367" s="74"/>
      <c r="M1367" s="74"/>
      <c r="N1367" s="74"/>
      <c r="O1367" s="75"/>
      <c r="P1367" s="74"/>
      <c r="Q1367" s="75"/>
      <c r="R1367" s="74"/>
      <c r="S1367" s="74"/>
      <c r="T1367" s="74"/>
      <c r="U1367" s="75"/>
      <c r="V1367" s="74"/>
      <c r="W1367" s="75"/>
      <c r="X1367" s="74"/>
      <c r="Y1367" s="74"/>
      <c r="Z1367" s="74"/>
      <c r="AA1367" s="74"/>
      <c r="AB1367" s="74"/>
      <c r="AC1367" s="74"/>
      <c r="AD1367" s="74"/>
      <c r="AE1367" s="74"/>
      <c r="AF1367" s="74"/>
      <c r="AG1367" s="74"/>
      <c r="AH1367" s="74"/>
    </row>
    <row r="1368" s="73" customFormat="1" spans="1:34">
      <c r="A1368" s="74"/>
      <c r="B1368" s="74"/>
      <c r="C1368" s="74"/>
      <c r="D1368" s="74"/>
      <c r="E1368" s="74"/>
      <c r="F1368" s="74"/>
      <c r="G1368" s="74"/>
      <c r="H1368" s="74"/>
      <c r="I1368" s="74"/>
      <c r="J1368" s="74"/>
      <c r="K1368" s="74"/>
      <c r="L1368" s="74"/>
      <c r="M1368" s="74"/>
      <c r="N1368" s="74"/>
      <c r="O1368" s="75"/>
      <c r="P1368" s="74"/>
      <c r="Q1368" s="75"/>
      <c r="R1368" s="74"/>
      <c r="S1368" s="74"/>
      <c r="T1368" s="74"/>
      <c r="U1368" s="75"/>
      <c r="V1368" s="74"/>
      <c r="W1368" s="75"/>
      <c r="X1368" s="74"/>
      <c r="Y1368" s="74"/>
      <c r="Z1368" s="74"/>
      <c r="AA1368" s="74"/>
      <c r="AB1368" s="74"/>
      <c r="AC1368" s="74"/>
      <c r="AD1368" s="74"/>
      <c r="AE1368" s="74"/>
      <c r="AF1368" s="74"/>
      <c r="AG1368" s="74"/>
      <c r="AH1368" s="74"/>
    </row>
    <row r="1369" s="73" customFormat="1" spans="1:34">
      <c r="A1369" s="74"/>
      <c r="B1369" s="74"/>
      <c r="C1369" s="74"/>
      <c r="D1369" s="74"/>
      <c r="E1369" s="74"/>
      <c r="F1369" s="74"/>
      <c r="G1369" s="74"/>
      <c r="H1369" s="74"/>
      <c r="I1369" s="74"/>
      <c r="J1369" s="74"/>
      <c r="K1369" s="74"/>
      <c r="L1369" s="74"/>
      <c r="M1369" s="74"/>
      <c r="N1369" s="74"/>
      <c r="O1369" s="75"/>
      <c r="P1369" s="74"/>
      <c r="Q1369" s="75"/>
      <c r="R1369" s="74"/>
      <c r="S1369" s="74"/>
      <c r="T1369" s="74"/>
      <c r="U1369" s="75"/>
      <c r="V1369" s="74"/>
      <c r="W1369" s="75"/>
      <c r="X1369" s="74"/>
      <c r="Y1369" s="74"/>
      <c r="Z1369" s="74"/>
      <c r="AA1369" s="74"/>
      <c r="AB1369" s="74"/>
      <c r="AC1369" s="74"/>
      <c r="AD1369" s="74"/>
      <c r="AE1369" s="74"/>
      <c r="AF1369" s="74"/>
      <c r="AG1369" s="74"/>
      <c r="AH1369" s="74"/>
    </row>
    <row r="1370" s="73" customFormat="1" spans="1:34">
      <c r="A1370" s="74"/>
      <c r="B1370" s="74"/>
      <c r="C1370" s="74"/>
      <c r="D1370" s="74"/>
      <c r="E1370" s="74"/>
      <c r="F1370" s="74"/>
      <c r="G1370" s="74"/>
      <c r="H1370" s="74"/>
      <c r="I1370" s="74"/>
      <c r="J1370" s="74"/>
      <c r="K1370" s="74"/>
      <c r="L1370" s="74"/>
      <c r="M1370" s="74"/>
      <c r="N1370" s="74"/>
      <c r="O1370" s="75"/>
      <c r="P1370" s="74"/>
      <c r="Q1370" s="75"/>
      <c r="R1370" s="74"/>
      <c r="S1370" s="74"/>
      <c r="T1370" s="74"/>
      <c r="U1370" s="75"/>
      <c r="V1370" s="74"/>
      <c r="W1370" s="75"/>
      <c r="X1370" s="74"/>
      <c r="Y1370" s="74"/>
      <c r="Z1370" s="74"/>
      <c r="AA1370" s="74"/>
      <c r="AB1370" s="74"/>
      <c r="AC1370" s="74"/>
      <c r="AD1370" s="74"/>
      <c r="AE1370" s="74"/>
      <c r="AF1370" s="74"/>
      <c r="AG1370" s="74"/>
      <c r="AH1370" s="74"/>
    </row>
    <row r="1371" s="73" customFormat="1" spans="1:34">
      <c r="A1371" s="74"/>
      <c r="B1371" s="74"/>
      <c r="C1371" s="74"/>
      <c r="D1371" s="74"/>
      <c r="E1371" s="74"/>
      <c r="F1371" s="74"/>
      <c r="G1371" s="74"/>
      <c r="H1371" s="74"/>
      <c r="I1371" s="74"/>
      <c r="J1371" s="74"/>
      <c r="K1371" s="74"/>
      <c r="L1371" s="74"/>
      <c r="M1371" s="74"/>
      <c r="N1371" s="74"/>
      <c r="O1371" s="75"/>
      <c r="P1371" s="74"/>
      <c r="Q1371" s="75"/>
      <c r="R1371" s="74"/>
      <c r="S1371" s="74"/>
      <c r="T1371" s="74"/>
      <c r="U1371" s="75"/>
      <c r="V1371" s="74"/>
      <c r="W1371" s="75"/>
      <c r="X1371" s="74"/>
      <c r="Y1371" s="74"/>
      <c r="Z1371" s="74"/>
      <c r="AA1371" s="74"/>
      <c r="AB1371" s="74"/>
      <c r="AC1371" s="74"/>
      <c r="AD1371" s="74"/>
      <c r="AE1371" s="74"/>
      <c r="AF1371" s="74"/>
      <c r="AG1371" s="74"/>
      <c r="AH1371" s="74"/>
    </row>
    <row r="1372" s="73" customFormat="1" spans="1:34">
      <c r="A1372" s="74"/>
      <c r="B1372" s="74"/>
      <c r="C1372" s="74"/>
      <c r="D1372" s="74"/>
      <c r="E1372" s="74"/>
      <c r="F1372" s="74"/>
      <c r="G1372" s="74"/>
      <c r="H1372" s="74"/>
      <c r="I1372" s="74"/>
      <c r="J1372" s="74"/>
      <c r="K1372" s="74"/>
      <c r="L1372" s="74"/>
      <c r="M1372" s="74"/>
      <c r="N1372" s="74"/>
      <c r="O1372" s="75"/>
      <c r="P1372" s="74"/>
      <c r="Q1372" s="75"/>
      <c r="R1372" s="74"/>
      <c r="S1372" s="74"/>
      <c r="T1372" s="74"/>
      <c r="U1372" s="75"/>
      <c r="V1372" s="74"/>
      <c r="W1372" s="75"/>
      <c r="X1372" s="74"/>
      <c r="Y1372" s="74"/>
      <c r="Z1372" s="74"/>
      <c r="AA1372" s="74"/>
      <c r="AB1372" s="74"/>
      <c r="AC1372" s="74"/>
      <c r="AD1372" s="74"/>
      <c r="AE1372" s="74"/>
      <c r="AF1372" s="74"/>
      <c r="AG1372" s="74"/>
      <c r="AH1372" s="74"/>
    </row>
    <row r="1373" s="73" customFormat="1" spans="1:34">
      <c r="A1373" s="74"/>
      <c r="B1373" s="74"/>
      <c r="C1373" s="74"/>
      <c r="D1373" s="74"/>
      <c r="E1373" s="74"/>
      <c r="F1373" s="74"/>
      <c r="G1373" s="74"/>
      <c r="H1373" s="74"/>
      <c r="I1373" s="74"/>
      <c r="J1373" s="74"/>
      <c r="K1373" s="74"/>
      <c r="L1373" s="74"/>
      <c r="M1373" s="74"/>
      <c r="N1373" s="74"/>
      <c r="O1373" s="75"/>
      <c r="P1373" s="74"/>
      <c r="Q1373" s="75"/>
      <c r="R1373" s="74"/>
      <c r="S1373" s="74"/>
      <c r="T1373" s="74"/>
      <c r="U1373" s="75"/>
      <c r="V1373" s="74"/>
      <c r="W1373" s="75"/>
      <c r="X1373" s="74"/>
      <c r="Y1373" s="74"/>
      <c r="Z1373" s="74"/>
      <c r="AA1373" s="74"/>
      <c r="AB1373" s="74"/>
      <c r="AC1373" s="74"/>
      <c r="AD1373" s="74"/>
      <c r="AE1373" s="74"/>
      <c r="AF1373" s="74"/>
      <c r="AG1373" s="74"/>
      <c r="AH1373" s="74"/>
    </row>
    <row r="1374" s="73" customFormat="1" spans="1:34">
      <c r="A1374" s="74"/>
      <c r="B1374" s="74"/>
      <c r="C1374" s="74"/>
      <c r="D1374" s="74"/>
      <c r="E1374" s="74"/>
      <c r="F1374" s="74"/>
      <c r="G1374" s="74"/>
      <c r="H1374" s="74"/>
      <c r="I1374" s="74"/>
      <c r="J1374" s="74"/>
      <c r="K1374" s="74"/>
      <c r="L1374" s="74"/>
      <c r="M1374" s="74"/>
      <c r="N1374" s="74"/>
      <c r="O1374" s="75"/>
      <c r="P1374" s="74"/>
      <c r="Q1374" s="75"/>
      <c r="R1374" s="74"/>
      <c r="S1374" s="74"/>
      <c r="T1374" s="74"/>
      <c r="U1374" s="75"/>
      <c r="V1374" s="74"/>
      <c r="W1374" s="75"/>
      <c r="X1374" s="74"/>
      <c r="Y1374" s="74"/>
      <c r="Z1374" s="74"/>
      <c r="AA1374" s="74"/>
      <c r="AB1374" s="74"/>
      <c r="AC1374" s="74"/>
      <c r="AD1374" s="74"/>
      <c r="AE1374" s="74"/>
      <c r="AF1374" s="74"/>
      <c r="AG1374" s="74"/>
      <c r="AH1374" s="74"/>
    </row>
    <row r="1375" s="73" customFormat="1" spans="1:34">
      <c r="A1375" s="74"/>
      <c r="B1375" s="74"/>
      <c r="C1375" s="74"/>
      <c r="D1375" s="74"/>
      <c r="E1375" s="74"/>
      <c r="F1375" s="74"/>
      <c r="G1375" s="74"/>
      <c r="H1375" s="74"/>
      <c r="I1375" s="74"/>
      <c r="J1375" s="74"/>
      <c r="K1375" s="74"/>
      <c r="L1375" s="74"/>
      <c r="M1375" s="74"/>
      <c r="N1375" s="74"/>
      <c r="O1375" s="75"/>
      <c r="P1375" s="74"/>
      <c r="Q1375" s="75"/>
      <c r="R1375" s="74"/>
      <c r="S1375" s="74"/>
      <c r="T1375" s="74"/>
      <c r="U1375" s="75"/>
      <c r="V1375" s="74"/>
      <c r="W1375" s="75"/>
      <c r="X1375" s="74"/>
      <c r="Y1375" s="74"/>
      <c r="Z1375" s="74"/>
      <c r="AA1375" s="74"/>
      <c r="AB1375" s="74"/>
      <c r="AC1375" s="74"/>
      <c r="AD1375" s="74"/>
      <c r="AE1375" s="74"/>
      <c r="AF1375" s="74"/>
      <c r="AG1375" s="74"/>
      <c r="AH1375" s="74"/>
    </row>
    <row r="1376" s="73" customFormat="1" spans="1:34">
      <c r="A1376" s="74"/>
      <c r="B1376" s="74"/>
      <c r="C1376" s="74"/>
      <c r="D1376" s="74"/>
      <c r="E1376" s="74"/>
      <c r="F1376" s="74"/>
      <c r="G1376" s="74"/>
      <c r="H1376" s="74"/>
      <c r="I1376" s="74"/>
      <c r="J1376" s="74"/>
      <c r="K1376" s="74"/>
      <c r="L1376" s="74"/>
      <c r="M1376" s="74"/>
      <c r="N1376" s="74"/>
      <c r="O1376" s="75"/>
      <c r="P1376" s="74"/>
      <c r="Q1376" s="75"/>
      <c r="R1376" s="74"/>
      <c r="S1376" s="74"/>
      <c r="T1376" s="74"/>
      <c r="U1376" s="75"/>
      <c r="V1376" s="74"/>
      <c r="W1376" s="75"/>
      <c r="X1376" s="74"/>
      <c r="Y1376" s="74"/>
      <c r="Z1376" s="74"/>
      <c r="AA1376" s="74"/>
      <c r="AB1376" s="74"/>
      <c r="AC1376" s="74"/>
      <c r="AD1376" s="74"/>
      <c r="AE1376" s="74"/>
      <c r="AF1376" s="74"/>
      <c r="AG1376" s="74"/>
      <c r="AH1376" s="74"/>
    </row>
    <row r="1377" s="73" customFormat="1" spans="1:34">
      <c r="A1377" s="74"/>
      <c r="B1377" s="74"/>
      <c r="C1377" s="74"/>
      <c r="D1377" s="74"/>
      <c r="E1377" s="74"/>
      <c r="F1377" s="74"/>
      <c r="G1377" s="74"/>
      <c r="H1377" s="74"/>
      <c r="I1377" s="74"/>
      <c r="J1377" s="74"/>
      <c r="K1377" s="74"/>
      <c r="L1377" s="74"/>
      <c r="M1377" s="74"/>
      <c r="N1377" s="74"/>
      <c r="O1377" s="75"/>
      <c r="P1377" s="74"/>
      <c r="Q1377" s="75"/>
      <c r="R1377" s="74"/>
      <c r="S1377" s="74"/>
      <c r="T1377" s="74"/>
      <c r="U1377" s="75"/>
      <c r="V1377" s="74"/>
      <c r="W1377" s="75"/>
      <c r="X1377" s="74"/>
      <c r="Y1377" s="74"/>
      <c r="Z1377" s="74"/>
      <c r="AA1377" s="74"/>
      <c r="AB1377" s="74"/>
      <c r="AC1377" s="74"/>
      <c r="AD1377" s="74"/>
      <c r="AE1377" s="74"/>
      <c r="AF1377" s="74"/>
      <c r="AG1377" s="74"/>
      <c r="AH1377" s="74"/>
    </row>
    <row r="1378" s="73" customFormat="1" spans="1:34">
      <c r="A1378" s="74"/>
      <c r="B1378" s="74"/>
      <c r="C1378" s="74"/>
      <c r="D1378" s="74"/>
      <c r="E1378" s="74"/>
      <c r="F1378" s="74"/>
      <c r="G1378" s="74"/>
      <c r="H1378" s="74"/>
      <c r="I1378" s="74"/>
      <c r="J1378" s="74"/>
      <c r="K1378" s="74"/>
      <c r="L1378" s="74"/>
      <c r="M1378" s="74"/>
      <c r="N1378" s="74"/>
      <c r="O1378" s="75"/>
      <c r="P1378" s="74"/>
      <c r="Q1378" s="75"/>
      <c r="R1378" s="74"/>
      <c r="S1378" s="74"/>
      <c r="T1378" s="74"/>
      <c r="U1378" s="75"/>
      <c r="V1378" s="74"/>
      <c r="W1378" s="75"/>
      <c r="X1378" s="74"/>
      <c r="Y1378" s="74"/>
      <c r="Z1378" s="74"/>
      <c r="AA1378" s="74"/>
      <c r="AB1378" s="74"/>
      <c r="AC1378" s="74"/>
      <c r="AD1378" s="74"/>
      <c r="AE1378" s="74"/>
      <c r="AF1378" s="74"/>
      <c r="AG1378" s="74"/>
      <c r="AH1378" s="74"/>
    </row>
    <row r="1379" s="73" customFormat="1" spans="1:34">
      <c r="A1379" s="74"/>
      <c r="B1379" s="74"/>
      <c r="C1379" s="74"/>
      <c r="D1379" s="74"/>
      <c r="E1379" s="74"/>
      <c r="F1379" s="74"/>
      <c r="G1379" s="74"/>
      <c r="H1379" s="74"/>
      <c r="I1379" s="74"/>
      <c r="J1379" s="74"/>
      <c r="K1379" s="74"/>
      <c r="L1379" s="74"/>
      <c r="M1379" s="74"/>
      <c r="N1379" s="74"/>
      <c r="O1379" s="75"/>
      <c r="P1379" s="74"/>
      <c r="Q1379" s="75"/>
      <c r="R1379" s="74"/>
      <c r="S1379" s="74"/>
      <c r="T1379" s="74"/>
      <c r="U1379" s="75"/>
      <c r="V1379" s="74"/>
      <c r="W1379" s="75"/>
      <c r="X1379" s="74"/>
      <c r="Y1379" s="74"/>
      <c r="Z1379" s="74"/>
      <c r="AA1379" s="74"/>
      <c r="AB1379" s="74"/>
      <c r="AC1379" s="74"/>
      <c r="AD1379" s="74"/>
      <c r="AE1379" s="74"/>
      <c r="AF1379" s="74"/>
      <c r="AG1379" s="74"/>
      <c r="AH1379" s="74"/>
    </row>
    <row r="1380" s="73" customFormat="1" spans="1:34">
      <c r="A1380" s="74"/>
      <c r="B1380" s="74"/>
      <c r="C1380" s="74"/>
      <c r="D1380" s="74"/>
      <c r="E1380" s="74"/>
      <c r="F1380" s="74"/>
      <c r="G1380" s="74"/>
      <c r="H1380" s="74"/>
      <c r="I1380" s="74"/>
      <c r="J1380" s="74"/>
      <c r="K1380" s="74"/>
      <c r="L1380" s="74"/>
      <c r="M1380" s="74"/>
      <c r="N1380" s="74"/>
      <c r="O1380" s="75"/>
      <c r="P1380" s="74"/>
      <c r="Q1380" s="75"/>
      <c r="R1380" s="74"/>
      <c r="S1380" s="74"/>
      <c r="T1380" s="74"/>
      <c r="U1380" s="75"/>
      <c r="V1380" s="74"/>
      <c r="W1380" s="75"/>
      <c r="X1380" s="74"/>
      <c r="Y1380" s="74"/>
      <c r="Z1380" s="74"/>
      <c r="AA1380" s="74"/>
      <c r="AB1380" s="74"/>
      <c r="AC1380" s="74"/>
      <c r="AD1380" s="74"/>
      <c r="AE1380" s="74"/>
      <c r="AF1380" s="74"/>
      <c r="AG1380" s="74"/>
      <c r="AH1380" s="74"/>
    </row>
    <row r="1381" s="73" customFormat="1" spans="1:34">
      <c r="A1381" s="74"/>
      <c r="B1381" s="74"/>
      <c r="C1381" s="74"/>
      <c r="D1381" s="74"/>
      <c r="E1381" s="74"/>
      <c r="F1381" s="74"/>
      <c r="G1381" s="74"/>
      <c r="H1381" s="74"/>
      <c r="I1381" s="74"/>
      <c r="J1381" s="74"/>
      <c r="K1381" s="74"/>
      <c r="L1381" s="74"/>
      <c r="M1381" s="74"/>
      <c r="N1381" s="74"/>
      <c r="O1381" s="75"/>
      <c r="P1381" s="74"/>
      <c r="Q1381" s="75"/>
      <c r="R1381" s="74"/>
      <c r="S1381" s="74"/>
      <c r="T1381" s="74"/>
      <c r="U1381" s="75"/>
      <c r="V1381" s="74"/>
      <c r="W1381" s="75"/>
      <c r="X1381" s="74"/>
      <c r="Y1381" s="74"/>
      <c r="Z1381" s="74"/>
      <c r="AA1381" s="74"/>
      <c r="AB1381" s="74"/>
      <c r="AC1381" s="74"/>
      <c r="AD1381" s="74"/>
      <c r="AE1381" s="74"/>
      <c r="AF1381" s="74"/>
      <c r="AG1381" s="74"/>
      <c r="AH1381" s="74"/>
    </row>
    <row r="1382" s="73" customFormat="1" spans="1:34">
      <c r="A1382" s="74"/>
      <c r="B1382" s="74"/>
      <c r="C1382" s="74"/>
      <c r="D1382" s="74"/>
      <c r="E1382" s="74"/>
      <c r="F1382" s="74"/>
      <c r="G1382" s="74"/>
      <c r="H1382" s="74"/>
      <c r="I1382" s="74"/>
      <c r="J1382" s="74"/>
      <c r="K1382" s="74"/>
      <c r="L1382" s="74"/>
      <c r="M1382" s="74"/>
      <c r="N1382" s="74"/>
      <c r="O1382" s="75"/>
      <c r="P1382" s="74"/>
      <c r="Q1382" s="75"/>
      <c r="R1382" s="74"/>
      <c r="S1382" s="74"/>
      <c r="T1382" s="74"/>
      <c r="U1382" s="75"/>
      <c r="V1382" s="74"/>
      <c r="W1382" s="75"/>
      <c r="X1382" s="74"/>
      <c r="Y1382" s="74"/>
      <c r="Z1382" s="74"/>
      <c r="AA1382" s="74"/>
      <c r="AB1382" s="74"/>
      <c r="AC1382" s="74"/>
      <c r="AD1382" s="74"/>
      <c r="AE1382" s="74"/>
      <c r="AF1382" s="74"/>
      <c r="AG1382" s="74"/>
      <c r="AH1382" s="74"/>
    </row>
    <row r="1383" s="73" customFormat="1" spans="1:34">
      <c r="A1383" s="74"/>
      <c r="B1383" s="74"/>
      <c r="C1383" s="74"/>
      <c r="D1383" s="74"/>
      <c r="E1383" s="74"/>
      <c r="F1383" s="74"/>
      <c r="G1383" s="74"/>
      <c r="H1383" s="74"/>
      <c r="I1383" s="74"/>
      <c r="J1383" s="74"/>
      <c r="K1383" s="74"/>
      <c r="L1383" s="74"/>
      <c r="M1383" s="74"/>
      <c r="N1383" s="74"/>
      <c r="O1383" s="75"/>
      <c r="P1383" s="74"/>
      <c r="Q1383" s="75"/>
      <c r="R1383" s="74"/>
      <c r="S1383" s="74"/>
      <c r="T1383" s="74"/>
      <c r="U1383" s="75"/>
      <c r="V1383" s="74"/>
      <c r="W1383" s="75"/>
      <c r="X1383" s="74"/>
      <c r="Y1383" s="74"/>
      <c r="Z1383" s="74"/>
      <c r="AA1383" s="74"/>
      <c r="AB1383" s="74"/>
      <c r="AC1383" s="74"/>
      <c r="AD1383" s="74"/>
      <c r="AE1383" s="74"/>
      <c r="AF1383" s="74"/>
      <c r="AG1383" s="74"/>
      <c r="AH1383" s="74"/>
    </row>
    <row r="1384" s="73" customFormat="1" spans="1:34">
      <c r="A1384" s="74"/>
      <c r="B1384" s="74"/>
      <c r="C1384" s="74"/>
      <c r="D1384" s="74"/>
      <c r="E1384" s="74"/>
      <c r="F1384" s="74"/>
      <c r="G1384" s="74"/>
      <c r="H1384" s="74"/>
      <c r="I1384" s="74"/>
      <c r="J1384" s="74"/>
      <c r="K1384" s="74"/>
      <c r="L1384" s="74"/>
      <c r="M1384" s="74"/>
      <c r="N1384" s="74"/>
      <c r="O1384" s="75"/>
      <c r="P1384" s="74"/>
      <c r="Q1384" s="75"/>
      <c r="R1384" s="74"/>
      <c r="S1384" s="74"/>
      <c r="T1384" s="74"/>
      <c r="U1384" s="75"/>
      <c r="V1384" s="74"/>
      <c r="W1384" s="75"/>
      <c r="X1384" s="74"/>
      <c r="Y1384" s="74"/>
      <c r="Z1384" s="74"/>
      <c r="AA1384" s="74"/>
      <c r="AB1384" s="74"/>
      <c r="AC1384" s="74"/>
      <c r="AD1384" s="74"/>
      <c r="AE1384" s="74"/>
      <c r="AF1384" s="74"/>
      <c r="AG1384" s="74"/>
      <c r="AH1384" s="74"/>
    </row>
    <row r="1385" s="73" customFormat="1" spans="1:34">
      <c r="A1385" s="74"/>
      <c r="B1385" s="74"/>
      <c r="C1385" s="74"/>
      <c r="D1385" s="74"/>
      <c r="E1385" s="74"/>
      <c r="F1385" s="74"/>
      <c r="G1385" s="74"/>
      <c r="H1385" s="74"/>
      <c r="I1385" s="74"/>
      <c r="J1385" s="74"/>
      <c r="K1385" s="74"/>
      <c r="L1385" s="74"/>
      <c r="M1385" s="74"/>
      <c r="N1385" s="74"/>
      <c r="O1385" s="75"/>
      <c r="P1385" s="74"/>
      <c r="Q1385" s="75"/>
      <c r="R1385" s="74"/>
      <c r="S1385" s="74"/>
      <c r="T1385" s="74"/>
      <c r="U1385" s="75"/>
      <c r="V1385" s="74"/>
      <c r="W1385" s="75"/>
      <c r="X1385" s="74"/>
      <c r="Y1385" s="74"/>
      <c r="Z1385" s="74"/>
      <c r="AA1385" s="74"/>
      <c r="AB1385" s="74"/>
      <c r="AC1385" s="74"/>
      <c r="AD1385" s="74"/>
      <c r="AE1385" s="74"/>
      <c r="AF1385" s="74"/>
      <c r="AG1385" s="74"/>
      <c r="AH1385" s="74"/>
    </row>
    <row r="1386" s="73" customFormat="1" spans="1:34">
      <c r="A1386" s="74"/>
      <c r="B1386" s="74"/>
      <c r="C1386" s="74"/>
      <c r="D1386" s="74"/>
      <c r="E1386" s="74"/>
      <c r="F1386" s="74"/>
      <c r="G1386" s="74"/>
      <c r="H1386" s="74"/>
      <c r="I1386" s="74"/>
      <c r="J1386" s="74"/>
      <c r="K1386" s="74"/>
      <c r="L1386" s="74"/>
      <c r="M1386" s="74"/>
      <c r="N1386" s="74"/>
      <c r="O1386" s="75"/>
      <c r="P1386" s="74"/>
      <c r="Q1386" s="75"/>
      <c r="R1386" s="74"/>
      <c r="S1386" s="74"/>
      <c r="T1386" s="74"/>
      <c r="U1386" s="75"/>
      <c r="V1386" s="74"/>
      <c r="W1386" s="75"/>
      <c r="X1386" s="74"/>
      <c r="Y1386" s="74"/>
      <c r="Z1386" s="74"/>
      <c r="AA1386" s="74"/>
      <c r="AB1386" s="74"/>
      <c r="AC1386" s="74"/>
      <c r="AD1386" s="74"/>
      <c r="AE1386" s="74"/>
      <c r="AF1386" s="74"/>
      <c r="AG1386" s="74"/>
      <c r="AH1386" s="74"/>
    </row>
    <row r="1387" s="73" customFormat="1" spans="1:34">
      <c r="A1387" s="74"/>
      <c r="B1387" s="74"/>
      <c r="C1387" s="74"/>
      <c r="D1387" s="74"/>
      <c r="E1387" s="74"/>
      <c r="F1387" s="74"/>
      <c r="G1387" s="74"/>
      <c r="H1387" s="74"/>
      <c r="I1387" s="74"/>
      <c r="J1387" s="74"/>
      <c r="K1387" s="74"/>
      <c r="L1387" s="74"/>
      <c r="M1387" s="74"/>
      <c r="N1387" s="74"/>
      <c r="O1387" s="75"/>
      <c r="P1387" s="74"/>
      <c r="Q1387" s="75"/>
      <c r="R1387" s="74"/>
      <c r="S1387" s="74"/>
      <c r="T1387" s="74"/>
      <c r="U1387" s="75"/>
      <c r="V1387" s="74"/>
      <c r="W1387" s="75"/>
      <c r="X1387" s="74"/>
      <c r="Y1387" s="74"/>
      <c r="Z1387" s="74"/>
      <c r="AA1387" s="74"/>
      <c r="AB1387" s="74"/>
      <c r="AC1387" s="74"/>
      <c r="AD1387" s="74"/>
      <c r="AE1387" s="74"/>
      <c r="AF1387" s="74"/>
      <c r="AG1387" s="74"/>
      <c r="AH1387" s="74"/>
    </row>
    <row r="1388" s="73" customFormat="1" spans="1:34">
      <c r="A1388" s="74"/>
      <c r="B1388" s="74"/>
      <c r="C1388" s="74"/>
      <c r="D1388" s="74"/>
      <c r="E1388" s="74"/>
      <c r="F1388" s="74"/>
      <c r="G1388" s="74"/>
      <c r="H1388" s="74"/>
      <c r="I1388" s="74"/>
      <c r="J1388" s="74"/>
      <c r="K1388" s="74"/>
      <c r="L1388" s="74"/>
      <c r="M1388" s="74"/>
      <c r="N1388" s="74"/>
      <c r="O1388" s="75"/>
      <c r="P1388" s="74"/>
      <c r="Q1388" s="75"/>
      <c r="R1388" s="74"/>
      <c r="S1388" s="74"/>
      <c r="T1388" s="74"/>
      <c r="U1388" s="75"/>
      <c r="V1388" s="74"/>
      <c r="W1388" s="75"/>
      <c r="X1388" s="74"/>
      <c r="Y1388" s="74"/>
      <c r="Z1388" s="74"/>
      <c r="AA1388" s="74"/>
      <c r="AB1388" s="74"/>
      <c r="AC1388" s="74"/>
      <c r="AD1388" s="74"/>
      <c r="AE1388" s="74"/>
      <c r="AF1388" s="74"/>
      <c r="AG1388" s="74"/>
      <c r="AH1388" s="74"/>
    </row>
    <row r="1389" s="73" customFormat="1" spans="1:34">
      <c r="A1389" s="74"/>
      <c r="B1389" s="74"/>
      <c r="C1389" s="74"/>
      <c r="D1389" s="74"/>
      <c r="E1389" s="74"/>
      <c r="F1389" s="74"/>
      <c r="G1389" s="74"/>
      <c r="H1389" s="74"/>
      <c r="I1389" s="74"/>
      <c r="J1389" s="74"/>
      <c r="K1389" s="74"/>
      <c r="L1389" s="74"/>
      <c r="M1389" s="74"/>
      <c r="N1389" s="74"/>
      <c r="O1389" s="75"/>
      <c r="P1389" s="74"/>
      <c r="Q1389" s="75"/>
      <c r="R1389" s="74"/>
      <c r="S1389" s="74"/>
      <c r="T1389" s="74"/>
      <c r="U1389" s="75"/>
      <c r="V1389" s="74"/>
      <c r="W1389" s="75"/>
      <c r="X1389" s="74"/>
      <c r="Y1389" s="74"/>
      <c r="Z1389" s="74"/>
      <c r="AA1389" s="74"/>
      <c r="AB1389" s="74"/>
      <c r="AC1389" s="74"/>
      <c r="AD1389" s="74"/>
      <c r="AE1389" s="74"/>
      <c r="AF1389" s="74"/>
      <c r="AG1389" s="74"/>
      <c r="AH1389" s="74"/>
    </row>
    <row r="1390" s="73" customFormat="1" spans="1:34">
      <c r="A1390" s="74"/>
      <c r="B1390" s="74"/>
      <c r="C1390" s="74"/>
      <c r="D1390" s="74"/>
      <c r="E1390" s="74"/>
      <c r="F1390" s="74"/>
      <c r="G1390" s="74"/>
      <c r="H1390" s="74"/>
      <c r="I1390" s="74"/>
      <c r="J1390" s="74"/>
      <c r="K1390" s="74"/>
      <c r="L1390" s="74"/>
      <c r="M1390" s="74"/>
      <c r="N1390" s="74"/>
      <c r="O1390" s="75"/>
      <c r="P1390" s="74"/>
      <c r="Q1390" s="75"/>
      <c r="R1390" s="74"/>
      <c r="S1390" s="74"/>
      <c r="T1390" s="74"/>
      <c r="U1390" s="75"/>
      <c r="V1390" s="74"/>
      <c r="W1390" s="75"/>
      <c r="X1390" s="74"/>
      <c r="Y1390" s="74"/>
      <c r="Z1390" s="74"/>
      <c r="AA1390" s="74"/>
      <c r="AB1390" s="74"/>
      <c r="AC1390" s="74"/>
      <c r="AD1390" s="74"/>
      <c r="AE1390" s="74"/>
      <c r="AF1390" s="74"/>
      <c r="AG1390" s="74"/>
      <c r="AH1390" s="74"/>
    </row>
    <row r="1391" s="73" customFormat="1" spans="1:34">
      <c r="A1391" s="74"/>
      <c r="B1391" s="74"/>
      <c r="C1391" s="74"/>
      <c r="D1391" s="74"/>
      <c r="E1391" s="74"/>
      <c r="F1391" s="74"/>
      <c r="G1391" s="74"/>
      <c r="H1391" s="74"/>
      <c r="I1391" s="74"/>
      <c r="J1391" s="74"/>
      <c r="K1391" s="74"/>
      <c r="L1391" s="74"/>
      <c r="M1391" s="74"/>
      <c r="N1391" s="74"/>
      <c r="O1391" s="75"/>
      <c r="P1391" s="74"/>
      <c r="Q1391" s="75"/>
      <c r="R1391" s="74"/>
      <c r="S1391" s="74"/>
      <c r="T1391" s="74"/>
      <c r="U1391" s="75"/>
      <c r="V1391" s="74"/>
      <c r="W1391" s="75"/>
      <c r="X1391" s="74"/>
      <c r="Y1391" s="74"/>
      <c r="Z1391" s="74"/>
      <c r="AA1391" s="74"/>
      <c r="AB1391" s="74"/>
      <c r="AC1391" s="74"/>
      <c r="AD1391" s="74"/>
      <c r="AE1391" s="74"/>
      <c r="AF1391" s="74"/>
      <c r="AG1391" s="74"/>
      <c r="AH1391" s="74"/>
    </row>
    <row r="1392" s="73" customFormat="1" spans="1:34">
      <c r="A1392" s="74"/>
      <c r="B1392" s="74"/>
      <c r="C1392" s="74"/>
      <c r="D1392" s="74"/>
      <c r="E1392" s="74"/>
      <c r="F1392" s="74"/>
      <c r="G1392" s="74"/>
      <c r="H1392" s="74"/>
      <c r="I1392" s="74"/>
      <c r="J1392" s="74"/>
      <c r="K1392" s="74"/>
      <c r="L1392" s="74"/>
      <c r="M1392" s="74"/>
      <c r="N1392" s="74"/>
      <c r="O1392" s="75"/>
      <c r="P1392" s="74"/>
      <c r="Q1392" s="75"/>
      <c r="R1392" s="74"/>
      <c r="S1392" s="74"/>
      <c r="T1392" s="74"/>
      <c r="U1392" s="75"/>
      <c r="V1392" s="74"/>
      <c r="W1392" s="75"/>
      <c r="X1392" s="74"/>
      <c r="Y1392" s="74"/>
      <c r="Z1392" s="74"/>
      <c r="AA1392" s="74"/>
      <c r="AB1392" s="74"/>
      <c r="AC1392" s="74"/>
      <c r="AD1392" s="74"/>
      <c r="AE1392" s="74"/>
      <c r="AF1392" s="74"/>
      <c r="AG1392" s="74"/>
      <c r="AH1392" s="74"/>
    </row>
    <row r="1393" s="73" customFormat="1" spans="1:34">
      <c r="A1393" s="74"/>
      <c r="B1393" s="74"/>
      <c r="C1393" s="74"/>
      <c r="D1393" s="74"/>
      <c r="E1393" s="74"/>
      <c r="F1393" s="74"/>
      <c r="G1393" s="74"/>
      <c r="H1393" s="74"/>
      <c r="I1393" s="74"/>
      <c r="J1393" s="74"/>
      <c r="K1393" s="74"/>
      <c r="L1393" s="74"/>
      <c r="M1393" s="74"/>
      <c r="N1393" s="74"/>
      <c r="O1393" s="75"/>
      <c r="P1393" s="74"/>
      <c r="Q1393" s="75"/>
      <c r="R1393" s="74"/>
      <c r="S1393" s="74"/>
      <c r="T1393" s="74"/>
      <c r="U1393" s="75"/>
      <c r="V1393" s="74"/>
      <c r="W1393" s="75"/>
      <c r="X1393" s="74"/>
      <c r="Y1393" s="74"/>
      <c r="Z1393" s="74"/>
      <c r="AA1393" s="74"/>
      <c r="AB1393" s="74"/>
      <c r="AC1393" s="74"/>
      <c r="AD1393" s="74"/>
      <c r="AE1393" s="74"/>
      <c r="AF1393" s="74"/>
      <c r="AG1393" s="74"/>
      <c r="AH1393" s="74"/>
    </row>
    <row r="1394" s="73" customFormat="1" spans="1:34">
      <c r="A1394" s="74"/>
      <c r="B1394" s="74"/>
      <c r="C1394" s="74"/>
      <c r="D1394" s="74"/>
      <c r="E1394" s="74"/>
      <c r="F1394" s="74"/>
      <c r="G1394" s="74"/>
      <c r="H1394" s="74"/>
      <c r="I1394" s="74"/>
      <c r="J1394" s="74"/>
      <c r="K1394" s="74"/>
      <c r="L1394" s="74"/>
      <c r="M1394" s="74"/>
      <c r="N1394" s="74"/>
      <c r="O1394" s="75"/>
      <c r="P1394" s="74"/>
      <c r="Q1394" s="75"/>
      <c r="R1394" s="74"/>
      <c r="S1394" s="74"/>
      <c r="T1394" s="74"/>
      <c r="U1394" s="75"/>
      <c r="V1394" s="74"/>
      <c r="W1394" s="75"/>
      <c r="X1394" s="74"/>
      <c r="Y1394" s="74"/>
      <c r="Z1394" s="74"/>
      <c r="AA1394" s="74"/>
      <c r="AB1394" s="74"/>
      <c r="AC1394" s="74"/>
      <c r="AD1394" s="74"/>
      <c r="AE1394" s="74"/>
      <c r="AF1394" s="74"/>
      <c r="AG1394" s="74"/>
      <c r="AH1394" s="74"/>
    </row>
    <row r="1395" s="73" customFormat="1" spans="1:34">
      <c r="A1395" s="74"/>
      <c r="B1395" s="74"/>
      <c r="C1395" s="74"/>
      <c r="D1395" s="74"/>
      <c r="E1395" s="74"/>
      <c r="F1395" s="74"/>
      <c r="G1395" s="74"/>
      <c r="H1395" s="74"/>
      <c r="I1395" s="74"/>
      <c r="J1395" s="74"/>
      <c r="K1395" s="74"/>
      <c r="L1395" s="74"/>
      <c r="M1395" s="74"/>
      <c r="N1395" s="74"/>
      <c r="O1395" s="75"/>
      <c r="P1395" s="74"/>
      <c r="Q1395" s="75"/>
      <c r="R1395" s="74"/>
      <c r="S1395" s="74"/>
      <c r="T1395" s="74"/>
      <c r="U1395" s="75"/>
      <c r="V1395" s="74"/>
      <c r="W1395" s="75"/>
      <c r="X1395" s="74"/>
      <c r="Y1395" s="74"/>
      <c r="Z1395" s="74"/>
      <c r="AA1395" s="74"/>
      <c r="AB1395" s="74"/>
      <c r="AC1395" s="74"/>
      <c r="AD1395" s="74"/>
      <c r="AE1395" s="74"/>
      <c r="AF1395" s="74"/>
      <c r="AG1395" s="74"/>
      <c r="AH1395" s="74"/>
    </row>
    <row r="1396" s="73" customFormat="1" spans="1:34">
      <c r="A1396" s="74"/>
      <c r="B1396" s="74"/>
      <c r="C1396" s="74"/>
      <c r="D1396" s="74"/>
      <c r="E1396" s="74"/>
      <c r="F1396" s="74"/>
      <c r="G1396" s="74"/>
      <c r="H1396" s="74"/>
      <c r="I1396" s="74"/>
      <c r="J1396" s="74"/>
      <c r="K1396" s="74"/>
      <c r="L1396" s="74"/>
      <c r="M1396" s="74"/>
      <c r="N1396" s="74"/>
      <c r="O1396" s="75"/>
      <c r="P1396" s="74"/>
      <c r="Q1396" s="75"/>
      <c r="R1396" s="74"/>
      <c r="S1396" s="74"/>
      <c r="T1396" s="74"/>
      <c r="U1396" s="75"/>
      <c r="V1396" s="74"/>
      <c r="W1396" s="75"/>
      <c r="X1396" s="74"/>
      <c r="Y1396" s="74"/>
      <c r="Z1396" s="74"/>
      <c r="AA1396" s="74"/>
      <c r="AB1396" s="74"/>
      <c r="AC1396" s="74"/>
      <c r="AD1396" s="74"/>
      <c r="AE1396" s="74"/>
      <c r="AF1396" s="74"/>
      <c r="AG1396" s="74"/>
      <c r="AH1396" s="74"/>
    </row>
    <row r="1397" s="73" customFormat="1" spans="1:34">
      <c r="A1397" s="74"/>
      <c r="B1397" s="74"/>
      <c r="C1397" s="74"/>
      <c r="D1397" s="74"/>
      <c r="E1397" s="74"/>
      <c r="F1397" s="74"/>
      <c r="G1397" s="74"/>
      <c r="H1397" s="74"/>
      <c r="I1397" s="74"/>
      <c r="J1397" s="74"/>
      <c r="K1397" s="74"/>
      <c r="L1397" s="74"/>
      <c r="M1397" s="74"/>
      <c r="N1397" s="74"/>
      <c r="O1397" s="75"/>
      <c r="P1397" s="74"/>
      <c r="Q1397" s="75"/>
      <c r="R1397" s="74"/>
      <c r="S1397" s="74"/>
      <c r="T1397" s="74"/>
      <c r="U1397" s="75"/>
      <c r="V1397" s="74"/>
      <c r="W1397" s="75"/>
      <c r="X1397" s="74"/>
      <c r="Y1397" s="74"/>
      <c r="Z1397" s="74"/>
      <c r="AA1397" s="74"/>
      <c r="AB1397" s="74"/>
      <c r="AC1397" s="74"/>
      <c r="AD1397" s="74"/>
      <c r="AE1397" s="74"/>
      <c r="AF1397" s="74"/>
      <c r="AG1397" s="74"/>
      <c r="AH1397" s="74"/>
    </row>
    <row r="1398" s="73" customFormat="1" spans="1:34">
      <c r="A1398" s="74"/>
      <c r="B1398" s="74"/>
      <c r="C1398" s="74"/>
      <c r="D1398" s="74"/>
      <c r="E1398" s="74"/>
      <c r="F1398" s="74"/>
      <c r="G1398" s="74"/>
      <c r="H1398" s="74"/>
      <c r="I1398" s="74"/>
      <c r="J1398" s="74"/>
      <c r="K1398" s="74"/>
      <c r="L1398" s="74"/>
      <c r="M1398" s="74"/>
      <c r="N1398" s="74"/>
      <c r="O1398" s="75"/>
      <c r="P1398" s="74"/>
      <c r="Q1398" s="75"/>
      <c r="R1398" s="74"/>
      <c r="S1398" s="74"/>
      <c r="T1398" s="74"/>
      <c r="U1398" s="75"/>
      <c r="V1398" s="74"/>
      <c r="W1398" s="75"/>
      <c r="X1398" s="74"/>
      <c r="Y1398" s="74"/>
      <c r="Z1398" s="74"/>
      <c r="AA1398" s="74"/>
      <c r="AB1398" s="74"/>
      <c r="AC1398" s="74"/>
      <c r="AD1398" s="74"/>
      <c r="AE1398" s="74"/>
      <c r="AF1398" s="74"/>
      <c r="AG1398" s="74"/>
      <c r="AH1398" s="74"/>
    </row>
    <row r="1399" s="73" customFormat="1" spans="1:34">
      <c r="A1399" s="74"/>
      <c r="B1399" s="74"/>
      <c r="C1399" s="74"/>
      <c r="D1399" s="74"/>
      <c r="E1399" s="74"/>
      <c r="F1399" s="74"/>
      <c r="G1399" s="74"/>
      <c r="H1399" s="74"/>
      <c r="I1399" s="74"/>
      <c r="J1399" s="74"/>
      <c r="K1399" s="74"/>
      <c r="L1399" s="74"/>
      <c r="M1399" s="74"/>
      <c r="N1399" s="74"/>
      <c r="O1399" s="75"/>
      <c r="P1399" s="74"/>
      <c r="Q1399" s="75"/>
      <c r="R1399" s="74"/>
      <c r="S1399" s="74"/>
      <c r="T1399" s="74"/>
      <c r="U1399" s="75"/>
      <c r="V1399" s="74"/>
      <c r="W1399" s="75"/>
      <c r="X1399" s="74"/>
      <c r="Y1399" s="74"/>
      <c r="Z1399" s="74"/>
      <c r="AA1399" s="74"/>
      <c r="AB1399" s="74"/>
      <c r="AC1399" s="74"/>
      <c r="AD1399" s="74"/>
      <c r="AE1399" s="74"/>
      <c r="AF1399" s="74"/>
      <c r="AG1399" s="74"/>
      <c r="AH1399" s="74"/>
    </row>
    <row r="1400" s="73" customFormat="1" spans="1:34">
      <c r="A1400" s="74"/>
      <c r="B1400" s="74"/>
      <c r="C1400" s="74"/>
      <c r="D1400" s="74"/>
      <c r="E1400" s="74"/>
      <c r="F1400" s="74"/>
      <c r="G1400" s="74"/>
      <c r="H1400" s="74"/>
      <c r="I1400" s="74"/>
      <c r="J1400" s="74"/>
      <c r="K1400" s="74"/>
      <c r="L1400" s="74"/>
      <c r="M1400" s="74"/>
      <c r="N1400" s="74"/>
      <c r="O1400" s="75"/>
      <c r="P1400" s="74"/>
      <c r="Q1400" s="75"/>
      <c r="R1400" s="74"/>
      <c r="S1400" s="74"/>
      <c r="T1400" s="74"/>
      <c r="U1400" s="75"/>
      <c r="V1400" s="74"/>
      <c r="W1400" s="75"/>
      <c r="X1400" s="74"/>
      <c r="Y1400" s="74"/>
      <c r="Z1400" s="74"/>
      <c r="AA1400" s="74"/>
      <c r="AB1400" s="74"/>
      <c r="AC1400" s="74"/>
      <c r="AD1400" s="74"/>
      <c r="AE1400" s="74"/>
      <c r="AF1400" s="74"/>
      <c r="AG1400" s="74"/>
      <c r="AH1400" s="74"/>
    </row>
    <row r="1401" s="73" customFormat="1" spans="1:34">
      <c r="A1401" s="74"/>
      <c r="B1401" s="74"/>
      <c r="C1401" s="74"/>
      <c r="D1401" s="74"/>
      <c r="E1401" s="74"/>
      <c r="F1401" s="74"/>
      <c r="G1401" s="74"/>
      <c r="H1401" s="74"/>
      <c r="I1401" s="74"/>
      <c r="J1401" s="74"/>
      <c r="K1401" s="74"/>
      <c r="L1401" s="74"/>
      <c r="M1401" s="74"/>
      <c r="N1401" s="74"/>
      <c r="O1401" s="75"/>
      <c r="P1401" s="74"/>
      <c r="Q1401" s="75"/>
      <c r="R1401" s="74"/>
      <c r="S1401" s="74"/>
      <c r="T1401" s="74"/>
      <c r="U1401" s="75"/>
      <c r="V1401" s="74"/>
      <c r="W1401" s="75"/>
      <c r="X1401" s="74"/>
      <c r="Y1401" s="74"/>
      <c r="Z1401" s="74"/>
      <c r="AA1401" s="74"/>
      <c r="AB1401" s="74"/>
      <c r="AC1401" s="74"/>
      <c r="AD1401" s="74"/>
      <c r="AE1401" s="74"/>
      <c r="AF1401" s="74"/>
      <c r="AG1401" s="74"/>
      <c r="AH1401" s="74"/>
    </row>
    <row r="1402" s="73" customFormat="1" spans="1:34">
      <c r="A1402" s="74"/>
      <c r="B1402" s="74"/>
      <c r="C1402" s="74"/>
      <c r="D1402" s="74"/>
      <c r="E1402" s="74"/>
      <c r="F1402" s="74"/>
      <c r="G1402" s="74"/>
      <c r="H1402" s="74"/>
      <c r="I1402" s="74"/>
      <c r="J1402" s="74"/>
      <c r="K1402" s="74"/>
      <c r="L1402" s="74"/>
      <c r="M1402" s="74"/>
      <c r="N1402" s="74"/>
      <c r="O1402" s="75"/>
      <c r="P1402" s="74"/>
      <c r="Q1402" s="75"/>
      <c r="R1402" s="74"/>
      <c r="S1402" s="74"/>
      <c r="T1402" s="74"/>
      <c r="U1402" s="75"/>
      <c r="V1402" s="74"/>
      <c r="W1402" s="75"/>
      <c r="X1402" s="74"/>
      <c r="Y1402" s="74"/>
      <c r="Z1402" s="74"/>
      <c r="AA1402" s="74"/>
      <c r="AB1402" s="74"/>
      <c r="AC1402" s="74"/>
      <c r="AD1402" s="74"/>
      <c r="AE1402" s="74"/>
      <c r="AF1402" s="74"/>
      <c r="AG1402" s="74"/>
      <c r="AH1402" s="74"/>
    </row>
    <row r="1403" s="73" customFormat="1" spans="1:34">
      <c r="A1403" s="74"/>
      <c r="B1403" s="74"/>
      <c r="C1403" s="74"/>
      <c r="D1403" s="74"/>
      <c r="E1403" s="74"/>
      <c r="F1403" s="74"/>
      <c r="G1403" s="74"/>
      <c r="H1403" s="74"/>
      <c r="I1403" s="74"/>
      <c r="J1403" s="74"/>
      <c r="K1403" s="74"/>
      <c r="L1403" s="74"/>
      <c r="M1403" s="74"/>
      <c r="N1403" s="74"/>
      <c r="O1403" s="75"/>
      <c r="P1403" s="74"/>
      <c r="Q1403" s="75"/>
      <c r="R1403" s="74"/>
      <c r="S1403" s="74"/>
      <c r="T1403" s="74"/>
      <c r="U1403" s="75"/>
      <c r="V1403" s="74"/>
      <c r="W1403" s="75"/>
      <c r="X1403" s="74"/>
      <c r="Y1403" s="74"/>
      <c r="Z1403" s="74"/>
      <c r="AA1403" s="74"/>
      <c r="AB1403" s="74"/>
      <c r="AC1403" s="74"/>
      <c r="AD1403" s="74"/>
      <c r="AE1403" s="74"/>
      <c r="AF1403" s="74"/>
      <c r="AG1403" s="74"/>
      <c r="AH1403" s="74"/>
    </row>
    <row r="1404" s="73" customFormat="1" spans="1:34">
      <c r="A1404" s="74"/>
      <c r="B1404" s="74"/>
      <c r="C1404" s="74"/>
      <c r="D1404" s="74"/>
      <c r="E1404" s="74"/>
      <c r="F1404" s="74"/>
      <c r="G1404" s="74"/>
      <c r="H1404" s="74"/>
      <c r="I1404" s="74"/>
      <c r="J1404" s="74"/>
      <c r="K1404" s="74"/>
      <c r="L1404" s="74"/>
      <c r="M1404" s="74"/>
      <c r="N1404" s="74"/>
      <c r="O1404" s="75"/>
      <c r="P1404" s="74"/>
      <c r="Q1404" s="75"/>
      <c r="R1404" s="74"/>
      <c r="S1404" s="74"/>
      <c r="T1404" s="74"/>
      <c r="U1404" s="75"/>
      <c r="V1404" s="74"/>
      <c r="W1404" s="75"/>
      <c r="X1404" s="74"/>
      <c r="Y1404" s="74"/>
      <c r="Z1404" s="74"/>
      <c r="AA1404" s="74"/>
      <c r="AB1404" s="74"/>
      <c r="AC1404" s="74"/>
      <c r="AD1404" s="74"/>
      <c r="AE1404" s="74"/>
      <c r="AF1404" s="74"/>
      <c r="AG1404" s="74"/>
      <c r="AH1404" s="74"/>
    </row>
    <row r="1405" s="73" customFormat="1" spans="1:34">
      <c r="A1405" s="74"/>
      <c r="B1405" s="74"/>
      <c r="C1405" s="74"/>
      <c r="D1405" s="74"/>
      <c r="E1405" s="74"/>
      <c r="F1405" s="74"/>
      <c r="G1405" s="74"/>
      <c r="H1405" s="74"/>
      <c r="I1405" s="74"/>
      <c r="J1405" s="74"/>
      <c r="K1405" s="74"/>
      <c r="L1405" s="74"/>
      <c r="M1405" s="74"/>
      <c r="N1405" s="74"/>
      <c r="O1405" s="75"/>
      <c r="P1405" s="74"/>
      <c r="Q1405" s="75"/>
      <c r="R1405" s="74"/>
      <c r="S1405" s="74"/>
      <c r="T1405" s="74"/>
      <c r="U1405" s="75"/>
      <c r="V1405" s="74"/>
      <c r="W1405" s="75"/>
      <c r="X1405" s="74"/>
      <c r="Y1405" s="74"/>
      <c r="Z1405" s="74"/>
      <c r="AA1405" s="74"/>
      <c r="AB1405" s="74"/>
      <c r="AC1405" s="74"/>
      <c r="AD1405" s="74"/>
      <c r="AE1405" s="74"/>
      <c r="AF1405" s="74"/>
      <c r="AG1405" s="74"/>
      <c r="AH1405" s="74"/>
    </row>
    <row r="1406" s="73" customFormat="1" spans="1:34">
      <c r="A1406" s="74"/>
      <c r="B1406" s="74"/>
      <c r="C1406" s="74"/>
      <c r="D1406" s="74"/>
      <c r="E1406" s="74"/>
      <c r="F1406" s="74"/>
      <c r="G1406" s="74"/>
      <c r="H1406" s="74"/>
      <c r="I1406" s="74"/>
      <c r="J1406" s="74"/>
      <c r="K1406" s="74"/>
      <c r="L1406" s="74"/>
      <c r="M1406" s="74"/>
      <c r="N1406" s="74"/>
      <c r="O1406" s="75"/>
      <c r="P1406" s="74"/>
      <c r="Q1406" s="75"/>
      <c r="R1406" s="74"/>
      <c r="S1406" s="74"/>
      <c r="T1406" s="74"/>
      <c r="U1406" s="75"/>
      <c r="V1406" s="74"/>
      <c r="W1406" s="75"/>
      <c r="X1406" s="74"/>
      <c r="Y1406" s="74"/>
      <c r="Z1406" s="74"/>
      <c r="AA1406" s="74"/>
      <c r="AB1406" s="74"/>
      <c r="AC1406" s="74"/>
      <c r="AD1406" s="74"/>
      <c r="AE1406" s="74"/>
      <c r="AF1406" s="74"/>
      <c r="AG1406" s="74"/>
      <c r="AH1406" s="74"/>
    </row>
    <row r="1407" s="73" customFormat="1" spans="1:34">
      <c r="A1407" s="74"/>
      <c r="B1407" s="74"/>
      <c r="C1407" s="74"/>
      <c r="D1407" s="74"/>
      <c r="E1407" s="74"/>
      <c r="F1407" s="74"/>
      <c r="G1407" s="74"/>
      <c r="H1407" s="74"/>
      <c r="I1407" s="74"/>
      <c r="J1407" s="74"/>
      <c r="K1407" s="74"/>
      <c r="L1407" s="74"/>
      <c r="M1407" s="74"/>
      <c r="N1407" s="74"/>
      <c r="O1407" s="75"/>
      <c r="P1407" s="74"/>
      <c r="Q1407" s="75"/>
      <c r="R1407" s="74"/>
      <c r="S1407" s="74"/>
      <c r="T1407" s="74"/>
      <c r="U1407" s="75"/>
      <c r="V1407" s="74"/>
      <c r="W1407" s="75"/>
      <c r="X1407" s="74"/>
      <c r="Y1407" s="74"/>
      <c r="Z1407" s="74"/>
      <c r="AA1407" s="74"/>
      <c r="AB1407" s="74"/>
      <c r="AC1407" s="74"/>
      <c r="AD1407" s="74"/>
      <c r="AE1407" s="74"/>
      <c r="AF1407" s="74"/>
      <c r="AG1407" s="74"/>
      <c r="AH1407" s="74"/>
    </row>
    <row r="1408" s="73" customFormat="1" spans="1:34">
      <c r="A1408" s="74"/>
      <c r="B1408" s="74"/>
      <c r="C1408" s="74"/>
      <c r="D1408" s="74"/>
      <c r="E1408" s="74"/>
      <c r="F1408" s="74"/>
      <c r="G1408" s="74"/>
      <c r="H1408" s="74"/>
      <c r="I1408" s="74"/>
      <c r="J1408" s="74"/>
      <c r="K1408" s="74"/>
      <c r="L1408" s="74"/>
      <c r="M1408" s="74"/>
      <c r="N1408" s="74"/>
      <c r="O1408" s="75"/>
      <c r="P1408" s="74"/>
      <c r="Q1408" s="75"/>
      <c r="R1408" s="74"/>
      <c r="S1408" s="74"/>
      <c r="T1408" s="74"/>
      <c r="U1408" s="75"/>
      <c r="V1408" s="74"/>
      <c r="W1408" s="75"/>
      <c r="X1408" s="74"/>
      <c r="Y1408" s="74"/>
      <c r="Z1408" s="74"/>
      <c r="AA1408" s="74"/>
      <c r="AB1408" s="74"/>
      <c r="AC1408" s="74"/>
      <c r="AD1408" s="74"/>
      <c r="AE1408" s="74"/>
      <c r="AF1408" s="74"/>
      <c r="AG1408" s="74"/>
      <c r="AH1408" s="74"/>
    </row>
    <row r="1409" s="73" customFormat="1" spans="1:34">
      <c r="A1409" s="74"/>
      <c r="B1409" s="74"/>
      <c r="C1409" s="74"/>
      <c r="D1409" s="74"/>
      <c r="E1409" s="74"/>
      <c r="F1409" s="74"/>
      <c r="G1409" s="74"/>
      <c r="H1409" s="74"/>
      <c r="I1409" s="74"/>
      <c r="J1409" s="74"/>
      <c r="K1409" s="74"/>
      <c r="L1409" s="74"/>
      <c r="M1409" s="74"/>
      <c r="N1409" s="74"/>
      <c r="O1409" s="75"/>
      <c r="P1409" s="74"/>
      <c r="Q1409" s="75"/>
      <c r="R1409" s="74"/>
      <c r="S1409" s="74"/>
      <c r="T1409" s="74"/>
      <c r="U1409" s="75"/>
      <c r="V1409" s="74"/>
      <c r="W1409" s="75"/>
      <c r="X1409" s="74"/>
      <c r="Y1409" s="74"/>
      <c r="Z1409" s="74"/>
      <c r="AA1409" s="74"/>
      <c r="AB1409" s="74"/>
      <c r="AC1409" s="74"/>
      <c r="AD1409" s="74"/>
      <c r="AE1409" s="74"/>
      <c r="AF1409" s="74"/>
      <c r="AG1409" s="74"/>
      <c r="AH1409" s="74"/>
    </row>
    <row r="1410" s="73" customFormat="1" spans="1:34">
      <c r="A1410" s="74"/>
      <c r="B1410" s="74"/>
      <c r="C1410" s="74"/>
      <c r="D1410" s="74"/>
      <c r="E1410" s="74"/>
      <c r="F1410" s="74"/>
      <c r="G1410" s="74"/>
      <c r="H1410" s="74"/>
      <c r="I1410" s="74"/>
      <c r="J1410" s="74"/>
      <c r="K1410" s="74"/>
      <c r="L1410" s="74"/>
      <c r="M1410" s="74"/>
      <c r="N1410" s="74"/>
      <c r="O1410" s="75"/>
      <c r="P1410" s="74"/>
      <c r="Q1410" s="75"/>
      <c r="R1410" s="74"/>
      <c r="S1410" s="74"/>
      <c r="T1410" s="74"/>
      <c r="U1410" s="75"/>
      <c r="V1410" s="74"/>
      <c r="W1410" s="75"/>
      <c r="X1410" s="74"/>
      <c r="Y1410" s="74"/>
      <c r="Z1410" s="74"/>
      <c r="AA1410" s="74"/>
      <c r="AB1410" s="74"/>
      <c r="AC1410" s="74"/>
      <c r="AD1410" s="74"/>
      <c r="AE1410" s="74"/>
      <c r="AF1410" s="74"/>
      <c r="AG1410" s="74"/>
      <c r="AH1410" s="74"/>
    </row>
    <row r="1411" s="73" customFormat="1" spans="1:34">
      <c r="A1411" s="74"/>
      <c r="B1411" s="74"/>
      <c r="C1411" s="74"/>
      <c r="D1411" s="74"/>
      <c r="E1411" s="74"/>
      <c r="F1411" s="74"/>
      <c r="G1411" s="74"/>
      <c r="H1411" s="74"/>
      <c r="I1411" s="74"/>
      <c r="J1411" s="74"/>
      <c r="K1411" s="74"/>
      <c r="L1411" s="74"/>
      <c r="M1411" s="74"/>
      <c r="N1411" s="74"/>
      <c r="O1411" s="75"/>
      <c r="P1411" s="74"/>
      <c r="Q1411" s="75"/>
      <c r="R1411" s="74"/>
      <c r="S1411" s="74"/>
      <c r="T1411" s="74"/>
      <c r="U1411" s="75"/>
      <c r="V1411" s="74"/>
      <c r="W1411" s="75"/>
      <c r="X1411" s="74"/>
      <c r="Y1411" s="74"/>
      <c r="Z1411" s="74"/>
      <c r="AA1411" s="74"/>
      <c r="AB1411" s="74"/>
      <c r="AC1411" s="74"/>
      <c r="AD1411" s="74"/>
      <c r="AE1411" s="74"/>
      <c r="AF1411" s="74"/>
      <c r="AG1411" s="74"/>
      <c r="AH1411" s="74"/>
    </row>
    <row r="1412" s="73" customFormat="1" spans="1:34">
      <c r="A1412" s="74"/>
      <c r="B1412" s="74"/>
      <c r="C1412" s="74"/>
      <c r="D1412" s="74"/>
      <c r="E1412" s="74"/>
      <c r="F1412" s="74"/>
      <c r="G1412" s="74"/>
      <c r="H1412" s="74"/>
      <c r="I1412" s="74"/>
      <c r="J1412" s="74"/>
      <c r="K1412" s="74"/>
      <c r="L1412" s="74"/>
      <c r="M1412" s="74"/>
      <c r="N1412" s="74"/>
      <c r="O1412" s="75"/>
      <c r="P1412" s="74"/>
      <c r="Q1412" s="75"/>
      <c r="R1412" s="74"/>
      <c r="S1412" s="74"/>
      <c r="T1412" s="74"/>
      <c r="U1412" s="75"/>
      <c r="V1412" s="74"/>
      <c r="W1412" s="75"/>
      <c r="X1412" s="74"/>
      <c r="Y1412" s="74"/>
      <c r="Z1412" s="74"/>
      <c r="AA1412" s="74"/>
      <c r="AB1412" s="74"/>
      <c r="AC1412" s="74"/>
      <c r="AD1412" s="74"/>
      <c r="AE1412" s="74"/>
      <c r="AF1412" s="74"/>
      <c r="AG1412" s="74"/>
      <c r="AH1412" s="74"/>
    </row>
    <row r="1413" s="73" customFormat="1" spans="1:34">
      <c r="A1413" s="74"/>
      <c r="B1413" s="74"/>
      <c r="C1413" s="74"/>
      <c r="D1413" s="74"/>
      <c r="E1413" s="74"/>
      <c r="F1413" s="74"/>
      <c r="G1413" s="74"/>
      <c r="H1413" s="74"/>
      <c r="I1413" s="74"/>
      <c r="J1413" s="74"/>
      <c r="K1413" s="74"/>
      <c r="L1413" s="74"/>
      <c r="M1413" s="74"/>
      <c r="N1413" s="74"/>
      <c r="O1413" s="75"/>
      <c r="P1413" s="74"/>
      <c r="Q1413" s="75"/>
      <c r="R1413" s="74"/>
      <c r="S1413" s="74"/>
      <c r="T1413" s="74"/>
      <c r="U1413" s="75"/>
      <c r="V1413" s="74"/>
      <c r="W1413" s="75"/>
      <c r="X1413" s="74"/>
      <c r="Y1413" s="74"/>
      <c r="Z1413" s="74"/>
      <c r="AA1413" s="74"/>
      <c r="AB1413" s="74"/>
      <c r="AC1413" s="74"/>
      <c r="AD1413" s="74"/>
      <c r="AE1413" s="74"/>
      <c r="AF1413" s="74"/>
      <c r="AG1413" s="74"/>
      <c r="AH1413" s="74"/>
    </row>
    <row r="1414" s="73" customFormat="1" spans="1:34">
      <c r="A1414" s="74"/>
      <c r="B1414" s="74"/>
      <c r="C1414" s="74"/>
      <c r="D1414" s="74"/>
      <c r="E1414" s="74"/>
      <c r="F1414" s="74"/>
      <c r="G1414" s="74"/>
      <c r="H1414" s="74"/>
      <c r="I1414" s="74"/>
      <c r="J1414" s="74"/>
      <c r="K1414" s="74"/>
      <c r="L1414" s="74"/>
      <c r="M1414" s="74"/>
      <c r="N1414" s="74"/>
      <c r="O1414" s="75"/>
      <c r="P1414" s="74"/>
      <c r="Q1414" s="75"/>
      <c r="R1414" s="74"/>
      <c r="S1414" s="74"/>
      <c r="T1414" s="74"/>
      <c r="U1414" s="75"/>
      <c r="V1414" s="74"/>
      <c r="W1414" s="75"/>
      <c r="X1414" s="74"/>
      <c r="Y1414" s="74"/>
      <c r="Z1414" s="74"/>
      <c r="AA1414" s="74"/>
      <c r="AB1414" s="74"/>
      <c r="AC1414" s="74"/>
      <c r="AD1414" s="74"/>
      <c r="AE1414" s="74"/>
      <c r="AF1414" s="74"/>
      <c r="AG1414" s="74"/>
      <c r="AH1414" s="74"/>
    </row>
    <row r="1415" s="73" customFormat="1" spans="1:34">
      <c r="A1415" s="74"/>
      <c r="B1415" s="74"/>
      <c r="C1415" s="74"/>
      <c r="D1415" s="74"/>
      <c r="E1415" s="74"/>
      <c r="F1415" s="74"/>
      <c r="G1415" s="74"/>
      <c r="H1415" s="74"/>
      <c r="I1415" s="74"/>
      <c r="J1415" s="74"/>
      <c r="K1415" s="74"/>
      <c r="L1415" s="74"/>
      <c r="M1415" s="74"/>
      <c r="N1415" s="74"/>
      <c r="O1415" s="75"/>
      <c r="P1415" s="74"/>
      <c r="Q1415" s="75"/>
      <c r="R1415" s="74"/>
      <c r="S1415" s="74"/>
      <c r="T1415" s="74"/>
      <c r="U1415" s="75"/>
      <c r="V1415" s="74"/>
      <c r="W1415" s="75"/>
      <c r="X1415" s="74"/>
      <c r="Y1415" s="74"/>
      <c r="Z1415" s="74"/>
      <c r="AA1415" s="74"/>
      <c r="AB1415" s="74"/>
      <c r="AC1415" s="74"/>
      <c r="AD1415" s="74"/>
      <c r="AE1415" s="74"/>
      <c r="AF1415" s="74"/>
      <c r="AG1415" s="74"/>
      <c r="AH1415" s="74"/>
    </row>
    <row r="1416" s="73" customFormat="1" spans="1:34">
      <c r="A1416" s="74"/>
      <c r="B1416" s="74"/>
      <c r="C1416" s="74"/>
      <c r="D1416" s="74"/>
      <c r="E1416" s="74"/>
      <c r="F1416" s="74"/>
      <c r="G1416" s="74"/>
      <c r="H1416" s="74"/>
      <c r="I1416" s="74"/>
      <c r="J1416" s="74"/>
      <c r="K1416" s="74"/>
      <c r="L1416" s="74"/>
      <c r="M1416" s="74"/>
      <c r="N1416" s="74"/>
      <c r="O1416" s="75"/>
      <c r="P1416" s="74"/>
      <c r="Q1416" s="75"/>
      <c r="R1416" s="74"/>
      <c r="S1416" s="74"/>
      <c r="T1416" s="74"/>
      <c r="U1416" s="75"/>
      <c r="V1416" s="74"/>
      <c r="W1416" s="75"/>
      <c r="X1416" s="74"/>
      <c r="Y1416" s="74"/>
      <c r="Z1416" s="74"/>
      <c r="AA1416" s="74"/>
      <c r="AB1416" s="74"/>
      <c r="AC1416" s="74"/>
      <c r="AD1416" s="74"/>
      <c r="AE1416" s="74"/>
      <c r="AF1416" s="74"/>
      <c r="AG1416" s="74"/>
      <c r="AH1416" s="74"/>
    </row>
    <row r="1417" s="73" customFormat="1" spans="1:34">
      <c r="A1417" s="74"/>
      <c r="B1417" s="74"/>
      <c r="C1417" s="74"/>
      <c r="D1417" s="74"/>
      <c r="E1417" s="74"/>
      <c r="F1417" s="74"/>
      <c r="G1417" s="74"/>
      <c r="H1417" s="74"/>
      <c r="I1417" s="74"/>
      <c r="J1417" s="74"/>
      <c r="K1417" s="74"/>
      <c r="L1417" s="74"/>
      <c r="M1417" s="74"/>
      <c r="N1417" s="74"/>
      <c r="O1417" s="75"/>
      <c r="P1417" s="74"/>
      <c r="Q1417" s="75"/>
      <c r="R1417" s="74"/>
      <c r="S1417" s="74"/>
      <c r="T1417" s="74"/>
      <c r="U1417" s="75"/>
      <c r="V1417" s="74"/>
      <c r="W1417" s="75"/>
      <c r="X1417" s="74"/>
      <c r="Y1417" s="74"/>
      <c r="Z1417" s="74"/>
      <c r="AA1417" s="74"/>
      <c r="AB1417" s="74"/>
      <c r="AC1417" s="74"/>
      <c r="AD1417" s="74"/>
      <c r="AE1417" s="74"/>
      <c r="AF1417" s="74"/>
      <c r="AG1417" s="74"/>
      <c r="AH1417" s="74"/>
    </row>
    <row r="1418" s="73" customFormat="1" spans="1:34">
      <c r="A1418" s="74"/>
      <c r="B1418" s="74"/>
      <c r="C1418" s="74"/>
      <c r="D1418" s="74"/>
      <c r="E1418" s="74"/>
      <c r="F1418" s="74"/>
      <c r="G1418" s="74"/>
      <c r="H1418" s="74"/>
      <c r="I1418" s="74"/>
      <c r="J1418" s="74"/>
      <c r="K1418" s="74"/>
      <c r="L1418" s="74"/>
      <c r="M1418" s="74"/>
      <c r="N1418" s="74"/>
      <c r="O1418" s="75"/>
      <c r="P1418" s="74"/>
      <c r="Q1418" s="75"/>
      <c r="R1418" s="74"/>
      <c r="S1418" s="74"/>
      <c r="T1418" s="74"/>
      <c r="U1418" s="75"/>
      <c r="V1418" s="74"/>
      <c r="W1418" s="75"/>
      <c r="X1418" s="74"/>
      <c r="Y1418" s="74"/>
      <c r="Z1418" s="74"/>
      <c r="AA1418" s="74"/>
      <c r="AB1418" s="74"/>
      <c r="AC1418" s="74"/>
      <c r="AD1418" s="74"/>
      <c r="AE1418" s="74"/>
      <c r="AF1418" s="74"/>
      <c r="AG1418" s="74"/>
      <c r="AH1418" s="74"/>
    </row>
    <row r="1419" s="73" customFormat="1" spans="1:34">
      <c r="A1419" s="74"/>
      <c r="B1419" s="74"/>
      <c r="C1419" s="74"/>
      <c r="D1419" s="74"/>
      <c r="E1419" s="74"/>
      <c r="F1419" s="74"/>
      <c r="G1419" s="74"/>
      <c r="H1419" s="74"/>
      <c r="I1419" s="74"/>
      <c r="J1419" s="74"/>
      <c r="K1419" s="74"/>
      <c r="L1419" s="74"/>
      <c r="M1419" s="74"/>
      <c r="N1419" s="74"/>
      <c r="O1419" s="75"/>
      <c r="P1419" s="74"/>
      <c r="Q1419" s="75"/>
      <c r="R1419" s="74"/>
      <c r="S1419" s="74"/>
      <c r="T1419" s="74"/>
      <c r="U1419" s="75"/>
      <c r="V1419" s="74"/>
      <c r="W1419" s="75"/>
      <c r="X1419" s="74"/>
      <c r="Y1419" s="74"/>
      <c r="Z1419" s="74"/>
      <c r="AA1419" s="74"/>
      <c r="AB1419" s="74"/>
      <c r="AC1419" s="74"/>
      <c r="AD1419" s="74"/>
      <c r="AE1419" s="74"/>
      <c r="AF1419" s="74"/>
      <c r="AG1419" s="74"/>
      <c r="AH1419" s="74"/>
    </row>
    <row r="1420" s="73" customFormat="1" spans="1:34">
      <c r="A1420" s="74"/>
      <c r="B1420" s="74"/>
      <c r="C1420" s="74"/>
      <c r="D1420" s="74"/>
      <c r="E1420" s="74"/>
      <c r="F1420" s="74"/>
      <c r="G1420" s="74"/>
      <c r="H1420" s="74"/>
      <c r="I1420" s="74"/>
      <c r="J1420" s="74"/>
      <c r="K1420" s="74"/>
      <c r="L1420" s="74"/>
      <c r="M1420" s="74"/>
      <c r="N1420" s="74"/>
      <c r="O1420" s="75"/>
      <c r="P1420" s="74"/>
      <c r="Q1420" s="75"/>
      <c r="R1420" s="74"/>
      <c r="S1420" s="74"/>
      <c r="T1420" s="74"/>
      <c r="U1420" s="75"/>
      <c r="V1420" s="74"/>
      <c r="W1420" s="75"/>
      <c r="X1420" s="74"/>
      <c r="Y1420" s="74"/>
      <c r="Z1420" s="74"/>
      <c r="AA1420" s="74"/>
      <c r="AB1420" s="74"/>
      <c r="AC1420" s="74"/>
      <c r="AD1420" s="74"/>
      <c r="AE1420" s="74"/>
      <c r="AF1420" s="74"/>
      <c r="AG1420" s="74"/>
      <c r="AH1420" s="74"/>
    </row>
    <row r="1421" s="73" customFormat="1" spans="1:34">
      <c r="A1421" s="74"/>
      <c r="B1421" s="74"/>
      <c r="C1421" s="74"/>
      <c r="D1421" s="74"/>
      <c r="E1421" s="74"/>
      <c r="F1421" s="74"/>
      <c r="G1421" s="74"/>
      <c r="H1421" s="74"/>
      <c r="I1421" s="74"/>
      <c r="J1421" s="74"/>
      <c r="K1421" s="74"/>
      <c r="L1421" s="74"/>
      <c r="M1421" s="74"/>
      <c r="N1421" s="74"/>
      <c r="O1421" s="75"/>
      <c r="P1421" s="74"/>
      <c r="Q1421" s="75"/>
      <c r="R1421" s="74"/>
      <c r="S1421" s="74"/>
      <c r="T1421" s="74"/>
      <c r="U1421" s="75"/>
      <c r="V1421" s="74"/>
      <c r="W1421" s="75"/>
      <c r="X1421" s="74"/>
      <c r="Y1421" s="74"/>
      <c r="Z1421" s="74"/>
      <c r="AA1421" s="74"/>
      <c r="AB1421" s="74"/>
      <c r="AC1421" s="74"/>
      <c r="AD1421" s="74"/>
      <c r="AE1421" s="74"/>
      <c r="AF1421" s="74"/>
      <c r="AG1421" s="74"/>
      <c r="AH1421" s="74"/>
    </row>
    <row r="1422" s="73" customFormat="1" spans="1:34">
      <c r="A1422" s="74"/>
      <c r="B1422" s="74"/>
      <c r="C1422" s="74"/>
      <c r="D1422" s="74"/>
      <c r="E1422" s="74"/>
      <c r="F1422" s="74"/>
      <c r="G1422" s="74"/>
      <c r="H1422" s="74"/>
      <c r="I1422" s="74"/>
      <c r="J1422" s="74"/>
      <c r="K1422" s="74"/>
      <c r="L1422" s="74"/>
      <c r="M1422" s="74"/>
      <c r="N1422" s="74"/>
      <c r="O1422" s="75"/>
      <c r="P1422" s="74"/>
      <c r="Q1422" s="75"/>
      <c r="R1422" s="74"/>
      <c r="S1422" s="74"/>
      <c r="T1422" s="74"/>
      <c r="U1422" s="75"/>
      <c r="V1422" s="74"/>
      <c r="W1422" s="75"/>
      <c r="X1422" s="74"/>
      <c r="Y1422" s="74"/>
      <c r="Z1422" s="74"/>
      <c r="AA1422" s="74"/>
      <c r="AB1422" s="74"/>
      <c r="AC1422" s="74"/>
      <c r="AD1422" s="74"/>
      <c r="AE1422" s="74"/>
      <c r="AF1422" s="74"/>
      <c r="AG1422" s="74"/>
      <c r="AH1422" s="74"/>
    </row>
    <row r="1423" s="73" customFormat="1" spans="1:34">
      <c r="A1423" s="74"/>
      <c r="B1423" s="74"/>
      <c r="C1423" s="74"/>
      <c r="D1423" s="74"/>
      <c r="E1423" s="74"/>
      <c r="F1423" s="74"/>
      <c r="G1423" s="74"/>
      <c r="H1423" s="74"/>
      <c r="I1423" s="74"/>
      <c r="J1423" s="74"/>
      <c r="K1423" s="74"/>
      <c r="L1423" s="74"/>
      <c r="M1423" s="74"/>
      <c r="N1423" s="74"/>
      <c r="O1423" s="75"/>
      <c r="P1423" s="74"/>
      <c r="Q1423" s="75"/>
      <c r="R1423" s="74"/>
      <c r="S1423" s="74"/>
      <c r="T1423" s="74"/>
      <c r="U1423" s="75"/>
      <c r="V1423" s="74"/>
      <c r="W1423" s="75"/>
      <c r="X1423" s="74"/>
      <c r="Y1423" s="74"/>
      <c r="Z1423" s="74"/>
      <c r="AA1423" s="74"/>
      <c r="AB1423" s="74"/>
      <c r="AC1423" s="74"/>
      <c r="AD1423" s="74"/>
      <c r="AE1423" s="74"/>
      <c r="AF1423" s="74"/>
      <c r="AG1423" s="74"/>
      <c r="AH1423" s="74"/>
    </row>
    <row r="1424" s="73" customFormat="1" spans="1:34">
      <c r="A1424" s="74"/>
      <c r="B1424" s="74"/>
      <c r="C1424" s="74"/>
      <c r="D1424" s="74"/>
      <c r="E1424" s="74"/>
      <c r="F1424" s="74"/>
      <c r="G1424" s="74"/>
      <c r="H1424" s="74"/>
      <c r="I1424" s="74"/>
      <c r="J1424" s="74"/>
      <c r="K1424" s="74"/>
      <c r="L1424" s="74"/>
      <c r="M1424" s="74"/>
      <c r="N1424" s="74"/>
      <c r="O1424" s="75"/>
      <c r="P1424" s="74"/>
      <c r="Q1424" s="75"/>
      <c r="R1424" s="74"/>
      <c r="S1424" s="74"/>
      <c r="T1424" s="74"/>
      <c r="U1424" s="75"/>
      <c r="V1424" s="74"/>
      <c r="W1424" s="75"/>
      <c r="X1424" s="74"/>
      <c r="Y1424" s="74"/>
      <c r="Z1424" s="74"/>
      <c r="AA1424" s="74"/>
      <c r="AB1424" s="74"/>
      <c r="AC1424" s="74"/>
      <c r="AD1424" s="74"/>
      <c r="AE1424" s="74"/>
      <c r="AF1424" s="74"/>
      <c r="AG1424" s="74"/>
      <c r="AH1424" s="74"/>
    </row>
    <row r="1425" s="73" customFormat="1" spans="1:34">
      <c r="A1425" s="74"/>
      <c r="B1425" s="74"/>
      <c r="C1425" s="74"/>
      <c r="D1425" s="74"/>
      <c r="E1425" s="74"/>
      <c r="F1425" s="74"/>
      <c r="G1425" s="74"/>
      <c r="H1425" s="74"/>
      <c r="I1425" s="74"/>
      <c r="J1425" s="74"/>
      <c r="K1425" s="74"/>
      <c r="L1425" s="74"/>
      <c r="M1425" s="74"/>
      <c r="N1425" s="74"/>
      <c r="O1425" s="75"/>
      <c r="P1425" s="74"/>
      <c r="Q1425" s="75"/>
      <c r="R1425" s="74"/>
      <c r="S1425" s="74"/>
      <c r="T1425" s="74"/>
      <c r="U1425" s="75"/>
      <c r="V1425" s="74"/>
      <c r="W1425" s="75"/>
      <c r="X1425" s="74"/>
      <c r="Y1425" s="74"/>
      <c r="Z1425" s="74"/>
      <c r="AA1425" s="74"/>
      <c r="AB1425" s="74"/>
      <c r="AC1425" s="74"/>
      <c r="AD1425" s="74"/>
      <c r="AE1425" s="74"/>
      <c r="AF1425" s="74"/>
      <c r="AG1425" s="74"/>
      <c r="AH1425" s="74"/>
    </row>
    <row r="1426" s="73" customFormat="1" spans="1:34">
      <c r="A1426" s="74"/>
      <c r="B1426" s="74"/>
      <c r="C1426" s="74"/>
      <c r="D1426" s="74"/>
      <c r="E1426" s="74"/>
      <c r="F1426" s="74"/>
      <c r="G1426" s="74"/>
      <c r="H1426" s="74"/>
      <c r="I1426" s="74"/>
      <c r="J1426" s="74"/>
      <c r="K1426" s="74"/>
      <c r="L1426" s="74"/>
      <c r="M1426" s="74"/>
      <c r="N1426" s="74"/>
      <c r="O1426" s="75"/>
      <c r="P1426" s="74"/>
      <c r="Q1426" s="75"/>
      <c r="R1426" s="74"/>
      <c r="S1426" s="74"/>
      <c r="T1426" s="74"/>
      <c r="U1426" s="75"/>
      <c r="V1426" s="74"/>
      <c r="W1426" s="75"/>
      <c r="X1426" s="74"/>
      <c r="Y1426" s="74"/>
      <c r="Z1426" s="74"/>
      <c r="AA1426" s="74"/>
      <c r="AB1426" s="74"/>
      <c r="AC1426" s="74"/>
      <c r="AD1426" s="74"/>
      <c r="AE1426" s="74"/>
      <c r="AF1426" s="74"/>
      <c r="AG1426" s="74"/>
      <c r="AH1426" s="74"/>
    </row>
    <row r="1427" s="73" customFormat="1" spans="1:34">
      <c r="A1427" s="74"/>
      <c r="B1427" s="74"/>
      <c r="C1427" s="74"/>
      <c r="D1427" s="74"/>
      <c r="E1427" s="74"/>
      <c r="F1427" s="74"/>
      <c r="G1427" s="74"/>
      <c r="H1427" s="74"/>
      <c r="I1427" s="74"/>
      <c r="J1427" s="74"/>
      <c r="K1427" s="74"/>
      <c r="L1427" s="74"/>
      <c r="M1427" s="74"/>
      <c r="N1427" s="74"/>
      <c r="O1427" s="75"/>
      <c r="P1427" s="74"/>
      <c r="Q1427" s="75"/>
      <c r="R1427" s="74"/>
      <c r="S1427" s="74"/>
      <c r="T1427" s="74"/>
      <c r="U1427" s="75"/>
      <c r="V1427" s="74"/>
      <c r="W1427" s="75"/>
      <c r="X1427" s="74"/>
      <c r="Y1427" s="74"/>
      <c r="Z1427" s="74"/>
      <c r="AA1427" s="74"/>
      <c r="AB1427" s="74"/>
      <c r="AC1427" s="74"/>
      <c r="AD1427" s="74"/>
      <c r="AE1427" s="74"/>
      <c r="AF1427" s="74"/>
      <c r="AG1427" s="74"/>
      <c r="AH1427" s="74"/>
    </row>
    <row r="1428" s="73" customFormat="1" spans="1:34">
      <c r="A1428" s="74"/>
      <c r="B1428" s="74"/>
      <c r="C1428" s="74"/>
      <c r="D1428" s="74"/>
      <c r="E1428" s="74"/>
      <c r="F1428" s="74"/>
      <c r="G1428" s="74"/>
      <c r="H1428" s="74"/>
      <c r="I1428" s="74"/>
      <c r="J1428" s="74"/>
      <c r="K1428" s="74"/>
      <c r="L1428" s="74"/>
      <c r="M1428" s="74"/>
      <c r="N1428" s="74"/>
      <c r="O1428" s="75"/>
      <c r="P1428" s="74"/>
      <c r="Q1428" s="75"/>
      <c r="R1428" s="74"/>
      <c r="S1428" s="74"/>
      <c r="T1428" s="74"/>
      <c r="U1428" s="75"/>
      <c r="V1428" s="74"/>
      <c r="W1428" s="75"/>
      <c r="X1428" s="74"/>
      <c r="Y1428" s="74"/>
      <c r="Z1428" s="74"/>
      <c r="AA1428" s="74"/>
      <c r="AB1428" s="74"/>
      <c r="AC1428" s="74"/>
      <c r="AD1428" s="74"/>
      <c r="AE1428" s="74"/>
      <c r="AF1428" s="74"/>
      <c r="AG1428" s="74"/>
      <c r="AH1428" s="74"/>
    </row>
    <row r="1429" s="73" customFormat="1" spans="1:34">
      <c r="A1429" s="74"/>
      <c r="B1429" s="74"/>
      <c r="C1429" s="74"/>
      <c r="D1429" s="74"/>
      <c r="E1429" s="74"/>
      <c r="F1429" s="74"/>
      <c r="G1429" s="74"/>
      <c r="H1429" s="74"/>
      <c r="I1429" s="74"/>
      <c r="J1429" s="74"/>
      <c r="K1429" s="74"/>
      <c r="L1429" s="74"/>
      <c r="M1429" s="74"/>
      <c r="N1429" s="74"/>
      <c r="O1429" s="75"/>
      <c r="P1429" s="74"/>
      <c r="Q1429" s="75"/>
      <c r="R1429" s="74"/>
      <c r="S1429" s="74"/>
      <c r="T1429" s="74"/>
      <c r="U1429" s="75"/>
      <c r="V1429" s="74"/>
      <c r="W1429" s="75"/>
      <c r="X1429" s="74"/>
      <c r="Y1429" s="74"/>
      <c r="Z1429" s="74"/>
      <c r="AA1429" s="74"/>
      <c r="AB1429" s="74"/>
      <c r="AC1429" s="74"/>
      <c r="AD1429" s="74"/>
      <c r="AE1429" s="74"/>
      <c r="AF1429" s="74"/>
      <c r="AG1429" s="74"/>
      <c r="AH1429" s="74"/>
    </row>
    <row r="1430" s="73" customFormat="1" spans="1:34">
      <c r="A1430" s="74"/>
      <c r="B1430" s="74"/>
      <c r="C1430" s="74"/>
      <c r="D1430" s="74"/>
      <c r="E1430" s="74"/>
      <c r="F1430" s="74"/>
      <c r="G1430" s="74"/>
      <c r="H1430" s="74"/>
      <c r="I1430" s="74"/>
      <c r="J1430" s="74"/>
      <c r="K1430" s="74"/>
      <c r="L1430" s="74"/>
      <c r="M1430" s="74"/>
      <c r="N1430" s="74"/>
      <c r="O1430" s="75"/>
      <c r="P1430" s="74"/>
      <c r="Q1430" s="75"/>
      <c r="R1430" s="74"/>
      <c r="S1430" s="74"/>
      <c r="T1430" s="74"/>
      <c r="U1430" s="75"/>
      <c r="V1430" s="74"/>
      <c r="W1430" s="75"/>
      <c r="X1430" s="74"/>
      <c r="Y1430" s="74"/>
      <c r="Z1430" s="74"/>
      <c r="AA1430" s="74"/>
      <c r="AB1430" s="74"/>
      <c r="AC1430" s="74"/>
      <c r="AD1430" s="74"/>
      <c r="AE1430" s="74"/>
      <c r="AF1430" s="74"/>
      <c r="AG1430" s="74"/>
      <c r="AH1430" s="74"/>
    </row>
    <row r="1431" s="73" customFormat="1" spans="1:34">
      <c r="A1431" s="74"/>
      <c r="B1431" s="74"/>
      <c r="C1431" s="74"/>
      <c r="D1431" s="74"/>
      <c r="E1431" s="74"/>
      <c r="F1431" s="74"/>
      <c r="G1431" s="74"/>
      <c r="H1431" s="74"/>
      <c r="I1431" s="74"/>
      <c r="J1431" s="74"/>
      <c r="K1431" s="74"/>
      <c r="L1431" s="74"/>
      <c r="M1431" s="74"/>
      <c r="N1431" s="74"/>
      <c r="O1431" s="75"/>
      <c r="P1431" s="74"/>
      <c r="Q1431" s="75"/>
      <c r="R1431" s="74"/>
      <c r="S1431" s="74"/>
      <c r="T1431" s="74"/>
      <c r="U1431" s="75"/>
      <c r="V1431" s="74"/>
      <c r="W1431" s="75"/>
      <c r="X1431" s="74"/>
      <c r="Y1431" s="74"/>
      <c r="Z1431" s="74"/>
      <c r="AA1431" s="74"/>
      <c r="AB1431" s="74"/>
      <c r="AC1431" s="74"/>
      <c r="AD1431" s="74"/>
      <c r="AE1431" s="74"/>
      <c r="AF1431" s="74"/>
      <c r="AG1431" s="74"/>
      <c r="AH1431" s="74"/>
    </row>
    <row r="1432" s="73" customFormat="1" spans="1:34">
      <c r="A1432" s="74"/>
      <c r="B1432" s="74"/>
      <c r="C1432" s="74"/>
      <c r="D1432" s="74"/>
      <c r="E1432" s="74"/>
      <c r="F1432" s="74"/>
      <c r="G1432" s="74"/>
      <c r="H1432" s="74"/>
      <c r="I1432" s="74"/>
      <c r="J1432" s="74"/>
      <c r="K1432" s="74"/>
      <c r="L1432" s="74"/>
      <c r="M1432" s="74"/>
      <c r="N1432" s="74"/>
      <c r="O1432" s="75"/>
      <c r="P1432" s="74"/>
      <c r="Q1432" s="75"/>
      <c r="R1432" s="74"/>
      <c r="S1432" s="74"/>
      <c r="T1432" s="74"/>
      <c r="U1432" s="75"/>
      <c r="V1432" s="74"/>
      <c r="W1432" s="75"/>
      <c r="X1432" s="74"/>
      <c r="Y1432" s="74"/>
      <c r="Z1432" s="74"/>
      <c r="AA1432" s="74"/>
      <c r="AB1432" s="74"/>
      <c r="AC1432" s="74"/>
      <c r="AD1432" s="74"/>
      <c r="AE1432" s="74"/>
      <c r="AF1432" s="74"/>
      <c r="AG1432" s="74"/>
      <c r="AH1432" s="74"/>
    </row>
    <row r="1434" s="73" customFormat="1" spans="1:34">
      <c r="A1434" s="74"/>
      <c r="B1434" s="74"/>
      <c r="C1434" s="74"/>
      <c r="D1434" s="74"/>
      <c r="E1434" s="74"/>
      <c r="F1434" s="74"/>
      <c r="G1434" s="74"/>
      <c r="H1434" s="74"/>
      <c r="I1434" s="74"/>
      <c r="J1434" s="74"/>
      <c r="K1434" s="74"/>
      <c r="L1434" s="74"/>
      <c r="M1434" s="74"/>
      <c r="N1434" s="74"/>
      <c r="O1434" s="75"/>
      <c r="P1434" s="74"/>
      <c r="Q1434" s="75"/>
      <c r="R1434" s="74"/>
      <c r="S1434" s="74"/>
      <c r="T1434" s="74"/>
      <c r="U1434" s="75"/>
      <c r="V1434" s="74"/>
      <c r="W1434" s="75"/>
      <c r="X1434" s="74"/>
      <c r="Y1434" s="74"/>
      <c r="Z1434" s="74"/>
      <c r="AA1434" s="74"/>
      <c r="AB1434" s="74"/>
      <c r="AC1434" s="74"/>
      <c r="AD1434" s="74"/>
      <c r="AE1434" s="74"/>
      <c r="AF1434" s="74"/>
      <c r="AG1434" s="74"/>
      <c r="AH1434" s="74"/>
    </row>
    <row r="1435" s="73" customFormat="1" spans="1:34">
      <c r="A1435" s="74"/>
      <c r="B1435" s="74"/>
      <c r="C1435" s="74"/>
      <c r="D1435" s="74"/>
      <c r="E1435" s="74"/>
      <c r="F1435" s="74"/>
      <c r="G1435" s="74"/>
      <c r="H1435" s="74"/>
      <c r="I1435" s="74"/>
      <c r="J1435" s="74"/>
      <c r="K1435" s="74"/>
      <c r="L1435" s="74"/>
      <c r="M1435" s="74"/>
      <c r="N1435" s="74"/>
      <c r="O1435" s="75"/>
      <c r="P1435" s="74"/>
      <c r="Q1435" s="75"/>
      <c r="R1435" s="74"/>
      <c r="S1435" s="74"/>
      <c r="T1435" s="74"/>
      <c r="U1435" s="75"/>
      <c r="V1435" s="74"/>
      <c r="W1435" s="75"/>
      <c r="X1435" s="74"/>
      <c r="Y1435" s="74"/>
      <c r="Z1435" s="74"/>
      <c r="AA1435" s="74"/>
      <c r="AB1435" s="74"/>
      <c r="AC1435" s="74"/>
      <c r="AD1435" s="74"/>
      <c r="AE1435" s="74"/>
      <c r="AF1435" s="74"/>
      <c r="AG1435" s="74"/>
      <c r="AH1435" s="74"/>
    </row>
    <row r="1437" s="73" customFormat="1" spans="1:34">
      <c r="A1437" s="74"/>
      <c r="B1437" s="74"/>
      <c r="C1437" s="74"/>
      <c r="D1437" s="74"/>
      <c r="E1437" s="74"/>
      <c r="F1437" s="74"/>
      <c r="G1437" s="74"/>
      <c r="H1437" s="74"/>
      <c r="I1437" s="74"/>
      <c r="J1437" s="74"/>
      <c r="K1437" s="74"/>
      <c r="L1437" s="74"/>
      <c r="M1437" s="74"/>
      <c r="N1437" s="74"/>
      <c r="O1437" s="75"/>
      <c r="P1437" s="74"/>
      <c r="Q1437" s="75"/>
      <c r="R1437" s="74"/>
      <c r="S1437" s="74"/>
      <c r="T1437" s="74"/>
      <c r="U1437" s="75"/>
      <c r="V1437" s="74"/>
      <c r="W1437" s="75"/>
      <c r="X1437" s="74"/>
      <c r="Y1437" s="74"/>
      <c r="Z1437" s="74"/>
      <c r="AA1437" s="74"/>
      <c r="AB1437" s="74"/>
      <c r="AC1437" s="74"/>
      <c r="AD1437" s="74"/>
      <c r="AE1437" s="74"/>
      <c r="AF1437" s="74"/>
      <c r="AG1437" s="74"/>
      <c r="AH1437" s="74"/>
    </row>
    <row r="1438" s="73" customFormat="1" spans="1:34">
      <c r="A1438" s="74"/>
      <c r="B1438" s="74"/>
      <c r="C1438" s="74"/>
      <c r="D1438" s="74"/>
      <c r="E1438" s="74"/>
      <c r="F1438" s="74"/>
      <c r="G1438" s="74"/>
      <c r="H1438" s="74"/>
      <c r="I1438" s="74"/>
      <c r="J1438" s="74"/>
      <c r="K1438" s="74"/>
      <c r="L1438" s="74"/>
      <c r="M1438" s="74"/>
      <c r="N1438" s="74"/>
      <c r="O1438" s="75"/>
      <c r="P1438" s="74"/>
      <c r="Q1438" s="75"/>
      <c r="R1438" s="74"/>
      <c r="S1438" s="74"/>
      <c r="T1438" s="74"/>
      <c r="U1438" s="75"/>
      <c r="V1438" s="74"/>
      <c r="W1438" s="75"/>
      <c r="X1438" s="74"/>
      <c r="Y1438" s="74"/>
      <c r="Z1438" s="74"/>
      <c r="AA1438" s="74"/>
      <c r="AB1438" s="74"/>
      <c r="AC1438" s="74"/>
      <c r="AD1438" s="74"/>
      <c r="AE1438" s="74"/>
      <c r="AF1438" s="74"/>
      <c r="AG1438" s="74"/>
      <c r="AH1438" s="74"/>
    </row>
    <row r="1439" s="73" customFormat="1" spans="1:34">
      <c r="A1439" s="74"/>
      <c r="B1439" s="74"/>
      <c r="C1439" s="74"/>
      <c r="D1439" s="74"/>
      <c r="E1439" s="74"/>
      <c r="F1439" s="74"/>
      <c r="G1439" s="74"/>
      <c r="H1439" s="74"/>
      <c r="I1439" s="74"/>
      <c r="J1439" s="74"/>
      <c r="K1439" s="74"/>
      <c r="L1439" s="74"/>
      <c r="M1439" s="74"/>
      <c r="N1439" s="74"/>
      <c r="O1439" s="75"/>
      <c r="P1439" s="74"/>
      <c r="Q1439" s="75"/>
      <c r="R1439" s="74"/>
      <c r="S1439" s="74"/>
      <c r="T1439" s="74"/>
      <c r="U1439" s="75"/>
      <c r="V1439" s="74"/>
      <c r="W1439" s="75"/>
      <c r="X1439" s="74"/>
      <c r="Y1439" s="74"/>
      <c r="Z1439" s="74"/>
      <c r="AA1439" s="74"/>
      <c r="AB1439" s="74"/>
      <c r="AC1439" s="74"/>
      <c r="AD1439" s="74"/>
      <c r="AE1439" s="74"/>
      <c r="AF1439" s="74"/>
      <c r="AG1439" s="74"/>
      <c r="AH1439" s="74"/>
    </row>
    <row r="1440" s="73" customFormat="1" spans="1:34">
      <c r="A1440" s="74"/>
      <c r="B1440" s="74"/>
      <c r="C1440" s="74"/>
      <c r="D1440" s="74"/>
      <c r="E1440" s="74"/>
      <c r="F1440" s="74"/>
      <c r="G1440" s="74"/>
      <c r="H1440" s="74"/>
      <c r="I1440" s="74"/>
      <c r="J1440" s="74"/>
      <c r="K1440" s="74"/>
      <c r="L1440" s="74"/>
      <c r="M1440" s="74"/>
      <c r="N1440" s="74"/>
      <c r="O1440" s="75"/>
      <c r="P1440" s="74"/>
      <c r="Q1440" s="75"/>
      <c r="R1440" s="74"/>
      <c r="S1440" s="74"/>
      <c r="T1440" s="74"/>
      <c r="U1440" s="75"/>
      <c r="V1440" s="74"/>
      <c r="W1440" s="75"/>
      <c r="X1440" s="74"/>
      <c r="Y1440" s="74"/>
      <c r="Z1440" s="74"/>
      <c r="AA1440" s="74"/>
      <c r="AB1440" s="74"/>
      <c r="AC1440" s="74"/>
      <c r="AD1440" s="74"/>
      <c r="AE1440" s="74"/>
      <c r="AF1440" s="74"/>
      <c r="AG1440" s="74"/>
      <c r="AH1440" s="74"/>
    </row>
    <row r="1441" s="73" customFormat="1" spans="1:34">
      <c r="A1441" s="74"/>
      <c r="B1441" s="74"/>
      <c r="C1441" s="74"/>
      <c r="D1441" s="74"/>
      <c r="E1441" s="74"/>
      <c r="F1441" s="74"/>
      <c r="G1441" s="74"/>
      <c r="H1441" s="74"/>
      <c r="I1441" s="74"/>
      <c r="J1441" s="74"/>
      <c r="K1441" s="74"/>
      <c r="L1441" s="74"/>
      <c r="M1441" s="74"/>
      <c r="N1441" s="74"/>
      <c r="O1441" s="75"/>
      <c r="P1441" s="74"/>
      <c r="Q1441" s="75"/>
      <c r="R1441" s="74"/>
      <c r="S1441" s="74"/>
      <c r="T1441" s="74"/>
      <c r="U1441" s="75"/>
      <c r="V1441" s="74"/>
      <c r="W1441" s="75"/>
      <c r="X1441" s="74"/>
      <c r="Y1441" s="74"/>
      <c r="Z1441" s="74"/>
      <c r="AA1441" s="74"/>
      <c r="AB1441" s="74"/>
      <c r="AC1441" s="74"/>
      <c r="AD1441" s="74"/>
      <c r="AE1441" s="74"/>
      <c r="AF1441" s="74"/>
      <c r="AG1441" s="74"/>
      <c r="AH1441" s="74"/>
    </row>
    <row r="1442" s="73" customFormat="1" spans="1:34">
      <c r="A1442" s="74"/>
      <c r="B1442" s="74"/>
      <c r="C1442" s="74"/>
      <c r="D1442" s="74"/>
      <c r="E1442" s="74"/>
      <c r="F1442" s="74"/>
      <c r="G1442" s="74"/>
      <c r="H1442" s="74"/>
      <c r="I1442" s="74"/>
      <c r="J1442" s="74"/>
      <c r="K1442" s="74"/>
      <c r="L1442" s="74"/>
      <c r="M1442" s="74"/>
      <c r="N1442" s="74"/>
      <c r="O1442" s="75"/>
      <c r="P1442" s="74"/>
      <c r="Q1442" s="75"/>
      <c r="R1442" s="74"/>
      <c r="S1442" s="74"/>
      <c r="T1442" s="74"/>
      <c r="U1442" s="75"/>
      <c r="V1442" s="74"/>
      <c r="W1442" s="75"/>
      <c r="X1442" s="74"/>
      <c r="Y1442" s="74"/>
      <c r="Z1442" s="74"/>
      <c r="AA1442" s="74"/>
      <c r="AB1442" s="74"/>
      <c r="AC1442" s="74"/>
      <c r="AD1442" s="74"/>
      <c r="AE1442" s="74"/>
      <c r="AF1442" s="74"/>
      <c r="AG1442" s="74"/>
      <c r="AH1442" s="74"/>
    </row>
    <row r="1443" s="73" customFormat="1" spans="1:34">
      <c r="A1443" s="74"/>
      <c r="B1443" s="74"/>
      <c r="C1443" s="74"/>
      <c r="D1443" s="74"/>
      <c r="E1443" s="74"/>
      <c r="F1443" s="74"/>
      <c r="G1443" s="74"/>
      <c r="H1443" s="74"/>
      <c r="I1443" s="74"/>
      <c r="J1443" s="74"/>
      <c r="K1443" s="74"/>
      <c r="L1443" s="74"/>
      <c r="M1443" s="74"/>
      <c r="N1443" s="74"/>
      <c r="O1443" s="75"/>
      <c r="P1443" s="74"/>
      <c r="Q1443" s="75"/>
      <c r="R1443" s="74"/>
      <c r="S1443" s="74"/>
      <c r="T1443" s="74"/>
      <c r="U1443" s="75"/>
      <c r="V1443" s="74"/>
      <c r="W1443" s="75"/>
      <c r="X1443" s="74"/>
      <c r="Y1443" s="74"/>
      <c r="Z1443" s="74"/>
      <c r="AA1443" s="74"/>
      <c r="AB1443" s="74"/>
      <c r="AC1443" s="74"/>
      <c r="AD1443" s="74"/>
      <c r="AE1443" s="74"/>
      <c r="AF1443" s="74"/>
      <c r="AG1443" s="74"/>
      <c r="AH1443" s="74"/>
    </row>
    <row r="1444" s="73" customFormat="1" spans="1:34">
      <c r="A1444" s="74"/>
      <c r="B1444" s="74"/>
      <c r="C1444" s="74"/>
      <c r="D1444" s="74"/>
      <c r="E1444" s="74"/>
      <c r="F1444" s="74"/>
      <c r="G1444" s="74"/>
      <c r="H1444" s="74"/>
      <c r="I1444" s="74"/>
      <c r="J1444" s="74"/>
      <c r="K1444" s="74"/>
      <c r="L1444" s="74"/>
      <c r="M1444" s="74"/>
      <c r="N1444" s="74"/>
      <c r="O1444" s="75"/>
      <c r="P1444" s="74"/>
      <c r="Q1444" s="75"/>
      <c r="R1444" s="74"/>
      <c r="S1444" s="74"/>
      <c r="T1444" s="74"/>
      <c r="U1444" s="75"/>
      <c r="V1444" s="74"/>
      <c r="W1444" s="75"/>
      <c r="X1444" s="74"/>
      <c r="Y1444" s="74"/>
      <c r="Z1444" s="74"/>
      <c r="AA1444" s="74"/>
      <c r="AB1444" s="74"/>
      <c r="AC1444" s="74"/>
      <c r="AD1444" s="74"/>
      <c r="AE1444" s="74"/>
      <c r="AF1444" s="74"/>
      <c r="AG1444" s="74"/>
      <c r="AH1444" s="74"/>
    </row>
    <row r="1446" s="73" customFormat="1" spans="1:34">
      <c r="A1446" s="74"/>
      <c r="B1446" s="74"/>
      <c r="C1446" s="74"/>
      <c r="D1446" s="74"/>
      <c r="E1446" s="74"/>
      <c r="F1446" s="74"/>
      <c r="G1446" s="74"/>
      <c r="H1446" s="74"/>
      <c r="I1446" s="74"/>
      <c r="J1446" s="74"/>
      <c r="K1446" s="74"/>
      <c r="L1446" s="74"/>
      <c r="M1446" s="74"/>
      <c r="N1446" s="74"/>
      <c r="O1446" s="75"/>
      <c r="P1446" s="74"/>
      <c r="Q1446" s="75"/>
      <c r="R1446" s="74"/>
      <c r="S1446" s="74"/>
      <c r="T1446" s="74"/>
      <c r="U1446" s="75"/>
      <c r="V1446" s="74"/>
      <c r="W1446" s="75"/>
      <c r="X1446" s="74"/>
      <c r="Y1446" s="74"/>
      <c r="Z1446" s="74"/>
      <c r="AA1446" s="74"/>
      <c r="AB1446" s="74"/>
      <c r="AC1446" s="74"/>
      <c r="AD1446" s="74"/>
      <c r="AE1446" s="74"/>
      <c r="AF1446" s="74"/>
      <c r="AG1446" s="74"/>
      <c r="AH1446" s="74"/>
    </row>
    <row r="1447" s="73" customFormat="1" spans="1:34">
      <c r="A1447" s="74"/>
      <c r="B1447" s="74"/>
      <c r="C1447" s="74"/>
      <c r="D1447" s="74"/>
      <c r="E1447" s="74"/>
      <c r="F1447" s="74"/>
      <c r="G1447" s="74"/>
      <c r="H1447" s="74"/>
      <c r="I1447" s="74"/>
      <c r="J1447" s="74"/>
      <c r="K1447" s="74"/>
      <c r="L1447" s="74"/>
      <c r="M1447" s="74"/>
      <c r="N1447" s="74"/>
      <c r="O1447" s="75"/>
      <c r="P1447" s="74"/>
      <c r="Q1447" s="75"/>
      <c r="R1447" s="74"/>
      <c r="S1447" s="74"/>
      <c r="T1447" s="74"/>
      <c r="U1447" s="75"/>
      <c r="V1447" s="74"/>
      <c r="W1447" s="75"/>
      <c r="X1447" s="74"/>
      <c r="Y1447" s="74"/>
      <c r="Z1447" s="74"/>
      <c r="AA1447" s="74"/>
      <c r="AB1447" s="74"/>
      <c r="AC1447" s="74"/>
      <c r="AD1447" s="74"/>
      <c r="AE1447" s="74"/>
      <c r="AF1447" s="74"/>
      <c r="AG1447" s="74"/>
      <c r="AH1447" s="74"/>
    </row>
    <row r="1448" s="73" customFormat="1" spans="1:34">
      <c r="A1448" s="74"/>
      <c r="B1448" s="74"/>
      <c r="C1448" s="74"/>
      <c r="D1448" s="74"/>
      <c r="E1448" s="74"/>
      <c r="F1448" s="74"/>
      <c r="G1448" s="74"/>
      <c r="H1448" s="74"/>
      <c r="I1448" s="74"/>
      <c r="J1448" s="74"/>
      <c r="K1448" s="74"/>
      <c r="L1448" s="74"/>
      <c r="M1448" s="74"/>
      <c r="N1448" s="74"/>
      <c r="O1448" s="75"/>
      <c r="P1448" s="74"/>
      <c r="Q1448" s="75"/>
      <c r="R1448" s="74"/>
      <c r="S1448" s="74"/>
      <c r="T1448" s="74"/>
      <c r="U1448" s="75"/>
      <c r="V1448" s="74"/>
      <c r="W1448" s="75"/>
      <c r="X1448" s="74"/>
      <c r="Y1448" s="74"/>
      <c r="Z1448" s="74"/>
      <c r="AA1448" s="74"/>
      <c r="AB1448" s="74"/>
      <c r="AC1448" s="74"/>
      <c r="AD1448" s="74"/>
      <c r="AE1448" s="74"/>
      <c r="AF1448" s="74"/>
      <c r="AG1448" s="74"/>
      <c r="AH1448" s="74"/>
    </row>
    <row r="1449" s="73" customFormat="1" spans="1:34">
      <c r="A1449" s="74"/>
      <c r="B1449" s="74"/>
      <c r="C1449" s="74"/>
      <c r="D1449" s="74"/>
      <c r="E1449" s="74"/>
      <c r="F1449" s="74"/>
      <c r="G1449" s="74"/>
      <c r="H1449" s="74"/>
      <c r="I1449" s="74"/>
      <c r="J1449" s="74"/>
      <c r="K1449" s="74"/>
      <c r="L1449" s="74"/>
      <c r="M1449" s="74"/>
      <c r="N1449" s="74"/>
      <c r="O1449" s="75"/>
      <c r="P1449" s="74"/>
      <c r="Q1449" s="75"/>
      <c r="R1449" s="74"/>
      <c r="S1449" s="74"/>
      <c r="T1449" s="74"/>
      <c r="U1449" s="75"/>
      <c r="V1449" s="74"/>
      <c r="W1449" s="75"/>
      <c r="X1449" s="74"/>
      <c r="Y1449" s="74"/>
      <c r="Z1449" s="74"/>
      <c r="AA1449" s="74"/>
      <c r="AB1449" s="74"/>
      <c r="AC1449" s="74"/>
      <c r="AD1449" s="74"/>
      <c r="AE1449" s="74"/>
      <c r="AF1449" s="74"/>
      <c r="AG1449" s="74"/>
      <c r="AH1449" s="74"/>
    </row>
    <row r="1450" s="73" customFormat="1" spans="1:34">
      <c r="A1450" s="74"/>
      <c r="B1450" s="74"/>
      <c r="C1450" s="74"/>
      <c r="D1450" s="74"/>
      <c r="E1450" s="74"/>
      <c r="F1450" s="74"/>
      <c r="G1450" s="74"/>
      <c r="H1450" s="74"/>
      <c r="I1450" s="74"/>
      <c r="J1450" s="74"/>
      <c r="K1450" s="74"/>
      <c r="L1450" s="74"/>
      <c r="M1450" s="74"/>
      <c r="N1450" s="74"/>
      <c r="O1450" s="75"/>
      <c r="P1450" s="74"/>
      <c r="Q1450" s="75"/>
      <c r="R1450" s="74"/>
      <c r="S1450" s="74"/>
      <c r="T1450" s="74"/>
      <c r="U1450" s="75"/>
      <c r="V1450" s="74"/>
      <c r="W1450" s="75"/>
      <c r="X1450" s="74"/>
      <c r="Y1450" s="74"/>
      <c r="Z1450" s="74"/>
      <c r="AA1450" s="74"/>
      <c r="AB1450" s="74"/>
      <c r="AC1450" s="74"/>
      <c r="AD1450" s="74"/>
      <c r="AE1450" s="74"/>
      <c r="AF1450" s="74"/>
      <c r="AG1450" s="74"/>
      <c r="AH1450" s="74"/>
    </row>
    <row r="1451" s="73" customFormat="1" spans="1:34">
      <c r="A1451" s="74"/>
      <c r="B1451" s="74"/>
      <c r="C1451" s="74"/>
      <c r="D1451" s="74"/>
      <c r="E1451" s="74"/>
      <c r="F1451" s="74"/>
      <c r="G1451" s="74"/>
      <c r="H1451" s="74"/>
      <c r="I1451" s="74"/>
      <c r="J1451" s="74"/>
      <c r="K1451" s="74"/>
      <c r="L1451" s="74"/>
      <c r="M1451" s="74"/>
      <c r="N1451" s="74"/>
      <c r="O1451" s="75"/>
      <c r="P1451" s="74"/>
      <c r="Q1451" s="75"/>
      <c r="R1451" s="74"/>
      <c r="S1451" s="74"/>
      <c r="T1451" s="74"/>
      <c r="U1451" s="75"/>
      <c r="V1451" s="74"/>
      <c r="W1451" s="75"/>
      <c r="X1451" s="74"/>
      <c r="Y1451" s="74"/>
      <c r="Z1451" s="74"/>
      <c r="AA1451" s="74"/>
      <c r="AB1451" s="74"/>
      <c r="AC1451" s="74"/>
      <c r="AD1451" s="74"/>
      <c r="AE1451" s="74"/>
      <c r="AF1451" s="74"/>
      <c r="AG1451" s="74"/>
      <c r="AH1451" s="74"/>
    </row>
    <row r="1452" s="73" customFormat="1" spans="1:34">
      <c r="A1452" s="74"/>
      <c r="B1452" s="74"/>
      <c r="C1452" s="74"/>
      <c r="D1452" s="74"/>
      <c r="E1452" s="74"/>
      <c r="F1452" s="74"/>
      <c r="G1452" s="74"/>
      <c r="H1452" s="74"/>
      <c r="I1452" s="74"/>
      <c r="J1452" s="74"/>
      <c r="K1452" s="74"/>
      <c r="L1452" s="74"/>
      <c r="M1452" s="74"/>
      <c r="N1452" s="74"/>
      <c r="O1452" s="75"/>
      <c r="P1452" s="74"/>
      <c r="Q1452" s="75"/>
      <c r="R1452" s="74"/>
      <c r="S1452" s="74"/>
      <c r="T1452" s="74"/>
      <c r="U1452" s="75"/>
      <c r="V1452" s="74"/>
      <c r="W1452" s="75"/>
      <c r="X1452" s="74"/>
      <c r="Y1452" s="74"/>
      <c r="Z1452" s="74"/>
      <c r="AA1452" s="74"/>
      <c r="AB1452" s="74"/>
      <c r="AC1452" s="74"/>
      <c r="AD1452" s="74"/>
      <c r="AE1452" s="74"/>
      <c r="AF1452" s="74"/>
      <c r="AG1452" s="74"/>
      <c r="AH1452" s="74"/>
    </row>
    <row r="1453" s="73" customFormat="1" spans="1:34">
      <c r="A1453" s="74"/>
      <c r="B1453" s="74"/>
      <c r="C1453" s="74"/>
      <c r="D1453" s="74"/>
      <c r="E1453" s="74"/>
      <c r="F1453" s="74"/>
      <c r="G1453" s="74"/>
      <c r="H1453" s="74"/>
      <c r="I1453" s="74"/>
      <c r="J1453" s="74"/>
      <c r="K1453" s="74"/>
      <c r="L1453" s="74"/>
      <c r="M1453" s="74"/>
      <c r="N1453" s="74"/>
      <c r="O1453" s="75"/>
      <c r="P1453" s="74"/>
      <c r="Q1453" s="75"/>
      <c r="R1453" s="74"/>
      <c r="S1453" s="74"/>
      <c r="T1453" s="74"/>
      <c r="U1453" s="75"/>
      <c r="V1453" s="74"/>
      <c r="W1453" s="75"/>
      <c r="X1453" s="74"/>
      <c r="Y1453" s="74"/>
      <c r="Z1453" s="74"/>
      <c r="AA1453" s="74"/>
      <c r="AB1453" s="74"/>
      <c r="AC1453" s="74"/>
      <c r="AD1453" s="74"/>
      <c r="AE1453" s="74"/>
      <c r="AF1453" s="74"/>
      <c r="AG1453" s="74"/>
      <c r="AH1453" s="74"/>
    </row>
    <row r="1454" s="73" customFormat="1" spans="1:34">
      <c r="A1454" s="74"/>
      <c r="B1454" s="74"/>
      <c r="C1454" s="74"/>
      <c r="D1454" s="74"/>
      <c r="E1454" s="74"/>
      <c r="F1454" s="74"/>
      <c r="G1454" s="74"/>
      <c r="H1454" s="74"/>
      <c r="I1454" s="74"/>
      <c r="J1454" s="74"/>
      <c r="K1454" s="74"/>
      <c r="L1454" s="74"/>
      <c r="M1454" s="74"/>
      <c r="N1454" s="74"/>
      <c r="O1454" s="75"/>
      <c r="P1454" s="74"/>
      <c r="Q1454" s="75"/>
      <c r="R1454" s="74"/>
      <c r="S1454" s="74"/>
      <c r="T1454" s="74"/>
      <c r="U1454" s="75"/>
      <c r="V1454" s="74"/>
      <c r="W1454" s="75"/>
      <c r="X1454" s="74"/>
      <c r="Y1454" s="74"/>
      <c r="Z1454" s="74"/>
      <c r="AA1454" s="74"/>
      <c r="AB1454" s="74"/>
      <c r="AC1454" s="74"/>
      <c r="AD1454" s="74"/>
      <c r="AE1454" s="74"/>
      <c r="AF1454" s="74"/>
      <c r="AG1454" s="74"/>
      <c r="AH1454" s="74"/>
    </row>
    <row r="1455" s="73" customFormat="1" spans="1:34">
      <c r="A1455" s="74"/>
      <c r="B1455" s="74"/>
      <c r="C1455" s="74"/>
      <c r="D1455" s="74"/>
      <c r="E1455" s="74"/>
      <c r="F1455" s="74"/>
      <c r="G1455" s="74"/>
      <c r="H1455" s="74"/>
      <c r="I1455" s="74"/>
      <c r="J1455" s="74"/>
      <c r="K1455" s="74"/>
      <c r="L1455" s="74"/>
      <c r="M1455" s="74"/>
      <c r="N1455" s="74"/>
      <c r="O1455" s="75"/>
      <c r="P1455" s="74"/>
      <c r="Q1455" s="75"/>
      <c r="R1455" s="74"/>
      <c r="S1455" s="74"/>
      <c r="T1455" s="74"/>
      <c r="U1455" s="75"/>
      <c r="V1455" s="74"/>
      <c r="W1455" s="75"/>
      <c r="X1455" s="74"/>
      <c r="Y1455" s="74"/>
      <c r="Z1455" s="74"/>
      <c r="AA1455" s="74"/>
      <c r="AB1455" s="74"/>
      <c r="AC1455" s="74"/>
      <c r="AD1455" s="74"/>
      <c r="AE1455" s="74"/>
      <c r="AF1455" s="74"/>
      <c r="AG1455" s="74"/>
      <c r="AH1455" s="74"/>
    </row>
    <row r="1456" s="73" customFormat="1" spans="1:34">
      <c r="A1456" s="74"/>
      <c r="B1456" s="74"/>
      <c r="C1456" s="74"/>
      <c r="D1456" s="74"/>
      <c r="E1456" s="74"/>
      <c r="F1456" s="74"/>
      <c r="G1456" s="74"/>
      <c r="H1456" s="74"/>
      <c r="I1456" s="74"/>
      <c r="J1456" s="74"/>
      <c r="K1456" s="74"/>
      <c r="L1456" s="74"/>
      <c r="M1456" s="74"/>
      <c r="N1456" s="74"/>
      <c r="O1456" s="75"/>
      <c r="P1456" s="74"/>
      <c r="Q1456" s="75"/>
      <c r="R1456" s="74"/>
      <c r="S1456" s="74"/>
      <c r="T1456" s="74"/>
      <c r="U1456" s="75"/>
      <c r="V1456" s="74"/>
      <c r="W1456" s="75"/>
      <c r="X1456" s="74"/>
      <c r="Y1456" s="74"/>
      <c r="Z1456" s="74"/>
      <c r="AA1456" s="74"/>
      <c r="AB1456" s="74"/>
      <c r="AC1456" s="74"/>
      <c r="AD1456" s="74"/>
      <c r="AE1456" s="74"/>
      <c r="AF1456" s="74"/>
      <c r="AG1456" s="74"/>
      <c r="AH1456" s="74"/>
    </row>
    <row r="1457" s="73" customFormat="1" spans="1:34">
      <c r="A1457" s="74"/>
      <c r="B1457" s="74"/>
      <c r="C1457" s="74"/>
      <c r="D1457" s="74"/>
      <c r="E1457" s="74"/>
      <c r="F1457" s="74"/>
      <c r="G1457" s="74"/>
      <c r="H1457" s="74"/>
      <c r="I1457" s="74"/>
      <c r="J1457" s="74"/>
      <c r="K1457" s="74"/>
      <c r="L1457" s="74"/>
      <c r="M1457" s="74"/>
      <c r="N1457" s="74"/>
      <c r="O1457" s="75"/>
      <c r="P1457" s="74"/>
      <c r="Q1457" s="75"/>
      <c r="R1457" s="74"/>
      <c r="S1457" s="74"/>
      <c r="T1457" s="74"/>
      <c r="U1457" s="75"/>
      <c r="V1457" s="74"/>
      <c r="W1457" s="75"/>
      <c r="X1457" s="74"/>
      <c r="Y1457" s="74"/>
      <c r="Z1457" s="74"/>
      <c r="AA1457" s="74"/>
      <c r="AB1457" s="74"/>
      <c r="AC1457" s="74"/>
      <c r="AD1457" s="74"/>
      <c r="AE1457" s="74"/>
      <c r="AF1457" s="74"/>
      <c r="AG1457" s="74"/>
      <c r="AH1457" s="74"/>
    </row>
    <row r="1459" s="73" customFormat="1" spans="1:34">
      <c r="A1459" s="74"/>
      <c r="B1459" s="74"/>
      <c r="C1459" s="74"/>
      <c r="D1459" s="74"/>
      <c r="E1459" s="74"/>
      <c r="F1459" s="74"/>
      <c r="G1459" s="74"/>
      <c r="H1459" s="74"/>
      <c r="I1459" s="74"/>
      <c r="J1459" s="74"/>
      <c r="K1459" s="74"/>
      <c r="L1459" s="74"/>
      <c r="M1459" s="74"/>
      <c r="N1459" s="74"/>
      <c r="O1459" s="75"/>
      <c r="P1459" s="74"/>
      <c r="Q1459" s="75"/>
      <c r="R1459" s="74"/>
      <c r="S1459" s="74"/>
      <c r="T1459" s="74"/>
      <c r="U1459" s="75"/>
      <c r="V1459" s="74"/>
      <c r="W1459" s="75"/>
      <c r="X1459" s="74"/>
      <c r="Y1459" s="74"/>
      <c r="Z1459" s="74"/>
      <c r="AA1459" s="74"/>
      <c r="AB1459" s="74"/>
      <c r="AC1459" s="74"/>
      <c r="AD1459" s="74"/>
      <c r="AE1459" s="74"/>
      <c r="AF1459" s="74"/>
      <c r="AG1459" s="74"/>
      <c r="AH1459" s="74"/>
    </row>
    <row r="1460" s="73" customFormat="1" spans="1:34">
      <c r="A1460" s="74"/>
      <c r="B1460" s="74"/>
      <c r="C1460" s="74"/>
      <c r="D1460" s="74"/>
      <c r="E1460" s="74"/>
      <c r="F1460" s="74"/>
      <c r="G1460" s="74"/>
      <c r="H1460" s="74"/>
      <c r="I1460" s="74"/>
      <c r="J1460" s="74"/>
      <c r="K1460" s="74"/>
      <c r="L1460" s="74"/>
      <c r="M1460" s="74"/>
      <c r="N1460" s="74"/>
      <c r="O1460" s="75"/>
      <c r="P1460" s="74"/>
      <c r="Q1460" s="75"/>
      <c r="R1460" s="74"/>
      <c r="S1460" s="74"/>
      <c r="T1460" s="74"/>
      <c r="U1460" s="75"/>
      <c r="V1460" s="74"/>
      <c r="W1460" s="75"/>
      <c r="X1460" s="74"/>
      <c r="Y1460" s="74"/>
      <c r="Z1460" s="74"/>
      <c r="AA1460" s="74"/>
      <c r="AB1460" s="74"/>
      <c r="AC1460" s="74"/>
      <c r="AD1460" s="74"/>
      <c r="AE1460" s="74"/>
      <c r="AF1460" s="74"/>
      <c r="AG1460" s="74"/>
      <c r="AH1460" s="74"/>
    </row>
    <row r="1461" s="73" customFormat="1" spans="1:34">
      <c r="A1461" s="74"/>
      <c r="B1461" s="74"/>
      <c r="C1461" s="74"/>
      <c r="D1461" s="74"/>
      <c r="E1461" s="74"/>
      <c r="F1461" s="74"/>
      <c r="G1461" s="74"/>
      <c r="H1461" s="74"/>
      <c r="I1461" s="74"/>
      <c r="J1461" s="74"/>
      <c r="K1461" s="74"/>
      <c r="L1461" s="74"/>
      <c r="M1461" s="74"/>
      <c r="N1461" s="74"/>
      <c r="O1461" s="75"/>
      <c r="P1461" s="74"/>
      <c r="Q1461" s="75"/>
      <c r="R1461" s="74"/>
      <c r="S1461" s="74"/>
      <c r="T1461" s="74"/>
      <c r="U1461" s="75"/>
      <c r="V1461" s="74"/>
      <c r="W1461" s="75"/>
      <c r="X1461" s="74"/>
      <c r="Y1461" s="74"/>
      <c r="Z1461" s="74"/>
      <c r="AA1461" s="74"/>
      <c r="AB1461" s="74"/>
      <c r="AC1461" s="74"/>
      <c r="AD1461" s="74"/>
      <c r="AE1461" s="74"/>
      <c r="AF1461" s="74"/>
      <c r="AG1461" s="74"/>
      <c r="AH1461" s="74"/>
    </row>
    <row r="1462" s="73" customFormat="1" spans="1:34">
      <c r="A1462" s="74"/>
      <c r="B1462" s="74"/>
      <c r="C1462" s="74"/>
      <c r="D1462" s="74"/>
      <c r="E1462" s="74"/>
      <c r="F1462" s="74"/>
      <c r="G1462" s="74"/>
      <c r="H1462" s="74"/>
      <c r="I1462" s="74"/>
      <c r="J1462" s="74"/>
      <c r="K1462" s="74"/>
      <c r="L1462" s="74"/>
      <c r="M1462" s="74"/>
      <c r="N1462" s="74"/>
      <c r="O1462" s="75"/>
      <c r="P1462" s="74"/>
      <c r="Q1462" s="75"/>
      <c r="R1462" s="74"/>
      <c r="S1462" s="74"/>
      <c r="T1462" s="74"/>
      <c r="U1462" s="75"/>
      <c r="V1462" s="74"/>
      <c r="W1462" s="75"/>
      <c r="X1462" s="74"/>
      <c r="Y1462" s="74"/>
      <c r="Z1462" s="74"/>
      <c r="AA1462" s="74"/>
      <c r="AB1462" s="74"/>
      <c r="AC1462" s="74"/>
      <c r="AD1462" s="74"/>
      <c r="AE1462" s="74"/>
      <c r="AF1462" s="74"/>
      <c r="AG1462" s="74"/>
      <c r="AH1462" s="74"/>
    </row>
    <row r="1463" s="73" customFormat="1" spans="1:34">
      <c r="A1463" s="74"/>
      <c r="B1463" s="74"/>
      <c r="C1463" s="74"/>
      <c r="D1463" s="74"/>
      <c r="E1463" s="74"/>
      <c r="F1463" s="74"/>
      <c r="G1463" s="74"/>
      <c r="H1463" s="74"/>
      <c r="I1463" s="74"/>
      <c r="J1463" s="74"/>
      <c r="K1463" s="74"/>
      <c r="L1463" s="74"/>
      <c r="M1463" s="74"/>
      <c r="N1463" s="74"/>
      <c r="O1463" s="75"/>
      <c r="P1463" s="74"/>
      <c r="Q1463" s="75"/>
      <c r="R1463" s="74"/>
      <c r="S1463" s="74"/>
      <c r="T1463" s="74"/>
      <c r="U1463" s="75"/>
      <c r="V1463" s="74"/>
      <c r="W1463" s="75"/>
      <c r="X1463" s="74"/>
      <c r="Y1463" s="74"/>
      <c r="Z1463" s="74"/>
      <c r="AA1463" s="74"/>
      <c r="AB1463" s="74"/>
      <c r="AC1463" s="74"/>
      <c r="AD1463" s="74"/>
      <c r="AE1463" s="74"/>
      <c r="AF1463" s="74"/>
      <c r="AG1463" s="74"/>
      <c r="AH1463" s="74"/>
    </row>
    <row r="1464" s="73" customFormat="1" spans="1:34">
      <c r="A1464" s="74"/>
      <c r="B1464" s="74"/>
      <c r="C1464" s="74"/>
      <c r="D1464" s="74"/>
      <c r="E1464" s="74"/>
      <c r="F1464" s="74"/>
      <c r="G1464" s="74"/>
      <c r="H1464" s="74"/>
      <c r="I1464" s="74"/>
      <c r="J1464" s="74"/>
      <c r="K1464" s="74"/>
      <c r="L1464" s="74"/>
      <c r="M1464" s="74"/>
      <c r="N1464" s="74"/>
      <c r="O1464" s="75"/>
      <c r="P1464" s="74"/>
      <c r="Q1464" s="75"/>
      <c r="R1464" s="74"/>
      <c r="S1464" s="74"/>
      <c r="T1464" s="74"/>
      <c r="U1464" s="75"/>
      <c r="V1464" s="74"/>
      <c r="W1464" s="75"/>
      <c r="X1464" s="74"/>
      <c r="Y1464" s="74"/>
      <c r="Z1464" s="74"/>
      <c r="AA1464" s="74"/>
      <c r="AB1464" s="74"/>
      <c r="AC1464" s="74"/>
      <c r="AD1464" s="74"/>
      <c r="AE1464" s="74"/>
      <c r="AF1464" s="74"/>
      <c r="AG1464" s="74"/>
      <c r="AH1464" s="74"/>
    </row>
    <row r="1465" s="73" customFormat="1" spans="1:34">
      <c r="A1465" s="74"/>
      <c r="B1465" s="74"/>
      <c r="C1465" s="74"/>
      <c r="D1465" s="74"/>
      <c r="E1465" s="74"/>
      <c r="F1465" s="74"/>
      <c r="G1465" s="74"/>
      <c r="H1465" s="74"/>
      <c r="I1465" s="74"/>
      <c r="J1465" s="74"/>
      <c r="K1465" s="74"/>
      <c r="L1465" s="74"/>
      <c r="M1465" s="74"/>
      <c r="N1465" s="74"/>
      <c r="O1465" s="75"/>
      <c r="P1465" s="74"/>
      <c r="Q1465" s="75"/>
      <c r="R1465" s="74"/>
      <c r="S1465" s="74"/>
      <c r="T1465" s="74"/>
      <c r="U1465" s="75"/>
      <c r="V1465" s="74"/>
      <c r="W1465" s="75"/>
      <c r="X1465" s="74"/>
      <c r="Y1465" s="74"/>
      <c r="Z1465" s="74"/>
      <c r="AA1465" s="74"/>
      <c r="AB1465" s="74"/>
      <c r="AC1465" s="74"/>
      <c r="AD1465" s="74"/>
      <c r="AE1465" s="74"/>
      <c r="AF1465" s="74"/>
      <c r="AG1465" s="74"/>
      <c r="AH1465" s="74"/>
    </row>
    <row r="1466" s="73" customFormat="1" spans="1:34">
      <c r="A1466" s="74"/>
      <c r="B1466" s="74"/>
      <c r="C1466" s="74"/>
      <c r="D1466" s="74"/>
      <c r="E1466" s="74"/>
      <c r="F1466" s="74"/>
      <c r="G1466" s="74"/>
      <c r="H1466" s="74"/>
      <c r="I1466" s="74"/>
      <c r="J1466" s="74"/>
      <c r="K1466" s="74"/>
      <c r="L1466" s="74"/>
      <c r="M1466" s="74"/>
      <c r="N1466" s="74"/>
      <c r="O1466" s="75"/>
      <c r="P1466" s="74"/>
      <c r="Q1466" s="75"/>
      <c r="R1466" s="74"/>
      <c r="S1466" s="74"/>
      <c r="T1466" s="74"/>
      <c r="U1466" s="75"/>
      <c r="V1466" s="74"/>
      <c r="W1466" s="75"/>
      <c r="X1466" s="74"/>
      <c r="Y1466" s="74"/>
      <c r="Z1466" s="74"/>
      <c r="AA1466" s="74"/>
      <c r="AB1466" s="74"/>
      <c r="AC1466" s="74"/>
      <c r="AD1466" s="74"/>
      <c r="AE1466" s="74"/>
      <c r="AF1466" s="74"/>
      <c r="AG1466" s="74"/>
      <c r="AH1466" s="74"/>
    </row>
    <row r="1467" s="73" customFormat="1" spans="1:34">
      <c r="A1467" s="74"/>
      <c r="B1467" s="74"/>
      <c r="C1467" s="74"/>
      <c r="D1467" s="74"/>
      <c r="E1467" s="74"/>
      <c r="F1467" s="74"/>
      <c r="G1467" s="74"/>
      <c r="H1467" s="74"/>
      <c r="I1467" s="74"/>
      <c r="J1467" s="74"/>
      <c r="K1467" s="74"/>
      <c r="L1467" s="74"/>
      <c r="M1467" s="74"/>
      <c r="N1467" s="74"/>
      <c r="O1467" s="75"/>
      <c r="P1467" s="74"/>
      <c r="Q1467" s="75"/>
      <c r="R1467" s="74"/>
      <c r="S1467" s="74"/>
      <c r="T1467" s="74"/>
      <c r="U1467" s="75"/>
      <c r="V1467" s="74"/>
      <c r="W1467" s="75"/>
      <c r="X1467" s="74"/>
      <c r="Y1467" s="74"/>
      <c r="Z1467" s="74"/>
      <c r="AA1467" s="74"/>
      <c r="AB1467" s="74"/>
      <c r="AC1467" s="74"/>
      <c r="AD1467" s="74"/>
      <c r="AE1467" s="74"/>
      <c r="AF1467" s="74"/>
      <c r="AG1467" s="74"/>
      <c r="AH1467" s="74"/>
    </row>
    <row r="1468" s="73" customFormat="1" spans="1:34">
      <c r="A1468" s="74"/>
      <c r="B1468" s="74"/>
      <c r="C1468" s="74"/>
      <c r="D1468" s="74"/>
      <c r="E1468" s="74"/>
      <c r="F1468" s="74"/>
      <c r="G1468" s="74"/>
      <c r="H1468" s="74"/>
      <c r="I1468" s="74"/>
      <c r="J1468" s="74"/>
      <c r="K1468" s="74"/>
      <c r="L1468" s="74"/>
      <c r="M1468" s="74"/>
      <c r="N1468" s="74"/>
      <c r="O1468" s="75"/>
      <c r="P1468" s="74"/>
      <c r="Q1468" s="75"/>
      <c r="R1468" s="74"/>
      <c r="S1468" s="74"/>
      <c r="T1468" s="74"/>
      <c r="U1468" s="75"/>
      <c r="V1468" s="74"/>
      <c r="W1468" s="75"/>
      <c r="X1468" s="74"/>
      <c r="Y1468" s="74"/>
      <c r="Z1468" s="74"/>
      <c r="AA1468" s="74"/>
      <c r="AB1468" s="74"/>
      <c r="AC1468" s="74"/>
      <c r="AD1468" s="74"/>
      <c r="AE1468" s="74"/>
      <c r="AF1468" s="74"/>
      <c r="AG1468" s="74"/>
      <c r="AH1468" s="74"/>
    </row>
    <row r="1469" s="73" customFormat="1" spans="1:34">
      <c r="A1469" s="74"/>
      <c r="B1469" s="74"/>
      <c r="C1469" s="74"/>
      <c r="D1469" s="74"/>
      <c r="E1469" s="74"/>
      <c r="F1469" s="74"/>
      <c r="G1469" s="74"/>
      <c r="H1469" s="74"/>
      <c r="I1469" s="74"/>
      <c r="J1469" s="74"/>
      <c r="K1469" s="74"/>
      <c r="L1469" s="74"/>
      <c r="M1469" s="74"/>
      <c r="N1469" s="74"/>
      <c r="O1469" s="75"/>
      <c r="P1469" s="74"/>
      <c r="Q1469" s="75"/>
      <c r="R1469" s="74"/>
      <c r="S1469" s="74"/>
      <c r="T1469" s="74"/>
      <c r="U1469" s="75"/>
      <c r="V1469" s="74"/>
      <c r="W1469" s="75"/>
      <c r="X1469" s="74"/>
      <c r="Y1469" s="74"/>
      <c r="Z1469" s="74"/>
      <c r="AA1469" s="74"/>
      <c r="AB1469" s="74"/>
      <c r="AC1469" s="74"/>
      <c r="AD1469" s="74"/>
      <c r="AE1469" s="74"/>
      <c r="AF1469" s="74"/>
      <c r="AG1469" s="74"/>
      <c r="AH1469" s="74"/>
    </row>
    <row r="1470" s="73" customFormat="1" spans="1:34">
      <c r="A1470" s="74"/>
      <c r="B1470" s="74"/>
      <c r="C1470" s="74"/>
      <c r="D1470" s="74"/>
      <c r="E1470" s="74"/>
      <c r="F1470" s="74"/>
      <c r="G1470" s="74"/>
      <c r="H1470" s="74"/>
      <c r="I1470" s="74"/>
      <c r="J1470" s="74"/>
      <c r="K1470" s="74"/>
      <c r="L1470" s="74"/>
      <c r="M1470" s="74"/>
      <c r="N1470" s="74"/>
      <c r="O1470" s="75"/>
      <c r="P1470" s="74"/>
      <c r="Q1470" s="75"/>
      <c r="R1470" s="74"/>
      <c r="S1470" s="74"/>
      <c r="T1470" s="74"/>
      <c r="U1470" s="75"/>
      <c r="V1470" s="74"/>
      <c r="W1470" s="75"/>
      <c r="X1470" s="74"/>
      <c r="Y1470" s="74"/>
      <c r="Z1470" s="74"/>
      <c r="AA1470" s="74"/>
      <c r="AB1470" s="74"/>
      <c r="AC1470" s="74"/>
      <c r="AD1470" s="74"/>
      <c r="AE1470" s="74"/>
      <c r="AF1470" s="74"/>
      <c r="AG1470" s="74"/>
      <c r="AH1470" s="74"/>
    </row>
    <row r="1471" s="73" customFormat="1" spans="1:34">
      <c r="A1471" s="74"/>
      <c r="B1471" s="74"/>
      <c r="C1471" s="74"/>
      <c r="D1471" s="74"/>
      <c r="E1471" s="74"/>
      <c r="F1471" s="74"/>
      <c r="G1471" s="74"/>
      <c r="H1471" s="74"/>
      <c r="I1471" s="74"/>
      <c r="J1471" s="74"/>
      <c r="K1471" s="74"/>
      <c r="L1471" s="74"/>
      <c r="M1471" s="74"/>
      <c r="N1471" s="74"/>
      <c r="O1471" s="75"/>
      <c r="P1471" s="74"/>
      <c r="Q1471" s="75"/>
      <c r="R1471" s="74"/>
      <c r="S1471" s="74"/>
      <c r="T1471" s="74"/>
      <c r="U1471" s="75"/>
      <c r="V1471" s="74"/>
      <c r="W1471" s="75"/>
      <c r="X1471" s="74"/>
      <c r="Y1471" s="74"/>
      <c r="Z1471" s="74"/>
      <c r="AA1471" s="74"/>
      <c r="AB1471" s="74"/>
      <c r="AC1471" s="74"/>
      <c r="AD1471" s="74"/>
      <c r="AE1471" s="74"/>
      <c r="AF1471" s="74"/>
      <c r="AG1471" s="74"/>
      <c r="AH1471" s="74"/>
    </row>
    <row r="1472" s="73" customFormat="1" spans="1:34">
      <c r="A1472" s="74"/>
      <c r="B1472" s="74"/>
      <c r="C1472" s="74"/>
      <c r="D1472" s="74"/>
      <c r="E1472" s="74"/>
      <c r="F1472" s="74"/>
      <c r="G1472" s="74"/>
      <c r="H1472" s="74"/>
      <c r="I1472" s="74"/>
      <c r="J1472" s="74"/>
      <c r="K1472" s="74"/>
      <c r="L1472" s="74"/>
      <c r="M1472" s="74"/>
      <c r="N1472" s="74"/>
      <c r="O1472" s="75"/>
      <c r="P1472" s="74"/>
      <c r="Q1472" s="75"/>
      <c r="R1472" s="74"/>
      <c r="S1472" s="74"/>
      <c r="T1472" s="74"/>
      <c r="U1472" s="75"/>
      <c r="V1472" s="74"/>
      <c r="W1472" s="75"/>
      <c r="X1472" s="74"/>
      <c r="Y1472" s="74"/>
      <c r="Z1472" s="74"/>
      <c r="AA1472" s="74"/>
      <c r="AB1472" s="74"/>
      <c r="AC1472" s="74"/>
      <c r="AD1472" s="74"/>
      <c r="AE1472" s="74"/>
      <c r="AF1472" s="74"/>
      <c r="AG1472" s="74"/>
      <c r="AH1472" s="74"/>
    </row>
    <row r="1473" s="73" customFormat="1" spans="1:34">
      <c r="A1473" s="74"/>
      <c r="B1473" s="74"/>
      <c r="C1473" s="74"/>
      <c r="D1473" s="74"/>
      <c r="E1473" s="74"/>
      <c r="F1473" s="74"/>
      <c r="G1473" s="74"/>
      <c r="H1473" s="74"/>
      <c r="I1473" s="74"/>
      <c r="J1473" s="74"/>
      <c r="K1473" s="74"/>
      <c r="L1473" s="74"/>
      <c r="M1473" s="74"/>
      <c r="N1473" s="74"/>
      <c r="O1473" s="75"/>
      <c r="P1473" s="74"/>
      <c r="Q1473" s="75"/>
      <c r="R1473" s="74"/>
      <c r="S1473" s="74"/>
      <c r="T1473" s="74"/>
      <c r="U1473" s="75"/>
      <c r="V1473" s="74"/>
      <c r="W1473" s="75"/>
      <c r="X1473" s="74"/>
      <c r="Y1473" s="74"/>
      <c r="Z1473" s="74"/>
      <c r="AA1473" s="74"/>
      <c r="AB1473" s="74"/>
      <c r="AC1473" s="74"/>
      <c r="AD1473" s="74"/>
      <c r="AE1473" s="74"/>
      <c r="AF1473" s="74"/>
      <c r="AG1473" s="74"/>
      <c r="AH1473" s="74"/>
    </row>
    <row r="1474" s="73" customFormat="1" spans="1:34">
      <c r="A1474" s="74"/>
      <c r="B1474" s="74"/>
      <c r="C1474" s="74"/>
      <c r="D1474" s="74"/>
      <c r="E1474" s="74"/>
      <c r="F1474" s="74"/>
      <c r="G1474" s="74"/>
      <c r="H1474" s="74"/>
      <c r="I1474" s="74"/>
      <c r="J1474" s="74"/>
      <c r="K1474" s="74"/>
      <c r="L1474" s="74"/>
      <c r="M1474" s="74"/>
      <c r="N1474" s="74"/>
      <c r="O1474" s="75"/>
      <c r="P1474" s="74"/>
      <c r="Q1474" s="75"/>
      <c r="R1474" s="74"/>
      <c r="S1474" s="74"/>
      <c r="T1474" s="74"/>
      <c r="U1474" s="75"/>
      <c r="V1474" s="74"/>
      <c r="W1474" s="75"/>
      <c r="X1474" s="74"/>
      <c r="Y1474" s="74"/>
      <c r="Z1474" s="74"/>
      <c r="AA1474" s="74"/>
      <c r="AB1474" s="74"/>
      <c r="AC1474" s="74"/>
      <c r="AD1474" s="74"/>
      <c r="AE1474" s="74"/>
      <c r="AF1474" s="74"/>
      <c r="AG1474" s="74"/>
      <c r="AH1474" s="74"/>
    </row>
    <row r="1475" s="73" customFormat="1" spans="1:34">
      <c r="A1475" s="74"/>
      <c r="B1475" s="74"/>
      <c r="C1475" s="74"/>
      <c r="D1475" s="74"/>
      <c r="E1475" s="74"/>
      <c r="F1475" s="74"/>
      <c r="G1475" s="74"/>
      <c r="H1475" s="74"/>
      <c r="I1475" s="74"/>
      <c r="J1475" s="74"/>
      <c r="K1475" s="74"/>
      <c r="L1475" s="74"/>
      <c r="M1475" s="74"/>
      <c r="N1475" s="74"/>
      <c r="O1475" s="75"/>
      <c r="P1475" s="74"/>
      <c r="Q1475" s="75"/>
      <c r="R1475" s="74"/>
      <c r="S1475" s="74"/>
      <c r="T1475" s="74"/>
      <c r="U1475" s="75"/>
      <c r="V1475" s="74"/>
      <c r="W1475" s="75"/>
      <c r="X1475" s="74"/>
      <c r="Y1475" s="74"/>
      <c r="Z1475" s="74"/>
      <c r="AA1475" s="74"/>
      <c r="AB1475" s="74"/>
      <c r="AC1475" s="74"/>
      <c r="AD1475" s="74"/>
      <c r="AE1475" s="74"/>
      <c r="AF1475" s="74"/>
      <c r="AG1475" s="74"/>
      <c r="AH1475" s="74"/>
    </row>
    <row r="1476" s="73" customFormat="1" spans="1:34">
      <c r="A1476" s="74"/>
      <c r="B1476" s="74"/>
      <c r="C1476" s="74"/>
      <c r="D1476" s="74"/>
      <c r="E1476" s="74"/>
      <c r="F1476" s="74"/>
      <c r="G1476" s="74"/>
      <c r="H1476" s="74"/>
      <c r="I1476" s="74"/>
      <c r="J1476" s="74"/>
      <c r="K1476" s="74"/>
      <c r="L1476" s="74"/>
      <c r="M1476" s="74"/>
      <c r="N1476" s="74"/>
      <c r="O1476" s="75"/>
      <c r="P1476" s="74"/>
      <c r="Q1476" s="75"/>
      <c r="R1476" s="74"/>
      <c r="S1476" s="74"/>
      <c r="T1476" s="74"/>
      <c r="U1476" s="75"/>
      <c r="V1476" s="74"/>
      <c r="W1476" s="75"/>
      <c r="X1476" s="74"/>
      <c r="Y1476" s="74"/>
      <c r="Z1476" s="74"/>
      <c r="AA1476" s="74"/>
      <c r="AB1476" s="74"/>
      <c r="AC1476" s="74"/>
      <c r="AD1476" s="74"/>
      <c r="AE1476" s="74"/>
      <c r="AF1476" s="74"/>
      <c r="AG1476" s="74"/>
      <c r="AH1476" s="74"/>
    </row>
    <row r="1477" s="73" customFormat="1" spans="1:34">
      <c r="A1477" s="74"/>
      <c r="B1477" s="74"/>
      <c r="C1477" s="74"/>
      <c r="D1477" s="74"/>
      <c r="E1477" s="74"/>
      <c r="F1477" s="74"/>
      <c r="G1477" s="74"/>
      <c r="H1477" s="74"/>
      <c r="I1477" s="74"/>
      <c r="J1477" s="74"/>
      <c r="K1477" s="74"/>
      <c r="L1477" s="74"/>
      <c r="M1477" s="74"/>
      <c r="N1477" s="74"/>
      <c r="O1477" s="75"/>
      <c r="P1477" s="74"/>
      <c r="Q1477" s="75"/>
      <c r="R1477" s="74"/>
      <c r="S1477" s="74"/>
      <c r="T1477" s="74"/>
      <c r="U1477" s="75"/>
      <c r="V1477" s="74"/>
      <c r="W1477" s="75"/>
      <c r="X1477" s="74"/>
      <c r="Y1477" s="74"/>
      <c r="Z1477" s="74"/>
      <c r="AA1477" s="74"/>
      <c r="AB1477" s="74"/>
      <c r="AC1477" s="74"/>
      <c r="AD1477" s="74"/>
      <c r="AE1477" s="74"/>
      <c r="AF1477" s="74"/>
      <c r="AG1477" s="74"/>
      <c r="AH1477" s="74"/>
    </row>
    <row r="1478" s="73" customFormat="1" spans="1:34">
      <c r="A1478" s="74"/>
      <c r="B1478" s="74"/>
      <c r="C1478" s="74"/>
      <c r="D1478" s="74"/>
      <c r="E1478" s="74"/>
      <c r="F1478" s="74"/>
      <c r="G1478" s="74"/>
      <c r="H1478" s="74"/>
      <c r="I1478" s="74"/>
      <c r="J1478" s="74"/>
      <c r="K1478" s="74"/>
      <c r="L1478" s="74"/>
      <c r="M1478" s="74"/>
      <c r="N1478" s="74"/>
      <c r="O1478" s="75"/>
      <c r="P1478" s="74"/>
      <c r="Q1478" s="75"/>
      <c r="R1478" s="74"/>
      <c r="S1478" s="74"/>
      <c r="T1478" s="74"/>
      <c r="U1478" s="75"/>
      <c r="V1478" s="74"/>
      <c r="W1478" s="75"/>
      <c r="X1478" s="74"/>
      <c r="Y1478" s="74"/>
      <c r="Z1478" s="74"/>
      <c r="AA1478" s="74"/>
      <c r="AB1478" s="74"/>
      <c r="AC1478" s="74"/>
      <c r="AD1478" s="74"/>
      <c r="AE1478" s="74"/>
      <c r="AF1478" s="74"/>
      <c r="AG1478" s="74"/>
      <c r="AH1478" s="74"/>
    </row>
    <row r="1479" s="73" customFormat="1" spans="1:34">
      <c r="A1479" s="74"/>
      <c r="B1479" s="74"/>
      <c r="C1479" s="74"/>
      <c r="D1479" s="74"/>
      <c r="E1479" s="74"/>
      <c r="F1479" s="74"/>
      <c r="G1479" s="74"/>
      <c r="H1479" s="74"/>
      <c r="I1479" s="74"/>
      <c r="J1479" s="74"/>
      <c r="K1479" s="74"/>
      <c r="L1479" s="74"/>
      <c r="M1479" s="74"/>
      <c r="N1479" s="74"/>
      <c r="O1479" s="75"/>
      <c r="P1479" s="74"/>
      <c r="Q1479" s="75"/>
      <c r="R1479" s="74"/>
      <c r="S1479" s="74"/>
      <c r="T1479" s="74"/>
      <c r="U1479" s="75"/>
      <c r="V1479" s="74"/>
      <c r="W1479" s="75"/>
      <c r="X1479" s="74"/>
      <c r="Y1479" s="74"/>
      <c r="Z1479" s="74"/>
      <c r="AA1479" s="74"/>
      <c r="AB1479" s="74"/>
      <c r="AC1479" s="74"/>
      <c r="AD1479" s="74"/>
      <c r="AE1479" s="74"/>
      <c r="AF1479" s="74"/>
      <c r="AG1479" s="74"/>
      <c r="AH1479" s="74"/>
    </row>
    <row r="1480" s="73" customFormat="1" spans="1:34">
      <c r="A1480" s="74"/>
      <c r="B1480" s="74"/>
      <c r="C1480" s="74"/>
      <c r="D1480" s="74"/>
      <c r="E1480" s="74"/>
      <c r="F1480" s="74"/>
      <c r="G1480" s="74"/>
      <c r="H1480" s="74"/>
      <c r="I1480" s="74"/>
      <c r="J1480" s="74"/>
      <c r="K1480" s="74"/>
      <c r="L1480" s="74"/>
      <c r="M1480" s="74"/>
      <c r="N1480" s="74"/>
      <c r="O1480" s="75"/>
      <c r="P1480" s="74"/>
      <c r="Q1480" s="75"/>
      <c r="R1480" s="74"/>
      <c r="S1480" s="74"/>
      <c r="T1480" s="74"/>
      <c r="U1480" s="75"/>
      <c r="V1480" s="74"/>
      <c r="W1480" s="75"/>
      <c r="X1480" s="74"/>
      <c r="Y1480" s="74"/>
      <c r="Z1480" s="74"/>
      <c r="AA1480" s="74"/>
      <c r="AB1480" s="74"/>
      <c r="AC1480" s="74"/>
      <c r="AD1480" s="74"/>
      <c r="AE1480" s="74"/>
      <c r="AF1480" s="74"/>
      <c r="AG1480" s="74"/>
      <c r="AH1480" s="74"/>
    </row>
    <row r="1481" s="73" customFormat="1" spans="1:34">
      <c r="A1481" s="74"/>
      <c r="B1481" s="74"/>
      <c r="C1481" s="74"/>
      <c r="D1481" s="74"/>
      <c r="E1481" s="74"/>
      <c r="F1481" s="74"/>
      <c r="G1481" s="74"/>
      <c r="H1481" s="74"/>
      <c r="I1481" s="74"/>
      <c r="J1481" s="74"/>
      <c r="K1481" s="74"/>
      <c r="L1481" s="74"/>
      <c r="M1481" s="74"/>
      <c r="N1481" s="74"/>
      <c r="O1481" s="75"/>
      <c r="P1481" s="74"/>
      <c r="Q1481" s="75"/>
      <c r="R1481" s="74"/>
      <c r="S1481" s="74"/>
      <c r="T1481" s="74"/>
      <c r="U1481" s="75"/>
      <c r="V1481" s="74"/>
      <c r="W1481" s="75"/>
      <c r="X1481" s="74"/>
      <c r="Y1481" s="74"/>
      <c r="Z1481" s="74"/>
      <c r="AA1481" s="74"/>
      <c r="AB1481" s="74"/>
      <c r="AC1481" s="74"/>
      <c r="AD1481" s="74"/>
      <c r="AE1481" s="74"/>
      <c r="AF1481" s="74"/>
      <c r="AG1481" s="74"/>
      <c r="AH1481" s="74"/>
    </row>
    <row r="1482" s="73" customFormat="1" spans="1:34">
      <c r="A1482" s="74"/>
      <c r="B1482" s="74"/>
      <c r="C1482" s="74"/>
      <c r="D1482" s="74"/>
      <c r="E1482" s="74"/>
      <c r="F1482" s="74"/>
      <c r="G1482" s="74"/>
      <c r="H1482" s="74"/>
      <c r="I1482" s="74"/>
      <c r="J1482" s="74"/>
      <c r="K1482" s="74"/>
      <c r="L1482" s="74"/>
      <c r="M1482" s="74"/>
      <c r="N1482" s="74"/>
      <c r="O1482" s="75"/>
      <c r="P1482" s="74"/>
      <c r="Q1482" s="75"/>
      <c r="R1482" s="74"/>
      <c r="S1482" s="74"/>
      <c r="T1482" s="74"/>
      <c r="U1482" s="75"/>
      <c r="V1482" s="74"/>
      <c r="W1482" s="75"/>
      <c r="X1482" s="74"/>
      <c r="Y1482" s="74"/>
      <c r="Z1482" s="74"/>
      <c r="AA1482" s="74"/>
      <c r="AB1482" s="74"/>
      <c r="AC1482" s="74"/>
      <c r="AD1482" s="74"/>
      <c r="AE1482" s="74"/>
      <c r="AF1482" s="74"/>
      <c r="AG1482" s="74"/>
      <c r="AH1482" s="74"/>
    </row>
    <row r="1483" s="73" customFormat="1" spans="1:34">
      <c r="A1483" s="74"/>
      <c r="B1483" s="74"/>
      <c r="C1483" s="74"/>
      <c r="D1483" s="74"/>
      <c r="E1483" s="74"/>
      <c r="F1483" s="74"/>
      <c r="G1483" s="74"/>
      <c r="H1483" s="74"/>
      <c r="I1483" s="74"/>
      <c r="J1483" s="74"/>
      <c r="K1483" s="74"/>
      <c r="L1483" s="74"/>
      <c r="M1483" s="74"/>
      <c r="N1483" s="74"/>
      <c r="O1483" s="75"/>
      <c r="P1483" s="74"/>
      <c r="Q1483" s="75"/>
      <c r="R1483" s="74"/>
      <c r="S1483" s="74"/>
      <c r="T1483" s="74"/>
      <c r="U1483" s="75"/>
      <c r="V1483" s="74"/>
      <c r="W1483" s="75"/>
      <c r="X1483" s="74"/>
      <c r="Y1483" s="74"/>
      <c r="Z1483" s="74"/>
      <c r="AA1483" s="74"/>
      <c r="AB1483" s="74"/>
      <c r="AC1483" s="74"/>
      <c r="AD1483" s="74"/>
      <c r="AE1483" s="74"/>
      <c r="AF1483" s="74"/>
      <c r="AG1483" s="74"/>
      <c r="AH1483" s="74"/>
    </row>
    <row r="1484" s="73" customFormat="1" spans="1:34">
      <c r="A1484" s="74"/>
      <c r="B1484" s="74"/>
      <c r="C1484" s="74"/>
      <c r="D1484" s="74"/>
      <c r="E1484" s="74"/>
      <c r="F1484" s="74"/>
      <c r="G1484" s="74"/>
      <c r="H1484" s="74"/>
      <c r="I1484" s="74"/>
      <c r="J1484" s="74"/>
      <c r="K1484" s="74"/>
      <c r="L1484" s="74"/>
      <c r="M1484" s="74"/>
      <c r="N1484" s="74"/>
      <c r="O1484" s="75"/>
      <c r="P1484" s="74"/>
      <c r="Q1484" s="75"/>
      <c r="R1484" s="74"/>
      <c r="S1484" s="74"/>
      <c r="T1484" s="74"/>
      <c r="U1484" s="75"/>
      <c r="V1484" s="74"/>
      <c r="W1484" s="75"/>
      <c r="X1484" s="74"/>
      <c r="Y1484" s="74"/>
      <c r="Z1484" s="74"/>
      <c r="AA1484" s="74"/>
      <c r="AB1484" s="74"/>
      <c r="AC1484" s="74"/>
      <c r="AD1484" s="74"/>
      <c r="AE1484" s="74"/>
      <c r="AF1484" s="74"/>
      <c r="AG1484" s="74"/>
      <c r="AH1484" s="74"/>
    </row>
    <row r="1485" s="73" customFormat="1" spans="1:34">
      <c r="A1485" s="74"/>
      <c r="B1485" s="74"/>
      <c r="C1485" s="74"/>
      <c r="D1485" s="74"/>
      <c r="E1485" s="74"/>
      <c r="F1485" s="74"/>
      <c r="G1485" s="74"/>
      <c r="H1485" s="74"/>
      <c r="I1485" s="74"/>
      <c r="J1485" s="74"/>
      <c r="K1485" s="74"/>
      <c r="L1485" s="74"/>
      <c r="M1485" s="74"/>
      <c r="N1485" s="74"/>
      <c r="O1485" s="75"/>
      <c r="P1485" s="74"/>
      <c r="Q1485" s="75"/>
      <c r="R1485" s="74"/>
      <c r="S1485" s="74"/>
      <c r="T1485" s="74"/>
      <c r="U1485" s="75"/>
      <c r="V1485" s="74"/>
      <c r="W1485" s="75"/>
      <c r="X1485" s="74"/>
      <c r="Y1485" s="74"/>
      <c r="Z1485" s="74"/>
      <c r="AA1485" s="74"/>
      <c r="AB1485" s="74"/>
      <c r="AC1485" s="74"/>
      <c r="AD1485" s="74"/>
      <c r="AE1485" s="74"/>
      <c r="AF1485" s="74"/>
      <c r="AG1485" s="74"/>
      <c r="AH1485" s="74"/>
    </row>
    <row r="1486" s="73" customFormat="1" spans="1:34">
      <c r="A1486" s="74"/>
      <c r="B1486" s="74"/>
      <c r="C1486" s="74"/>
      <c r="D1486" s="74"/>
      <c r="E1486" s="74"/>
      <c r="F1486" s="74"/>
      <c r="G1486" s="74"/>
      <c r="H1486" s="74"/>
      <c r="I1486" s="74"/>
      <c r="J1486" s="74"/>
      <c r="K1486" s="74"/>
      <c r="L1486" s="74"/>
      <c r="M1486" s="74"/>
      <c r="N1486" s="74"/>
      <c r="O1486" s="75"/>
      <c r="P1486" s="74"/>
      <c r="Q1486" s="75"/>
      <c r="R1486" s="74"/>
      <c r="S1486" s="74"/>
      <c r="T1486" s="74"/>
      <c r="U1486" s="75"/>
      <c r="V1486" s="74"/>
      <c r="W1486" s="75"/>
      <c r="X1486" s="74"/>
      <c r="Y1486" s="74"/>
      <c r="Z1486" s="74"/>
      <c r="AA1486" s="74"/>
      <c r="AB1486" s="74"/>
      <c r="AC1486" s="74"/>
      <c r="AD1486" s="74"/>
      <c r="AE1486" s="74"/>
      <c r="AF1486" s="74"/>
      <c r="AG1486" s="74"/>
      <c r="AH1486" s="74"/>
    </row>
    <row r="1487" s="73" customFormat="1" spans="1:34">
      <c r="A1487" s="74"/>
      <c r="B1487" s="74"/>
      <c r="C1487" s="74"/>
      <c r="D1487" s="74"/>
      <c r="E1487" s="74"/>
      <c r="F1487" s="74"/>
      <c r="G1487" s="74"/>
      <c r="H1487" s="74"/>
      <c r="I1487" s="74"/>
      <c r="J1487" s="74"/>
      <c r="K1487" s="74"/>
      <c r="L1487" s="74"/>
      <c r="M1487" s="74"/>
      <c r="N1487" s="74"/>
      <c r="O1487" s="75"/>
      <c r="P1487" s="74"/>
      <c r="Q1487" s="75"/>
      <c r="R1487" s="74"/>
      <c r="S1487" s="74"/>
      <c r="T1487" s="74"/>
      <c r="U1487" s="75"/>
      <c r="V1487" s="74"/>
      <c r="W1487" s="75"/>
      <c r="X1487" s="74"/>
      <c r="Y1487" s="74"/>
      <c r="Z1487" s="74"/>
      <c r="AA1487" s="74"/>
      <c r="AB1487" s="74"/>
      <c r="AC1487" s="74"/>
      <c r="AD1487" s="74"/>
      <c r="AE1487" s="74"/>
      <c r="AF1487" s="74"/>
      <c r="AG1487" s="74"/>
      <c r="AH1487" s="74"/>
    </row>
    <row r="1488" s="73" customFormat="1" spans="1:34">
      <c r="A1488" s="74"/>
      <c r="B1488" s="74"/>
      <c r="C1488" s="74"/>
      <c r="D1488" s="74"/>
      <c r="E1488" s="74"/>
      <c r="F1488" s="74"/>
      <c r="G1488" s="74"/>
      <c r="H1488" s="74"/>
      <c r="I1488" s="74"/>
      <c r="J1488" s="74"/>
      <c r="K1488" s="74"/>
      <c r="L1488" s="74"/>
      <c r="M1488" s="74"/>
      <c r="N1488" s="74"/>
      <c r="O1488" s="75"/>
      <c r="P1488" s="74"/>
      <c r="Q1488" s="75"/>
      <c r="R1488" s="74"/>
      <c r="S1488" s="74"/>
      <c r="T1488" s="74"/>
      <c r="U1488" s="75"/>
      <c r="V1488" s="74"/>
      <c r="W1488" s="75"/>
      <c r="X1488" s="74"/>
      <c r="Y1488" s="74"/>
      <c r="Z1488" s="74"/>
      <c r="AA1488" s="74"/>
      <c r="AB1488" s="74"/>
      <c r="AC1488" s="74"/>
      <c r="AD1488" s="74"/>
      <c r="AE1488" s="74"/>
      <c r="AF1488" s="74"/>
      <c r="AG1488" s="74"/>
      <c r="AH1488" s="74"/>
    </row>
    <row r="1489" s="73" customFormat="1" spans="1:34">
      <c r="A1489" s="74"/>
      <c r="B1489" s="74"/>
      <c r="C1489" s="74"/>
      <c r="D1489" s="74"/>
      <c r="E1489" s="74"/>
      <c r="F1489" s="74"/>
      <c r="G1489" s="74"/>
      <c r="H1489" s="74"/>
      <c r="I1489" s="74"/>
      <c r="J1489" s="74"/>
      <c r="K1489" s="74"/>
      <c r="L1489" s="74"/>
      <c r="M1489" s="74"/>
      <c r="N1489" s="74"/>
      <c r="O1489" s="75"/>
      <c r="P1489" s="74"/>
      <c r="Q1489" s="75"/>
      <c r="R1489" s="74"/>
      <c r="S1489" s="74"/>
      <c r="T1489" s="74"/>
      <c r="U1489" s="75"/>
      <c r="V1489" s="74"/>
      <c r="W1489" s="75"/>
      <c r="X1489" s="74"/>
      <c r="Y1489" s="74"/>
      <c r="Z1489" s="74"/>
      <c r="AA1489" s="74"/>
      <c r="AB1489" s="74"/>
      <c r="AC1489" s="74"/>
      <c r="AD1489" s="74"/>
      <c r="AE1489" s="74"/>
      <c r="AF1489" s="74"/>
      <c r="AG1489" s="74"/>
      <c r="AH1489" s="74"/>
    </row>
    <row r="1490" s="73" customFormat="1" spans="1:34">
      <c r="A1490" s="74"/>
      <c r="B1490" s="74"/>
      <c r="C1490" s="74"/>
      <c r="D1490" s="74"/>
      <c r="E1490" s="74"/>
      <c r="F1490" s="74"/>
      <c r="G1490" s="74"/>
      <c r="H1490" s="74"/>
      <c r="I1490" s="74"/>
      <c r="J1490" s="74"/>
      <c r="K1490" s="74"/>
      <c r="L1490" s="74"/>
      <c r="M1490" s="74"/>
      <c r="N1490" s="74"/>
      <c r="O1490" s="75"/>
      <c r="P1490" s="74"/>
      <c r="Q1490" s="75"/>
      <c r="R1490" s="74"/>
      <c r="S1490" s="74"/>
      <c r="T1490" s="74"/>
      <c r="U1490" s="75"/>
      <c r="V1490" s="74"/>
      <c r="W1490" s="75"/>
      <c r="X1490" s="74"/>
      <c r="Y1490" s="74"/>
      <c r="Z1490" s="74"/>
      <c r="AA1490" s="74"/>
      <c r="AB1490" s="74"/>
      <c r="AC1490" s="74"/>
      <c r="AD1490" s="74"/>
      <c r="AE1490" s="74"/>
      <c r="AF1490" s="74"/>
      <c r="AG1490" s="74"/>
      <c r="AH1490" s="74"/>
    </row>
    <row r="1491" s="73" customFormat="1" spans="1:34">
      <c r="A1491" s="74"/>
      <c r="B1491" s="74"/>
      <c r="C1491" s="74"/>
      <c r="D1491" s="74"/>
      <c r="E1491" s="74"/>
      <c r="F1491" s="74"/>
      <c r="G1491" s="74"/>
      <c r="H1491" s="74"/>
      <c r="I1491" s="74"/>
      <c r="J1491" s="74"/>
      <c r="K1491" s="74"/>
      <c r="L1491" s="74"/>
      <c r="M1491" s="74"/>
      <c r="N1491" s="74"/>
      <c r="O1491" s="75"/>
      <c r="P1491" s="74"/>
      <c r="Q1491" s="75"/>
      <c r="R1491" s="74"/>
      <c r="S1491" s="74"/>
      <c r="T1491" s="74"/>
      <c r="U1491" s="75"/>
      <c r="V1491" s="74"/>
      <c r="W1491" s="75"/>
      <c r="X1491" s="74"/>
      <c r="Y1491" s="74"/>
      <c r="Z1491" s="74"/>
      <c r="AA1491" s="74"/>
      <c r="AB1491" s="74"/>
      <c r="AC1491" s="74"/>
      <c r="AD1491" s="74"/>
      <c r="AE1491" s="74"/>
      <c r="AF1491" s="74"/>
      <c r="AG1491" s="74"/>
      <c r="AH1491" s="74"/>
    </row>
    <row r="1492" s="73" customFormat="1" spans="1:34">
      <c r="A1492" s="74"/>
      <c r="B1492" s="74"/>
      <c r="C1492" s="74"/>
      <c r="D1492" s="74"/>
      <c r="E1492" s="74"/>
      <c r="F1492" s="74"/>
      <c r="G1492" s="74"/>
      <c r="H1492" s="74"/>
      <c r="I1492" s="74"/>
      <c r="J1492" s="74"/>
      <c r="K1492" s="74"/>
      <c r="L1492" s="74"/>
      <c r="M1492" s="74"/>
      <c r="N1492" s="74"/>
      <c r="O1492" s="75"/>
      <c r="P1492" s="74"/>
      <c r="Q1492" s="75"/>
      <c r="R1492" s="74"/>
      <c r="S1492" s="74"/>
      <c r="T1492" s="74"/>
      <c r="U1492" s="75"/>
      <c r="V1492" s="74"/>
      <c r="W1492" s="75"/>
      <c r="X1492" s="74"/>
      <c r="Y1492" s="74"/>
      <c r="Z1492" s="74"/>
      <c r="AA1492" s="74"/>
      <c r="AB1492" s="74"/>
      <c r="AC1492" s="74"/>
      <c r="AD1492" s="74"/>
      <c r="AE1492" s="74"/>
      <c r="AF1492" s="74"/>
      <c r="AG1492" s="74"/>
      <c r="AH1492" s="74"/>
    </row>
    <row r="1493" s="73" customFormat="1" spans="1:34">
      <c r="A1493" s="74"/>
      <c r="B1493" s="74"/>
      <c r="C1493" s="74"/>
      <c r="D1493" s="74"/>
      <c r="E1493" s="74"/>
      <c r="F1493" s="74"/>
      <c r="G1493" s="74"/>
      <c r="H1493" s="74"/>
      <c r="I1493" s="74"/>
      <c r="J1493" s="74"/>
      <c r="K1493" s="74"/>
      <c r="L1493" s="74"/>
      <c r="M1493" s="74"/>
      <c r="N1493" s="74"/>
      <c r="O1493" s="75"/>
      <c r="P1493" s="74"/>
      <c r="Q1493" s="75"/>
      <c r="R1493" s="74"/>
      <c r="S1493" s="74"/>
      <c r="T1493" s="74"/>
      <c r="U1493" s="75"/>
      <c r="V1493" s="74"/>
      <c r="W1493" s="75"/>
      <c r="X1493" s="74"/>
      <c r="Y1493" s="74"/>
      <c r="Z1493" s="74"/>
      <c r="AA1493" s="74"/>
      <c r="AB1493" s="74"/>
      <c r="AC1493" s="74"/>
      <c r="AD1493" s="74"/>
      <c r="AE1493" s="74"/>
      <c r="AF1493" s="74"/>
      <c r="AG1493" s="74"/>
      <c r="AH1493" s="74"/>
    </row>
    <row r="1494" s="73" customFormat="1" spans="1:34">
      <c r="A1494" s="74"/>
      <c r="B1494" s="74"/>
      <c r="C1494" s="74"/>
      <c r="D1494" s="74"/>
      <c r="E1494" s="74"/>
      <c r="F1494" s="74"/>
      <c r="G1494" s="74"/>
      <c r="H1494" s="74"/>
      <c r="I1494" s="74"/>
      <c r="J1494" s="74"/>
      <c r="K1494" s="74"/>
      <c r="L1494" s="74"/>
      <c r="M1494" s="74"/>
      <c r="N1494" s="74"/>
      <c r="O1494" s="75"/>
      <c r="P1494" s="74"/>
      <c r="Q1494" s="75"/>
      <c r="R1494" s="74"/>
      <c r="S1494" s="74"/>
      <c r="T1494" s="74"/>
      <c r="U1494" s="75"/>
      <c r="V1494" s="74"/>
      <c r="W1494" s="75"/>
      <c r="X1494" s="74"/>
      <c r="Y1494" s="74"/>
      <c r="Z1494" s="74"/>
      <c r="AA1494" s="74"/>
      <c r="AB1494" s="74"/>
      <c r="AC1494" s="74"/>
      <c r="AD1494" s="74"/>
      <c r="AE1494" s="74"/>
      <c r="AF1494" s="74"/>
      <c r="AG1494" s="74"/>
      <c r="AH1494" s="74"/>
    </row>
    <row r="1495" s="73" customFormat="1" spans="1:34">
      <c r="A1495" s="74"/>
      <c r="B1495" s="74"/>
      <c r="C1495" s="74"/>
      <c r="D1495" s="74"/>
      <c r="E1495" s="74"/>
      <c r="F1495" s="74"/>
      <c r="G1495" s="74"/>
      <c r="H1495" s="74"/>
      <c r="I1495" s="74"/>
      <c r="J1495" s="74"/>
      <c r="K1495" s="74"/>
      <c r="L1495" s="74"/>
      <c r="M1495" s="74"/>
      <c r="N1495" s="74"/>
      <c r="O1495" s="75"/>
      <c r="P1495" s="74"/>
      <c r="Q1495" s="75"/>
      <c r="R1495" s="74"/>
      <c r="S1495" s="74"/>
      <c r="T1495" s="74"/>
      <c r="U1495" s="75"/>
      <c r="V1495" s="74"/>
      <c r="W1495" s="75"/>
      <c r="X1495" s="74"/>
      <c r="Y1495" s="74"/>
      <c r="Z1495" s="74"/>
      <c r="AA1495" s="74"/>
      <c r="AB1495" s="74"/>
      <c r="AC1495" s="74"/>
      <c r="AD1495" s="74"/>
      <c r="AE1495" s="74"/>
      <c r="AF1495" s="74"/>
      <c r="AG1495" s="74"/>
      <c r="AH1495" s="74"/>
    </row>
    <row r="1496" s="73" customFormat="1" spans="1:34">
      <c r="A1496" s="74"/>
      <c r="B1496" s="74"/>
      <c r="C1496" s="74"/>
      <c r="D1496" s="74"/>
      <c r="E1496" s="74"/>
      <c r="F1496" s="74"/>
      <c r="G1496" s="74"/>
      <c r="H1496" s="74"/>
      <c r="I1496" s="74"/>
      <c r="J1496" s="74"/>
      <c r="K1496" s="74"/>
      <c r="L1496" s="74"/>
      <c r="M1496" s="74"/>
      <c r="N1496" s="74"/>
      <c r="O1496" s="75"/>
      <c r="P1496" s="74"/>
      <c r="Q1496" s="75"/>
      <c r="R1496" s="74"/>
      <c r="S1496" s="74"/>
      <c r="T1496" s="74"/>
      <c r="U1496" s="75"/>
      <c r="V1496" s="74"/>
      <c r="W1496" s="75"/>
      <c r="X1496" s="74"/>
      <c r="Y1496" s="74"/>
      <c r="Z1496" s="74"/>
      <c r="AA1496" s="74"/>
      <c r="AB1496" s="74"/>
      <c r="AC1496" s="74"/>
      <c r="AD1496" s="74"/>
      <c r="AE1496" s="74"/>
      <c r="AF1496" s="74"/>
      <c r="AG1496" s="74"/>
      <c r="AH1496" s="74"/>
    </row>
    <row r="1497" s="73" customFormat="1" spans="1:34">
      <c r="A1497" s="74"/>
      <c r="B1497" s="74"/>
      <c r="C1497" s="74"/>
      <c r="D1497" s="74"/>
      <c r="E1497" s="74"/>
      <c r="F1497" s="74"/>
      <c r="G1497" s="74"/>
      <c r="H1497" s="74"/>
      <c r="I1497" s="74"/>
      <c r="J1497" s="74"/>
      <c r="K1497" s="74"/>
      <c r="L1497" s="74"/>
      <c r="M1497" s="74"/>
      <c r="N1497" s="74"/>
      <c r="O1497" s="75"/>
      <c r="P1497" s="74"/>
      <c r="Q1497" s="75"/>
      <c r="R1497" s="74"/>
      <c r="S1497" s="74"/>
      <c r="T1497" s="74"/>
      <c r="U1497" s="75"/>
      <c r="V1497" s="74"/>
      <c r="W1497" s="75"/>
      <c r="X1497" s="74"/>
      <c r="Y1497" s="74"/>
      <c r="Z1497" s="74"/>
      <c r="AA1497" s="74"/>
      <c r="AB1497" s="74"/>
      <c r="AC1497" s="74"/>
      <c r="AD1497" s="74"/>
      <c r="AE1497" s="74"/>
      <c r="AF1497" s="74"/>
      <c r="AG1497" s="74"/>
      <c r="AH1497" s="74"/>
    </row>
    <row r="1498" s="73" customFormat="1" spans="1:34">
      <c r="A1498" s="74"/>
      <c r="B1498" s="74"/>
      <c r="C1498" s="74"/>
      <c r="D1498" s="74"/>
      <c r="E1498" s="74"/>
      <c r="F1498" s="74"/>
      <c r="G1498" s="74"/>
      <c r="H1498" s="74"/>
      <c r="I1498" s="74"/>
      <c r="J1498" s="74"/>
      <c r="K1498" s="74"/>
      <c r="L1498" s="74"/>
      <c r="M1498" s="74"/>
      <c r="N1498" s="74"/>
      <c r="O1498" s="75"/>
      <c r="P1498" s="74"/>
      <c r="Q1498" s="75"/>
      <c r="R1498" s="74"/>
      <c r="S1498" s="74"/>
      <c r="T1498" s="74"/>
      <c r="U1498" s="75"/>
      <c r="V1498" s="74"/>
      <c r="W1498" s="75"/>
      <c r="X1498" s="74"/>
      <c r="Y1498" s="74"/>
      <c r="Z1498" s="74"/>
      <c r="AA1498" s="74"/>
      <c r="AB1498" s="74"/>
      <c r="AC1498" s="74"/>
      <c r="AD1498" s="74"/>
      <c r="AE1498" s="74"/>
      <c r="AF1498" s="74"/>
      <c r="AG1498" s="74"/>
      <c r="AH1498" s="74"/>
    </row>
    <row r="1499" s="73" customFormat="1" spans="1:34">
      <c r="A1499" s="74"/>
      <c r="B1499" s="74"/>
      <c r="C1499" s="74"/>
      <c r="D1499" s="74"/>
      <c r="E1499" s="74"/>
      <c r="F1499" s="74"/>
      <c r="G1499" s="74"/>
      <c r="H1499" s="74"/>
      <c r="I1499" s="74"/>
      <c r="J1499" s="74"/>
      <c r="K1499" s="74"/>
      <c r="L1499" s="74"/>
      <c r="M1499" s="74"/>
      <c r="N1499" s="74"/>
      <c r="O1499" s="75"/>
      <c r="P1499" s="74"/>
      <c r="Q1499" s="75"/>
      <c r="R1499" s="74"/>
      <c r="S1499" s="74"/>
      <c r="T1499" s="74"/>
      <c r="U1499" s="75"/>
      <c r="V1499" s="74"/>
      <c r="W1499" s="75"/>
      <c r="X1499" s="74"/>
      <c r="Y1499" s="74"/>
      <c r="Z1499" s="74"/>
      <c r="AA1499" s="74"/>
      <c r="AB1499" s="74"/>
      <c r="AC1499" s="74"/>
      <c r="AD1499" s="74"/>
      <c r="AE1499" s="74"/>
      <c r="AF1499" s="74"/>
      <c r="AG1499" s="74"/>
      <c r="AH1499" s="74"/>
    </row>
    <row r="1500" s="73" customFormat="1" spans="1:34">
      <c r="A1500" s="74"/>
      <c r="B1500" s="74"/>
      <c r="C1500" s="74"/>
      <c r="D1500" s="74"/>
      <c r="E1500" s="74"/>
      <c r="F1500" s="74"/>
      <c r="G1500" s="74"/>
      <c r="H1500" s="74"/>
      <c r="I1500" s="74"/>
      <c r="J1500" s="74"/>
      <c r="K1500" s="74"/>
      <c r="L1500" s="74"/>
      <c r="M1500" s="74"/>
      <c r="N1500" s="74"/>
      <c r="O1500" s="75"/>
      <c r="P1500" s="74"/>
      <c r="Q1500" s="75"/>
      <c r="R1500" s="74"/>
      <c r="S1500" s="74"/>
      <c r="T1500" s="74"/>
      <c r="U1500" s="75"/>
      <c r="V1500" s="74"/>
      <c r="W1500" s="75"/>
      <c r="X1500" s="74"/>
      <c r="Y1500" s="74"/>
      <c r="Z1500" s="74"/>
      <c r="AA1500" s="74"/>
      <c r="AB1500" s="74"/>
      <c r="AC1500" s="74"/>
      <c r="AD1500" s="74"/>
      <c r="AE1500" s="74"/>
      <c r="AF1500" s="74"/>
      <c r="AG1500" s="74"/>
      <c r="AH1500" s="74"/>
    </row>
    <row r="1501" s="73" customFormat="1" spans="1:34">
      <c r="A1501" s="74"/>
      <c r="B1501" s="74"/>
      <c r="C1501" s="74"/>
      <c r="D1501" s="74"/>
      <c r="E1501" s="74"/>
      <c r="F1501" s="74"/>
      <c r="G1501" s="74"/>
      <c r="H1501" s="74"/>
      <c r="I1501" s="74"/>
      <c r="J1501" s="74"/>
      <c r="K1501" s="74"/>
      <c r="L1501" s="74"/>
      <c r="M1501" s="74"/>
      <c r="N1501" s="74"/>
      <c r="O1501" s="75"/>
      <c r="P1501" s="74"/>
      <c r="Q1501" s="75"/>
      <c r="R1501" s="74"/>
      <c r="S1501" s="74"/>
      <c r="T1501" s="74"/>
      <c r="U1501" s="75"/>
      <c r="V1501" s="74"/>
      <c r="W1501" s="75"/>
      <c r="X1501" s="74"/>
      <c r="Y1501" s="74"/>
      <c r="Z1501" s="74"/>
      <c r="AA1501" s="74"/>
      <c r="AB1501" s="74"/>
      <c r="AC1501" s="74"/>
      <c r="AD1501" s="74"/>
      <c r="AE1501" s="74"/>
      <c r="AF1501" s="74"/>
      <c r="AG1501" s="74"/>
      <c r="AH1501" s="74"/>
    </row>
    <row r="1502" s="73" customFormat="1" spans="1:34">
      <c r="A1502" s="74"/>
      <c r="B1502" s="74"/>
      <c r="C1502" s="74"/>
      <c r="D1502" s="74"/>
      <c r="E1502" s="74"/>
      <c r="F1502" s="74"/>
      <c r="G1502" s="74"/>
      <c r="H1502" s="74"/>
      <c r="I1502" s="74"/>
      <c r="J1502" s="74"/>
      <c r="K1502" s="74"/>
      <c r="L1502" s="74"/>
      <c r="M1502" s="74"/>
      <c r="N1502" s="74"/>
      <c r="O1502" s="75"/>
      <c r="P1502" s="74"/>
      <c r="Q1502" s="75"/>
      <c r="R1502" s="74"/>
      <c r="S1502" s="74"/>
      <c r="T1502" s="74"/>
      <c r="U1502" s="75"/>
      <c r="V1502" s="74"/>
      <c r="W1502" s="75"/>
      <c r="X1502" s="74"/>
      <c r="Y1502" s="74"/>
      <c r="Z1502" s="74"/>
      <c r="AA1502" s="74"/>
      <c r="AB1502" s="74"/>
      <c r="AC1502" s="74"/>
      <c r="AD1502" s="74"/>
      <c r="AE1502" s="74"/>
      <c r="AF1502" s="74"/>
      <c r="AG1502" s="74"/>
      <c r="AH1502" s="74"/>
    </row>
    <row r="1503" s="73" customFormat="1" spans="1:34">
      <c r="A1503" s="74"/>
      <c r="B1503" s="74"/>
      <c r="C1503" s="74"/>
      <c r="D1503" s="74"/>
      <c r="E1503" s="74"/>
      <c r="F1503" s="74"/>
      <c r="G1503" s="74"/>
      <c r="H1503" s="74"/>
      <c r="I1503" s="74"/>
      <c r="J1503" s="74"/>
      <c r="K1503" s="74"/>
      <c r="L1503" s="74"/>
      <c r="M1503" s="74"/>
      <c r="N1503" s="74"/>
      <c r="O1503" s="75"/>
      <c r="P1503" s="74"/>
      <c r="Q1503" s="75"/>
      <c r="R1503" s="74"/>
      <c r="S1503" s="74"/>
      <c r="T1503" s="74"/>
      <c r="U1503" s="75"/>
      <c r="V1503" s="74"/>
      <c r="W1503" s="75"/>
      <c r="X1503" s="74"/>
      <c r="Y1503" s="74"/>
      <c r="Z1503" s="74"/>
      <c r="AA1503" s="74"/>
      <c r="AB1503" s="74"/>
      <c r="AC1503" s="74"/>
      <c r="AD1503" s="74"/>
      <c r="AE1503" s="74"/>
      <c r="AF1503" s="74"/>
      <c r="AG1503" s="74"/>
      <c r="AH1503" s="74"/>
    </row>
    <row r="1504" s="73" customFormat="1" spans="1:34">
      <c r="A1504" s="74"/>
      <c r="B1504" s="74"/>
      <c r="C1504" s="74"/>
      <c r="D1504" s="74"/>
      <c r="E1504" s="74"/>
      <c r="F1504" s="74"/>
      <c r="G1504" s="74"/>
      <c r="H1504" s="74"/>
      <c r="I1504" s="74"/>
      <c r="J1504" s="74"/>
      <c r="K1504" s="74"/>
      <c r="L1504" s="74"/>
      <c r="M1504" s="74"/>
      <c r="N1504" s="74"/>
      <c r="O1504" s="75"/>
      <c r="P1504" s="74"/>
      <c r="Q1504" s="75"/>
      <c r="R1504" s="74"/>
      <c r="S1504" s="74"/>
      <c r="T1504" s="74"/>
      <c r="U1504" s="75"/>
      <c r="V1504" s="74"/>
      <c r="W1504" s="75"/>
      <c r="X1504" s="74"/>
      <c r="Y1504" s="74"/>
      <c r="Z1504" s="74"/>
      <c r="AA1504" s="74"/>
      <c r="AB1504" s="74"/>
      <c r="AC1504" s="74"/>
      <c r="AD1504" s="74"/>
      <c r="AE1504" s="74"/>
      <c r="AF1504" s="74"/>
      <c r="AG1504" s="74"/>
      <c r="AH1504" s="74"/>
    </row>
    <row r="1505" s="73" customFormat="1" spans="1:34">
      <c r="A1505" s="74"/>
      <c r="B1505" s="74"/>
      <c r="C1505" s="74"/>
      <c r="D1505" s="74"/>
      <c r="E1505" s="74"/>
      <c r="F1505" s="74"/>
      <c r="G1505" s="74"/>
      <c r="H1505" s="74"/>
      <c r="I1505" s="74"/>
      <c r="J1505" s="74"/>
      <c r="K1505" s="74"/>
      <c r="L1505" s="74"/>
      <c r="M1505" s="74"/>
      <c r="N1505" s="74"/>
      <c r="O1505" s="75"/>
      <c r="P1505" s="74"/>
      <c r="Q1505" s="75"/>
      <c r="R1505" s="74"/>
      <c r="S1505" s="74"/>
      <c r="T1505" s="74"/>
      <c r="U1505" s="75"/>
      <c r="V1505" s="74"/>
      <c r="W1505" s="75"/>
      <c r="X1505" s="74"/>
      <c r="Y1505" s="74"/>
      <c r="Z1505" s="74"/>
      <c r="AA1505" s="74"/>
      <c r="AB1505" s="74"/>
      <c r="AC1505" s="74"/>
      <c r="AD1505" s="74"/>
      <c r="AE1505" s="74"/>
      <c r="AF1505" s="74"/>
      <c r="AG1505" s="74"/>
      <c r="AH1505" s="74"/>
    </row>
    <row r="1506" s="73" customFormat="1" spans="1:34">
      <c r="A1506" s="74"/>
      <c r="B1506" s="74"/>
      <c r="C1506" s="74"/>
      <c r="D1506" s="74"/>
      <c r="E1506" s="74"/>
      <c r="F1506" s="74"/>
      <c r="G1506" s="74"/>
      <c r="H1506" s="74"/>
      <c r="I1506" s="74"/>
      <c r="J1506" s="74"/>
      <c r="K1506" s="74"/>
      <c r="L1506" s="74"/>
      <c r="M1506" s="74"/>
      <c r="N1506" s="74"/>
      <c r="O1506" s="75"/>
      <c r="P1506" s="74"/>
      <c r="Q1506" s="75"/>
      <c r="R1506" s="74"/>
      <c r="S1506" s="74"/>
      <c r="T1506" s="74"/>
      <c r="U1506" s="75"/>
      <c r="V1506" s="74"/>
      <c r="W1506" s="75"/>
      <c r="X1506" s="74"/>
      <c r="Y1506" s="74"/>
      <c r="Z1506" s="74"/>
      <c r="AA1506" s="74"/>
      <c r="AB1506" s="74"/>
      <c r="AC1506" s="74"/>
      <c r="AD1506" s="74"/>
      <c r="AE1506" s="74"/>
      <c r="AF1506" s="74"/>
      <c r="AG1506" s="74"/>
      <c r="AH1506" s="74"/>
    </row>
    <row r="1507" s="73" customFormat="1" spans="1:34">
      <c r="A1507" s="74"/>
      <c r="B1507" s="74"/>
      <c r="C1507" s="74"/>
      <c r="D1507" s="74"/>
      <c r="E1507" s="74"/>
      <c r="F1507" s="74"/>
      <c r="G1507" s="74"/>
      <c r="H1507" s="74"/>
      <c r="I1507" s="74"/>
      <c r="J1507" s="74"/>
      <c r="K1507" s="74"/>
      <c r="L1507" s="74"/>
      <c r="M1507" s="74"/>
      <c r="N1507" s="74"/>
      <c r="O1507" s="75"/>
      <c r="P1507" s="74"/>
      <c r="Q1507" s="75"/>
      <c r="R1507" s="74"/>
      <c r="S1507" s="74"/>
      <c r="T1507" s="74"/>
      <c r="U1507" s="75"/>
      <c r="V1507" s="74"/>
      <c r="W1507" s="75"/>
      <c r="X1507" s="74"/>
      <c r="Y1507" s="74"/>
      <c r="Z1507" s="74"/>
      <c r="AA1507" s="74"/>
      <c r="AB1507" s="74"/>
      <c r="AC1507" s="74"/>
      <c r="AD1507" s="74"/>
      <c r="AE1507" s="74"/>
      <c r="AF1507" s="74"/>
      <c r="AG1507" s="74"/>
      <c r="AH1507" s="74"/>
    </row>
    <row r="1508" s="73" customFormat="1" spans="1:34">
      <c r="A1508" s="74"/>
      <c r="B1508" s="74"/>
      <c r="C1508" s="74"/>
      <c r="D1508" s="74"/>
      <c r="E1508" s="74"/>
      <c r="F1508" s="74"/>
      <c r="G1508" s="74"/>
      <c r="H1508" s="74"/>
      <c r="I1508" s="74"/>
      <c r="J1508" s="74"/>
      <c r="K1508" s="74"/>
      <c r="L1508" s="74"/>
      <c r="M1508" s="74"/>
      <c r="N1508" s="74"/>
      <c r="O1508" s="75"/>
      <c r="P1508" s="74"/>
      <c r="Q1508" s="75"/>
      <c r="R1508" s="74"/>
      <c r="S1508" s="74"/>
      <c r="T1508" s="74"/>
      <c r="U1508" s="75"/>
      <c r="V1508" s="74"/>
      <c r="W1508" s="75"/>
      <c r="X1508" s="74"/>
      <c r="Y1508" s="74"/>
      <c r="Z1508" s="74"/>
      <c r="AA1508" s="74"/>
      <c r="AB1508" s="74"/>
      <c r="AC1508" s="74"/>
      <c r="AD1508" s="74"/>
      <c r="AE1508" s="74"/>
      <c r="AF1508" s="74"/>
      <c r="AG1508" s="74"/>
      <c r="AH1508" s="74"/>
    </row>
    <row r="1509" s="73" customFormat="1" spans="1:34">
      <c r="A1509" s="74"/>
      <c r="B1509" s="74"/>
      <c r="C1509" s="74"/>
      <c r="D1509" s="74"/>
      <c r="E1509" s="74"/>
      <c r="F1509" s="74"/>
      <c r="G1509" s="74"/>
      <c r="H1509" s="74"/>
      <c r="I1509" s="74"/>
      <c r="J1509" s="74"/>
      <c r="K1509" s="74"/>
      <c r="L1509" s="74"/>
      <c r="M1509" s="74"/>
      <c r="N1509" s="74"/>
      <c r="O1509" s="75"/>
      <c r="P1509" s="74"/>
      <c r="Q1509" s="75"/>
      <c r="R1509" s="74"/>
      <c r="S1509" s="74"/>
      <c r="T1509" s="74"/>
      <c r="U1509" s="75"/>
      <c r="V1509" s="74"/>
      <c r="W1509" s="75"/>
      <c r="X1509" s="74"/>
      <c r="Y1509" s="74"/>
      <c r="Z1509" s="74"/>
      <c r="AA1509" s="74"/>
      <c r="AB1509" s="74"/>
      <c r="AC1509" s="74"/>
      <c r="AD1509" s="74"/>
      <c r="AE1509" s="74"/>
      <c r="AF1509" s="74"/>
      <c r="AG1509" s="74"/>
      <c r="AH1509" s="74"/>
    </row>
    <row r="1510" s="73" customFormat="1" spans="1:34">
      <c r="A1510" s="74"/>
      <c r="B1510" s="74"/>
      <c r="C1510" s="74"/>
      <c r="D1510" s="74"/>
      <c r="E1510" s="74"/>
      <c r="F1510" s="74"/>
      <c r="G1510" s="74"/>
      <c r="H1510" s="74"/>
      <c r="I1510" s="74"/>
      <c r="J1510" s="74"/>
      <c r="K1510" s="74"/>
      <c r="L1510" s="74"/>
      <c r="M1510" s="74"/>
      <c r="N1510" s="74"/>
      <c r="O1510" s="75"/>
      <c r="P1510" s="74"/>
      <c r="Q1510" s="75"/>
      <c r="R1510" s="74"/>
      <c r="S1510" s="74"/>
      <c r="T1510" s="74"/>
      <c r="U1510" s="75"/>
      <c r="V1510" s="74"/>
      <c r="W1510" s="75"/>
      <c r="X1510" s="74"/>
      <c r="Y1510" s="74"/>
      <c r="Z1510" s="74"/>
      <c r="AA1510" s="74"/>
      <c r="AB1510" s="74"/>
      <c r="AC1510" s="74"/>
      <c r="AD1510" s="74"/>
      <c r="AE1510" s="74"/>
      <c r="AF1510" s="74"/>
      <c r="AG1510" s="74"/>
      <c r="AH1510" s="74"/>
    </row>
    <row r="1512" s="73" customFormat="1" spans="1:34">
      <c r="A1512" s="74"/>
      <c r="B1512" s="74"/>
      <c r="C1512" s="74"/>
      <c r="D1512" s="74"/>
      <c r="E1512" s="74"/>
      <c r="F1512" s="74"/>
      <c r="G1512" s="74"/>
      <c r="H1512" s="74"/>
      <c r="I1512" s="74"/>
      <c r="J1512" s="74"/>
      <c r="K1512" s="74"/>
      <c r="L1512" s="74"/>
      <c r="M1512" s="74"/>
      <c r="N1512" s="74"/>
      <c r="O1512" s="75"/>
      <c r="P1512" s="74"/>
      <c r="Q1512" s="75"/>
      <c r="R1512" s="74"/>
      <c r="S1512" s="74"/>
      <c r="T1512" s="74"/>
      <c r="U1512" s="75"/>
      <c r="V1512" s="74"/>
      <c r="W1512" s="75"/>
      <c r="X1512" s="74"/>
      <c r="Y1512" s="74"/>
      <c r="Z1512" s="74"/>
      <c r="AA1512" s="74"/>
      <c r="AB1512" s="74"/>
      <c r="AC1512" s="74"/>
      <c r="AD1512" s="74"/>
      <c r="AE1512" s="74"/>
      <c r="AF1512" s="74"/>
      <c r="AG1512" s="74"/>
      <c r="AH1512" s="74"/>
    </row>
    <row r="1513" s="73" customFormat="1" spans="1:34">
      <c r="A1513" s="74"/>
      <c r="B1513" s="74"/>
      <c r="C1513" s="74"/>
      <c r="D1513" s="74"/>
      <c r="E1513" s="74"/>
      <c r="F1513" s="74"/>
      <c r="G1513" s="74"/>
      <c r="H1513" s="74"/>
      <c r="I1513" s="74"/>
      <c r="J1513" s="74"/>
      <c r="K1513" s="74"/>
      <c r="L1513" s="74"/>
      <c r="M1513" s="74"/>
      <c r="N1513" s="74"/>
      <c r="O1513" s="75"/>
      <c r="P1513" s="74"/>
      <c r="Q1513" s="75"/>
      <c r="R1513" s="74"/>
      <c r="S1513" s="74"/>
      <c r="T1513" s="74"/>
      <c r="U1513" s="75"/>
      <c r="V1513" s="74"/>
      <c r="W1513" s="75"/>
      <c r="X1513" s="74"/>
      <c r="Y1513" s="74"/>
      <c r="Z1513" s="74"/>
      <c r="AA1513" s="74"/>
      <c r="AB1513" s="74"/>
      <c r="AC1513" s="74"/>
      <c r="AD1513" s="74"/>
      <c r="AE1513" s="74"/>
      <c r="AF1513" s="74"/>
      <c r="AG1513" s="74"/>
      <c r="AH1513" s="74"/>
    </row>
    <row r="1514" s="73" customFormat="1" spans="1:34">
      <c r="A1514" s="74"/>
      <c r="B1514" s="74"/>
      <c r="C1514" s="74"/>
      <c r="D1514" s="74"/>
      <c r="E1514" s="74"/>
      <c r="F1514" s="74"/>
      <c r="G1514" s="74"/>
      <c r="H1514" s="74"/>
      <c r="I1514" s="74"/>
      <c r="J1514" s="74"/>
      <c r="K1514" s="74"/>
      <c r="L1514" s="74"/>
      <c r="M1514" s="74"/>
      <c r="N1514" s="74"/>
      <c r="O1514" s="75"/>
      <c r="P1514" s="74"/>
      <c r="Q1514" s="75"/>
      <c r="R1514" s="74"/>
      <c r="S1514" s="74"/>
      <c r="T1514" s="74"/>
      <c r="U1514" s="75"/>
      <c r="V1514" s="74"/>
      <c r="W1514" s="75"/>
      <c r="X1514" s="74"/>
      <c r="Y1514" s="74"/>
      <c r="Z1514" s="74"/>
      <c r="AA1514" s="74"/>
      <c r="AB1514" s="74"/>
      <c r="AC1514" s="74"/>
      <c r="AD1514" s="74"/>
      <c r="AE1514" s="74"/>
      <c r="AF1514" s="74"/>
      <c r="AG1514" s="74"/>
      <c r="AH1514" s="74"/>
    </row>
    <row r="1515" s="73" customFormat="1" spans="1:34">
      <c r="A1515" s="74"/>
      <c r="B1515" s="74"/>
      <c r="C1515" s="74"/>
      <c r="D1515" s="74"/>
      <c r="E1515" s="74"/>
      <c r="F1515" s="74"/>
      <c r="G1515" s="74"/>
      <c r="H1515" s="74"/>
      <c r="I1515" s="74"/>
      <c r="J1515" s="74"/>
      <c r="K1515" s="74"/>
      <c r="L1515" s="74"/>
      <c r="M1515" s="74"/>
      <c r="N1515" s="74"/>
      <c r="O1515" s="75"/>
      <c r="P1515" s="74"/>
      <c r="Q1515" s="75"/>
      <c r="R1515" s="74"/>
      <c r="S1515" s="74"/>
      <c r="T1515" s="74"/>
      <c r="U1515" s="75"/>
      <c r="V1515" s="74"/>
      <c r="W1515" s="75"/>
      <c r="X1515" s="74"/>
      <c r="Y1515" s="74"/>
      <c r="Z1515" s="74"/>
      <c r="AA1515" s="74"/>
      <c r="AB1515" s="74"/>
      <c r="AC1515" s="74"/>
      <c r="AD1515" s="74"/>
      <c r="AE1515" s="74"/>
      <c r="AF1515" s="74"/>
      <c r="AG1515" s="74"/>
      <c r="AH1515" s="74"/>
    </row>
    <row r="1516" s="73" customFormat="1" spans="1:34">
      <c r="A1516" s="74"/>
      <c r="B1516" s="74"/>
      <c r="C1516" s="74"/>
      <c r="D1516" s="74"/>
      <c r="E1516" s="74"/>
      <c r="F1516" s="74"/>
      <c r="G1516" s="74"/>
      <c r="H1516" s="74"/>
      <c r="I1516" s="74"/>
      <c r="J1516" s="74"/>
      <c r="K1516" s="74"/>
      <c r="L1516" s="74"/>
      <c r="M1516" s="74"/>
      <c r="N1516" s="74"/>
      <c r="O1516" s="75"/>
      <c r="P1516" s="74"/>
      <c r="Q1516" s="75"/>
      <c r="R1516" s="74"/>
      <c r="S1516" s="74"/>
      <c r="T1516" s="74"/>
      <c r="U1516" s="75"/>
      <c r="V1516" s="74"/>
      <c r="W1516" s="75"/>
      <c r="X1516" s="74"/>
      <c r="Y1516" s="74"/>
      <c r="Z1516" s="74"/>
      <c r="AA1516" s="74"/>
      <c r="AB1516" s="74"/>
      <c r="AC1516" s="74"/>
      <c r="AD1516" s="74"/>
      <c r="AE1516" s="74"/>
      <c r="AF1516" s="74"/>
      <c r="AG1516" s="74"/>
      <c r="AH1516" s="74"/>
    </row>
    <row r="1517" s="73" customFormat="1" spans="1:34">
      <c r="A1517" s="74"/>
      <c r="B1517" s="74"/>
      <c r="C1517" s="74"/>
      <c r="D1517" s="74"/>
      <c r="E1517" s="74"/>
      <c r="F1517" s="74"/>
      <c r="G1517" s="74"/>
      <c r="H1517" s="74"/>
      <c r="I1517" s="74"/>
      <c r="J1517" s="74"/>
      <c r="K1517" s="74"/>
      <c r="L1517" s="74"/>
      <c r="M1517" s="74"/>
      <c r="N1517" s="74"/>
      <c r="O1517" s="75"/>
      <c r="P1517" s="74"/>
      <c r="Q1517" s="75"/>
      <c r="R1517" s="74"/>
      <c r="S1517" s="74"/>
      <c r="T1517" s="74"/>
      <c r="U1517" s="75"/>
      <c r="V1517" s="74"/>
      <c r="W1517" s="75"/>
      <c r="X1517" s="74"/>
      <c r="Y1517" s="74"/>
      <c r="Z1517" s="74"/>
      <c r="AA1517" s="74"/>
      <c r="AB1517" s="74"/>
      <c r="AC1517" s="74"/>
      <c r="AD1517" s="74"/>
      <c r="AE1517" s="74"/>
      <c r="AF1517" s="74"/>
      <c r="AG1517" s="74"/>
      <c r="AH1517" s="74"/>
    </row>
    <row r="1518" s="73" customFormat="1" spans="1:34">
      <c r="A1518" s="74"/>
      <c r="B1518" s="74"/>
      <c r="C1518" s="74"/>
      <c r="D1518" s="74"/>
      <c r="E1518" s="74"/>
      <c r="F1518" s="74"/>
      <c r="G1518" s="74"/>
      <c r="H1518" s="74"/>
      <c r="I1518" s="74"/>
      <c r="J1518" s="74"/>
      <c r="K1518" s="74"/>
      <c r="L1518" s="74"/>
      <c r="M1518" s="74"/>
      <c r="N1518" s="74"/>
      <c r="O1518" s="75"/>
      <c r="P1518" s="74"/>
      <c r="Q1518" s="75"/>
      <c r="R1518" s="74"/>
      <c r="S1518" s="74"/>
      <c r="T1518" s="74"/>
      <c r="U1518" s="75"/>
      <c r="V1518" s="74"/>
      <c r="W1518" s="75"/>
      <c r="X1518" s="74"/>
      <c r="Y1518" s="74"/>
      <c r="Z1518" s="74"/>
      <c r="AA1518" s="74"/>
      <c r="AB1518" s="74"/>
      <c r="AC1518" s="74"/>
      <c r="AD1518" s="74"/>
      <c r="AE1518" s="74"/>
      <c r="AF1518" s="74"/>
      <c r="AG1518" s="74"/>
      <c r="AH1518" s="74"/>
    </row>
    <row r="1519" s="73" customFormat="1" spans="1:34">
      <c r="A1519" s="74"/>
      <c r="B1519" s="74"/>
      <c r="C1519" s="74"/>
      <c r="D1519" s="74"/>
      <c r="E1519" s="74"/>
      <c r="F1519" s="74"/>
      <c r="G1519" s="74"/>
      <c r="H1519" s="74"/>
      <c r="I1519" s="74"/>
      <c r="J1519" s="74"/>
      <c r="K1519" s="74"/>
      <c r="L1519" s="74"/>
      <c r="M1519" s="74"/>
      <c r="N1519" s="74"/>
      <c r="O1519" s="75"/>
      <c r="P1519" s="74"/>
      <c r="Q1519" s="75"/>
      <c r="R1519" s="74"/>
      <c r="S1519" s="74"/>
      <c r="T1519" s="74"/>
      <c r="U1519" s="75"/>
      <c r="V1519" s="74"/>
      <c r="W1519" s="74"/>
      <c r="X1519" s="74"/>
      <c r="Y1519" s="74"/>
      <c r="Z1519" s="74"/>
      <c r="AA1519" s="74"/>
      <c r="AB1519" s="74"/>
      <c r="AC1519" s="74"/>
      <c r="AD1519" s="74"/>
      <c r="AE1519" s="74"/>
      <c r="AF1519" s="74"/>
      <c r="AG1519" s="74"/>
      <c r="AH1519" s="74"/>
    </row>
    <row r="1520" s="73" customFormat="1" spans="1:34">
      <c r="A1520" s="74"/>
      <c r="B1520" s="74"/>
      <c r="C1520" s="74"/>
      <c r="D1520" s="74"/>
      <c r="E1520" s="74"/>
      <c r="F1520" s="74"/>
      <c r="G1520" s="74"/>
      <c r="H1520" s="74"/>
      <c r="I1520" s="74"/>
      <c r="J1520" s="74"/>
      <c r="K1520" s="74"/>
      <c r="L1520" s="74"/>
      <c r="M1520" s="74"/>
      <c r="N1520" s="74"/>
      <c r="O1520" s="75"/>
      <c r="P1520" s="74"/>
      <c r="Q1520" s="75"/>
      <c r="R1520" s="74"/>
      <c r="S1520" s="74"/>
      <c r="T1520" s="74"/>
      <c r="U1520" s="75"/>
      <c r="V1520" s="74"/>
      <c r="W1520" s="75"/>
      <c r="X1520" s="74"/>
      <c r="Y1520" s="74"/>
      <c r="Z1520" s="74"/>
      <c r="AA1520" s="74"/>
      <c r="AB1520" s="74"/>
      <c r="AC1520" s="74"/>
      <c r="AD1520" s="74"/>
      <c r="AE1520" s="74"/>
      <c r="AF1520" s="74"/>
      <c r="AG1520" s="74"/>
      <c r="AH1520" s="74"/>
    </row>
    <row r="1521" s="73" customFormat="1" spans="1:34">
      <c r="A1521" s="74"/>
      <c r="B1521" s="74"/>
      <c r="C1521" s="74"/>
      <c r="D1521" s="74"/>
      <c r="E1521" s="74"/>
      <c r="F1521" s="74"/>
      <c r="G1521" s="74"/>
      <c r="H1521" s="74"/>
      <c r="I1521" s="74"/>
      <c r="J1521" s="74"/>
      <c r="K1521" s="74"/>
      <c r="L1521" s="74"/>
      <c r="M1521" s="74"/>
      <c r="N1521" s="74"/>
      <c r="O1521" s="75"/>
      <c r="P1521" s="74"/>
      <c r="Q1521" s="75"/>
      <c r="R1521" s="74"/>
      <c r="S1521" s="74"/>
      <c r="T1521" s="74"/>
      <c r="U1521" s="75"/>
      <c r="V1521" s="74"/>
      <c r="W1521" s="75"/>
      <c r="X1521" s="74"/>
      <c r="Y1521" s="74"/>
      <c r="Z1521" s="74"/>
      <c r="AA1521" s="74"/>
      <c r="AB1521" s="74"/>
      <c r="AC1521" s="74"/>
      <c r="AD1521" s="74"/>
      <c r="AE1521" s="74"/>
      <c r="AF1521" s="74"/>
      <c r="AG1521" s="74"/>
      <c r="AH1521" s="74"/>
    </row>
    <row r="1522" s="73" customFormat="1" spans="1:34">
      <c r="A1522" s="74"/>
      <c r="B1522" s="74"/>
      <c r="C1522" s="74"/>
      <c r="D1522" s="74"/>
      <c r="E1522" s="74"/>
      <c r="F1522" s="74"/>
      <c r="G1522" s="74"/>
      <c r="H1522" s="74"/>
      <c r="I1522" s="74"/>
      <c r="J1522" s="74"/>
      <c r="K1522" s="74"/>
      <c r="L1522" s="74"/>
      <c r="M1522" s="74"/>
      <c r="N1522" s="74"/>
      <c r="O1522" s="75"/>
      <c r="P1522" s="74"/>
      <c r="Q1522" s="75"/>
      <c r="R1522" s="74"/>
      <c r="S1522" s="74"/>
      <c r="T1522" s="74"/>
      <c r="U1522" s="75"/>
      <c r="V1522" s="74"/>
      <c r="W1522" s="75"/>
      <c r="X1522" s="74"/>
      <c r="Y1522" s="74"/>
      <c r="Z1522" s="74"/>
      <c r="AA1522" s="74"/>
      <c r="AB1522" s="74"/>
      <c r="AC1522" s="74"/>
      <c r="AD1522" s="74"/>
      <c r="AE1522" s="74"/>
      <c r="AF1522" s="74"/>
      <c r="AG1522" s="74"/>
      <c r="AH1522" s="74"/>
    </row>
    <row r="1523" s="73" customFormat="1" spans="1:34">
      <c r="A1523" s="74"/>
      <c r="B1523" s="74"/>
      <c r="C1523" s="74"/>
      <c r="D1523" s="74"/>
      <c r="E1523" s="74"/>
      <c r="F1523" s="74"/>
      <c r="G1523" s="74"/>
      <c r="H1523" s="74"/>
      <c r="I1523" s="74"/>
      <c r="J1523" s="74"/>
      <c r="K1523" s="74"/>
      <c r="L1523" s="74"/>
      <c r="M1523" s="74"/>
      <c r="N1523" s="74"/>
      <c r="O1523" s="75"/>
      <c r="P1523" s="74"/>
      <c r="Q1523" s="75"/>
      <c r="R1523" s="74"/>
      <c r="S1523" s="74"/>
      <c r="T1523" s="74"/>
      <c r="U1523" s="75"/>
      <c r="V1523" s="74"/>
      <c r="W1523" s="75"/>
      <c r="X1523" s="74"/>
      <c r="Y1523" s="74"/>
      <c r="Z1523" s="74"/>
      <c r="AA1523" s="74"/>
      <c r="AB1523" s="74"/>
      <c r="AC1523" s="74"/>
      <c r="AD1523" s="74"/>
      <c r="AE1523" s="74"/>
      <c r="AF1523" s="74"/>
      <c r="AG1523" s="74"/>
      <c r="AH1523" s="74"/>
    </row>
    <row r="1524" s="73" customFormat="1" spans="1:34">
      <c r="A1524" s="74"/>
      <c r="B1524" s="74"/>
      <c r="C1524" s="74"/>
      <c r="D1524" s="74"/>
      <c r="E1524" s="74"/>
      <c r="F1524" s="74"/>
      <c r="G1524" s="74"/>
      <c r="H1524" s="74"/>
      <c r="I1524" s="74"/>
      <c r="J1524" s="74"/>
      <c r="K1524" s="74"/>
      <c r="L1524" s="74"/>
      <c r="M1524" s="74"/>
      <c r="N1524" s="74"/>
      <c r="O1524" s="75"/>
      <c r="P1524" s="74"/>
      <c r="Q1524" s="75"/>
      <c r="R1524" s="74"/>
      <c r="S1524" s="74"/>
      <c r="T1524" s="74"/>
      <c r="U1524" s="75"/>
      <c r="V1524" s="74"/>
      <c r="W1524" s="75"/>
      <c r="X1524" s="74"/>
      <c r="Y1524" s="74"/>
      <c r="Z1524" s="74"/>
      <c r="AA1524" s="74"/>
      <c r="AB1524" s="74"/>
      <c r="AC1524" s="74"/>
      <c r="AD1524" s="74"/>
      <c r="AE1524" s="74"/>
      <c r="AF1524" s="74"/>
      <c r="AG1524" s="74"/>
      <c r="AH1524" s="74"/>
    </row>
    <row r="1525" s="73" customFormat="1" spans="1:34">
      <c r="A1525" s="74"/>
      <c r="B1525" s="74"/>
      <c r="C1525" s="74"/>
      <c r="D1525" s="74"/>
      <c r="E1525" s="74"/>
      <c r="F1525" s="74"/>
      <c r="G1525" s="74"/>
      <c r="H1525" s="74"/>
      <c r="I1525" s="74"/>
      <c r="J1525" s="74"/>
      <c r="K1525" s="74"/>
      <c r="L1525" s="74"/>
      <c r="M1525" s="74"/>
      <c r="N1525" s="74"/>
      <c r="O1525" s="75"/>
      <c r="P1525" s="74"/>
      <c r="Q1525" s="75"/>
      <c r="R1525" s="74"/>
      <c r="S1525" s="74"/>
      <c r="T1525" s="74"/>
      <c r="U1525" s="75"/>
      <c r="V1525" s="74"/>
      <c r="W1525" s="75"/>
      <c r="X1525" s="74"/>
      <c r="Y1525" s="74"/>
      <c r="Z1525" s="74"/>
      <c r="AA1525" s="74"/>
      <c r="AB1525" s="74"/>
      <c r="AC1525" s="74"/>
      <c r="AD1525" s="74"/>
      <c r="AE1525" s="74"/>
      <c r="AF1525" s="74"/>
      <c r="AG1525" s="74"/>
      <c r="AH1525" s="74"/>
    </row>
    <row r="1526" s="73" customFormat="1" spans="1:34">
      <c r="A1526" s="74"/>
      <c r="B1526" s="74"/>
      <c r="C1526" s="74"/>
      <c r="D1526" s="74"/>
      <c r="E1526" s="74"/>
      <c r="F1526" s="74"/>
      <c r="G1526" s="74"/>
      <c r="H1526" s="74"/>
      <c r="I1526" s="74"/>
      <c r="J1526" s="74"/>
      <c r="K1526" s="74"/>
      <c r="L1526" s="74"/>
      <c r="M1526" s="74"/>
      <c r="N1526" s="74"/>
      <c r="O1526" s="75"/>
      <c r="P1526" s="74"/>
      <c r="Q1526" s="75"/>
      <c r="R1526" s="74"/>
      <c r="S1526" s="74"/>
      <c r="T1526" s="74"/>
      <c r="U1526" s="75"/>
      <c r="V1526" s="74"/>
      <c r="W1526" s="75"/>
      <c r="X1526" s="74"/>
      <c r="Y1526" s="74"/>
      <c r="Z1526" s="74"/>
      <c r="AA1526" s="74"/>
      <c r="AB1526" s="74"/>
      <c r="AC1526" s="74"/>
      <c r="AD1526" s="74"/>
      <c r="AE1526" s="74"/>
      <c r="AF1526" s="74"/>
      <c r="AG1526" s="74"/>
      <c r="AH1526" s="74"/>
    </row>
    <row r="1527" s="73" customFormat="1" spans="1:34">
      <c r="A1527" s="74"/>
      <c r="B1527" s="74"/>
      <c r="C1527" s="74"/>
      <c r="D1527" s="74"/>
      <c r="E1527" s="74"/>
      <c r="F1527" s="74"/>
      <c r="G1527" s="74"/>
      <c r="H1527" s="74"/>
      <c r="I1527" s="74"/>
      <c r="J1527" s="74"/>
      <c r="K1527" s="74"/>
      <c r="L1527" s="74"/>
      <c r="M1527" s="74"/>
      <c r="N1527" s="74"/>
      <c r="O1527" s="75"/>
      <c r="P1527" s="74"/>
      <c r="Q1527" s="75"/>
      <c r="R1527" s="74"/>
      <c r="S1527" s="74"/>
      <c r="T1527" s="74"/>
      <c r="U1527" s="75"/>
      <c r="V1527" s="74"/>
      <c r="W1527" s="75"/>
      <c r="X1527" s="74"/>
      <c r="Y1527" s="74"/>
      <c r="Z1527" s="74"/>
      <c r="AA1527" s="74"/>
      <c r="AB1527" s="74"/>
      <c r="AC1527" s="74"/>
      <c r="AD1527" s="74"/>
      <c r="AE1527" s="74"/>
      <c r="AF1527" s="74"/>
      <c r="AG1527" s="74"/>
      <c r="AH1527" s="74"/>
    </row>
    <row r="1528" s="73" customFormat="1" spans="1:34">
      <c r="A1528" s="74"/>
      <c r="B1528" s="74"/>
      <c r="C1528" s="74"/>
      <c r="D1528" s="74"/>
      <c r="E1528" s="74"/>
      <c r="F1528" s="74"/>
      <c r="G1528" s="74"/>
      <c r="H1528" s="74"/>
      <c r="I1528" s="74"/>
      <c r="J1528" s="74"/>
      <c r="K1528" s="74"/>
      <c r="L1528" s="74"/>
      <c r="M1528" s="74"/>
      <c r="N1528" s="74"/>
      <c r="O1528" s="75"/>
      <c r="P1528" s="74"/>
      <c r="Q1528" s="75"/>
      <c r="R1528" s="74"/>
      <c r="S1528" s="74"/>
      <c r="T1528" s="74"/>
      <c r="U1528" s="75"/>
      <c r="V1528" s="74"/>
      <c r="W1528" s="75"/>
      <c r="X1528" s="74"/>
      <c r="Y1528" s="74"/>
      <c r="Z1528" s="74"/>
      <c r="AA1528" s="74"/>
      <c r="AB1528" s="74"/>
      <c r="AC1528" s="74"/>
      <c r="AD1528" s="74"/>
      <c r="AE1528" s="74"/>
      <c r="AF1528" s="74"/>
      <c r="AG1528" s="74"/>
      <c r="AH1528" s="74"/>
    </row>
    <row r="1529" s="73" customFormat="1" spans="1:34">
      <c r="A1529" s="74"/>
      <c r="B1529" s="74"/>
      <c r="C1529" s="74"/>
      <c r="D1529" s="74"/>
      <c r="E1529" s="74"/>
      <c r="F1529" s="74"/>
      <c r="G1529" s="74"/>
      <c r="H1529" s="74"/>
      <c r="I1529" s="74"/>
      <c r="J1529" s="74"/>
      <c r="K1529" s="74"/>
      <c r="L1529" s="74"/>
      <c r="M1529" s="74"/>
      <c r="N1529" s="74"/>
      <c r="O1529" s="75"/>
      <c r="P1529" s="74"/>
      <c r="Q1529" s="75"/>
      <c r="R1529" s="74"/>
      <c r="S1529" s="74"/>
      <c r="T1529" s="74"/>
      <c r="U1529" s="75"/>
      <c r="V1529" s="74"/>
      <c r="W1529" s="75"/>
      <c r="X1529" s="74"/>
      <c r="Y1529" s="74"/>
      <c r="Z1529" s="74"/>
      <c r="AA1529" s="74"/>
      <c r="AB1529" s="74"/>
      <c r="AC1529" s="74"/>
      <c r="AD1529" s="74"/>
      <c r="AE1529" s="74"/>
      <c r="AF1529" s="74"/>
      <c r="AG1529" s="74"/>
      <c r="AH1529" s="74"/>
    </row>
    <row r="1530" s="73" customFormat="1" spans="1:34">
      <c r="A1530" s="74"/>
      <c r="B1530" s="74"/>
      <c r="C1530" s="74"/>
      <c r="D1530" s="74"/>
      <c r="E1530" s="74"/>
      <c r="F1530" s="74"/>
      <c r="G1530" s="74"/>
      <c r="H1530" s="74"/>
      <c r="I1530" s="74"/>
      <c r="J1530" s="74"/>
      <c r="K1530" s="74"/>
      <c r="L1530" s="74"/>
      <c r="M1530" s="74"/>
      <c r="N1530" s="74"/>
      <c r="O1530" s="75"/>
      <c r="P1530" s="74"/>
      <c r="Q1530" s="75"/>
      <c r="R1530" s="74"/>
      <c r="S1530" s="74"/>
      <c r="T1530" s="74"/>
      <c r="U1530" s="75"/>
      <c r="V1530" s="74"/>
      <c r="W1530" s="75"/>
      <c r="X1530" s="74"/>
      <c r="Y1530" s="74"/>
      <c r="Z1530" s="74"/>
      <c r="AA1530" s="74"/>
      <c r="AB1530" s="74"/>
      <c r="AC1530" s="74"/>
      <c r="AD1530" s="74"/>
      <c r="AE1530" s="74"/>
      <c r="AF1530" s="74"/>
      <c r="AG1530" s="74"/>
      <c r="AH1530" s="74"/>
    </row>
    <row r="1531" s="73" customFormat="1" spans="1:34">
      <c r="A1531" s="74"/>
      <c r="B1531" s="74"/>
      <c r="C1531" s="74"/>
      <c r="D1531" s="74"/>
      <c r="E1531" s="74"/>
      <c r="F1531" s="74"/>
      <c r="G1531" s="74"/>
      <c r="H1531" s="74"/>
      <c r="I1531" s="74"/>
      <c r="J1531" s="74"/>
      <c r="K1531" s="74"/>
      <c r="L1531" s="74"/>
      <c r="M1531" s="74"/>
      <c r="N1531" s="74"/>
      <c r="O1531" s="75"/>
      <c r="P1531" s="74"/>
      <c r="Q1531" s="75"/>
      <c r="R1531" s="74"/>
      <c r="S1531" s="74"/>
      <c r="T1531" s="74"/>
      <c r="U1531" s="75"/>
      <c r="V1531" s="74"/>
      <c r="W1531" s="75"/>
      <c r="X1531" s="74"/>
      <c r="Y1531" s="74"/>
      <c r="Z1531" s="74"/>
      <c r="AA1531" s="74"/>
      <c r="AB1531" s="74"/>
      <c r="AC1531" s="74"/>
      <c r="AD1531" s="74"/>
      <c r="AE1531" s="74"/>
      <c r="AF1531" s="74"/>
      <c r="AG1531" s="74"/>
      <c r="AH1531" s="74"/>
    </row>
    <row r="1532" s="73" customFormat="1" spans="1:34">
      <c r="A1532" s="74"/>
      <c r="B1532" s="74"/>
      <c r="C1532" s="74"/>
      <c r="D1532" s="74"/>
      <c r="E1532" s="74"/>
      <c r="F1532" s="74"/>
      <c r="G1532" s="74"/>
      <c r="H1532" s="74"/>
      <c r="I1532" s="74"/>
      <c r="J1532" s="74"/>
      <c r="K1532" s="74"/>
      <c r="L1532" s="74"/>
      <c r="M1532" s="74"/>
      <c r="N1532" s="74"/>
      <c r="O1532" s="75"/>
      <c r="P1532" s="74"/>
      <c r="Q1532" s="75"/>
      <c r="R1532" s="74"/>
      <c r="S1532" s="74"/>
      <c r="T1532" s="74"/>
      <c r="U1532" s="75"/>
      <c r="V1532" s="74"/>
      <c r="W1532" s="75"/>
      <c r="X1532" s="74"/>
      <c r="Y1532" s="74"/>
      <c r="Z1532" s="74"/>
      <c r="AA1532" s="74"/>
      <c r="AB1532" s="74"/>
      <c r="AC1532" s="74"/>
      <c r="AD1532" s="74"/>
      <c r="AE1532" s="74"/>
      <c r="AF1532" s="74"/>
      <c r="AG1532" s="74"/>
      <c r="AH1532" s="74"/>
    </row>
    <row r="1533" s="73" customFormat="1" spans="1:34">
      <c r="A1533" s="74"/>
      <c r="B1533" s="74"/>
      <c r="C1533" s="74"/>
      <c r="D1533" s="74"/>
      <c r="E1533" s="74"/>
      <c r="F1533" s="74"/>
      <c r="G1533" s="74"/>
      <c r="H1533" s="74"/>
      <c r="I1533" s="74"/>
      <c r="J1533" s="74"/>
      <c r="K1533" s="74"/>
      <c r="L1533" s="74"/>
      <c r="M1533" s="74"/>
      <c r="N1533" s="74"/>
      <c r="O1533" s="75"/>
      <c r="P1533" s="74"/>
      <c r="Q1533" s="75"/>
      <c r="R1533" s="74"/>
      <c r="S1533" s="74"/>
      <c r="T1533" s="74"/>
      <c r="U1533" s="75"/>
      <c r="V1533" s="74"/>
      <c r="W1533" s="75"/>
      <c r="X1533" s="74"/>
      <c r="Y1533" s="74"/>
      <c r="Z1533" s="74"/>
      <c r="AA1533" s="74"/>
      <c r="AB1533" s="74"/>
      <c r="AC1533" s="74"/>
      <c r="AD1533" s="74"/>
      <c r="AE1533" s="74"/>
      <c r="AF1533" s="74"/>
      <c r="AG1533" s="74"/>
      <c r="AH1533" s="74"/>
    </row>
    <row r="1534" s="73" customFormat="1" spans="1:34">
      <c r="A1534" s="74"/>
      <c r="B1534" s="74"/>
      <c r="C1534" s="74"/>
      <c r="D1534" s="74"/>
      <c r="E1534" s="74"/>
      <c r="F1534" s="74"/>
      <c r="G1534" s="74"/>
      <c r="H1534" s="74"/>
      <c r="I1534" s="74"/>
      <c r="J1534" s="74"/>
      <c r="K1534" s="74"/>
      <c r="L1534" s="74"/>
      <c r="M1534" s="74"/>
      <c r="N1534" s="74"/>
      <c r="O1534" s="75"/>
      <c r="P1534" s="74"/>
      <c r="Q1534" s="75"/>
      <c r="R1534" s="74"/>
      <c r="S1534" s="74"/>
      <c r="T1534" s="74"/>
      <c r="U1534" s="75"/>
      <c r="V1534" s="74"/>
      <c r="W1534" s="75"/>
      <c r="X1534" s="74"/>
      <c r="Y1534" s="74"/>
      <c r="Z1534" s="74"/>
      <c r="AA1534" s="74"/>
      <c r="AB1534" s="74"/>
      <c r="AC1534" s="74"/>
      <c r="AD1534" s="74"/>
      <c r="AE1534" s="74"/>
      <c r="AF1534" s="74"/>
      <c r="AG1534" s="74"/>
      <c r="AH1534" s="74"/>
    </row>
    <row r="1535" s="73" customFormat="1" spans="1:34">
      <c r="A1535" s="74"/>
      <c r="B1535" s="74"/>
      <c r="C1535" s="74"/>
      <c r="D1535" s="74"/>
      <c r="E1535" s="74"/>
      <c r="F1535" s="74"/>
      <c r="G1535" s="74"/>
      <c r="H1535" s="74"/>
      <c r="I1535" s="74"/>
      <c r="J1535" s="74"/>
      <c r="K1535" s="74"/>
      <c r="L1535" s="74"/>
      <c r="M1535" s="74"/>
      <c r="N1535" s="74"/>
      <c r="O1535" s="75"/>
      <c r="P1535" s="74"/>
      <c r="Q1535" s="75"/>
      <c r="R1535" s="74"/>
      <c r="S1535" s="74"/>
      <c r="T1535" s="74"/>
      <c r="U1535" s="75"/>
      <c r="V1535" s="74"/>
      <c r="W1535" s="75"/>
      <c r="X1535" s="74"/>
      <c r="Y1535" s="74"/>
      <c r="Z1535" s="74"/>
      <c r="AA1535" s="74"/>
      <c r="AB1535" s="74"/>
      <c r="AC1535" s="74"/>
      <c r="AD1535" s="74"/>
      <c r="AE1535" s="74"/>
      <c r="AF1535" s="74"/>
      <c r="AG1535" s="74"/>
      <c r="AH1535" s="74"/>
    </row>
    <row r="1536" s="73" customFormat="1" spans="1:34">
      <c r="A1536" s="74"/>
      <c r="B1536" s="74"/>
      <c r="C1536" s="74"/>
      <c r="D1536" s="74"/>
      <c r="E1536" s="74"/>
      <c r="F1536" s="74"/>
      <c r="G1536" s="74"/>
      <c r="H1536" s="74"/>
      <c r="I1536" s="74"/>
      <c r="J1536" s="74"/>
      <c r="K1536" s="74"/>
      <c r="L1536" s="74"/>
      <c r="M1536" s="74"/>
      <c r="N1536" s="74"/>
      <c r="O1536" s="75"/>
      <c r="P1536" s="74"/>
      <c r="Q1536" s="75"/>
      <c r="R1536" s="74"/>
      <c r="S1536" s="74"/>
      <c r="T1536" s="74"/>
      <c r="U1536" s="75"/>
      <c r="V1536" s="74"/>
      <c r="W1536" s="75"/>
      <c r="X1536" s="74"/>
      <c r="Y1536" s="74"/>
      <c r="Z1536" s="74"/>
      <c r="AA1536" s="74"/>
      <c r="AB1536" s="74"/>
      <c r="AC1536" s="74"/>
      <c r="AD1536" s="74"/>
      <c r="AE1536" s="74"/>
      <c r="AF1536" s="74"/>
      <c r="AG1536" s="74"/>
      <c r="AH1536" s="74"/>
    </row>
    <row r="1537" s="73" customFormat="1" spans="1:34">
      <c r="A1537" s="74"/>
      <c r="B1537" s="74"/>
      <c r="C1537" s="74"/>
      <c r="D1537" s="74"/>
      <c r="E1537" s="74"/>
      <c r="F1537" s="74"/>
      <c r="G1537" s="74"/>
      <c r="H1537" s="74"/>
      <c r="I1537" s="74"/>
      <c r="J1537" s="74"/>
      <c r="K1537" s="74"/>
      <c r="L1537" s="74"/>
      <c r="M1537" s="74"/>
      <c r="N1537" s="74"/>
      <c r="O1537" s="75"/>
      <c r="P1537" s="74"/>
      <c r="Q1537" s="75"/>
      <c r="R1537" s="74"/>
      <c r="S1537" s="74"/>
      <c r="T1537" s="74"/>
      <c r="U1537" s="75"/>
      <c r="V1537" s="74"/>
      <c r="W1537" s="75"/>
      <c r="X1537" s="74"/>
      <c r="Y1537" s="74"/>
      <c r="Z1537" s="74"/>
      <c r="AA1537" s="74"/>
      <c r="AB1537" s="74"/>
      <c r="AC1537" s="74"/>
      <c r="AD1537" s="74"/>
      <c r="AE1537" s="74"/>
      <c r="AF1537" s="74"/>
      <c r="AG1537" s="74"/>
      <c r="AH1537" s="74"/>
    </row>
    <row r="1538" s="73" customFormat="1" spans="1:34">
      <c r="A1538" s="74"/>
      <c r="B1538" s="74"/>
      <c r="C1538" s="74"/>
      <c r="D1538" s="74"/>
      <c r="E1538" s="74"/>
      <c r="F1538" s="74"/>
      <c r="G1538" s="74"/>
      <c r="H1538" s="74"/>
      <c r="I1538" s="74"/>
      <c r="J1538" s="74"/>
      <c r="K1538" s="74"/>
      <c r="L1538" s="74"/>
      <c r="M1538" s="74"/>
      <c r="N1538" s="74"/>
      <c r="O1538" s="75"/>
      <c r="P1538" s="74"/>
      <c r="Q1538" s="75"/>
      <c r="R1538" s="74"/>
      <c r="S1538" s="74"/>
      <c r="T1538" s="74"/>
      <c r="U1538" s="75"/>
      <c r="V1538" s="74"/>
      <c r="W1538" s="75"/>
      <c r="X1538" s="74"/>
      <c r="Y1538" s="74"/>
      <c r="Z1538" s="74"/>
      <c r="AA1538" s="74"/>
      <c r="AB1538" s="74"/>
      <c r="AC1538" s="74"/>
      <c r="AD1538" s="74"/>
      <c r="AE1538" s="74"/>
      <c r="AF1538" s="74"/>
      <c r="AG1538" s="74"/>
      <c r="AH1538" s="74"/>
    </row>
    <row r="1539" s="73" customFormat="1" spans="1:34">
      <c r="A1539" s="74"/>
      <c r="B1539" s="74"/>
      <c r="C1539" s="74"/>
      <c r="D1539" s="74"/>
      <c r="E1539" s="74"/>
      <c r="F1539" s="74"/>
      <c r="G1539" s="74"/>
      <c r="H1539" s="74"/>
      <c r="I1539" s="74"/>
      <c r="J1539" s="74"/>
      <c r="K1539" s="74"/>
      <c r="L1539" s="74"/>
      <c r="M1539" s="74"/>
      <c r="N1539" s="74"/>
      <c r="O1539" s="75"/>
      <c r="P1539" s="74"/>
      <c r="Q1539" s="75"/>
      <c r="R1539" s="74"/>
      <c r="S1539" s="74"/>
      <c r="T1539" s="74"/>
      <c r="U1539" s="75"/>
      <c r="V1539" s="74"/>
      <c r="W1539" s="75"/>
      <c r="X1539" s="74"/>
      <c r="Y1539" s="74"/>
      <c r="Z1539" s="74"/>
      <c r="AA1539" s="74"/>
      <c r="AB1539" s="74"/>
      <c r="AC1539" s="74"/>
      <c r="AD1539" s="74"/>
      <c r="AE1539" s="74"/>
      <c r="AF1539" s="74"/>
      <c r="AG1539" s="74"/>
      <c r="AH1539" s="74"/>
    </row>
    <row r="1540" s="73" customFormat="1" spans="1:34">
      <c r="A1540" s="74"/>
      <c r="B1540" s="74"/>
      <c r="C1540" s="74"/>
      <c r="D1540" s="74"/>
      <c r="E1540" s="74"/>
      <c r="F1540" s="74"/>
      <c r="G1540" s="74"/>
      <c r="H1540" s="74"/>
      <c r="I1540" s="74"/>
      <c r="J1540" s="74"/>
      <c r="K1540" s="74"/>
      <c r="L1540" s="74"/>
      <c r="M1540" s="74"/>
      <c r="N1540" s="74"/>
      <c r="O1540" s="75"/>
      <c r="P1540" s="74"/>
      <c r="Q1540" s="75"/>
      <c r="R1540" s="74"/>
      <c r="S1540" s="74"/>
      <c r="T1540" s="74"/>
      <c r="U1540" s="75"/>
      <c r="V1540" s="74"/>
      <c r="W1540" s="75"/>
      <c r="X1540" s="74"/>
      <c r="Y1540" s="74"/>
      <c r="Z1540" s="74"/>
      <c r="AA1540" s="74"/>
      <c r="AB1540" s="74"/>
      <c r="AC1540" s="74"/>
      <c r="AD1540" s="74"/>
      <c r="AE1540" s="74"/>
      <c r="AF1540" s="74"/>
      <c r="AG1540" s="74"/>
      <c r="AH1540" s="74"/>
    </row>
    <row r="1541" s="73" customFormat="1" spans="1:34">
      <c r="A1541" s="74"/>
      <c r="B1541" s="74"/>
      <c r="C1541" s="74"/>
      <c r="D1541" s="74"/>
      <c r="E1541" s="74"/>
      <c r="F1541" s="74"/>
      <c r="G1541" s="74"/>
      <c r="H1541" s="74"/>
      <c r="I1541" s="74"/>
      <c r="J1541" s="74"/>
      <c r="K1541" s="74"/>
      <c r="L1541" s="74"/>
      <c r="M1541" s="74"/>
      <c r="N1541" s="74"/>
      <c r="O1541" s="75"/>
      <c r="P1541" s="74"/>
      <c r="Q1541" s="75"/>
      <c r="R1541" s="74"/>
      <c r="S1541" s="74"/>
      <c r="T1541" s="74"/>
      <c r="U1541" s="75"/>
      <c r="V1541" s="74"/>
      <c r="W1541" s="75"/>
      <c r="X1541" s="74"/>
      <c r="Y1541" s="74"/>
      <c r="Z1541" s="74"/>
      <c r="AA1541" s="74"/>
      <c r="AB1541" s="74"/>
      <c r="AC1541" s="74"/>
      <c r="AD1541" s="74"/>
      <c r="AE1541" s="74"/>
      <c r="AF1541" s="74"/>
      <c r="AG1541" s="74"/>
      <c r="AH1541" s="74"/>
    </row>
    <row r="1542" s="73" customFormat="1" spans="1:34">
      <c r="A1542" s="74"/>
      <c r="B1542" s="74"/>
      <c r="C1542" s="74"/>
      <c r="D1542" s="74"/>
      <c r="E1542" s="74"/>
      <c r="F1542" s="74"/>
      <c r="G1542" s="74"/>
      <c r="H1542" s="74"/>
      <c r="I1542" s="74"/>
      <c r="J1542" s="74"/>
      <c r="K1542" s="74"/>
      <c r="L1542" s="74"/>
      <c r="M1542" s="74"/>
      <c r="N1542" s="74"/>
      <c r="O1542" s="75"/>
      <c r="P1542" s="74"/>
      <c r="Q1542" s="75"/>
      <c r="R1542" s="74"/>
      <c r="S1542" s="74"/>
      <c r="T1542" s="74"/>
      <c r="U1542" s="75"/>
      <c r="V1542" s="74"/>
      <c r="W1542" s="75"/>
      <c r="X1542" s="74"/>
      <c r="Y1542" s="74"/>
      <c r="Z1542" s="74"/>
      <c r="AA1542" s="74"/>
      <c r="AB1542" s="74"/>
      <c r="AC1542" s="74"/>
      <c r="AD1542" s="74"/>
      <c r="AE1542" s="74"/>
      <c r="AF1542" s="74"/>
      <c r="AG1542" s="74"/>
      <c r="AH1542" s="74"/>
    </row>
    <row r="1544" s="73" customFormat="1" spans="1:34">
      <c r="A1544" s="74"/>
      <c r="B1544" s="74"/>
      <c r="C1544" s="74"/>
      <c r="D1544" s="74"/>
      <c r="E1544" s="74"/>
      <c r="F1544" s="74"/>
      <c r="G1544" s="74"/>
      <c r="H1544" s="74"/>
      <c r="I1544" s="74"/>
      <c r="J1544" s="74"/>
      <c r="K1544" s="74"/>
      <c r="L1544" s="74"/>
      <c r="M1544" s="74"/>
      <c r="N1544" s="74"/>
      <c r="O1544" s="75"/>
      <c r="P1544" s="74"/>
      <c r="Q1544" s="75"/>
      <c r="R1544" s="74"/>
      <c r="S1544" s="74"/>
      <c r="T1544" s="74"/>
      <c r="U1544" s="75"/>
      <c r="V1544" s="74"/>
      <c r="W1544" s="75"/>
      <c r="X1544" s="74"/>
      <c r="Y1544" s="74"/>
      <c r="Z1544" s="74"/>
      <c r="AA1544" s="74"/>
      <c r="AB1544" s="74"/>
      <c r="AC1544" s="74"/>
      <c r="AD1544" s="74"/>
      <c r="AE1544" s="74"/>
      <c r="AF1544" s="74"/>
      <c r="AG1544" s="74"/>
      <c r="AH1544" s="74"/>
    </row>
    <row r="1545" s="73" customFormat="1" spans="1:34">
      <c r="A1545" s="74"/>
      <c r="B1545" s="74"/>
      <c r="C1545" s="74"/>
      <c r="D1545" s="74"/>
      <c r="E1545" s="74"/>
      <c r="F1545" s="74"/>
      <c r="G1545" s="74"/>
      <c r="H1545" s="74"/>
      <c r="I1545" s="74"/>
      <c r="J1545" s="74"/>
      <c r="K1545" s="74"/>
      <c r="L1545" s="74"/>
      <c r="M1545" s="74"/>
      <c r="N1545" s="74"/>
      <c r="O1545" s="75"/>
      <c r="P1545" s="74"/>
      <c r="Q1545" s="75"/>
      <c r="R1545" s="74"/>
      <c r="S1545" s="74"/>
      <c r="T1545" s="74"/>
      <c r="U1545" s="75"/>
      <c r="V1545" s="74"/>
      <c r="W1545" s="75"/>
      <c r="X1545" s="74"/>
      <c r="Y1545" s="74"/>
      <c r="Z1545" s="74"/>
      <c r="AA1545" s="74"/>
      <c r="AB1545" s="74"/>
      <c r="AC1545" s="74"/>
      <c r="AD1545" s="74"/>
      <c r="AE1545" s="74"/>
      <c r="AF1545" s="74"/>
      <c r="AG1545" s="74"/>
      <c r="AH1545" s="74"/>
    </row>
    <row r="1546" s="73" customFormat="1" spans="1:34">
      <c r="A1546" s="74"/>
      <c r="B1546" s="74"/>
      <c r="C1546" s="74"/>
      <c r="D1546" s="74"/>
      <c r="E1546" s="74"/>
      <c r="F1546" s="74"/>
      <c r="G1546" s="74"/>
      <c r="H1546" s="74"/>
      <c r="I1546" s="74"/>
      <c r="J1546" s="74"/>
      <c r="K1546" s="74"/>
      <c r="L1546" s="74"/>
      <c r="M1546" s="74"/>
      <c r="N1546" s="74"/>
      <c r="O1546" s="75"/>
      <c r="P1546" s="74"/>
      <c r="Q1546" s="75"/>
      <c r="R1546" s="74"/>
      <c r="S1546" s="74"/>
      <c r="T1546" s="74"/>
      <c r="U1546" s="75"/>
      <c r="V1546" s="74"/>
      <c r="W1546" s="75"/>
      <c r="X1546" s="74"/>
      <c r="Y1546" s="74"/>
      <c r="Z1546" s="74"/>
      <c r="AA1546" s="74"/>
      <c r="AB1546" s="74"/>
      <c r="AC1546" s="74"/>
      <c r="AD1546" s="74"/>
      <c r="AE1546" s="74"/>
      <c r="AF1546" s="74"/>
      <c r="AG1546" s="74"/>
      <c r="AH1546" s="74"/>
    </row>
    <row r="1547" s="73" customFormat="1" spans="1:34">
      <c r="A1547" s="74"/>
      <c r="B1547" s="74"/>
      <c r="C1547" s="74"/>
      <c r="D1547" s="74"/>
      <c r="E1547" s="74"/>
      <c r="F1547" s="74"/>
      <c r="G1547" s="74"/>
      <c r="H1547" s="74"/>
      <c r="I1547" s="74"/>
      <c r="J1547" s="74"/>
      <c r="K1547" s="74"/>
      <c r="L1547" s="74"/>
      <c r="M1547" s="74"/>
      <c r="N1547" s="74"/>
      <c r="O1547" s="75"/>
      <c r="P1547" s="74"/>
      <c r="Q1547" s="75"/>
      <c r="R1547" s="74"/>
      <c r="S1547" s="74"/>
      <c r="T1547" s="74"/>
      <c r="U1547" s="75"/>
      <c r="V1547" s="74"/>
      <c r="W1547" s="75"/>
      <c r="X1547" s="74"/>
      <c r="Y1547" s="74"/>
      <c r="Z1547" s="74"/>
      <c r="AA1547" s="74"/>
      <c r="AB1547" s="74"/>
      <c r="AC1547" s="74"/>
      <c r="AD1547" s="74"/>
      <c r="AE1547" s="74"/>
      <c r="AF1547" s="74"/>
      <c r="AG1547" s="74"/>
      <c r="AH1547" s="74"/>
    </row>
    <row r="1548" s="73" customFormat="1" spans="1:34">
      <c r="A1548" s="74"/>
      <c r="B1548" s="74"/>
      <c r="C1548" s="74"/>
      <c r="D1548" s="74"/>
      <c r="E1548" s="74"/>
      <c r="F1548" s="74"/>
      <c r="G1548" s="74"/>
      <c r="H1548" s="74"/>
      <c r="I1548" s="74"/>
      <c r="J1548" s="74"/>
      <c r="K1548" s="74"/>
      <c r="L1548" s="74"/>
      <c r="M1548" s="74"/>
      <c r="N1548" s="74"/>
      <c r="O1548" s="75"/>
      <c r="P1548" s="74"/>
      <c r="Q1548" s="75"/>
      <c r="R1548" s="74"/>
      <c r="S1548" s="74"/>
      <c r="T1548" s="74"/>
      <c r="U1548" s="75"/>
      <c r="V1548" s="74"/>
      <c r="W1548" s="75"/>
      <c r="X1548" s="74"/>
      <c r="Y1548" s="74"/>
      <c r="Z1548" s="74"/>
      <c r="AA1548" s="74"/>
      <c r="AB1548" s="74"/>
      <c r="AC1548" s="74"/>
      <c r="AD1548" s="74"/>
      <c r="AE1548" s="74"/>
      <c r="AF1548" s="74"/>
      <c r="AG1548" s="74"/>
      <c r="AH1548" s="74"/>
    </row>
    <row r="1549" s="73" customFormat="1" spans="1:34">
      <c r="A1549" s="74"/>
      <c r="B1549" s="74"/>
      <c r="C1549" s="74"/>
      <c r="D1549" s="74"/>
      <c r="E1549" s="74"/>
      <c r="F1549" s="74"/>
      <c r="G1549" s="74"/>
      <c r="H1549" s="74"/>
      <c r="I1549" s="74"/>
      <c r="J1549" s="74"/>
      <c r="K1549" s="74"/>
      <c r="L1549" s="74"/>
      <c r="M1549" s="74"/>
      <c r="N1549" s="74"/>
      <c r="O1549" s="75"/>
      <c r="P1549" s="74"/>
      <c r="Q1549" s="75"/>
      <c r="R1549" s="74"/>
      <c r="S1549" s="74"/>
      <c r="T1549" s="74"/>
      <c r="U1549" s="75"/>
      <c r="V1549" s="74"/>
      <c r="W1549" s="75"/>
      <c r="X1549" s="74"/>
      <c r="Y1549" s="74"/>
      <c r="Z1549" s="74"/>
      <c r="AA1549" s="74"/>
      <c r="AB1549" s="74"/>
      <c r="AC1549" s="74"/>
      <c r="AD1549" s="74"/>
      <c r="AE1549" s="74"/>
      <c r="AF1549" s="74"/>
      <c r="AG1549" s="74"/>
      <c r="AH1549" s="74"/>
    </row>
    <row r="1551" s="73" customFormat="1" spans="1:34">
      <c r="A1551" s="74"/>
      <c r="B1551" s="74"/>
      <c r="C1551" s="74"/>
      <c r="D1551" s="74"/>
      <c r="E1551" s="74"/>
      <c r="F1551" s="74"/>
      <c r="G1551" s="74"/>
      <c r="H1551" s="74"/>
      <c r="I1551" s="74"/>
      <c r="J1551" s="74"/>
      <c r="K1551" s="74"/>
      <c r="L1551" s="74"/>
      <c r="M1551" s="74"/>
      <c r="N1551" s="74"/>
      <c r="O1551" s="75"/>
      <c r="P1551" s="74"/>
      <c r="Q1551" s="75"/>
      <c r="R1551" s="74"/>
      <c r="S1551" s="74"/>
      <c r="T1551" s="74"/>
      <c r="U1551" s="75"/>
      <c r="V1551" s="74"/>
      <c r="W1551" s="75"/>
      <c r="X1551" s="74"/>
      <c r="Y1551" s="74"/>
      <c r="Z1551" s="74"/>
      <c r="AA1551" s="74"/>
      <c r="AB1551" s="74"/>
      <c r="AC1551" s="74"/>
      <c r="AD1551" s="74"/>
      <c r="AE1551" s="74"/>
      <c r="AF1551" s="74"/>
      <c r="AG1551" s="74"/>
      <c r="AH1551" s="74"/>
    </row>
    <row r="1552" s="73" customFormat="1" spans="1:34">
      <c r="A1552" s="74"/>
      <c r="B1552" s="74"/>
      <c r="C1552" s="74"/>
      <c r="D1552" s="74"/>
      <c r="E1552" s="74"/>
      <c r="F1552" s="74"/>
      <c r="G1552" s="74"/>
      <c r="H1552" s="74"/>
      <c r="I1552" s="74"/>
      <c r="J1552" s="74"/>
      <c r="K1552" s="74"/>
      <c r="L1552" s="74"/>
      <c r="M1552" s="74"/>
      <c r="N1552" s="74"/>
      <c r="O1552" s="75"/>
      <c r="P1552" s="74"/>
      <c r="Q1552" s="75"/>
      <c r="R1552" s="74"/>
      <c r="S1552" s="74"/>
      <c r="T1552" s="74"/>
      <c r="U1552" s="75"/>
      <c r="V1552" s="74"/>
      <c r="W1552" s="75"/>
      <c r="X1552" s="74"/>
      <c r="Y1552" s="74"/>
      <c r="Z1552" s="74"/>
      <c r="AA1552" s="74"/>
      <c r="AB1552" s="74"/>
      <c r="AC1552" s="74"/>
      <c r="AD1552" s="74"/>
      <c r="AE1552" s="74"/>
      <c r="AF1552" s="74"/>
      <c r="AG1552" s="74"/>
      <c r="AH1552" s="74"/>
    </row>
    <row r="1553" s="73" customFormat="1" spans="1:34">
      <c r="A1553" s="74"/>
      <c r="B1553" s="74"/>
      <c r="C1553" s="74"/>
      <c r="D1553" s="74"/>
      <c r="E1553" s="74"/>
      <c r="F1553" s="74"/>
      <c r="G1553" s="74"/>
      <c r="H1553" s="74"/>
      <c r="I1553" s="74"/>
      <c r="J1553" s="74"/>
      <c r="K1553" s="74"/>
      <c r="L1553" s="74"/>
      <c r="M1553" s="74"/>
      <c r="N1553" s="74"/>
      <c r="O1553" s="75"/>
      <c r="P1553" s="74"/>
      <c r="Q1553" s="75"/>
      <c r="R1553" s="74"/>
      <c r="S1553" s="74"/>
      <c r="T1553" s="74"/>
      <c r="U1553" s="75"/>
      <c r="V1553" s="74"/>
      <c r="W1553" s="75"/>
      <c r="X1553" s="74"/>
      <c r="Y1553" s="74"/>
      <c r="Z1553" s="74"/>
      <c r="AA1553" s="74"/>
      <c r="AB1553" s="74"/>
      <c r="AC1553" s="74"/>
      <c r="AD1553" s="74"/>
      <c r="AE1553" s="74"/>
      <c r="AF1553" s="74"/>
      <c r="AG1553" s="74"/>
      <c r="AH1553" s="74"/>
    </row>
    <row r="1554" s="73" customFormat="1" spans="1:34">
      <c r="A1554" s="74"/>
      <c r="B1554" s="74"/>
      <c r="C1554" s="74"/>
      <c r="D1554" s="74"/>
      <c r="E1554" s="74"/>
      <c r="F1554" s="74"/>
      <c r="G1554" s="74"/>
      <c r="H1554" s="74"/>
      <c r="I1554" s="74"/>
      <c r="J1554" s="74"/>
      <c r="K1554" s="74"/>
      <c r="L1554" s="74"/>
      <c r="M1554" s="74"/>
      <c r="N1554" s="74"/>
      <c r="O1554" s="75"/>
      <c r="P1554" s="74"/>
      <c r="Q1554" s="75"/>
      <c r="R1554" s="74"/>
      <c r="S1554" s="74"/>
      <c r="T1554" s="74"/>
      <c r="U1554" s="75"/>
      <c r="V1554" s="74"/>
      <c r="W1554" s="75"/>
      <c r="X1554" s="74"/>
      <c r="Y1554" s="74"/>
      <c r="Z1554" s="74"/>
      <c r="AA1554" s="74"/>
      <c r="AB1554" s="74"/>
      <c r="AC1554" s="74"/>
      <c r="AD1554" s="74"/>
      <c r="AE1554" s="74"/>
      <c r="AF1554" s="74"/>
      <c r="AG1554" s="74"/>
      <c r="AH1554" s="74"/>
    </row>
    <row r="1555" s="73" customFormat="1" spans="1:34">
      <c r="A1555" s="74"/>
      <c r="B1555" s="74"/>
      <c r="C1555" s="74"/>
      <c r="D1555" s="74"/>
      <c r="E1555" s="74"/>
      <c r="F1555" s="74"/>
      <c r="G1555" s="74"/>
      <c r="H1555" s="74"/>
      <c r="I1555" s="74"/>
      <c r="J1555" s="74"/>
      <c r="K1555" s="74"/>
      <c r="L1555" s="74"/>
      <c r="M1555" s="74"/>
      <c r="N1555" s="74"/>
      <c r="O1555" s="75"/>
      <c r="P1555" s="74"/>
      <c r="Q1555" s="75"/>
      <c r="R1555" s="74"/>
      <c r="S1555" s="74"/>
      <c r="T1555" s="74"/>
      <c r="U1555" s="75"/>
      <c r="V1555" s="74"/>
      <c r="W1555" s="75"/>
      <c r="X1555" s="74"/>
      <c r="Y1555" s="74"/>
      <c r="Z1555" s="74"/>
      <c r="AA1555" s="74"/>
      <c r="AB1555" s="74"/>
      <c r="AC1555" s="74"/>
      <c r="AD1555" s="74"/>
      <c r="AE1555" s="74"/>
      <c r="AF1555" s="74"/>
      <c r="AG1555" s="74"/>
      <c r="AH1555" s="74"/>
    </row>
    <row r="1556" s="73" customFormat="1" spans="1:34">
      <c r="A1556" s="74"/>
      <c r="B1556" s="74"/>
      <c r="C1556" s="74"/>
      <c r="D1556" s="74"/>
      <c r="E1556" s="74"/>
      <c r="F1556" s="74"/>
      <c r="G1556" s="74"/>
      <c r="H1556" s="74"/>
      <c r="I1556" s="74"/>
      <c r="J1556" s="74"/>
      <c r="K1556" s="74"/>
      <c r="L1556" s="74"/>
      <c r="M1556" s="74"/>
      <c r="N1556" s="74"/>
      <c r="O1556" s="75"/>
      <c r="P1556" s="74"/>
      <c r="Q1556" s="75"/>
      <c r="R1556" s="74"/>
      <c r="S1556" s="74"/>
      <c r="T1556" s="74"/>
      <c r="U1556" s="75"/>
      <c r="V1556" s="74"/>
      <c r="W1556" s="75"/>
      <c r="X1556" s="74"/>
      <c r="Y1556" s="74"/>
      <c r="Z1556" s="74"/>
      <c r="AA1556" s="74"/>
      <c r="AB1556" s="74"/>
      <c r="AC1556" s="74"/>
      <c r="AD1556" s="74"/>
      <c r="AE1556" s="74"/>
      <c r="AF1556" s="74"/>
      <c r="AG1556" s="74"/>
      <c r="AH1556" s="74"/>
    </row>
    <row r="1557" s="73" customFormat="1" spans="1:34">
      <c r="A1557" s="74"/>
      <c r="B1557" s="74"/>
      <c r="C1557" s="74"/>
      <c r="D1557" s="74"/>
      <c r="E1557" s="74"/>
      <c r="F1557" s="74"/>
      <c r="G1557" s="74"/>
      <c r="H1557" s="74"/>
      <c r="I1557" s="74"/>
      <c r="J1557" s="74"/>
      <c r="K1557" s="74"/>
      <c r="L1557" s="74"/>
      <c r="M1557" s="74"/>
      <c r="N1557" s="74"/>
      <c r="O1557" s="75"/>
      <c r="P1557" s="74"/>
      <c r="Q1557" s="75"/>
      <c r="R1557" s="74"/>
      <c r="S1557" s="74"/>
      <c r="T1557" s="74"/>
      <c r="U1557" s="75"/>
      <c r="V1557" s="74"/>
      <c r="W1557" s="75"/>
      <c r="X1557" s="74"/>
      <c r="Y1557" s="74"/>
      <c r="Z1557" s="74"/>
      <c r="AA1557" s="74"/>
      <c r="AB1557" s="74"/>
      <c r="AC1557" s="74"/>
      <c r="AD1557" s="74"/>
      <c r="AE1557" s="74"/>
      <c r="AF1557" s="74"/>
      <c r="AG1557" s="74"/>
      <c r="AH1557" s="74"/>
    </row>
    <row r="1558" s="73" customFormat="1" spans="1:34">
      <c r="A1558" s="74"/>
      <c r="B1558" s="74"/>
      <c r="C1558" s="74"/>
      <c r="D1558" s="74"/>
      <c r="E1558" s="74"/>
      <c r="F1558" s="74"/>
      <c r="G1558" s="74"/>
      <c r="H1558" s="74"/>
      <c r="I1558" s="74"/>
      <c r="J1558" s="74"/>
      <c r="K1558" s="74"/>
      <c r="L1558" s="74"/>
      <c r="M1558" s="74"/>
      <c r="N1558" s="74"/>
      <c r="O1558" s="75"/>
      <c r="P1558" s="74"/>
      <c r="Q1558" s="75"/>
      <c r="R1558" s="74"/>
      <c r="S1558" s="74"/>
      <c r="T1558" s="74"/>
      <c r="U1558" s="75"/>
      <c r="V1558" s="74"/>
      <c r="W1558" s="75"/>
      <c r="X1558" s="74"/>
      <c r="Y1558" s="74"/>
      <c r="Z1558" s="74"/>
      <c r="AA1558" s="74"/>
      <c r="AB1558" s="74"/>
      <c r="AC1558" s="74"/>
      <c r="AD1558" s="74"/>
      <c r="AE1558" s="74"/>
      <c r="AF1558" s="74"/>
      <c r="AG1558" s="74"/>
      <c r="AH1558" s="74"/>
    </row>
    <row r="1559" s="73" customFormat="1" spans="1:34">
      <c r="A1559" s="74"/>
      <c r="B1559" s="74"/>
      <c r="C1559" s="74"/>
      <c r="D1559" s="74"/>
      <c r="E1559" s="74"/>
      <c r="F1559" s="74"/>
      <c r="G1559" s="74"/>
      <c r="H1559" s="74"/>
      <c r="I1559" s="74"/>
      <c r="J1559" s="74"/>
      <c r="K1559" s="74"/>
      <c r="L1559" s="74"/>
      <c r="M1559" s="74"/>
      <c r="N1559" s="74"/>
      <c r="O1559" s="75"/>
      <c r="P1559" s="74"/>
      <c r="Q1559" s="75"/>
      <c r="R1559" s="74"/>
      <c r="S1559" s="74"/>
      <c r="T1559" s="74"/>
      <c r="U1559" s="75"/>
      <c r="V1559" s="74"/>
      <c r="W1559" s="75"/>
      <c r="X1559" s="74"/>
      <c r="Y1559" s="74"/>
      <c r="Z1559" s="74"/>
      <c r="AA1559" s="74"/>
      <c r="AB1559" s="74"/>
      <c r="AC1559" s="74"/>
      <c r="AD1559" s="74"/>
      <c r="AE1559" s="74"/>
      <c r="AF1559" s="74"/>
      <c r="AG1559" s="74"/>
      <c r="AH1559" s="74"/>
    </row>
    <row r="1560" s="73" customFormat="1" spans="1:34">
      <c r="A1560" s="74"/>
      <c r="B1560" s="74"/>
      <c r="C1560" s="74"/>
      <c r="D1560" s="74"/>
      <c r="E1560" s="74"/>
      <c r="F1560" s="74"/>
      <c r="G1560" s="74"/>
      <c r="H1560" s="74"/>
      <c r="I1560" s="74"/>
      <c r="J1560" s="74"/>
      <c r="K1560" s="74"/>
      <c r="L1560" s="74"/>
      <c r="M1560" s="74"/>
      <c r="N1560" s="74"/>
      <c r="O1560" s="75"/>
      <c r="P1560" s="74"/>
      <c r="Q1560" s="75"/>
      <c r="R1560" s="74"/>
      <c r="S1560" s="74"/>
      <c r="T1560" s="74"/>
      <c r="U1560" s="75"/>
      <c r="V1560" s="74"/>
      <c r="W1560" s="75"/>
      <c r="X1560" s="74"/>
      <c r="Y1560" s="74"/>
      <c r="Z1560" s="74"/>
      <c r="AA1560" s="74"/>
      <c r="AB1560" s="74"/>
      <c r="AC1560" s="74"/>
      <c r="AD1560" s="74"/>
      <c r="AE1560" s="74"/>
      <c r="AF1560" s="74"/>
      <c r="AG1560" s="74"/>
      <c r="AH1560" s="74"/>
    </row>
    <row r="1561" s="73" customFormat="1" spans="1:34">
      <c r="A1561" s="74"/>
      <c r="B1561" s="74"/>
      <c r="C1561" s="74"/>
      <c r="D1561" s="74"/>
      <c r="E1561" s="74"/>
      <c r="F1561" s="74"/>
      <c r="G1561" s="74"/>
      <c r="H1561" s="74"/>
      <c r="I1561" s="74"/>
      <c r="J1561" s="74"/>
      <c r="K1561" s="74"/>
      <c r="L1561" s="74"/>
      <c r="M1561" s="74"/>
      <c r="N1561" s="74"/>
      <c r="O1561" s="75"/>
      <c r="P1561" s="74"/>
      <c r="Q1561" s="75"/>
      <c r="R1561" s="74"/>
      <c r="S1561" s="74"/>
      <c r="T1561" s="74"/>
      <c r="U1561" s="75"/>
      <c r="V1561" s="74"/>
      <c r="W1561" s="75"/>
      <c r="X1561" s="74"/>
      <c r="Y1561" s="74"/>
      <c r="Z1561" s="74"/>
      <c r="AA1561" s="74"/>
      <c r="AB1561" s="74"/>
      <c r="AC1561" s="74"/>
      <c r="AD1561" s="74"/>
      <c r="AE1561" s="74"/>
      <c r="AF1561" s="74"/>
      <c r="AG1561" s="74"/>
      <c r="AH1561" s="74"/>
    </row>
    <row r="1562" s="73" customFormat="1" spans="1:34">
      <c r="A1562" s="74"/>
      <c r="B1562" s="74"/>
      <c r="C1562" s="74"/>
      <c r="D1562" s="74"/>
      <c r="E1562" s="74"/>
      <c r="F1562" s="74"/>
      <c r="G1562" s="74"/>
      <c r="H1562" s="74"/>
      <c r="I1562" s="74"/>
      <c r="J1562" s="74"/>
      <c r="K1562" s="74"/>
      <c r="L1562" s="74"/>
      <c r="M1562" s="74"/>
      <c r="N1562" s="74"/>
      <c r="O1562" s="75"/>
      <c r="P1562" s="74"/>
      <c r="Q1562" s="75"/>
      <c r="R1562" s="74"/>
      <c r="S1562" s="74"/>
      <c r="T1562" s="74"/>
      <c r="U1562" s="75"/>
      <c r="V1562" s="74"/>
      <c r="W1562" s="75"/>
      <c r="X1562" s="74"/>
      <c r="Y1562" s="74"/>
      <c r="Z1562" s="74"/>
      <c r="AA1562" s="74"/>
      <c r="AB1562" s="74"/>
      <c r="AC1562" s="74"/>
      <c r="AD1562" s="74"/>
      <c r="AE1562" s="74"/>
      <c r="AF1562" s="74"/>
      <c r="AG1562" s="74"/>
      <c r="AH1562" s="74"/>
    </row>
    <row r="1563" s="73" customFormat="1" spans="1:34">
      <c r="A1563" s="74"/>
      <c r="B1563" s="74"/>
      <c r="C1563" s="74"/>
      <c r="D1563" s="74"/>
      <c r="E1563" s="74"/>
      <c r="F1563" s="74"/>
      <c r="G1563" s="74"/>
      <c r="H1563" s="74"/>
      <c r="I1563" s="74"/>
      <c r="J1563" s="74"/>
      <c r="K1563" s="74"/>
      <c r="L1563" s="74"/>
      <c r="M1563" s="74"/>
      <c r="N1563" s="74"/>
      <c r="O1563" s="75"/>
      <c r="P1563" s="74"/>
      <c r="Q1563" s="75"/>
      <c r="R1563" s="74"/>
      <c r="S1563" s="74"/>
      <c r="T1563" s="74"/>
      <c r="U1563" s="75"/>
      <c r="V1563" s="74"/>
      <c r="W1563" s="75"/>
      <c r="X1563" s="74"/>
      <c r="Y1563" s="74"/>
      <c r="Z1563" s="74"/>
      <c r="AA1563" s="74"/>
      <c r="AB1563" s="74"/>
      <c r="AC1563" s="74"/>
      <c r="AD1563" s="74"/>
      <c r="AE1563" s="74"/>
      <c r="AF1563" s="74"/>
      <c r="AG1563" s="74"/>
      <c r="AH1563" s="74"/>
    </row>
    <row r="1564" s="73" customFormat="1" spans="1:34">
      <c r="A1564" s="74"/>
      <c r="B1564" s="74"/>
      <c r="C1564" s="74"/>
      <c r="D1564" s="74"/>
      <c r="E1564" s="74"/>
      <c r="F1564" s="74"/>
      <c r="G1564" s="74"/>
      <c r="H1564" s="74"/>
      <c r="I1564" s="74"/>
      <c r="J1564" s="74"/>
      <c r="K1564" s="74"/>
      <c r="L1564" s="74"/>
      <c r="M1564" s="74"/>
      <c r="N1564" s="74"/>
      <c r="O1564" s="75"/>
      <c r="P1564" s="74"/>
      <c r="Q1564" s="75"/>
      <c r="R1564" s="74"/>
      <c r="S1564" s="74"/>
      <c r="T1564" s="74"/>
      <c r="U1564" s="75"/>
      <c r="V1564" s="74"/>
      <c r="W1564" s="75"/>
      <c r="X1564" s="74"/>
      <c r="Y1564" s="74"/>
      <c r="Z1564" s="74"/>
      <c r="AA1564" s="74"/>
      <c r="AB1564" s="74"/>
      <c r="AC1564" s="74"/>
      <c r="AD1564" s="74"/>
      <c r="AE1564" s="74"/>
      <c r="AF1564" s="74"/>
      <c r="AG1564" s="74"/>
      <c r="AH1564" s="74"/>
    </row>
    <row r="1565" s="73" customFormat="1" spans="1:34">
      <c r="A1565" s="74"/>
      <c r="B1565" s="74"/>
      <c r="C1565" s="74"/>
      <c r="D1565" s="74"/>
      <c r="E1565" s="74"/>
      <c r="F1565" s="74"/>
      <c r="G1565" s="74"/>
      <c r="H1565" s="74"/>
      <c r="I1565" s="74"/>
      <c r="J1565" s="74"/>
      <c r="K1565" s="74"/>
      <c r="L1565" s="74"/>
      <c r="M1565" s="74"/>
      <c r="N1565" s="74"/>
      <c r="O1565" s="75"/>
      <c r="P1565" s="74"/>
      <c r="Q1565" s="75"/>
      <c r="R1565" s="74"/>
      <c r="S1565" s="74"/>
      <c r="T1565" s="74"/>
      <c r="U1565" s="75"/>
      <c r="V1565" s="74"/>
      <c r="W1565" s="75"/>
      <c r="X1565" s="74"/>
      <c r="Y1565" s="74"/>
      <c r="Z1565" s="74"/>
      <c r="AA1565" s="74"/>
      <c r="AB1565" s="74"/>
      <c r="AC1565" s="74"/>
      <c r="AD1565" s="74"/>
      <c r="AE1565" s="74"/>
      <c r="AF1565" s="74"/>
      <c r="AG1565" s="74"/>
      <c r="AH1565" s="74"/>
    </row>
    <row r="1566" s="73" customFormat="1" spans="1:34">
      <c r="A1566" s="74"/>
      <c r="B1566" s="74"/>
      <c r="C1566" s="74"/>
      <c r="D1566" s="74"/>
      <c r="E1566" s="74"/>
      <c r="F1566" s="74"/>
      <c r="G1566" s="74"/>
      <c r="H1566" s="74"/>
      <c r="I1566" s="74"/>
      <c r="J1566" s="74"/>
      <c r="K1566" s="74"/>
      <c r="L1566" s="74"/>
      <c r="M1566" s="74"/>
      <c r="N1566" s="74"/>
      <c r="O1566" s="75"/>
      <c r="P1566" s="74"/>
      <c r="Q1566" s="75"/>
      <c r="R1566" s="74"/>
      <c r="S1566" s="74"/>
      <c r="T1566" s="74"/>
      <c r="U1566" s="75"/>
      <c r="V1566" s="74"/>
      <c r="W1566" s="75"/>
      <c r="X1566" s="74"/>
      <c r="Y1566" s="74"/>
      <c r="Z1566" s="74"/>
      <c r="AA1566" s="74"/>
      <c r="AB1566" s="74"/>
      <c r="AC1566" s="74"/>
      <c r="AD1566" s="74"/>
      <c r="AE1566" s="74"/>
      <c r="AF1566" s="74"/>
      <c r="AG1566" s="74"/>
      <c r="AH1566" s="74"/>
    </row>
    <row r="1567" s="73" customFormat="1" spans="1:34">
      <c r="A1567" s="74"/>
      <c r="B1567" s="74"/>
      <c r="C1567" s="74"/>
      <c r="D1567" s="74"/>
      <c r="E1567" s="74"/>
      <c r="F1567" s="74"/>
      <c r="G1567" s="74"/>
      <c r="H1567" s="74"/>
      <c r="I1567" s="74"/>
      <c r="J1567" s="74"/>
      <c r="K1567" s="74"/>
      <c r="L1567" s="74"/>
      <c r="M1567" s="74"/>
      <c r="N1567" s="74"/>
      <c r="O1567" s="75"/>
      <c r="P1567" s="74"/>
      <c r="Q1567" s="75"/>
      <c r="R1567" s="74"/>
      <c r="S1567" s="74"/>
      <c r="T1567" s="74"/>
      <c r="U1567" s="75"/>
      <c r="V1567" s="74"/>
      <c r="W1567" s="75"/>
      <c r="X1567" s="74"/>
      <c r="Y1567" s="74"/>
      <c r="Z1567" s="74"/>
      <c r="AA1567" s="74"/>
      <c r="AB1567" s="74"/>
      <c r="AC1567" s="74"/>
      <c r="AD1567" s="74"/>
      <c r="AE1567" s="74"/>
      <c r="AF1567" s="74"/>
      <c r="AG1567" s="74"/>
      <c r="AH1567" s="74"/>
    </row>
    <row r="1568" s="73" customFormat="1" spans="1:34">
      <c r="A1568" s="74"/>
      <c r="B1568" s="74"/>
      <c r="C1568" s="74"/>
      <c r="D1568" s="74"/>
      <c r="E1568" s="74"/>
      <c r="F1568" s="74"/>
      <c r="G1568" s="74"/>
      <c r="H1568" s="74"/>
      <c r="I1568" s="74"/>
      <c r="J1568" s="74"/>
      <c r="K1568" s="74"/>
      <c r="L1568" s="74"/>
      <c r="M1568" s="74"/>
      <c r="N1568" s="74"/>
      <c r="O1568" s="75"/>
      <c r="P1568" s="74"/>
      <c r="Q1568" s="75"/>
      <c r="R1568" s="74"/>
      <c r="S1568" s="74"/>
      <c r="T1568" s="74"/>
      <c r="U1568" s="75"/>
      <c r="V1568" s="74"/>
      <c r="W1568" s="75"/>
      <c r="X1568" s="74"/>
      <c r="Y1568" s="74"/>
      <c r="Z1568" s="74"/>
      <c r="AA1568" s="74"/>
      <c r="AB1568" s="74"/>
      <c r="AC1568" s="74"/>
      <c r="AD1568" s="74"/>
      <c r="AE1568" s="74"/>
      <c r="AF1568" s="74"/>
      <c r="AG1568" s="74"/>
      <c r="AH1568" s="74"/>
    </row>
    <row r="1569" s="73" customFormat="1" spans="1:34">
      <c r="A1569" s="74"/>
      <c r="B1569" s="74"/>
      <c r="C1569" s="74"/>
      <c r="D1569" s="74"/>
      <c r="E1569" s="74"/>
      <c r="F1569" s="74"/>
      <c r="G1569" s="74"/>
      <c r="H1569" s="74"/>
      <c r="I1569" s="74"/>
      <c r="J1569" s="74"/>
      <c r="K1569" s="74"/>
      <c r="L1569" s="74"/>
      <c r="M1569" s="74"/>
      <c r="N1569" s="74"/>
      <c r="O1569" s="75"/>
      <c r="P1569" s="74"/>
      <c r="Q1569" s="75"/>
      <c r="R1569" s="74"/>
      <c r="S1569" s="74"/>
      <c r="T1569" s="74"/>
      <c r="U1569" s="75"/>
      <c r="V1569" s="74"/>
      <c r="W1569" s="75"/>
      <c r="X1569" s="74"/>
      <c r="Y1569" s="74"/>
      <c r="Z1569" s="74"/>
      <c r="AA1569" s="74"/>
      <c r="AB1569" s="74"/>
      <c r="AC1569" s="74"/>
      <c r="AD1569" s="74"/>
      <c r="AE1569" s="74"/>
      <c r="AF1569" s="74"/>
      <c r="AG1569" s="74"/>
      <c r="AH1569" s="74"/>
    </row>
    <row r="1570" s="73" customFormat="1" spans="1:34">
      <c r="A1570" s="74"/>
      <c r="B1570" s="74"/>
      <c r="C1570" s="74"/>
      <c r="D1570" s="74"/>
      <c r="E1570" s="74"/>
      <c r="F1570" s="74"/>
      <c r="G1570" s="74"/>
      <c r="H1570" s="74"/>
      <c r="I1570" s="74"/>
      <c r="J1570" s="74"/>
      <c r="K1570" s="74"/>
      <c r="L1570" s="74"/>
      <c r="M1570" s="74"/>
      <c r="N1570" s="74"/>
      <c r="O1570" s="75"/>
      <c r="P1570" s="74"/>
      <c r="Q1570" s="75"/>
      <c r="R1570" s="74"/>
      <c r="S1570" s="74"/>
      <c r="T1570" s="74"/>
      <c r="U1570" s="75"/>
      <c r="V1570" s="74"/>
      <c r="W1570" s="75"/>
      <c r="X1570" s="74"/>
      <c r="Y1570" s="74"/>
      <c r="Z1570" s="74"/>
      <c r="AA1570" s="74"/>
      <c r="AB1570" s="74"/>
      <c r="AC1570" s="74"/>
      <c r="AD1570" s="74"/>
      <c r="AE1570" s="74"/>
      <c r="AF1570" s="74"/>
      <c r="AG1570" s="74"/>
      <c r="AH1570" s="74"/>
    </row>
    <row r="1571" s="73" customFormat="1" spans="1:34">
      <c r="A1571" s="74"/>
      <c r="B1571" s="74"/>
      <c r="C1571" s="74"/>
      <c r="D1571" s="74"/>
      <c r="E1571" s="74"/>
      <c r="F1571" s="74"/>
      <c r="G1571" s="74"/>
      <c r="H1571" s="74"/>
      <c r="I1571" s="74"/>
      <c r="J1571" s="74"/>
      <c r="K1571" s="74"/>
      <c r="L1571" s="74"/>
      <c r="M1571" s="74"/>
      <c r="N1571" s="74"/>
      <c r="O1571" s="75"/>
      <c r="P1571" s="74"/>
      <c r="Q1571" s="75"/>
      <c r="R1571" s="74"/>
      <c r="S1571" s="74"/>
      <c r="T1571" s="74"/>
      <c r="U1571" s="75"/>
      <c r="V1571" s="74"/>
      <c r="W1571" s="75"/>
      <c r="X1571" s="74"/>
      <c r="Y1571" s="74"/>
      <c r="Z1571" s="74"/>
      <c r="AA1571" s="74"/>
      <c r="AB1571" s="74"/>
      <c r="AC1571" s="74"/>
      <c r="AD1571" s="74"/>
      <c r="AE1571" s="74"/>
      <c r="AF1571" s="74"/>
      <c r="AG1571" s="74"/>
      <c r="AH1571" s="74"/>
    </row>
    <row r="1572" s="73" customFormat="1" spans="1:34">
      <c r="A1572" s="74"/>
      <c r="B1572" s="74"/>
      <c r="C1572" s="74"/>
      <c r="D1572" s="74"/>
      <c r="E1572" s="74"/>
      <c r="F1572" s="74"/>
      <c r="G1572" s="74"/>
      <c r="H1572" s="74"/>
      <c r="I1572" s="74"/>
      <c r="J1572" s="74"/>
      <c r="K1572" s="74"/>
      <c r="L1572" s="74"/>
      <c r="M1572" s="74"/>
      <c r="N1572" s="74"/>
      <c r="O1572" s="75"/>
      <c r="P1572" s="74"/>
      <c r="Q1572" s="75"/>
      <c r="R1572" s="74"/>
      <c r="S1572" s="74"/>
      <c r="T1572" s="74"/>
      <c r="U1572" s="75"/>
      <c r="V1572" s="74"/>
      <c r="W1572" s="75"/>
      <c r="X1572" s="74"/>
      <c r="Y1572" s="74"/>
      <c r="Z1572" s="74"/>
      <c r="AA1572" s="74"/>
      <c r="AB1572" s="74"/>
      <c r="AC1572" s="74"/>
      <c r="AD1572" s="74"/>
      <c r="AE1572" s="74"/>
      <c r="AF1572" s="74"/>
      <c r="AG1572" s="74"/>
      <c r="AH1572" s="74"/>
    </row>
    <row r="1573" s="73" customFormat="1" spans="1:34">
      <c r="A1573" s="74"/>
      <c r="B1573" s="74"/>
      <c r="C1573" s="74"/>
      <c r="D1573" s="74"/>
      <c r="E1573" s="74"/>
      <c r="F1573" s="74"/>
      <c r="G1573" s="74"/>
      <c r="H1573" s="74"/>
      <c r="I1573" s="74"/>
      <c r="J1573" s="74"/>
      <c r="K1573" s="74"/>
      <c r="L1573" s="74"/>
      <c r="M1573" s="74"/>
      <c r="N1573" s="74"/>
      <c r="O1573" s="75"/>
      <c r="P1573" s="74"/>
      <c r="Q1573" s="75"/>
      <c r="R1573" s="74"/>
      <c r="S1573" s="74"/>
      <c r="T1573" s="74"/>
      <c r="U1573" s="75"/>
      <c r="V1573" s="74"/>
      <c r="W1573" s="75"/>
      <c r="X1573" s="74"/>
      <c r="Y1573" s="74"/>
      <c r="Z1573" s="74"/>
      <c r="AA1573" s="74"/>
      <c r="AB1573" s="74"/>
      <c r="AC1573" s="74"/>
      <c r="AD1573" s="74"/>
      <c r="AE1573" s="74"/>
      <c r="AF1573" s="74"/>
      <c r="AG1573" s="74"/>
      <c r="AH1573" s="74"/>
    </row>
    <row r="1574" s="73" customFormat="1" spans="1:34">
      <c r="A1574" s="74"/>
      <c r="B1574" s="74"/>
      <c r="C1574" s="74"/>
      <c r="D1574" s="74"/>
      <c r="E1574" s="74"/>
      <c r="F1574" s="74"/>
      <c r="G1574" s="74"/>
      <c r="H1574" s="74"/>
      <c r="I1574" s="74"/>
      <c r="J1574" s="74"/>
      <c r="K1574" s="74"/>
      <c r="L1574" s="74"/>
      <c r="M1574" s="74"/>
      <c r="N1574" s="74"/>
      <c r="O1574" s="75"/>
      <c r="P1574" s="74"/>
      <c r="Q1574" s="75"/>
      <c r="R1574" s="74"/>
      <c r="S1574" s="74"/>
      <c r="T1574" s="74"/>
      <c r="U1574" s="75"/>
      <c r="V1574" s="74"/>
      <c r="W1574" s="75"/>
      <c r="X1574" s="74"/>
      <c r="Y1574" s="74"/>
      <c r="Z1574" s="74"/>
      <c r="AA1574" s="74"/>
      <c r="AB1574" s="74"/>
      <c r="AC1574" s="74"/>
      <c r="AD1574" s="74"/>
      <c r="AE1574" s="74"/>
      <c r="AF1574" s="74"/>
      <c r="AG1574" s="74"/>
      <c r="AH1574" s="74"/>
    </row>
    <row r="1575" s="73" customFormat="1" spans="1:34">
      <c r="A1575" s="74"/>
      <c r="B1575" s="74"/>
      <c r="C1575" s="74"/>
      <c r="D1575" s="74"/>
      <c r="E1575" s="74"/>
      <c r="F1575" s="74"/>
      <c r="G1575" s="74"/>
      <c r="H1575" s="74"/>
      <c r="I1575" s="74"/>
      <c r="J1575" s="74"/>
      <c r="K1575" s="74"/>
      <c r="L1575" s="74"/>
      <c r="M1575" s="74"/>
      <c r="N1575" s="74"/>
      <c r="O1575" s="75"/>
      <c r="P1575" s="74"/>
      <c r="Q1575" s="75"/>
      <c r="R1575" s="74"/>
      <c r="S1575" s="74"/>
      <c r="T1575" s="74"/>
      <c r="U1575" s="75"/>
      <c r="V1575" s="74"/>
      <c r="W1575" s="75"/>
      <c r="X1575" s="74"/>
      <c r="Y1575" s="74"/>
      <c r="Z1575" s="74"/>
      <c r="AA1575" s="74"/>
      <c r="AB1575" s="74"/>
      <c r="AC1575" s="74"/>
      <c r="AD1575" s="74"/>
      <c r="AE1575" s="74"/>
      <c r="AF1575" s="74"/>
      <c r="AG1575" s="74"/>
      <c r="AH1575" s="74"/>
    </row>
    <row r="1576" s="73" customFormat="1" spans="1:34">
      <c r="A1576" s="74"/>
      <c r="B1576" s="74"/>
      <c r="C1576" s="74"/>
      <c r="D1576" s="74"/>
      <c r="E1576" s="74"/>
      <c r="F1576" s="74"/>
      <c r="G1576" s="74"/>
      <c r="H1576" s="74"/>
      <c r="I1576" s="74"/>
      <c r="J1576" s="74"/>
      <c r="K1576" s="74"/>
      <c r="L1576" s="74"/>
      <c r="M1576" s="74"/>
      <c r="N1576" s="74"/>
      <c r="O1576" s="75"/>
      <c r="P1576" s="74"/>
      <c r="Q1576" s="75"/>
      <c r="R1576" s="74"/>
      <c r="S1576" s="74"/>
      <c r="T1576" s="74"/>
      <c r="U1576" s="75"/>
      <c r="V1576" s="74"/>
      <c r="W1576" s="75"/>
      <c r="X1576" s="74"/>
      <c r="Y1576" s="74"/>
      <c r="Z1576" s="74"/>
      <c r="AA1576" s="74"/>
      <c r="AB1576" s="74"/>
      <c r="AC1576" s="74"/>
      <c r="AD1576" s="74"/>
      <c r="AE1576" s="74"/>
      <c r="AF1576" s="74"/>
      <c r="AG1576" s="74"/>
      <c r="AH1576" s="74"/>
    </row>
    <row r="1577" s="73" customFormat="1" spans="1:34">
      <c r="A1577" s="74"/>
      <c r="B1577" s="74"/>
      <c r="C1577" s="74"/>
      <c r="D1577" s="74"/>
      <c r="E1577" s="74"/>
      <c r="F1577" s="74"/>
      <c r="G1577" s="74"/>
      <c r="H1577" s="74"/>
      <c r="I1577" s="74"/>
      <c r="J1577" s="74"/>
      <c r="K1577" s="74"/>
      <c r="L1577" s="74"/>
      <c r="M1577" s="74"/>
      <c r="N1577" s="74"/>
      <c r="O1577" s="75"/>
      <c r="P1577" s="74"/>
      <c r="Q1577" s="75"/>
      <c r="R1577" s="74"/>
      <c r="S1577" s="74"/>
      <c r="T1577" s="74"/>
      <c r="U1577" s="75"/>
      <c r="V1577" s="74"/>
      <c r="W1577" s="75"/>
      <c r="X1577" s="74"/>
      <c r="Y1577" s="74"/>
      <c r="Z1577" s="74"/>
      <c r="AA1577" s="74"/>
      <c r="AB1577" s="74"/>
      <c r="AC1577" s="74"/>
      <c r="AD1577" s="74"/>
      <c r="AE1577" s="74"/>
      <c r="AF1577" s="74"/>
      <c r="AG1577" s="74"/>
      <c r="AH1577" s="74"/>
    </row>
    <row r="1578" s="73" customFormat="1" spans="1:34">
      <c r="A1578" s="74"/>
      <c r="B1578" s="74"/>
      <c r="C1578" s="74"/>
      <c r="D1578" s="74"/>
      <c r="E1578" s="74"/>
      <c r="F1578" s="74"/>
      <c r="G1578" s="74"/>
      <c r="H1578" s="74"/>
      <c r="I1578" s="74"/>
      <c r="J1578" s="74"/>
      <c r="K1578" s="74"/>
      <c r="L1578" s="74"/>
      <c r="M1578" s="74"/>
      <c r="N1578" s="74"/>
      <c r="O1578" s="75"/>
      <c r="P1578" s="74"/>
      <c r="Q1578" s="75"/>
      <c r="R1578" s="74"/>
      <c r="S1578" s="74"/>
      <c r="T1578" s="74"/>
      <c r="U1578" s="75"/>
      <c r="V1578" s="74"/>
      <c r="W1578" s="75"/>
      <c r="X1578" s="74"/>
      <c r="Y1578" s="74"/>
      <c r="Z1578" s="74"/>
      <c r="AA1578" s="74"/>
      <c r="AB1578" s="74"/>
      <c r="AC1578" s="74"/>
      <c r="AD1578" s="74"/>
      <c r="AE1578" s="74"/>
      <c r="AF1578" s="74"/>
      <c r="AG1578" s="74"/>
      <c r="AH1578" s="74"/>
    </row>
    <row r="1579" s="73" customFormat="1" spans="1:34">
      <c r="A1579" s="74"/>
      <c r="B1579" s="74"/>
      <c r="C1579" s="74"/>
      <c r="D1579" s="74"/>
      <c r="E1579" s="74"/>
      <c r="F1579" s="74"/>
      <c r="G1579" s="74"/>
      <c r="H1579" s="74"/>
      <c r="I1579" s="74"/>
      <c r="J1579" s="74"/>
      <c r="K1579" s="74"/>
      <c r="L1579" s="74"/>
      <c r="M1579" s="74"/>
      <c r="N1579" s="74"/>
      <c r="O1579" s="75"/>
      <c r="P1579" s="74"/>
      <c r="Q1579" s="75"/>
      <c r="R1579" s="74"/>
      <c r="S1579" s="74"/>
      <c r="T1579" s="74"/>
      <c r="U1579" s="75"/>
      <c r="V1579" s="74"/>
      <c r="W1579" s="75"/>
      <c r="X1579" s="74"/>
      <c r="Y1579" s="74"/>
      <c r="Z1579" s="74"/>
      <c r="AA1579" s="74"/>
      <c r="AB1579" s="74"/>
      <c r="AC1579" s="74"/>
      <c r="AD1579" s="74"/>
      <c r="AE1579" s="74"/>
      <c r="AF1579" s="74"/>
      <c r="AG1579" s="74"/>
      <c r="AH1579" s="74"/>
    </row>
    <row r="1580" s="73" customFormat="1" spans="1:34">
      <c r="A1580" s="74"/>
      <c r="B1580" s="74"/>
      <c r="C1580" s="74"/>
      <c r="D1580" s="74"/>
      <c r="E1580" s="74"/>
      <c r="F1580" s="74"/>
      <c r="G1580" s="74"/>
      <c r="H1580" s="74"/>
      <c r="I1580" s="74"/>
      <c r="J1580" s="74"/>
      <c r="K1580" s="74"/>
      <c r="L1580" s="74"/>
      <c r="M1580" s="74"/>
      <c r="N1580" s="74"/>
      <c r="O1580" s="75"/>
      <c r="P1580" s="74"/>
      <c r="Q1580" s="75"/>
      <c r="R1580" s="74"/>
      <c r="S1580" s="74"/>
      <c r="T1580" s="74"/>
      <c r="U1580" s="75"/>
      <c r="V1580" s="74"/>
      <c r="W1580" s="75"/>
      <c r="X1580" s="74"/>
      <c r="Y1580" s="74"/>
      <c r="Z1580" s="74"/>
      <c r="AA1580" s="74"/>
      <c r="AB1580" s="74"/>
      <c r="AC1580" s="74"/>
      <c r="AD1580" s="74"/>
      <c r="AE1580" s="74"/>
      <c r="AF1580" s="74"/>
      <c r="AG1580" s="74"/>
      <c r="AH1580" s="74"/>
    </row>
    <row r="1581" s="73" customFormat="1" spans="1:34">
      <c r="A1581" s="74"/>
      <c r="B1581" s="74"/>
      <c r="C1581" s="74"/>
      <c r="D1581" s="74"/>
      <c r="E1581" s="74"/>
      <c r="F1581" s="74"/>
      <c r="G1581" s="74"/>
      <c r="H1581" s="74"/>
      <c r="I1581" s="74"/>
      <c r="J1581" s="74"/>
      <c r="K1581" s="74"/>
      <c r="L1581" s="74"/>
      <c r="M1581" s="74"/>
      <c r="N1581" s="74"/>
      <c r="O1581" s="75"/>
      <c r="P1581" s="74"/>
      <c r="Q1581" s="75"/>
      <c r="R1581" s="74"/>
      <c r="S1581" s="74"/>
      <c r="T1581" s="74"/>
      <c r="U1581" s="75"/>
      <c r="V1581" s="74"/>
      <c r="W1581" s="75"/>
      <c r="X1581" s="74"/>
      <c r="Y1581" s="74"/>
      <c r="Z1581" s="74"/>
      <c r="AA1581" s="74"/>
      <c r="AB1581" s="74"/>
      <c r="AC1581" s="74"/>
      <c r="AD1581" s="74"/>
      <c r="AE1581" s="74"/>
      <c r="AF1581" s="74"/>
      <c r="AG1581" s="74"/>
      <c r="AH1581" s="74"/>
    </row>
    <row r="1582" s="73" customFormat="1" spans="1:34">
      <c r="A1582" s="74"/>
      <c r="B1582" s="74"/>
      <c r="C1582" s="74"/>
      <c r="D1582" s="74"/>
      <c r="E1582" s="74"/>
      <c r="F1582" s="74"/>
      <c r="G1582" s="74"/>
      <c r="H1582" s="74"/>
      <c r="I1582" s="74"/>
      <c r="J1582" s="74"/>
      <c r="K1582" s="74"/>
      <c r="L1582" s="74"/>
      <c r="M1582" s="74"/>
      <c r="N1582" s="74"/>
      <c r="O1582" s="75"/>
      <c r="P1582" s="74"/>
      <c r="Q1582" s="75"/>
      <c r="R1582" s="74"/>
      <c r="S1582" s="74"/>
      <c r="T1582" s="74"/>
      <c r="U1582" s="75"/>
      <c r="V1582" s="74"/>
      <c r="W1582" s="75"/>
      <c r="X1582" s="74"/>
      <c r="Y1582" s="74"/>
      <c r="Z1582" s="74"/>
      <c r="AA1582" s="74"/>
      <c r="AB1582" s="74"/>
      <c r="AC1582" s="74"/>
      <c r="AD1582" s="74"/>
      <c r="AE1582" s="74"/>
      <c r="AF1582" s="74"/>
      <c r="AG1582" s="74"/>
      <c r="AH1582" s="74"/>
    </row>
    <row r="1583" s="73" customFormat="1" spans="1:34">
      <c r="A1583" s="74"/>
      <c r="B1583" s="74"/>
      <c r="C1583" s="74"/>
      <c r="D1583" s="74"/>
      <c r="E1583" s="74"/>
      <c r="F1583" s="74"/>
      <c r="G1583" s="74"/>
      <c r="H1583" s="74"/>
      <c r="I1583" s="74"/>
      <c r="J1583" s="74"/>
      <c r="K1583" s="74"/>
      <c r="L1583" s="74"/>
      <c r="M1583" s="74"/>
      <c r="N1583" s="74"/>
      <c r="O1583" s="75"/>
      <c r="P1583" s="74"/>
      <c r="Q1583" s="75"/>
      <c r="R1583" s="74"/>
      <c r="S1583" s="74"/>
      <c r="T1583" s="74"/>
      <c r="U1583" s="75"/>
      <c r="V1583" s="74"/>
      <c r="W1583" s="75"/>
      <c r="X1583" s="74"/>
      <c r="Y1583" s="74"/>
      <c r="Z1583" s="74"/>
      <c r="AA1583" s="74"/>
      <c r="AB1583" s="74"/>
      <c r="AC1583" s="74"/>
      <c r="AD1583" s="74"/>
      <c r="AE1583" s="74"/>
      <c r="AF1583" s="74"/>
      <c r="AG1583" s="74"/>
      <c r="AH1583" s="74"/>
    </row>
    <row r="1584" s="73" customFormat="1" spans="1:34">
      <c r="A1584" s="74"/>
      <c r="B1584" s="74"/>
      <c r="C1584" s="74"/>
      <c r="D1584" s="74"/>
      <c r="E1584" s="74"/>
      <c r="F1584" s="74"/>
      <c r="G1584" s="74"/>
      <c r="H1584" s="74"/>
      <c r="I1584" s="74"/>
      <c r="J1584" s="74"/>
      <c r="K1584" s="74"/>
      <c r="L1584" s="74"/>
      <c r="M1584" s="74"/>
      <c r="N1584" s="74"/>
      <c r="O1584" s="75"/>
      <c r="P1584" s="74"/>
      <c r="Q1584" s="75"/>
      <c r="R1584" s="74"/>
      <c r="S1584" s="74"/>
      <c r="T1584" s="74"/>
      <c r="U1584" s="75"/>
      <c r="V1584" s="74"/>
      <c r="W1584" s="75"/>
      <c r="X1584" s="74"/>
      <c r="Y1584" s="74"/>
      <c r="Z1584" s="74"/>
      <c r="AA1584" s="74"/>
      <c r="AB1584" s="74"/>
      <c r="AC1584" s="74"/>
      <c r="AD1584" s="74"/>
      <c r="AE1584" s="74"/>
      <c r="AF1584" s="74"/>
      <c r="AG1584" s="74"/>
      <c r="AH1584" s="74"/>
    </row>
    <row r="1585" s="73" customFormat="1" spans="1:34">
      <c r="A1585" s="74"/>
      <c r="B1585" s="74"/>
      <c r="C1585" s="74"/>
      <c r="D1585" s="74"/>
      <c r="E1585" s="74"/>
      <c r="F1585" s="74"/>
      <c r="G1585" s="74"/>
      <c r="H1585" s="74"/>
      <c r="I1585" s="74"/>
      <c r="J1585" s="74"/>
      <c r="K1585" s="74"/>
      <c r="L1585" s="74"/>
      <c r="M1585" s="74"/>
      <c r="N1585" s="74"/>
      <c r="O1585" s="75"/>
      <c r="P1585" s="74"/>
      <c r="Q1585" s="75"/>
      <c r="R1585" s="74"/>
      <c r="S1585" s="74"/>
      <c r="T1585" s="74"/>
      <c r="U1585" s="75"/>
      <c r="V1585" s="74"/>
      <c r="W1585" s="75"/>
      <c r="X1585" s="74"/>
      <c r="Y1585" s="74"/>
      <c r="Z1585" s="74"/>
      <c r="AA1585" s="74"/>
      <c r="AB1585" s="74"/>
      <c r="AC1585" s="74"/>
      <c r="AD1585" s="74"/>
      <c r="AE1585" s="74"/>
      <c r="AF1585" s="74"/>
      <c r="AG1585" s="74"/>
      <c r="AH1585" s="74"/>
    </row>
    <row r="1586" s="73" customFormat="1" spans="1:34">
      <c r="A1586" s="74"/>
      <c r="B1586" s="74"/>
      <c r="C1586" s="74"/>
      <c r="D1586" s="74"/>
      <c r="E1586" s="74"/>
      <c r="F1586" s="74"/>
      <c r="G1586" s="74"/>
      <c r="H1586" s="74"/>
      <c r="I1586" s="74"/>
      <c r="J1586" s="74"/>
      <c r="K1586" s="74"/>
      <c r="L1586" s="74"/>
      <c r="M1586" s="74"/>
      <c r="N1586" s="74"/>
      <c r="O1586" s="75"/>
      <c r="P1586" s="74"/>
      <c r="Q1586" s="75"/>
      <c r="R1586" s="74"/>
      <c r="S1586" s="74"/>
      <c r="T1586" s="74"/>
      <c r="U1586" s="75"/>
      <c r="V1586" s="74"/>
      <c r="W1586" s="75"/>
      <c r="X1586" s="74"/>
      <c r="Y1586" s="74"/>
      <c r="Z1586" s="74"/>
      <c r="AA1586" s="74"/>
      <c r="AB1586" s="74"/>
      <c r="AC1586" s="74"/>
      <c r="AD1586" s="74"/>
      <c r="AE1586" s="74"/>
      <c r="AF1586" s="74"/>
      <c r="AG1586" s="74"/>
      <c r="AH1586" s="74"/>
    </row>
    <row r="1587" s="73" customFormat="1" spans="1:34">
      <c r="A1587" s="74"/>
      <c r="B1587" s="74"/>
      <c r="C1587" s="74"/>
      <c r="D1587" s="74"/>
      <c r="E1587" s="74"/>
      <c r="F1587" s="74"/>
      <c r="G1587" s="74"/>
      <c r="H1587" s="74"/>
      <c r="I1587" s="74"/>
      <c r="J1587" s="74"/>
      <c r="K1587" s="74"/>
      <c r="L1587" s="74"/>
      <c r="M1587" s="74"/>
      <c r="N1587" s="74"/>
      <c r="O1587" s="75"/>
      <c r="P1587" s="74"/>
      <c r="Q1587" s="75"/>
      <c r="R1587" s="74"/>
      <c r="S1587" s="74"/>
      <c r="T1587" s="74"/>
      <c r="U1587" s="75"/>
      <c r="V1587" s="74"/>
      <c r="W1587" s="75"/>
      <c r="X1587" s="74"/>
      <c r="Y1587" s="74"/>
      <c r="Z1587" s="74"/>
      <c r="AA1587" s="74"/>
      <c r="AB1587" s="74"/>
      <c r="AC1587" s="74"/>
      <c r="AD1587" s="74"/>
      <c r="AE1587" s="74"/>
      <c r="AF1587" s="74"/>
      <c r="AG1587" s="74"/>
      <c r="AH1587" s="74"/>
    </row>
    <row r="1588" s="73" customFormat="1" spans="1:34">
      <c r="A1588" s="74"/>
      <c r="B1588" s="74"/>
      <c r="C1588" s="74"/>
      <c r="D1588" s="74"/>
      <c r="E1588" s="74"/>
      <c r="F1588" s="74"/>
      <c r="G1588" s="74"/>
      <c r="H1588" s="74"/>
      <c r="I1588" s="74"/>
      <c r="J1588" s="74"/>
      <c r="K1588" s="74"/>
      <c r="L1588" s="74"/>
      <c r="M1588" s="74"/>
      <c r="N1588" s="74"/>
      <c r="O1588" s="75"/>
      <c r="P1588" s="74"/>
      <c r="Q1588" s="75"/>
      <c r="R1588" s="74"/>
      <c r="S1588" s="74"/>
      <c r="T1588" s="74"/>
      <c r="U1588" s="75"/>
      <c r="V1588" s="74"/>
      <c r="W1588" s="75"/>
      <c r="X1588" s="74"/>
      <c r="Y1588" s="74"/>
      <c r="Z1588" s="74"/>
      <c r="AA1588" s="74"/>
      <c r="AB1588" s="74"/>
      <c r="AC1588" s="74"/>
      <c r="AD1588" s="74"/>
      <c r="AE1588" s="74"/>
      <c r="AF1588" s="74"/>
      <c r="AG1588" s="74"/>
      <c r="AH1588" s="74"/>
    </row>
    <row r="1589" s="73" customFormat="1" spans="1:34">
      <c r="A1589" s="74"/>
      <c r="B1589" s="74"/>
      <c r="C1589" s="74"/>
      <c r="D1589" s="74"/>
      <c r="E1589" s="74"/>
      <c r="F1589" s="74"/>
      <c r="G1589" s="74"/>
      <c r="H1589" s="74"/>
      <c r="I1589" s="74"/>
      <c r="J1589" s="74"/>
      <c r="K1589" s="74"/>
      <c r="L1589" s="74"/>
      <c r="M1589" s="74"/>
      <c r="N1589" s="74"/>
      <c r="O1589" s="75"/>
      <c r="P1589" s="74"/>
      <c r="Q1589" s="75"/>
      <c r="R1589" s="74"/>
      <c r="S1589" s="74"/>
      <c r="T1589" s="74"/>
      <c r="U1589" s="75"/>
      <c r="V1589" s="74"/>
      <c r="W1589" s="75"/>
      <c r="X1589" s="74"/>
      <c r="Y1589" s="74"/>
      <c r="Z1589" s="74"/>
      <c r="AA1589" s="74"/>
      <c r="AB1589" s="74"/>
      <c r="AC1589" s="74"/>
      <c r="AD1589" s="74"/>
      <c r="AE1589" s="74"/>
      <c r="AF1589" s="74"/>
      <c r="AG1589" s="74"/>
      <c r="AH1589" s="74"/>
    </row>
    <row r="1590" s="73" customFormat="1" spans="1:34">
      <c r="A1590" s="74"/>
      <c r="B1590" s="74"/>
      <c r="C1590" s="74"/>
      <c r="D1590" s="74"/>
      <c r="E1590" s="74"/>
      <c r="F1590" s="74"/>
      <c r="G1590" s="74"/>
      <c r="H1590" s="74"/>
      <c r="I1590" s="74"/>
      <c r="J1590" s="74"/>
      <c r="K1590" s="74"/>
      <c r="L1590" s="74"/>
      <c r="M1590" s="74"/>
      <c r="N1590" s="74"/>
      <c r="O1590" s="75"/>
      <c r="P1590" s="74"/>
      <c r="Q1590" s="75"/>
      <c r="R1590" s="74"/>
      <c r="S1590" s="74"/>
      <c r="T1590" s="74"/>
      <c r="U1590" s="75"/>
      <c r="V1590" s="74"/>
      <c r="W1590" s="75"/>
      <c r="X1590" s="74"/>
      <c r="Y1590" s="74"/>
      <c r="Z1590" s="74"/>
      <c r="AA1590" s="74"/>
      <c r="AB1590" s="74"/>
      <c r="AC1590" s="74"/>
      <c r="AD1590" s="74"/>
      <c r="AE1590" s="74"/>
      <c r="AF1590" s="74"/>
      <c r="AG1590" s="74"/>
      <c r="AH1590" s="74"/>
    </row>
    <row r="1591" s="73" customFormat="1" spans="1:34">
      <c r="A1591" s="74"/>
      <c r="B1591" s="74"/>
      <c r="C1591" s="74"/>
      <c r="D1591" s="74"/>
      <c r="E1591" s="74"/>
      <c r="F1591" s="74"/>
      <c r="G1591" s="74"/>
      <c r="H1591" s="74"/>
      <c r="I1591" s="74"/>
      <c r="J1591" s="74"/>
      <c r="K1591" s="74"/>
      <c r="L1591" s="74"/>
      <c r="M1591" s="74"/>
      <c r="N1591" s="74"/>
      <c r="O1591" s="75"/>
      <c r="P1591" s="74"/>
      <c r="Q1591" s="75"/>
      <c r="R1591" s="74"/>
      <c r="S1591" s="74"/>
      <c r="T1591" s="74"/>
      <c r="U1591" s="75"/>
      <c r="V1591" s="74"/>
      <c r="W1591" s="75"/>
      <c r="X1591" s="74"/>
      <c r="Y1591" s="74"/>
      <c r="Z1591" s="74"/>
      <c r="AA1591" s="74"/>
      <c r="AB1591" s="74"/>
      <c r="AC1591" s="74"/>
      <c r="AD1591" s="74"/>
      <c r="AE1591" s="74"/>
      <c r="AF1591" s="74"/>
      <c r="AG1591" s="74"/>
      <c r="AH1591" s="74"/>
    </row>
    <row r="1592" s="73" customFormat="1" spans="1:34">
      <c r="A1592" s="74"/>
      <c r="B1592" s="74"/>
      <c r="C1592" s="74"/>
      <c r="D1592" s="74"/>
      <c r="E1592" s="74"/>
      <c r="F1592" s="74"/>
      <c r="G1592" s="74"/>
      <c r="H1592" s="74"/>
      <c r="I1592" s="74"/>
      <c r="J1592" s="74"/>
      <c r="K1592" s="74"/>
      <c r="L1592" s="74"/>
      <c r="M1592" s="74"/>
      <c r="N1592" s="74"/>
      <c r="O1592" s="75"/>
      <c r="P1592" s="74"/>
      <c r="Q1592" s="75"/>
      <c r="R1592" s="74"/>
      <c r="S1592" s="74"/>
      <c r="T1592" s="74"/>
      <c r="U1592" s="75"/>
      <c r="V1592" s="74"/>
      <c r="W1592" s="75"/>
      <c r="X1592" s="74"/>
      <c r="Y1592" s="74"/>
      <c r="Z1592" s="74"/>
      <c r="AA1592" s="74"/>
      <c r="AB1592" s="74"/>
      <c r="AC1592" s="74"/>
      <c r="AD1592" s="74"/>
      <c r="AE1592" s="74"/>
      <c r="AF1592" s="74"/>
      <c r="AG1592" s="74"/>
      <c r="AH1592" s="74"/>
    </row>
    <row r="1593" s="73" customFormat="1" spans="1:34">
      <c r="A1593" s="74"/>
      <c r="B1593" s="74"/>
      <c r="C1593" s="74"/>
      <c r="D1593" s="74"/>
      <c r="E1593" s="74"/>
      <c r="F1593" s="74"/>
      <c r="G1593" s="74"/>
      <c r="H1593" s="74"/>
      <c r="I1593" s="74"/>
      <c r="J1593" s="74"/>
      <c r="K1593" s="74"/>
      <c r="L1593" s="74"/>
      <c r="M1593" s="74"/>
      <c r="N1593" s="74"/>
      <c r="O1593" s="75"/>
      <c r="P1593" s="74"/>
      <c r="Q1593" s="75"/>
      <c r="R1593" s="74"/>
      <c r="S1593" s="74"/>
      <c r="T1593" s="74"/>
      <c r="U1593" s="75"/>
      <c r="V1593" s="74"/>
      <c r="W1593" s="75"/>
      <c r="X1593" s="74"/>
      <c r="Y1593" s="74"/>
      <c r="Z1593" s="74"/>
      <c r="AA1593" s="74"/>
      <c r="AB1593" s="74"/>
      <c r="AC1593" s="74"/>
      <c r="AD1593" s="74"/>
      <c r="AE1593" s="74"/>
      <c r="AF1593" s="74"/>
      <c r="AG1593" s="74"/>
      <c r="AH1593" s="74"/>
    </row>
    <row r="1594" s="73" customFormat="1" spans="1:34">
      <c r="A1594" s="74"/>
      <c r="B1594" s="74"/>
      <c r="C1594" s="74"/>
      <c r="D1594" s="74"/>
      <c r="E1594" s="74"/>
      <c r="F1594" s="74"/>
      <c r="G1594" s="74"/>
      <c r="H1594" s="74"/>
      <c r="I1594" s="74"/>
      <c r="J1594" s="74"/>
      <c r="K1594" s="74"/>
      <c r="L1594" s="74"/>
      <c r="M1594" s="74"/>
      <c r="N1594" s="74"/>
      <c r="O1594" s="75"/>
      <c r="P1594" s="74"/>
      <c r="Q1594" s="75"/>
      <c r="R1594" s="74"/>
      <c r="S1594" s="74"/>
      <c r="T1594" s="74"/>
      <c r="U1594" s="75"/>
      <c r="V1594" s="74"/>
      <c r="W1594" s="75"/>
      <c r="X1594" s="74"/>
      <c r="Y1594" s="74"/>
      <c r="Z1594" s="74"/>
      <c r="AA1594" s="74"/>
      <c r="AB1594" s="74"/>
      <c r="AC1594" s="74"/>
      <c r="AD1594" s="74"/>
      <c r="AE1594" s="74"/>
      <c r="AF1594" s="74"/>
      <c r="AG1594" s="74"/>
      <c r="AH1594" s="74"/>
    </row>
    <row r="1595" s="73" customFormat="1" spans="1:34">
      <c r="A1595" s="74"/>
      <c r="B1595" s="74"/>
      <c r="C1595" s="74"/>
      <c r="D1595" s="74"/>
      <c r="E1595" s="74"/>
      <c r="F1595" s="74"/>
      <c r="G1595" s="74"/>
      <c r="H1595" s="74"/>
      <c r="I1595" s="74"/>
      <c r="J1595" s="74"/>
      <c r="K1595" s="74"/>
      <c r="L1595" s="74"/>
      <c r="M1595" s="74"/>
      <c r="N1595" s="74"/>
      <c r="O1595" s="75"/>
      <c r="P1595" s="74"/>
      <c r="Q1595" s="75"/>
      <c r="R1595" s="74"/>
      <c r="S1595" s="74"/>
      <c r="T1595" s="74"/>
      <c r="U1595" s="75"/>
      <c r="V1595" s="74"/>
      <c r="W1595" s="75"/>
      <c r="X1595" s="74"/>
      <c r="Y1595" s="74"/>
      <c r="Z1595" s="74"/>
      <c r="AA1595" s="74"/>
      <c r="AB1595" s="74"/>
      <c r="AC1595" s="74"/>
      <c r="AD1595" s="74"/>
      <c r="AE1595" s="74"/>
      <c r="AF1595" s="74"/>
      <c r="AG1595" s="74"/>
      <c r="AH1595" s="74"/>
    </row>
    <row r="1596" s="73" customFormat="1" spans="1:34">
      <c r="A1596" s="74"/>
      <c r="B1596" s="74"/>
      <c r="C1596" s="74"/>
      <c r="D1596" s="74"/>
      <c r="E1596" s="74"/>
      <c r="F1596" s="74"/>
      <c r="G1596" s="74"/>
      <c r="H1596" s="74"/>
      <c r="I1596" s="74"/>
      <c r="J1596" s="74"/>
      <c r="K1596" s="74"/>
      <c r="L1596" s="74"/>
      <c r="M1596" s="74"/>
      <c r="N1596" s="74"/>
      <c r="O1596" s="75"/>
      <c r="P1596" s="74"/>
      <c r="Q1596" s="75"/>
      <c r="R1596" s="74"/>
      <c r="S1596" s="74"/>
      <c r="T1596" s="74"/>
      <c r="U1596" s="75"/>
      <c r="V1596" s="74"/>
      <c r="W1596" s="75"/>
      <c r="X1596" s="74"/>
      <c r="Y1596" s="74"/>
      <c r="Z1596" s="74"/>
      <c r="AA1596" s="74"/>
      <c r="AB1596" s="74"/>
      <c r="AC1596" s="74"/>
      <c r="AD1596" s="74"/>
      <c r="AE1596" s="74"/>
      <c r="AF1596" s="74"/>
      <c r="AG1596" s="74"/>
      <c r="AH1596" s="74"/>
    </row>
    <row r="1597" s="73" customFormat="1" spans="1:34">
      <c r="A1597" s="74"/>
      <c r="B1597" s="74"/>
      <c r="C1597" s="74"/>
      <c r="D1597" s="74"/>
      <c r="E1597" s="74"/>
      <c r="F1597" s="74"/>
      <c r="G1597" s="74"/>
      <c r="H1597" s="74"/>
      <c r="I1597" s="74"/>
      <c r="J1597" s="74"/>
      <c r="K1597" s="74"/>
      <c r="L1597" s="74"/>
      <c r="M1597" s="74"/>
      <c r="N1597" s="74"/>
      <c r="O1597" s="75"/>
      <c r="P1597" s="74"/>
      <c r="Q1597" s="75"/>
      <c r="R1597" s="74"/>
      <c r="S1597" s="74"/>
      <c r="T1597" s="74"/>
      <c r="U1597" s="75"/>
      <c r="V1597" s="74"/>
      <c r="W1597" s="75"/>
      <c r="X1597" s="74"/>
      <c r="Y1597" s="74"/>
      <c r="Z1597" s="74"/>
      <c r="AA1597" s="74"/>
      <c r="AB1597" s="74"/>
      <c r="AC1597" s="74"/>
      <c r="AD1597" s="74"/>
      <c r="AE1597" s="74"/>
      <c r="AF1597" s="74"/>
      <c r="AG1597" s="74"/>
      <c r="AH1597" s="74"/>
    </row>
    <row r="1598" s="73" customFormat="1" spans="1:34">
      <c r="A1598" s="74"/>
      <c r="B1598" s="74"/>
      <c r="C1598" s="74"/>
      <c r="D1598" s="74"/>
      <c r="E1598" s="74"/>
      <c r="F1598" s="74"/>
      <c r="G1598" s="74"/>
      <c r="H1598" s="74"/>
      <c r="I1598" s="74"/>
      <c r="J1598" s="74"/>
      <c r="K1598" s="74"/>
      <c r="L1598" s="74"/>
      <c r="M1598" s="74"/>
      <c r="N1598" s="74"/>
      <c r="O1598" s="75"/>
      <c r="P1598" s="74"/>
      <c r="Q1598" s="75"/>
      <c r="R1598" s="74"/>
      <c r="S1598" s="74"/>
      <c r="T1598" s="74"/>
      <c r="U1598" s="75"/>
      <c r="V1598" s="74"/>
      <c r="W1598" s="75"/>
      <c r="X1598" s="74"/>
      <c r="Y1598" s="74"/>
      <c r="Z1598" s="74"/>
      <c r="AA1598" s="74"/>
      <c r="AB1598" s="74"/>
      <c r="AC1598" s="74"/>
      <c r="AD1598" s="74"/>
      <c r="AE1598" s="74"/>
      <c r="AF1598" s="74"/>
      <c r="AG1598" s="74"/>
      <c r="AH1598" s="74"/>
    </row>
    <row r="1599" s="73" customFormat="1" spans="1:34">
      <c r="A1599" s="74"/>
      <c r="B1599" s="74"/>
      <c r="C1599" s="74"/>
      <c r="D1599" s="74"/>
      <c r="E1599" s="74"/>
      <c r="F1599" s="74"/>
      <c r="G1599" s="74"/>
      <c r="H1599" s="74"/>
      <c r="I1599" s="74"/>
      <c r="J1599" s="74"/>
      <c r="K1599" s="74"/>
      <c r="L1599" s="74"/>
      <c r="M1599" s="74"/>
      <c r="N1599" s="74"/>
      <c r="O1599" s="75"/>
      <c r="P1599" s="74"/>
      <c r="Q1599" s="75"/>
      <c r="R1599" s="74"/>
      <c r="S1599" s="74"/>
      <c r="T1599" s="74"/>
      <c r="U1599" s="75"/>
      <c r="V1599" s="74"/>
      <c r="W1599" s="75"/>
      <c r="X1599" s="74"/>
      <c r="Y1599" s="74"/>
      <c r="Z1599" s="74"/>
      <c r="AA1599" s="74"/>
      <c r="AB1599" s="74"/>
      <c r="AC1599" s="74"/>
      <c r="AD1599" s="74"/>
      <c r="AE1599" s="74"/>
      <c r="AF1599" s="74"/>
      <c r="AG1599" s="74"/>
      <c r="AH1599" s="74"/>
    </row>
    <row r="1600" s="73" customFormat="1" spans="1:34">
      <c r="A1600" s="74"/>
      <c r="B1600" s="74"/>
      <c r="C1600" s="74"/>
      <c r="D1600" s="74"/>
      <c r="E1600" s="74"/>
      <c r="F1600" s="74"/>
      <c r="G1600" s="74"/>
      <c r="H1600" s="74"/>
      <c r="I1600" s="74"/>
      <c r="J1600" s="74"/>
      <c r="K1600" s="74"/>
      <c r="L1600" s="74"/>
      <c r="M1600" s="74"/>
      <c r="N1600" s="74"/>
      <c r="O1600" s="75"/>
      <c r="P1600" s="74"/>
      <c r="Q1600" s="75"/>
      <c r="R1600" s="74"/>
      <c r="S1600" s="74"/>
      <c r="T1600" s="74"/>
      <c r="U1600" s="75"/>
      <c r="V1600" s="74"/>
      <c r="W1600" s="75"/>
      <c r="X1600" s="74"/>
      <c r="Y1600" s="74"/>
      <c r="Z1600" s="74"/>
      <c r="AA1600" s="74"/>
      <c r="AB1600" s="74"/>
      <c r="AC1600" s="74"/>
      <c r="AD1600" s="74"/>
      <c r="AE1600" s="74"/>
      <c r="AF1600" s="74"/>
      <c r="AG1600" s="74"/>
      <c r="AH1600" s="74"/>
    </row>
    <row r="1601" s="73" customFormat="1" spans="1:34">
      <c r="A1601" s="74"/>
      <c r="B1601" s="74"/>
      <c r="C1601" s="74"/>
      <c r="D1601" s="74"/>
      <c r="E1601" s="74"/>
      <c r="F1601" s="74"/>
      <c r="G1601" s="74"/>
      <c r="H1601" s="74"/>
      <c r="I1601" s="74"/>
      <c r="J1601" s="74"/>
      <c r="K1601" s="74"/>
      <c r="L1601" s="74"/>
      <c r="M1601" s="74"/>
      <c r="N1601" s="74"/>
      <c r="O1601" s="75"/>
      <c r="P1601" s="74"/>
      <c r="Q1601" s="75"/>
      <c r="R1601" s="74"/>
      <c r="S1601" s="74"/>
      <c r="T1601" s="74"/>
      <c r="U1601" s="75"/>
      <c r="V1601" s="74"/>
      <c r="W1601" s="75"/>
      <c r="X1601" s="74"/>
      <c r="Y1601" s="74"/>
      <c r="Z1601" s="74"/>
      <c r="AA1601" s="74"/>
      <c r="AB1601" s="74"/>
      <c r="AC1601" s="74"/>
      <c r="AD1601" s="74"/>
      <c r="AE1601" s="74"/>
      <c r="AF1601" s="74"/>
      <c r="AG1601" s="74"/>
      <c r="AH1601" s="74"/>
    </row>
    <row r="1602" s="73" customFormat="1" spans="1:34">
      <c r="A1602" s="74"/>
      <c r="B1602" s="74"/>
      <c r="C1602" s="74"/>
      <c r="D1602" s="74"/>
      <c r="E1602" s="74"/>
      <c r="F1602" s="74"/>
      <c r="G1602" s="74"/>
      <c r="H1602" s="74"/>
      <c r="I1602" s="74"/>
      <c r="J1602" s="74"/>
      <c r="K1602" s="74"/>
      <c r="L1602" s="74"/>
      <c r="M1602" s="74"/>
      <c r="N1602" s="74"/>
      <c r="O1602" s="75"/>
      <c r="P1602" s="74"/>
      <c r="Q1602" s="75"/>
      <c r="R1602" s="74"/>
      <c r="S1602" s="74"/>
      <c r="T1602" s="74"/>
      <c r="U1602" s="75"/>
      <c r="V1602" s="74"/>
      <c r="W1602" s="75"/>
      <c r="X1602" s="74"/>
      <c r="Y1602" s="74"/>
      <c r="Z1602" s="74"/>
      <c r="AA1602" s="74"/>
      <c r="AB1602" s="74"/>
      <c r="AC1602" s="74"/>
      <c r="AD1602" s="74"/>
      <c r="AE1602" s="74"/>
      <c r="AF1602" s="74"/>
      <c r="AG1602" s="74"/>
      <c r="AH1602" s="74"/>
    </row>
    <row r="1603" s="73" customFormat="1" spans="1:34">
      <c r="A1603" s="74"/>
      <c r="B1603" s="74"/>
      <c r="C1603" s="74"/>
      <c r="D1603" s="74"/>
      <c r="E1603" s="74"/>
      <c r="F1603" s="74"/>
      <c r="G1603" s="74"/>
      <c r="H1603" s="74"/>
      <c r="I1603" s="74"/>
      <c r="J1603" s="74"/>
      <c r="K1603" s="74"/>
      <c r="L1603" s="74"/>
      <c r="M1603" s="74"/>
      <c r="N1603" s="74"/>
      <c r="O1603" s="75"/>
      <c r="P1603" s="74"/>
      <c r="Q1603" s="75"/>
      <c r="R1603" s="74"/>
      <c r="S1603" s="74"/>
      <c r="T1603" s="74"/>
      <c r="U1603" s="75"/>
      <c r="V1603" s="74"/>
      <c r="W1603" s="75"/>
      <c r="X1603" s="74"/>
      <c r="Y1603" s="74"/>
      <c r="Z1603" s="74"/>
      <c r="AA1603" s="74"/>
      <c r="AB1603" s="74"/>
      <c r="AC1603" s="74"/>
      <c r="AD1603" s="74"/>
      <c r="AE1603" s="74"/>
      <c r="AF1603" s="74"/>
      <c r="AG1603" s="74"/>
      <c r="AH1603" s="74"/>
    </row>
    <row r="1604" s="73" customFormat="1" spans="1:34">
      <c r="A1604" s="74"/>
      <c r="B1604" s="74"/>
      <c r="C1604" s="74"/>
      <c r="D1604" s="74"/>
      <c r="E1604" s="74"/>
      <c r="F1604" s="74"/>
      <c r="G1604" s="74"/>
      <c r="H1604" s="74"/>
      <c r="I1604" s="74"/>
      <c r="J1604" s="74"/>
      <c r="K1604" s="74"/>
      <c r="L1604" s="74"/>
      <c r="M1604" s="74"/>
      <c r="N1604" s="74"/>
      <c r="O1604" s="75"/>
      <c r="P1604" s="74"/>
      <c r="Q1604" s="75"/>
      <c r="R1604" s="74"/>
      <c r="S1604" s="74"/>
      <c r="T1604" s="74"/>
      <c r="U1604" s="75"/>
      <c r="V1604" s="74"/>
      <c r="W1604" s="75"/>
      <c r="X1604" s="74"/>
      <c r="Y1604" s="74"/>
      <c r="Z1604" s="74"/>
      <c r="AA1604" s="74"/>
      <c r="AB1604" s="74"/>
      <c r="AC1604" s="74"/>
      <c r="AD1604" s="74"/>
      <c r="AE1604" s="74"/>
      <c r="AF1604" s="74"/>
      <c r="AG1604" s="74"/>
      <c r="AH1604" s="74"/>
    </row>
    <row r="1605" s="73" customFormat="1" spans="1:34">
      <c r="A1605" s="74"/>
      <c r="B1605" s="74"/>
      <c r="C1605" s="74"/>
      <c r="D1605" s="74"/>
      <c r="E1605" s="74"/>
      <c r="F1605" s="74"/>
      <c r="G1605" s="74"/>
      <c r="H1605" s="74"/>
      <c r="I1605" s="74"/>
      <c r="J1605" s="74"/>
      <c r="K1605" s="74"/>
      <c r="L1605" s="74"/>
      <c r="M1605" s="74"/>
      <c r="N1605" s="74"/>
      <c r="O1605" s="75"/>
      <c r="P1605" s="74"/>
      <c r="Q1605" s="75"/>
      <c r="R1605" s="74"/>
      <c r="S1605" s="74"/>
      <c r="T1605" s="74"/>
      <c r="U1605" s="75"/>
      <c r="V1605" s="74"/>
      <c r="W1605" s="75"/>
      <c r="X1605" s="74"/>
      <c r="Y1605" s="74"/>
      <c r="Z1605" s="74"/>
      <c r="AA1605" s="74"/>
      <c r="AB1605" s="74"/>
      <c r="AC1605" s="74"/>
      <c r="AD1605" s="74"/>
      <c r="AE1605" s="74"/>
      <c r="AF1605" s="74"/>
      <c r="AG1605" s="74"/>
      <c r="AH1605" s="74"/>
    </row>
    <row r="1606" s="73" customFormat="1" spans="1:34">
      <c r="A1606" s="74"/>
      <c r="B1606" s="74"/>
      <c r="C1606" s="74"/>
      <c r="D1606" s="74"/>
      <c r="E1606" s="74"/>
      <c r="F1606" s="74"/>
      <c r="G1606" s="74"/>
      <c r="H1606" s="74"/>
      <c r="I1606" s="74"/>
      <c r="J1606" s="74"/>
      <c r="K1606" s="74"/>
      <c r="L1606" s="74"/>
      <c r="M1606" s="74"/>
      <c r="N1606" s="74"/>
      <c r="O1606" s="75"/>
      <c r="P1606" s="74"/>
      <c r="Q1606" s="75"/>
      <c r="R1606" s="74"/>
      <c r="S1606" s="74"/>
      <c r="T1606" s="74"/>
      <c r="U1606" s="75"/>
      <c r="V1606" s="74"/>
      <c r="W1606" s="75"/>
      <c r="X1606" s="74"/>
      <c r="Y1606" s="74"/>
      <c r="Z1606" s="74"/>
      <c r="AA1606" s="74"/>
      <c r="AB1606" s="74"/>
      <c r="AC1606" s="74"/>
      <c r="AD1606" s="74"/>
      <c r="AE1606" s="74"/>
      <c r="AF1606" s="74"/>
      <c r="AG1606" s="74"/>
      <c r="AH1606" s="74"/>
    </row>
    <row r="1607" s="73" customFormat="1" spans="1:34">
      <c r="A1607" s="74"/>
      <c r="B1607" s="74"/>
      <c r="C1607" s="74"/>
      <c r="D1607" s="74"/>
      <c r="E1607" s="74"/>
      <c r="F1607" s="74"/>
      <c r="G1607" s="74"/>
      <c r="H1607" s="74"/>
      <c r="I1607" s="74"/>
      <c r="J1607" s="74"/>
      <c r="K1607" s="74"/>
      <c r="L1607" s="74"/>
      <c r="M1607" s="74"/>
      <c r="N1607" s="74"/>
      <c r="O1607" s="75"/>
      <c r="P1607" s="74"/>
      <c r="Q1607" s="75"/>
      <c r="R1607" s="74"/>
      <c r="S1607" s="74"/>
      <c r="T1607" s="74"/>
      <c r="U1607" s="75"/>
      <c r="V1607" s="74"/>
      <c r="W1607" s="75"/>
      <c r="X1607" s="74"/>
      <c r="Y1607" s="74"/>
      <c r="Z1607" s="74"/>
      <c r="AA1607" s="74"/>
      <c r="AB1607" s="74"/>
      <c r="AC1607" s="74"/>
      <c r="AD1607" s="74"/>
      <c r="AE1607" s="74"/>
      <c r="AF1607" s="74"/>
      <c r="AG1607" s="74"/>
      <c r="AH1607" s="74"/>
    </row>
    <row r="1608" s="73" customFormat="1" spans="1:34">
      <c r="A1608" s="74"/>
      <c r="B1608" s="74"/>
      <c r="C1608" s="74"/>
      <c r="D1608" s="74"/>
      <c r="E1608" s="74"/>
      <c r="F1608" s="74"/>
      <c r="G1608" s="74"/>
      <c r="H1608" s="74"/>
      <c r="I1608" s="74"/>
      <c r="J1608" s="74"/>
      <c r="K1608" s="74"/>
      <c r="L1608" s="74"/>
      <c r="M1608" s="74"/>
      <c r="N1608" s="74"/>
      <c r="O1608" s="75"/>
      <c r="P1608" s="74"/>
      <c r="Q1608" s="75"/>
      <c r="R1608" s="74"/>
      <c r="S1608" s="74"/>
      <c r="T1608" s="74"/>
      <c r="U1608" s="75"/>
      <c r="V1608" s="74"/>
      <c r="W1608" s="75"/>
      <c r="X1608" s="74"/>
      <c r="Y1608" s="74"/>
      <c r="Z1608" s="74"/>
      <c r="AA1608" s="74"/>
      <c r="AB1608" s="74"/>
      <c r="AC1608" s="74"/>
      <c r="AD1608" s="74"/>
      <c r="AE1608" s="74"/>
      <c r="AF1608" s="74"/>
      <c r="AG1608" s="74"/>
      <c r="AH1608" s="74"/>
    </row>
    <row r="1609" s="73" customFormat="1" spans="1:34">
      <c r="A1609" s="74"/>
      <c r="B1609" s="74"/>
      <c r="C1609" s="74"/>
      <c r="D1609" s="74"/>
      <c r="E1609" s="74"/>
      <c r="F1609" s="74"/>
      <c r="G1609" s="74"/>
      <c r="H1609" s="74"/>
      <c r="I1609" s="74"/>
      <c r="J1609" s="74"/>
      <c r="K1609" s="74"/>
      <c r="L1609" s="74"/>
      <c r="M1609" s="74"/>
      <c r="N1609" s="74"/>
      <c r="O1609" s="75"/>
      <c r="P1609" s="74"/>
      <c r="Q1609" s="75"/>
      <c r="R1609" s="74"/>
      <c r="S1609" s="74"/>
      <c r="T1609" s="74"/>
      <c r="U1609" s="75"/>
      <c r="V1609" s="74"/>
      <c r="W1609" s="75"/>
      <c r="X1609" s="74"/>
      <c r="Y1609" s="74"/>
      <c r="Z1609" s="74"/>
      <c r="AA1609" s="74"/>
      <c r="AB1609" s="74"/>
      <c r="AC1609" s="74"/>
      <c r="AD1609" s="74"/>
      <c r="AE1609" s="74"/>
      <c r="AF1609" s="74"/>
      <c r="AG1609" s="74"/>
      <c r="AH1609" s="74"/>
    </row>
    <row r="1610" s="73" customFormat="1" spans="1:34">
      <c r="A1610" s="74"/>
      <c r="B1610" s="74"/>
      <c r="C1610" s="74"/>
      <c r="D1610" s="74"/>
      <c r="E1610" s="74"/>
      <c r="F1610" s="74"/>
      <c r="G1610" s="74"/>
      <c r="H1610" s="74"/>
      <c r="I1610" s="74"/>
      <c r="J1610" s="74"/>
      <c r="K1610" s="74"/>
      <c r="L1610" s="74"/>
      <c r="M1610" s="74"/>
      <c r="N1610" s="74"/>
      <c r="O1610" s="75"/>
      <c r="P1610" s="74"/>
      <c r="Q1610" s="75"/>
      <c r="R1610" s="74"/>
      <c r="S1610" s="74"/>
      <c r="T1610" s="74"/>
      <c r="U1610" s="75"/>
      <c r="V1610" s="74"/>
      <c r="W1610" s="75"/>
      <c r="X1610" s="74"/>
      <c r="Y1610" s="74"/>
      <c r="Z1610" s="74"/>
      <c r="AA1610" s="74"/>
      <c r="AB1610" s="74"/>
      <c r="AC1610" s="74"/>
      <c r="AD1610" s="74"/>
      <c r="AE1610" s="74"/>
      <c r="AF1610" s="74"/>
      <c r="AG1610" s="74"/>
      <c r="AH1610" s="74"/>
    </row>
    <row r="1611" s="73" customFormat="1" spans="1:34">
      <c r="A1611" s="74"/>
      <c r="B1611" s="74"/>
      <c r="C1611" s="74"/>
      <c r="D1611" s="74"/>
      <c r="E1611" s="74"/>
      <c r="F1611" s="74"/>
      <c r="G1611" s="74"/>
      <c r="H1611" s="74"/>
      <c r="I1611" s="74"/>
      <c r="J1611" s="74"/>
      <c r="K1611" s="74"/>
      <c r="L1611" s="74"/>
      <c r="M1611" s="74"/>
      <c r="N1611" s="74"/>
      <c r="O1611" s="75"/>
      <c r="P1611" s="74"/>
      <c r="Q1611" s="75"/>
      <c r="R1611" s="74"/>
      <c r="S1611" s="74"/>
      <c r="T1611" s="74"/>
      <c r="U1611" s="75"/>
      <c r="V1611" s="74"/>
      <c r="W1611" s="75"/>
      <c r="X1611" s="74"/>
      <c r="Y1611" s="74"/>
      <c r="Z1611" s="74"/>
      <c r="AA1611" s="74"/>
      <c r="AB1611" s="74"/>
      <c r="AC1611" s="74"/>
      <c r="AD1611" s="74"/>
      <c r="AE1611" s="74"/>
      <c r="AF1611" s="74"/>
      <c r="AG1611" s="74"/>
      <c r="AH1611" s="74"/>
    </row>
    <row r="1612" s="73" customFormat="1" spans="1:34">
      <c r="A1612" s="74"/>
      <c r="B1612" s="74"/>
      <c r="C1612" s="74"/>
      <c r="D1612" s="74"/>
      <c r="E1612" s="74"/>
      <c r="F1612" s="74"/>
      <c r="G1612" s="74"/>
      <c r="H1612" s="74"/>
      <c r="I1612" s="74"/>
      <c r="J1612" s="74"/>
      <c r="K1612" s="74"/>
      <c r="L1612" s="74"/>
      <c r="M1612" s="74"/>
      <c r="N1612" s="74"/>
      <c r="O1612" s="75"/>
      <c r="P1612" s="74"/>
      <c r="Q1612" s="75"/>
      <c r="R1612" s="74"/>
      <c r="S1612" s="74"/>
      <c r="T1612" s="74"/>
      <c r="U1612" s="75"/>
      <c r="V1612" s="74"/>
      <c r="W1612" s="75"/>
      <c r="X1612" s="74"/>
      <c r="Y1612" s="74"/>
      <c r="Z1612" s="74"/>
      <c r="AA1612" s="74"/>
      <c r="AB1612" s="74"/>
      <c r="AC1612" s="74"/>
      <c r="AD1612" s="74"/>
      <c r="AE1612" s="74"/>
      <c r="AF1612" s="74"/>
      <c r="AG1612" s="74"/>
      <c r="AH1612" s="74"/>
    </row>
    <row r="1613" s="73" customFormat="1" spans="1:34">
      <c r="A1613" s="74"/>
      <c r="B1613" s="74"/>
      <c r="C1613" s="74"/>
      <c r="D1613" s="74"/>
      <c r="E1613" s="74"/>
      <c r="F1613" s="74"/>
      <c r="G1613" s="74"/>
      <c r="H1613" s="74"/>
      <c r="I1613" s="74"/>
      <c r="J1613" s="74"/>
      <c r="K1613" s="74"/>
      <c r="L1613" s="74"/>
      <c r="M1613" s="74"/>
      <c r="N1613" s="74"/>
      <c r="O1613" s="75"/>
      <c r="P1613" s="74"/>
      <c r="Q1613" s="75"/>
      <c r="R1613" s="74"/>
      <c r="S1613" s="74"/>
      <c r="T1613" s="74"/>
      <c r="U1613" s="75"/>
      <c r="V1613" s="74"/>
      <c r="W1613" s="75"/>
      <c r="X1613" s="74"/>
      <c r="Y1613" s="74"/>
      <c r="Z1613" s="74"/>
      <c r="AA1613" s="74"/>
      <c r="AB1613" s="74"/>
      <c r="AC1613" s="74"/>
      <c r="AD1613" s="74"/>
      <c r="AE1613" s="74"/>
      <c r="AF1613" s="74"/>
      <c r="AG1613" s="74"/>
      <c r="AH1613" s="74"/>
    </row>
    <row r="1614" s="73" customFormat="1" spans="1:34">
      <c r="A1614" s="74"/>
      <c r="B1614" s="74"/>
      <c r="C1614" s="74"/>
      <c r="D1614" s="74"/>
      <c r="E1614" s="74"/>
      <c r="F1614" s="74"/>
      <c r="G1614" s="74"/>
      <c r="H1614" s="74"/>
      <c r="I1614" s="74"/>
      <c r="J1614" s="74"/>
      <c r="K1614" s="74"/>
      <c r="L1614" s="74"/>
      <c r="M1614" s="74"/>
      <c r="N1614" s="74"/>
      <c r="O1614" s="75"/>
      <c r="P1614" s="74"/>
      <c r="Q1614" s="75"/>
      <c r="R1614" s="74"/>
      <c r="S1614" s="74"/>
      <c r="T1614" s="74"/>
      <c r="U1614" s="75"/>
      <c r="V1614" s="74"/>
      <c r="W1614" s="75"/>
      <c r="X1614" s="74"/>
      <c r="Y1614" s="74"/>
      <c r="Z1614" s="74"/>
      <c r="AA1614" s="74"/>
      <c r="AB1614" s="74"/>
      <c r="AC1614" s="74"/>
      <c r="AD1614" s="74"/>
      <c r="AE1614" s="74"/>
      <c r="AF1614" s="74"/>
      <c r="AG1614" s="74"/>
      <c r="AH1614" s="74"/>
    </row>
    <row r="1615" s="73" customFormat="1" spans="1:34">
      <c r="A1615" s="74"/>
      <c r="B1615" s="74"/>
      <c r="C1615" s="74"/>
      <c r="D1615" s="74"/>
      <c r="E1615" s="74"/>
      <c r="F1615" s="74"/>
      <c r="G1615" s="74"/>
      <c r="H1615" s="74"/>
      <c r="I1615" s="74"/>
      <c r="J1615" s="74"/>
      <c r="K1615" s="74"/>
      <c r="L1615" s="74"/>
      <c r="M1615" s="74"/>
      <c r="N1615" s="74"/>
      <c r="O1615" s="75"/>
      <c r="P1615" s="74"/>
      <c r="Q1615" s="75"/>
      <c r="R1615" s="74"/>
      <c r="S1615" s="74"/>
      <c r="T1615" s="74"/>
      <c r="U1615" s="75"/>
      <c r="V1615" s="74"/>
      <c r="W1615" s="75"/>
      <c r="X1615" s="74"/>
      <c r="Y1615" s="74"/>
      <c r="Z1615" s="74"/>
      <c r="AA1615" s="74"/>
      <c r="AB1615" s="74"/>
      <c r="AC1615" s="74"/>
      <c r="AD1615" s="74"/>
      <c r="AE1615" s="74"/>
      <c r="AF1615" s="74"/>
      <c r="AG1615" s="74"/>
      <c r="AH1615" s="74"/>
    </row>
    <row r="1616" s="73" customFormat="1" spans="1:34">
      <c r="A1616" s="74"/>
      <c r="B1616" s="74"/>
      <c r="C1616" s="74"/>
      <c r="D1616" s="74"/>
      <c r="E1616" s="74"/>
      <c r="F1616" s="74"/>
      <c r="G1616" s="74"/>
      <c r="H1616" s="74"/>
      <c r="I1616" s="74"/>
      <c r="J1616" s="74"/>
      <c r="K1616" s="74"/>
      <c r="L1616" s="74"/>
      <c r="M1616" s="74"/>
      <c r="N1616" s="74"/>
      <c r="O1616" s="75"/>
      <c r="P1616" s="74"/>
      <c r="Q1616" s="75"/>
      <c r="R1616" s="74"/>
      <c r="S1616" s="74"/>
      <c r="T1616" s="74"/>
      <c r="U1616" s="75"/>
      <c r="V1616" s="74"/>
      <c r="W1616" s="75"/>
      <c r="X1616" s="74"/>
      <c r="Y1616" s="74"/>
      <c r="Z1616" s="74"/>
      <c r="AA1616" s="74"/>
      <c r="AB1616" s="74"/>
      <c r="AC1616" s="74"/>
      <c r="AD1616" s="74"/>
      <c r="AE1616" s="74"/>
      <c r="AF1616" s="74"/>
      <c r="AG1616" s="74"/>
      <c r="AH1616" s="74"/>
    </row>
    <row r="1617" s="73" customFormat="1" spans="1:34">
      <c r="A1617" s="74"/>
      <c r="B1617" s="74"/>
      <c r="C1617" s="74"/>
      <c r="D1617" s="74"/>
      <c r="E1617" s="74"/>
      <c r="F1617" s="74"/>
      <c r="G1617" s="74"/>
      <c r="H1617" s="74"/>
      <c r="I1617" s="74"/>
      <c r="J1617" s="74"/>
      <c r="K1617" s="74"/>
      <c r="L1617" s="74"/>
      <c r="M1617" s="74"/>
      <c r="N1617" s="74"/>
      <c r="O1617" s="75"/>
      <c r="P1617" s="74"/>
      <c r="Q1617" s="75"/>
      <c r="R1617" s="74"/>
      <c r="S1617" s="74"/>
      <c r="T1617" s="74"/>
      <c r="U1617" s="75"/>
      <c r="V1617" s="74"/>
      <c r="W1617" s="75"/>
      <c r="X1617" s="74"/>
      <c r="Y1617" s="74"/>
      <c r="Z1617" s="74"/>
      <c r="AA1617" s="74"/>
      <c r="AB1617" s="74"/>
      <c r="AC1617" s="74"/>
      <c r="AD1617" s="74"/>
      <c r="AE1617" s="74"/>
      <c r="AF1617" s="74"/>
      <c r="AG1617" s="74"/>
      <c r="AH1617" s="74"/>
    </row>
    <row r="1618" s="73" customFormat="1" spans="1:34">
      <c r="A1618" s="74"/>
      <c r="B1618" s="74"/>
      <c r="C1618" s="74"/>
      <c r="D1618" s="74"/>
      <c r="E1618" s="74"/>
      <c r="F1618" s="74"/>
      <c r="G1618" s="74"/>
      <c r="H1618" s="74"/>
      <c r="I1618" s="74"/>
      <c r="J1618" s="74"/>
      <c r="K1618" s="74"/>
      <c r="L1618" s="74"/>
      <c r="M1618" s="74"/>
      <c r="N1618" s="74"/>
      <c r="O1618" s="75"/>
      <c r="P1618" s="74"/>
      <c r="Q1618" s="75"/>
      <c r="R1618" s="74"/>
      <c r="S1618" s="74"/>
      <c r="T1618" s="74"/>
      <c r="U1618" s="75"/>
      <c r="V1618" s="74"/>
      <c r="W1618" s="75"/>
      <c r="X1618" s="74"/>
      <c r="Y1618" s="74"/>
      <c r="Z1618" s="74"/>
      <c r="AA1618" s="74"/>
      <c r="AB1618" s="74"/>
      <c r="AC1618" s="74"/>
      <c r="AD1618" s="74"/>
      <c r="AE1618" s="74"/>
      <c r="AF1618" s="74"/>
      <c r="AG1618" s="74"/>
      <c r="AH1618" s="74"/>
    </row>
    <row r="1619" s="73" customFormat="1" spans="1:34">
      <c r="A1619" s="74"/>
      <c r="B1619" s="74"/>
      <c r="C1619" s="74"/>
      <c r="D1619" s="74"/>
      <c r="E1619" s="74"/>
      <c r="F1619" s="74"/>
      <c r="G1619" s="74"/>
      <c r="H1619" s="74"/>
      <c r="I1619" s="74"/>
      <c r="J1619" s="74"/>
      <c r="K1619" s="74"/>
      <c r="L1619" s="74"/>
      <c r="M1619" s="74"/>
      <c r="N1619" s="74"/>
      <c r="O1619" s="75"/>
      <c r="P1619" s="74"/>
      <c r="Q1619" s="75"/>
      <c r="R1619" s="74"/>
      <c r="S1619" s="74"/>
      <c r="T1619" s="74"/>
      <c r="U1619" s="75"/>
      <c r="V1619" s="74"/>
      <c r="W1619" s="75"/>
      <c r="X1619" s="74"/>
      <c r="Y1619" s="74"/>
      <c r="Z1619" s="74"/>
      <c r="AA1619" s="74"/>
      <c r="AB1619" s="74"/>
      <c r="AC1619" s="74"/>
      <c r="AD1619" s="74"/>
      <c r="AE1619" s="74"/>
      <c r="AF1619" s="74"/>
      <c r="AG1619" s="74"/>
      <c r="AH1619" s="74"/>
    </row>
    <row r="1620" s="73" customFormat="1" spans="1:34">
      <c r="A1620" s="74"/>
      <c r="B1620" s="74"/>
      <c r="C1620" s="74"/>
      <c r="D1620" s="74"/>
      <c r="E1620" s="74"/>
      <c r="F1620" s="74"/>
      <c r="G1620" s="74"/>
      <c r="H1620" s="74"/>
      <c r="I1620" s="74"/>
      <c r="J1620" s="74"/>
      <c r="K1620" s="74"/>
      <c r="L1620" s="74"/>
      <c r="M1620" s="74"/>
      <c r="N1620" s="74"/>
      <c r="O1620" s="75"/>
      <c r="P1620" s="74"/>
      <c r="Q1620" s="75"/>
      <c r="R1620" s="74"/>
      <c r="S1620" s="74"/>
      <c r="T1620" s="74"/>
      <c r="U1620" s="75"/>
      <c r="V1620" s="74"/>
      <c r="W1620" s="75"/>
      <c r="X1620" s="74"/>
      <c r="Y1620" s="74"/>
      <c r="Z1620" s="74"/>
      <c r="AA1620" s="74"/>
      <c r="AB1620" s="74"/>
      <c r="AC1620" s="74"/>
      <c r="AD1620" s="74"/>
      <c r="AE1620" s="74"/>
      <c r="AF1620" s="74"/>
      <c r="AG1620" s="74"/>
      <c r="AH1620" s="74"/>
    </row>
    <row r="1621" s="73" customFormat="1" spans="1:34">
      <c r="A1621" s="74"/>
      <c r="B1621" s="74"/>
      <c r="C1621" s="74"/>
      <c r="D1621" s="74"/>
      <c r="E1621" s="74"/>
      <c r="F1621" s="74"/>
      <c r="G1621" s="74"/>
      <c r="H1621" s="74"/>
      <c r="I1621" s="74"/>
      <c r="J1621" s="74"/>
      <c r="K1621" s="74"/>
      <c r="L1621" s="74"/>
      <c r="M1621" s="74"/>
      <c r="N1621" s="74"/>
      <c r="O1621" s="75"/>
      <c r="P1621" s="74"/>
      <c r="Q1621" s="75"/>
      <c r="R1621" s="74"/>
      <c r="S1621" s="74"/>
      <c r="T1621" s="74"/>
      <c r="U1621" s="75"/>
      <c r="V1621" s="74"/>
      <c r="W1621" s="75"/>
      <c r="X1621" s="74"/>
      <c r="Y1621" s="74"/>
      <c r="Z1621" s="74"/>
      <c r="AA1621" s="74"/>
      <c r="AB1621" s="74"/>
      <c r="AC1621" s="74"/>
      <c r="AD1621" s="74"/>
      <c r="AE1621" s="74"/>
      <c r="AF1621" s="74"/>
      <c r="AG1621" s="74"/>
      <c r="AH1621" s="74"/>
    </row>
    <row r="1622" s="73" customFormat="1" spans="1:34">
      <c r="A1622" s="74"/>
      <c r="B1622" s="74"/>
      <c r="C1622" s="74"/>
      <c r="D1622" s="74"/>
      <c r="E1622" s="74"/>
      <c r="F1622" s="74"/>
      <c r="G1622" s="74"/>
      <c r="H1622" s="74"/>
      <c r="I1622" s="74"/>
      <c r="J1622" s="74"/>
      <c r="K1622" s="74"/>
      <c r="L1622" s="74"/>
      <c r="M1622" s="74"/>
      <c r="N1622" s="74"/>
      <c r="O1622" s="75"/>
      <c r="P1622" s="74"/>
      <c r="Q1622" s="75"/>
      <c r="R1622" s="74"/>
      <c r="S1622" s="74"/>
      <c r="T1622" s="74"/>
      <c r="U1622" s="75"/>
      <c r="V1622" s="74"/>
      <c r="W1622" s="75"/>
      <c r="X1622" s="74"/>
      <c r="Y1622" s="74"/>
      <c r="Z1622" s="74"/>
      <c r="AA1622" s="74"/>
      <c r="AB1622" s="74"/>
      <c r="AC1622" s="74"/>
      <c r="AD1622" s="74"/>
      <c r="AE1622" s="74"/>
      <c r="AF1622" s="74"/>
      <c r="AG1622" s="74"/>
      <c r="AH1622" s="74"/>
    </row>
    <row r="1623" s="73" customFormat="1" spans="1:34">
      <c r="A1623" s="74"/>
      <c r="B1623" s="74"/>
      <c r="C1623" s="74"/>
      <c r="D1623" s="74"/>
      <c r="E1623" s="74"/>
      <c r="F1623" s="74"/>
      <c r="G1623" s="74"/>
      <c r="H1623" s="74"/>
      <c r="I1623" s="74"/>
      <c r="J1623" s="74"/>
      <c r="K1623" s="74"/>
      <c r="L1623" s="74"/>
      <c r="M1623" s="74"/>
      <c r="N1623" s="74"/>
      <c r="O1623" s="75"/>
      <c r="P1623" s="74"/>
      <c r="Q1623" s="75"/>
      <c r="R1623" s="74"/>
      <c r="S1623" s="74"/>
      <c r="T1623" s="74"/>
      <c r="U1623" s="75"/>
      <c r="V1623" s="74"/>
      <c r="W1623" s="75"/>
      <c r="X1623" s="74"/>
      <c r="Y1623" s="74"/>
      <c r="Z1623" s="74"/>
      <c r="AA1623" s="74"/>
      <c r="AB1623" s="74"/>
      <c r="AC1623" s="74"/>
      <c r="AD1623" s="74"/>
      <c r="AE1623" s="74"/>
      <c r="AF1623" s="74"/>
      <c r="AG1623" s="74"/>
      <c r="AH1623" s="74"/>
    </row>
    <row r="1624" s="73" customFormat="1" spans="1:34">
      <c r="A1624" s="74"/>
      <c r="B1624" s="74"/>
      <c r="C1624" s="74"/>
      <c r="D1624" s="74"/>
      <c r="E1624" s="74"/>
      <c r="F1624" s="74"/>
      <c r="G1624" s="74"/>
      <c r="H1624" s="74"/>
      <c r="I1624" s="74"/>
      <c r="J1624" s="74"/>
      <c r="K1624" s="74"/>
      <c r="L1624" s="74"/>
      <c r="M1624" s="74"/>
      <c r="N1624" s="74"/>
      <c r="O1624" s="75"/>
      <c r="P1624" s="74"/>
      <c r="Q1624" s="75"/>
      <c r="R1624" s="74"/>
      <c r="S1624" s="74"/>
      <c r="T1624" s="74"/>
      <c r="U1624" s="75"/>
      <c r="V1624" s="74"/>
      <c r="W1624" s="75"/>
      <c r="X1624" s="74"/>
      <c r="Y1624" s="74"/>
      <c r="Z1624" s="74"/>
      <c r="AA1624" s="74"/>
      <c r="AB1624" s="74"/>
      <c r="AC1624" s="74"/>
      <c r="AD1624" s="74"/>
      <c r="AE1624" s="74"/>
      <c r="AF1624" s="74"/>
      <c r="AG1624" s="74"/>
      <c r="AH1624" s="74"/>
    </row>
    <row r="1625" s="73" customFormat="1" spans="1:34">
      <c r="A1625" s="74"/>
      <c r="B1625" s="74"/>
      <c r="C1625" s="74"/>
      <c r="D1625" s="74"/>
      <c r="E1625" s="74"/>
      <c r="F1625" s="74"/>
      <c r="G1625" s="74"/>
      <c r="H1625" s="74"/>
      <c r="I1625" s="74"/>
      <c r="J1625" s="74"/>
      <c r="K1625" s="74"/>
      <c r="L1625" s="74"/>
      <c r="M1625" s="74"/>
      <c r="N1625" s="74"/>
      <c r="O1625" s="75"/>
      <c r="P1625" s="74"/>
      <c r="Q1625" s="75"/>
      <c r="R1625" s="74"/>
      <c r="S1625" s="74"/>
      <c r="T1625" s="74"/>
      <c r="U1625" s="75"/>
      <c r="V1625" s="74"/>
      <c r="W1625" s="75"/>
      <c r="X1625" s="74"/>
      <c r="Y1625" s="74"/>
      <c r="Z1625" s="74"/>
      <c r="AA1625" s="74"/>
      <c r="AB1625" s="74"/>
      <c r="AC1625" s="74"/>
      <c r="AD1625" s="74"/>
      <c r="AE1625" s="74"/>
      <c r="AF1625" s="74"/>
      <c r="AG1625" s="74"/>
      <c r="AH1625" s="74"/>
    </row>
    <row r="1626" s="73" customFormat="1" spans="1:34">
      <c r="A1626" s="74"/>
      <c r="B1626" s="74"/>
      <c r="C1626" s="74"/>
      <c r="D1626" s="74"/>
      <c r="E1626" s="74"/>
      <c r="F1626" s="74"/>
      <c r="G1626" s="74"/>
      <c r="H1626" s="74"/>
      <c r="I1626" s="74"/>
      <c r="J1626" s="74"/>
      <c r="K1626" s="74"/>
      <c r="L1626" s="74"/>
      <c r="M1626" s="74"/>
      <c r="N1626" s="74"/>
      <c r="O1626" s="75"/>
      <c r="P1626" s="74"/>
      <c r="Q1626" s="75"/>
      <c r="R1626" s="74"/>
      <c r="S1626" s="74"/>
      <c r="T1626" s="74"/>
      <c r="U1626" s="75"/>
      <c r="V1626" s="74"/>
      <c r="W1626" s="75"/>
      <c r="X1626" s="74"/>
      <c r="Y1626" s="74"/>
      <c r="Z1626" s="74"/>
      <c r="AA1626" s="74"/>
      <c r="AB1626" s="74"/>
      <c r="AC1626" s="74"/>
      <c r="AD1626" s="74"/>
      <c r="AE1626" s="74"/>
      <c r="AF1626" s="74"/>
      <c r="AG1626" s="74"/>
      <c r="AH1626" s="74"/>
    </row>
    <row r="1627" s="73" customFormat="1" spans="1:34">
      <c r="A1627" s="74"/>
      <c r="B1627" s="74"/>
      <c r="C1627" s="74"/>
      <c r="D1627" s="74"/>
      <c r="E1627" s="74"/>
      <c r="F1627" s="74"/>
      <c r="G1627" s="74"/>
      <c r="H1627" s="74"/>
      <c r="I1627" s="74"/>
      <c r="J1627" s="74"/>
      <c r="K1627" s="74"/>
      <c r="L1627" s="74"/>
      <c r="M1627" s="74"/>
      <c r="N1627" s="74"/>
      <c r="O1627" s="75"/>
      <c r="P1627" s="74"/>
      <c r="Q1627" s="75"/>
      <c r="R1627" s="74"/>
      <c r="S1627" s="74"/>
      <c r="T1627" s="74"/>
      <c r="U1627" s="75"/>
      <c r="V1627" s="74"/>
      <c r="W1627" s="75"/>
      <c r="X1627" s="74"/>
      <c r="Y1627" s="74"/>
      <c r="Z1627" s="74"/>
      <c r="AA1627" s="74"/>
      <c r="AB1627" s="74"/>
      <c r="AC1627" s="74"/>
      <c r="AD1627" s="74"/>
      <c r="AE1627" s="74"/>
      <c r="AF1627" s="74"/>
      <c r="AG1627" s="74"/>
      <c r="AH1627" s="74"/>
    </row>
    <row r="1628" s="73" customFormat="1" spans="1:34">
      <c r="A1628" s="74"/>
      <c r="B1628" s="74"/>
      <c r="C1628" s="74"/>
      <c r="D1628" s="74"/>
      <c r="E1628" s="74"/>
      <c r="F1628" s="74"/>
      <c r="G1628" s="74"/>
      <c r="H1628" s="74"/>
      <c r="I1628" s="74"/>
      <c r="J1628" s="74"/>
      <c r="K1628" s="74"/>
      <c r="L1628" s="74"/>
      <c r="M1628" s="74"/>
      <c r="N1628" s="74"/>
      <c r="O1628" s="75"/>
      <c r="P1628" s="74"/>
      <c r="Q1628" s="75"/>
      <c r="R1628" s="74"/>
      <c r="S1628" s="74"/>
      <c r="T1628" s="74"/>
      <c r="U1628" s="75"/>
      <c r="V1628" s="74"/>
      <c r="W1628" s="75"/>
      <c r="X1628" s="74"/>
      <c r="Y1628" s="74"/>
      <c r="Z1628" s="74"/>
      <c r="AA1628" s="74"/>
      <c r="AB1628" s="74"/>
      <c r="AC1628" s="74"/>
      <c r="AD1628" s="74"/>
      <c r="AE1628" s="74"/>
      <c r="AF1628" s="74"/>
      <c r="AG1628" s="74"/>
      <c r="AH1628" s="74"/>
    </row>
    <row r="1629" s="73" customFormat="1" spans="1:34">
      <c r="A1629" s="74"/>
      <c r="B1629" s="74"/>
      <c r="C1629" s="74"/>
      <c r="D1629" s="74"/>
      <c r="E1629" s="74"/>
      <c r="F1629" s="74"/>
      <c r="G1629" s="74"/>
      <c r="H1629" s="74"/>
      <c r="I1629" s="74"/>
      <c r="J1629" s="74"/>
      <c r="K1629" s="74"/>
      <c r="L1629" s="74"/>
      <c r="M1629" s="74"/>
      <c r="N1629" s="74"/>
      <c r="O1629" s="75"/>
      <c r="P1629" s="74"/>
      <c r="Q1629" s="75"/>
      <c r="R1629" s="74"/>
      <c r="S1629" s="74"/>
      <c r="T1629" s="74"/>
      <c r="U1629" s="75"/>
      <c r="V1629" s="74"/>
      <c r="W1629" s="75"/>
      <c r="X1629" s="74"/>
      <c r="Y1629" s="74"/>
      <c r="Z1629" s="74"/>
      <c r="AA1629" s="74"/>
      <c r="AB1629" s="74"/>
      <c r="AC1629" s="74"/>
      <c r="AD1629" s="74"/>
      <c r="AE1629" s="74"/>
      <c r="AF1629" s="74"/>
      <c r="AG1629" s="74"/>
      <c r="AH1629" s="74"/>
    </row>
    <row r="1630" s="73" customFormat="1" spans="1:34">
      <c r="A1630" s="74"/>
      <c r="B1630" s="74"/>
      <c r="C1630" s="74"/>
      <c r="D1630" s="74"/>
      <c r="E1630" s="74"/>
      <c r="F1630" s="74"/>
      <c r="G1630" s="74"/>
      <c r="H1630" s="74"/>
      <c r="I1630" s="74"/>
      <c r="J1630" s="74"/>
      <c r="K1630" s="74"/>
      <c r="L1630" s="74"/>
      <c r="M1630" s="74"/>
      <c r="N1630" s="74"/>
      <c r="O1630" s="75"/>
      <c r="P1630" s="74"/>
      <c r="Q1630" s="75"/>
      <c r="R1630" s="74"/>
      <c r="S1630" s="74"/>
      <c r="T1630" s="74"/>
      <c r="U1630" s="75"/>
      <c r="V1630" s="74"/>
      <c r="W1630" s="75"/>
      <c r="X1630" s="74"/>
      <c r="Y1630" s="74"/>
      <c r="Z1630" s="74"/>
      <c r="AA1630" s="74"/>
      <c r="AB1630" s="74"/>
      <c r="AC1630" s="74"/>
      <c r="AD1630" s="74"/>
      <c r="AE1630" s="74"/>
      <c r="AF1630" s="74"/>
      <c r="AG1630" s="74"/>
      <c r="AH1630" s="74"/>
    </row>
    <row r="1631" s="73" customFormat="1" spans="1:34">
      <c r="A1631" s="74"/>
      <c r="B1631" s="74"/>
      <c r="C1631" s="74"/>
      <c r="D1631" s="74"/>
      <c r="E1631" s="74"/>
      <c r="F1631" s="74"/>
      <c r="G1631" s="74"/>
      <c r="H1631" s="74"/>
      <c r="I1631" s="74"/>
      <c r="J1631" s="74"/>
      <c r="K1631" s="74"/>
      <c r="L1631" s="74"/>
      <c r="M1631" s="74"/>
      <c r="N1631" s="74"/>
      <c r="O1631" s="75"/>
      <c r="P1631" s="74"/>
      <c r="Q1631" s="75"/>
      <c r="R1631" s="74"/>
      <c r="S1631" s="74"/>
      <c r="T1631" s="74"/>
      <c r="U1631" s="75"/>
      <c r="V1631" s="74"/>
      <c r="W1631" s="75"/>
      <c r="X1631" s="74"/>
      <c r="Y1631" s="74"/>
      <c r="Z1631" s="74"/>
      <c r="AA1631" s="74"/>
      <c r="AB1631" s="74"/>
      <c r="AC1631" s="74"/>
      <c r="AD1631" s="74"/>
      <c r="AE1631" s="74"/>
      <c r="AF1631" s="74"/>
      <c r="AG1631" s="74"/>
      <c r="AH1631" s="74"/>
    </row>
    <row r="1632" s="73" customFormat="1" spans="1:34">
      <c r="A1632" s="74"/>
      <c r="B1632" s="74"/>
      <c r="C1632" s="74"/>
      <c r="D1632" s="74"/>
      <c r="E1632" s="74"/>
      <c r="F1632" s="74"/>
      <c r="G1632" s="74"/>
      <c r="H1632" s="74"/>
      <c r="I1632" s="74"/>
      <c r="J1632" s="74"/>
      <c r="K1632" s="74"/>
      <c r="L1632" s="74"/>
      <c r="M1632" s="74"/>
      <c r="N1632" s="74"/>
      <c r="O1632" s="75"/>
      <c r="P1632" s="74"/>
      <c r="Q1632" s="75"/>
      <c r="R1632" s="74"/>
      <c r="S1632" s="74"/>
      <c r="T1632" s="74"/>
      <c r="U1632" s="75"/>
      <c r="V1632" s="74"/>
      <c r="W1632" s="75"/>
      <c r="X1632" s="74"/>
      <c r="Y1632" s="74"/>
      <c r="Z1632" s="74"/>
      <c r="AA1632" s="74"/>
      <c r="AB1632" s="74"/>
      <c r="AC1632" s="74"/>
      <c r="AD1632" s="74"/>
      <c r="AE1632" s="74"/>
      <c r="AF1632" s="74"/>
      <c r="AG1632" s="74"/>
      <c r="AH1632" s="74"/>
    </row>
    <row r="1633" s="73" customFormat="1" spans="1:34">
      <c r="A1633" s="74"/>
      <c r="B1633" s="74"/>
      <c r="C1633" s="74"/>
      <c r="D1633" s="74"/>
      <c r="E1633" s="74"/>
      <c r="F1633" s="74"/>
      <c r="G1633" s="74"/>
      <c r="H1633" s="74"/>
      <c r="I1633" s="74"/>
      <c r="J1633" s="74"/>
      <c r="K1633" s="74"/>
      <c r="L1633" s="74"/>
      <c r="M1633" s="74"/>
      <c r="N1633" s="74"/>
      <c r="O1633" s="75"/>
      <c r="P1633" s="74"/>
      <c r="Q1633" s="75"/>
      <c r="R1633" s="74"/>
      <c r="S1633" s="74"/>
      <c r="T1633" s="74"/>
      <c r="U1633" s="75"/>
      <c r="V1633" s="74"/>
      <c r="W1633" s="75"/>
      <c r="X1633" s="74"/>
      <c r="Y1633" s="74"/>
      <c r="Z1633" s="74"/>
      <c r="AA1633" s="74"/>
      <c r="AB1633" s="74"/>
      <c r="AC1633" s="74"/>
      <c r="AD1633" s="74"/>
      <c r="AE1633" s="74"/>
      <c r="AF1633" s="74"/>
      <c r="AG1633" s="74"/>
      <c r="AH1633" s="74"/>
    </row>
    <row r="1634" s="73" customFormat="1" spans="1:34">
      <c r="A1634" s="74"/>
      <c r="B1634" s="74"/>
      <c r="C1634" s="74"/>
      <c r="D1634" s="74"/>
      <c r="E1634" s="74"/>
      <c r="F1634" s="74"/>
      <c r="G1634" s="74"/>
      <c r="H1634" s="74"/>
      <c r="I1634" s="74"/>
      <c r="J1634" s="74"/>
      <c r="K1634" s="74"/>
      <c r="L1634" s="74"/>
      <c r="M1634" s="74"/>
      <c r="N1634" s="74"/>
      <c r="O1634" s="75"/>
      <c r="P1634" s="74"/>
      <c r="Q1634" s="75"/>
      <c r="R1634" s="74"/>
      <c r="S1634" s="74"/>
      <c r="T1634" s="74"/>
      <c r="U1634" s="75"/>
      <c r="V1634" s="74"/>
      <c r="W1634" s="75"/>
      <c r="X1634" s="74"/>
      <c r="Y1634" s="74"/>
      <c r="Z1634" s="74"/>
      <c r="AA1634" s="74"/>
      <c r="AB1634" s="74"/>
      <c r="AC1634" s="74"/>
      <c r="AD1634" s="74"/>
      <c r="AE1634" s="74"/>
      <c r="AF1634" s="74"/>
      <c r="AG1634" s="74"/>
      <c r="AH1634" s="74"/>
    </row>
    <row r="1635" s="73" customFormat="1" spans="1:34">
      <c r="A1635" s="74"/>
      <c r="B1635" s="74"/>
      <c r="C1635" s="74"/>
      <c r="D1635" s="74"/>
      <c r="E1635" s="74"/>
      <c r="F1635" s="74"/>
      <c r="G1635" s="74"/>
      <c r="H1635" s="74"/>
      <c r="I1635" s="74"/>
      <c r="J1635" s="74"/>
      <c r="K1635" s="74"/>
      <c r="L1635" s="74"/>
      <c r="M1635" s="74"/>
      <c r="N1635" s="74"/>
      <c r="O1635" s="75"/>
      <c r="P1635" s="74"/>
      <c r="Q1635" s="75"/>
      <c r="R1635" s="74"/>
      <c r="S1635" s="74"/>
      <c r="T1635" s="74"/>
      <c r="U1635" s="75"/>
      <c r="V1635" s="74"/>
      <c r="W1635" s="75"/>
      <c r="X1635" s="74"/>
      <c r="Y1635" s="74"/>
      <c r="Z1635" s="74"/>
      <c r="AA1635" s="74"/>
      <c r="AB1635" s="74"/>
      <c r="AC1635" s="74"/>
      <c r="AD1635" s="74"/>
      <c r="AE1635" s="74"/>
      <c r="AF1635" s="74"/>
      <c r="AG1635" s="74"/>
      <c r="AH1635" s="74"/>
    </row>
    <row r="1636" s="73" customFormat="1" spans="1:34">
      <c r="A1636" s="74"/>
      <c r="B1636" s="74"/>
      <c r="C1636" s="74"/>
      <c r="D1636" s="74"/>
      <c r="E1636" s="74"/>
      <c r="F1636" s="74"/>
      <c r="G1636" s="74"/>
      <c r="H1636" s="74"/>
      <c r="I1636" s="74"/>
      <c r="J1636" s="74"/>
      <c r="K1636" s="74"/>
      <c r="L1636" s="74"/>
      <c r="M1636" s="74"/>
      <c r="N1636" s="74"/>
      <c r="O1636" s="75"/>
      <c r="P1636" s="74"/>
      <c r="Q1636" s="75"/>
      <c r="R1636" s="74"/>
      <c r="S1636" s="74"/>
      <c r="T1636" s="74"/>
      <c r="U1636" s="75"/>
      <c r="V1636" s="74"/>
      <c r="W1636" s="75"/>
      <c r="X1636" s="74"/>
      <c r="Y1636" s="74"/>
      <c r="Z1636" s="74"/>
      <c r="AA1636" s="74"/>
      <c r="AB1636" s="74"/>
      <c r="AC1636" s="74"/>
      <c r="AD1636" s="74"/>
      <c r="AE1636" s="74"/>
      <c r="AF1636" s="74"/>
      <c r="AG1636" s="74"/>
      <c r="AH1636" s="74"/>
    </row>
    <row r="1637" s="73" customFormat="1" spans="1:34">
      <c r="A1637" s="74"/>
      <c r="B1637" s="74"/>
      <c r="C1637" s="74"/>
      <c r="D1637" s="74"/>
      <c r="E1637" s="74"/>
      <c r="F1637" s="74"/>
      <c r="G1637" s="74"/>
      <c r="H1637" s="74"/>
      <c r="I1637" s="74"/>
      <c r="J1637" s="74"/>
      <c r="K1637" s="74"/>
      <c r="L1637" s="74"/>
      <c r="M1637" s="74"/>
      <c r="N1637" s="74"/>
      <c r="O1637" s="75"/>
      <c r="P1637" s="74"/>
      <c r="Q1637" s="75"/>
      <c r="R1637" s="74"/>
      <c r="S1637" s="74"/>
      <c r="T1637" s="74"/>
      <c r="U1637" s="75"/>
      <c r="V1637" s="74"/>
      <c r="W1637" s="75"/>
      <c r="X1637" s="74"/>
      <c r="Y1637" s="74"/>
      <c r="Z1637" s="74"/>
      <c r="AA1637" s="74"/>
      <c r="AB1637" s="74"/>
      <c r="AC1637" s="74"/>
      <c r="AD1637" s="74"/>
      <c r="AE1637" s="74"/>
      <c r="AF1637" s="74"/>
      <c r="AG1637" s="74"/>
      <c r="AH1637" s="74"/>
    </row>
    <row r="1638" s="73" customFormat="1" spans="1:34">
      <c r="A1638" s="74"/>
      <c r="B1638" s="74"/>
      <c r="C1638" s="74"/>
      <c r="D1638" s="74"/>
      <c r="E1638" s="74"/>
      <c r="F1638" s="74"/>
      <c r="G1638" s="74"/>
      <c r="H1638" s="74"/>
      <c r="I1638" s="74"/>
      <c r="J1638" s="74"/>
      <c r="K1638" s="74"/>
      <c r="L1638" s="74"/>
      <c r="M1638" s="74"/>
      <c r="N1638" s="74"/>
      <c r="O1638" s="75"/>
      <c r="P1638" s="74"/>
      <c r="Q1638" s="75"/>
      <c r="R1638" s="74"/>
      <c r="S1638" s="74"/>
      <c r="T1638" s="74"/>
      <c r="U1638" s="75"/>
      <c r="V1638" s="74"/>
      <c r="W1638" s="75"/>
      <c r="X1638" s="74"/>
      <c r="Y1638" s="74"/>
      <c r="Z1638" s="74"/>
      <c r="AA1638" s="74"/>
      <c r="AB1638" s="74"/>
      <c r="AC1638" s="74"/>
      <c r="AD1638" s="74"/>
      <c r="AE1638" s="74"/>
      <c r="AF1638" s="74"/>
      <c r="AG1638" s="74"/>
      <c r="AH1638" s="74"/>
    </row>
    <row r="1639" s="73" customFormat="1" spans="1:34">
      <c r="A1639" s="74"/>
      <c r="B1639" s="74"/>
      <c r="C1639" s="74"/>
      <c r="D1639" s="74"/>
      <c r="E1639" s="74"/>
      <c r="F1639" s="74"/>
      <c r="G1639" s="74"/>
      <c r="H1639" s="74"/>
      <c r="I1639" s="74"/>
      <c r="J1639" s="74"/>
      <c r="K1639" s="74"/>
      <c r="L1639" s="74"/>
      <c r="M1639" s="74"/>
      <c r="N1639" s="74"/>
      <c r="O1639" s="75"/>
      <c r="P1639" s="74"/>
      <c r="Q1639" s="75"/>
      <c r="R1639" s="74"/>
      <c r="S1639" s="74"/>
      <c r="T1639" s="74"/>
      <c r="U1639" s="75"/>
      <c r="V1639" s="74"/>
      <c r="W1639" s="75"/>
      <c r="X1639" s="74"/>
      <c r="Y1639" s="74"/>
      <c r="Z1639" s="74"/>
      <c r="AA1639" s="74"/>
      <c r="AB1639" s="74"/>
      <c r="AC1639" s="74"/>
      <c r="AD1639" s="74"/>
      <c r="AE1639" s="74"/>
      <c r="AF1639" s="74"/>
      <c r="AG1639" s="74"/>
      <c r="AH1639" s="74"/>
    </row>
    <row r="1640" s="73" customFormat="1" spans="1:34">
      <c r="A1640" s="74"/>
      <c r="B1640" s="74"/>
      <c r="C1640" s="74"/>
      <c r="D1640" s="74"/>
      <c r="E1640" s="74"/>
      <c r="F1640" s="74"/>
      <c r="G1640" s="74"/>
      <c r="H1640" s="74"/>
      <c r="I1640" s="74"/>
      <c r="J1640" s="74"/>
      <c r="K1640" s="74"/>
      <c r="L1640" s="74"/>
      <c r="M1640" s="74"/>
      <c r="N1640" s="74"/>
      <c r="O1640" s="75"/>
      <c r="P1640" s="74"/>
      <c r="Q1640" s="75"/>
      <c r="R1640" s="74"/>
      <c r="S1640" s="74"/>
      <c r="T1640" s="74"/>
      <c r="U1640" s="75"/>
      <c r="V1640" s="74"/>
      <c r="W1640" s="75"/>
      <c r="X1640" s="74"/>
      <c r="Y1640" s="74"/>
      <c r="Z1640" s="74"/>
      <c r="AA1640" s="74"/>
      <c r="AB1640" s="74"/>
      <c r="AC1640" s="74"/>
      <c r="AD1640" s="74"/>
      <c r="AE1640" s="74"/>
      <c r="AF1640" s="74"/>
      <c r="AG1640" s="74"/>
      <c r="AH1640" s="74"/>
    </row>
    <row r="1641" s="73" customFormat="1" spans="1:34">
      <c r="A1641" s="74"/>
      <c r="B1641" s="74"/>
      <c r="C1641" s="74"/>
      <c r="D1641" s="74"/>
      <c r="E1641" s="74"/>
      <c r="F1641" s="74"/>
      <c r="G1641" s="74"/>
      <c r="H1641" s="74"/>
      <c r="I1641" s="74"/>
      <c r="J1641" s="74"/>
      <c r="K1641" s="74"/>
      <c r="L1641" s="74"/>
      <c r="M1641" s="74"/>
      <c r="N1641" s="74"/>
      <c r="O1641" s="75"/>
      <c r="P1641" s="74"/>
      <c r="Q1641" s="75"/>
      <c r="R1641" s="74"/>
      <c r="S1641" s="74"/>
      <c r="T1641" s="74"/>
      <c r="U1641" s="75"/>
      <c r="V1641" s="74"/>
      <c r="W1641" s="75"/>
      <c r="X1641" s="74"/>
      <c r="Y1641" s="74"/>
      <c r="Z1641" s="74"/>
      <c r="AA1641" s="74"/>
      <c r="AB1641" s="74"/>
      <c r="AC1641" s="74"/>
      <c r="AD1641" s="74"/>
      <c r="AE1641" s="74"/>
      <c r="AF1641" s="74"/>
      <c r="AG1641" s="74"/>
      <c r="AH1641" s="74"/>
    </row>
    <row r="1643" s="73" customFormat="1" spans="1:34">
      <c r="A1643" s="74"/>
      <c r="B1643" s="74"/>
      <c r="C1643" s="74"/>
      <c r="D1643" s="74"/>
      <c r="E1643" s="74"/>
      <c r="F1643" s="74"/>
      <c r="G1643" s="74"/>
      <c r="H1643" s="74"/>
      <c r="I1643" s="74"/>
      <c r="J1643" s="74"/>
      <c r="K1643" s="74"/>
      <c r="L1643" s="74"/>
      <c r="M1643" s="74"/>
      <c r="N1643" s="74"/>
      <c r="O1643" s="75"/>
      <c r="P1643" s="74"/>
      <c r="Q1643" s="75"/>
      <c r="R1643" s="74"/>
      <c r="S1643" s="74"/>
      <c r="T1643" s="74"/>
      <c r="U1643" s="75"/>
      <c r="V1643" s="74"/>
      <c r="W1643" s="75"/>
      <c r="X1643" s="74"/>
      <c r="Y1643" s="74"/>
      <c r="Z1643" s="74"/>
      <c r="AA1643" s="74"/>
      <c r="AB1643" s="74"/>
      <c r="AC1643" s="74"/>
      <c r="AD1643" s="74"/>
      <c r="AE1643" s="74"/>
      <c r="AF1643" s="74"/>
      <c r="AG1643" s="74"/>
      <c r="AH1643" s="74"/>
    </row>
    <row r="1644" s="73" customFormat="1" spans="1:34">
      <c r="A1644" s="74"/>
      <c r="B1644" s="74"/>
      <c r="C1644" s="74"/>
      <c r="D1644" s="74"/>
      <c r="E1644" s="74"/>
      <c r="F1644" s="74"/>
      <c r="G1644" s="74"/>
      <c r="H1644" s="74"/>
      <c r="I1644" s="74"/>
      <c r="J1644" s="74"/>
      <c r="K1644" s="74"/>
      <c r="L1644" s="74"/>
      <c r="M1644" s="74"/>
      <c r="N1644" s="74"/>
      <c r="O1644" s="75"/>
      <c r="P1644" s="74"/>
      <c r="Q1644" s="75"/>
      <c r="R1644" s="74"/>
      <c r="S1644" s="74"/>
      <c r="T1644" s="74"/>
      <c r="U1644" s="75"/>
      <c r="V1644" s="74"/>
      <c r="W1644" s="75"/>
      <c r="X1644" s="74"/>
      <c r="Y1644" s="74"/>
      <c r="Z1644" s="74"/>
      <c r="AA1644" s="74"/>
      <c r="AB1644" s="74"/>
      <c r="AC1644" s="74"/>
      <c r="AD1644" s="74"/>
      <c r="AE1644" s="74"/>
      <c r="AF1644" s="74"/>
      <c r="AG1644" s="74"/>
      <c r="AH1644" s="74"/>
    </row>
    <row r="1645" s="73" customFormat="1" spans="1:34">
      <c r="A1645" s="74"/>
      <c r="B1645" s="74"/>
      <c r="C1645" s="74"/>
      <c r="D1645" s="74"/>
      <c r="E1645" s="74"/>
      <c r="F1645" s="74"/>
      <c r="G1645" s="74"/>
      <c r="H1645" s="74"/>
      <c r="I1645" s="74"/>
      <c r="J1645" s="74"/>
      <c r="K1645" s="74"/>
      <c r="L1645" s="74"/>
      <c r="M1645" s="74"/>
      <c r="N1645" s="74"/>
      <c r="O1645" s="75"/>
      <c r="P1645" s="74"/>
      <c r="Q1645" s="75"/>
      <c r="R1645" s="74"/>
      <c r="S1645" s="74"/>
      <c r="T1645" s="74"/>
      <c r="U1645" s="75"/>
      <c r="V1645" s="74"/>
      <c r="W1645" s="75"/>
      <c r="X1645" s="74"/>
      <c r="Y1645" s="74"/>
      <c r="Z1645" s="74"/>
      <c r="AA1645" s="74"/>
      <c r="AB1645" s="74"/>
      <c r="AC1645" s="74"/>
      <c r="AD1645" s="74"/>
      <c r="AE1645" s="74"/>
      <c r="AF1645" s="74"/>
      <c r="AG1645" s="74"/>
      <c r="AH1645" s="74"/>
    </row>
    <row r="1646" s="73" customFormat="1" spans="1:34">
      <c r="A1646" s="74"/>
      <c r="B1646" s="74"/>
      <c r="C1646" s="74"/>
      <c r="D1646" s="74"/>
      <c r="E1646" s="74"/>
      <c r="F1646" s="74"/>
      <c r="G1646" s="74"/>
      <c r="H1646" s="74"/>
      <c r="I1646" s="74"/>
      <c r="J1646" s="74"/>
      <c r="K1646" s="74"/>
      <c r="L1646" s="74"/>
      <c r="M1646" s="74"/>
      <c r="N1646" s="74"/>
      <c r="O1646" s="75"/>
      <c r="P1646" s="74"/>
      <c r="Q1646" s="75"/>
      <c r="R1646" s="74"/>
      <c r="S1646" s="74"/>
      <c r="T1646" s="74"/>
      <c r="U1646" s="75"/>
      <c r="V1646" s="74"/>
      <c r="W1646" s="75"/>
      <c r="X1646" s="74"/>
      <c r="Y1646" s="74"/>
      <c r="Z1646" s="74"/>
      <c r="AA1646" s="74"/>
      <c r="AB1646" s="74"/>
      <c r="AC1646" s="74"/>
      <c r="AD1646" s="74"/>
      <c r="AE1646" s="74"/>
      <c r="AF1646" s="74"/>
      <c r="AG1646" s="74"/>
      <c r="AH1646" s="74"/>
    </row>
    <row r="1647" s="73" customFormat="1" spans="1:34">
      <c r="A1647" s="74"/>
      <c r="B1647" s="74"/>
      <c r="C1647" s="74"/>
      <c r="D1647" s="74"/>
      <c r="E1647" s="74"/>
      <c r="F1647" s="74"/>
      <c r="G1647" s="74"/>
      <c r="H1647" s="74"/>
      <c r="I1647" s="74"/>
      <c r="J1647" s="74"/>
      <c r="K1647" s="74"/>
      <c r="L1647" s="74"/>
      <c r="M1647" s="74"/>
      <c r="N1647" s="74"/>
      <c r="O1647" s="75"/>
      <c r="P1647" s="74"/>
      <c r="Q1647" s="75"/>
      <c r="R1647" s="74"/>
      <c r="S1647" s="74"/>
      <c r="T1647" s="74"/>
      <c r="U1647" s="75"/>
      <c r="V1647" s="74"/>
      <c r="W1647" s="75"/>
      <c r="X1647" s="74"/>
      <c r="Y1647" s="74"/>
      <c r="Z1647" s="74"/>
      <c r="AA1647" s="74"/>
      <c r="AB1647" s="74"/>
      <c r="AC1647" s="74"/>
      <c r="AD1647" s="74"/>
      <c r="AE1647" s="74"/>
      <c r="AF1647" s="74"/>
      <c r="AG1647" s="74"/>
      <c r="AH1647" s="74"/>
    </row>
    <row r="1648" s="73" customFormat="1" spans="1:34">
      <c r="A1648" s="74"/>
      <c r="B1648" s="74"/>
      <c r="C1648" s="74"/>
      <c r="D1648" s="74"/>
      <c r="E1648" s="74"/>
      <c r="F1648" s="74"/>
      <c r="G1648" s="74"/>
      <c r="H1648" s="74"/>
      <c r="I1648" s="74"/>
      <c r="J1648" s="74"/>
      <c r="K1648" s="74"/>
      <c r="L1648" s="74"/>
      <c r="M1648" s="74"/>
      <c r="N1648" s="74"/>
      <c r="O1648" s="75"/>
      <c r="P1648" s="74"/>
      <c r="Q1648" s="75"/>
      <c r="R1648" s="74"/>
      <c r="S1648" s="74"/>
      <c r="T1648" s="74"/>
      <c r="U1648" s="75"/>
      <c r="V1648" s="74"/>
      <c r="W1648" s="75"/>
      <c r="X1648" s="74"/>
      <c r="Y1648" s="74"/>
      <c r="Z1648" s="74"/>
      <c r="AA1648" s="74"/>
      <c r="AB1648" s="74"/>
      <c r="AC1648" s="74"/>
      <c r="AD1648" s="74"/>
      <c r="AE1648" s="74"/>
      <c r="AF1648" s="74"/>
      <c r="AG1648" s="74"/>
      <c r="AH1648" s="74"/>
    </row>
    <row r="1649" s="73" customFormat="1" spans="1:34">
      <c r="A1649" s="74"/>
      <c r="B1649" s="74"/>
      <c r="C1649" s="74"/>
      <c r="D1649" s="74"/>
      <c r="E1649" s="74"/>
      <c r="F1649" s="74"/>
      <c r="G1649" s="74"/>
      <c r="H1649" s="74"/>
      <c r="I1649" s="74"/>
      <c r="J1649" s="74"/>
      <c r="K1649" s="74"/>
      <c r="L1649" s="74"/>
      <c r="M1649" s="74"/>
      <c r="N1649" s="74"/>
      <c r="O1649" s="75"/>
      <c r="P1649" s="74"/>
      <c r="Q1649" s="75"/>
      <c r="R1649" s="74"/>
      <c r="S1649" s="74"/>
      <c r="T1649" s="74"/>
      <c r="U1649" s="75"/>
      <c r="V1649" s="74"/>
      <c r="W1649" s="75"/>
      <c r="X1649" s="74"/>
      <c r="Y1649" s="74"/>
      <c r="Z1649" s="74"/>
      <c r="AA1649" s="74"/>
      <c r="AB1649" s="74"/>
      <c r="AC1649" s="74"/>
      <c r="AD1649" s="74"/>
      <c r="AE1649" s="74"/>
      <c r="AF1649" s="74"/>
      <c r="AG1649" s="74"/>
      <c r="AH1649" s="74"/>
    </row>
    <row r="1650" s="73" customFormat="1" spans="1:34">
      <c r="A1650" s="74"/>
      <c r="B1650" s="74"/>
      <c r="C1650" s="74"/>
      <c r="D1650" s="74"/>
      <c r="E1650" s="74"/>
      <c r="F1650" s="74"/>
      <c r="G1650" s="74"/>
      <c r="H1650" s="74"/>
      <c r="I1650" s="74"/>
      <c r="J1650" s="74"/>
      <c r="K1650" s="74"/>
      <c r="L1650" s="74"/>
      <c r="M1650" s="74"/>
      <c r="N1650" s="74"/>
      <c r="O1650" s="75"/>
      <c r="P1650" s="74"/>
      <c r="Q1650" s="75"/>
      <c r="R1650" s="74"/>
      <c r="S1650" s="74"/>
      <c r="T1650" s="74"/>
      <c r="U1650" s="75"/>
      <c r="V1650" s="74"/>
      <c r="W1650" s="75"/>
      <c r="X1650" s="74"/>
      <c r="Y1650" s="74"/>
      <c r="Z1650" s="74"/>
      <c r="AA1650" s="74"/>
      <c r="AB1650" s="74"/>
      <c r="AC1650" s="74"/>
      <c r="AD1650" s="74"/>
      <c r="AE1650" s="74"/>
      <c r="AF1650" s="74"/>
      <c r="AG1650" s="74"/>
      <c r="AH1650" s="74"/>
    </row>
    <row r="1651" s="73" customFormat="1" spans="1:34">
      <c r="A1651" s="74"/>
      <c r="B1651" s="74"/>
      <c r="C1651" s="74"/>
      <c r="D1651" s="74"/>
      <c r="E1651" s="74"/>
      <c r="F1651" s="74"/>
      <c r="G1651" s="74"/>
      <c r="H1651" s="74"/>
      <c r="I1651" s="74"/>
      <c r="J1651" s="74"/>
      <c r="K1651" s="74"/>
      <c r="L1651" s="74"/>
      <c r="M1651" s="74"/>
      <c r="N1651" s="74"/>
      <c r="O1651" s="75"/>
      <c r="P1651" s="74"/>
      <c r="Q1651" s="75"/>
      <c r="R1651" s="74"/>
      <c r="S1651" s="74"/>
      <c r="T1651" s="74"/>
      <c r="U1651" s="75"/>
      <c r="V1651" s="74"/>
      <c r="W1651" s="75"/>
      <c r="X1651" s="74"/>
      <c r="Y1651" s="74"/>
      <c r="Z1651" s="74"/>
      <c r="AA1651" s="74"/>
      <c r="AB1651" s="74"/>
      <c r="AC1651" s="74"/>
      <c r="AD1651" s="74"/>
      <c r="AE1651" s="74"/>
      <c r="AF1651" s="74"/>
      <c r="AG1651" s="74"/>
      <c r="AH1651" s="74"/>
    </row>
    <row r="1652" s="73" customFormat="1" spans="1:34">
      <c r="A1652" s="74"/>
      <c r="B1652" s="74"/>
      <c r="C1652" s="74"/>
      <c r="D1652" s="74"/>
      <c r="E1652" s="74"/>
      <c r="F1652" s="74"/>
      <c r="G1652" s="74"/>
      <c r="H1652" s="74"/>
      <c r="I1652" s="74"/>
      <c r="J1652" s="74"/>
      <c r="K1652" s="74"/>
      <c r="L1652" s="74"/>
      <c r="M1652" s="74"/>
      <c r="N1652" s="74"/>
      <c r="O1652" s="75"/>
      <c r="P1652" s="74"/>
      <c r="Q1652" s="75"/>
      <c r="R1652" s="74"/>
      <c r="S1652" s="74"/>
      <c r="T1652" s="74"/>
      <c r="U1652" s="75"/>
      <c r="V1652" s="74"/>
      <c r="W1652" s="75"/>
      <c r="X1652" s="74"/>
      <c r="Y1652" s="74"/>
      <c r="Z1652" s="74"/>
      <c r="AA1652" s="74"/>
      <c r="AB1652" s="74"/>
      <c r="AC1652" s="74"/>
      <c r="AD1652" s="74"/>
      <c r="AE1652" s="74"/>
      <c r="AF1652" s="74"/>
      <c r="AG1652" s="74"/>
      <c r="AH1652" s="74"/>
    </row>
    <row r="1653" s="73" customFormat="1" spans="1:34">
      <c r="A1653" s="74"/>
      <c r="B1653" s="74"/>
      <c r="C1653" s="74"/>
      <c r="D1653" s="74"/>
      <c r="E1653" s="74"/>
      <c r="F1653" s="74"/>
      <c r="G1653" s="74"/>
      <c r="H1653" s="74"/>
      <c r="I1653" s="74"/>
      <c r="J1653" s="74"/>
      <c r="K1653" s="74"/>
      <c r="L1653" s="74"/>
      <c r="M1653" s="74"/>
      <c r="N1653" s="74"/>
      <c r="O1653" s="75"/>
      <c r="P1653" s="74"/>
      <c r="Q1653" s="75"/>
      <c r="R1653" s="74"/>
      <c r="S1653" s="74"/>
      <c r="T1653" s="74"/>
      <c r="U1653" s="75"/>
      <c r="V1653" s="74"/>
      <c r="W1653" s="75"/>
      <c r="X1653" s="74"/>
      <c r="Y1653" s="74"/>
      <c r="Z1653" s="74"/>
      <c r="AA1653" s="74"/>
      <c r="AB1653" s="74"/>
      <c r="AC1653" s="74"/>
      <c r="AD1653" s="74"/>
      <c r="AE1653" s="74"/>
      <c r="AF1653" s="74"/>
      <c r="AG1653" s="74"/>
      <c r="AH1653" s="74"/>
    </row>
    <row r="1654" s="73" customFormat="1" spans="1:34">
      <c r="A1654" s="74"/>
      <c r="B1654" s="74"/>
      <c r="C1654" s="74"/>
      <c r="D1654" s="74"/>
      <c r="E1654" s="74"/>
      <c r="F1654" s="74"/>
      <c r="G1654" s="74"/>
      <c r="H1654" s="74"/>
      <c r="I1654" s="74"/>
      <c r="J1654" s="74"/>
      <c r="K1654" s="74"/>
      <c r="L1654" s="74"/>
      <c r="M1654" s="74"/>
      <c r="N1654" s="74"/>
      <c r="O1654" s="75"/>
      <c r="P1654" s="74"/>
      <c r="Q1654" s="75"/>
      <c r="R1654" s="74"/>
      <c r="S1654" s="74"/>
      <c r="T1654" s="74"/>
      <c r="U1654" s="75"/>
      <c r="V1654" s="74"/>
      <c r="W1654" s="75"/>
      <c r="X1654" s="74"/>
      <c r="Y1654" s="74"/>
      <c r="Z1654" s="74"/>
      <c r="AA1654" s="74"/>
      <c r="AB1654" s="74"/>
      <c r="AC1654" s="74"/>
      <c r="AD1654" s="74"/>
      <c r="AE1654" s="74"/>
      <c r="AF1654" s="74"/>
      <c r="AG1654" s="74"/>
      <c r="AH1654" s="74"/>
    </row>
    <row r="1655" s="73" customFormat="1" spans="1:34">
      <c r="A1655" s="74"/>
      <c r="B1655" s="74"/>
      <c r="C1655" s="74"/>
      <c r="D1655" s="74"/>
      <c r="E1655" s="74"/>
      <c r="F1655" s="74"/>
      <c r="G1655" s="74"/>
      <c r="H1655" s="74"/>
      <c r="I1655" s="74"/>
      <c r="J1655" s="74"/>
      <c r="K1655" s="74"/>
      <c r="L1655" s="74"/>
      <c r="M1655" s="74"/>
      <c r="N1655" s="74"/>
      <c r="O1655" s="75"/>
      <c r="P1655" s="74"/>
      <c r="Q1655" s="75"/>
      <c r="R1655" s="74"/>
      <c r="S1655" s="74"/>
      <c r="T1655" s="74"/>
      <c r="U1655" s="75"/>
      <c r="V1655" s="74"/>
      <c r="W1655" s="75"/>
      <c r="X1655" s="74"/>
      <c r="Y1655" s="74"/>
      <c r="Z1655" s="74"/>
      <c r="AA1655" s="74"/>
      <c r="AB1655" s="74"/>
      <c r="AC1655" s="74"/>
      <c r="AD1655" s="74"/>
      <c r="AE1655" s="74"/>
      <c r="AF1655" s="74"/>
      <c r="AG1655" s="74"/>
      <c r="AH1655" s="74"/>
    </row>
    <row r="1656" s="73" customFormat="1" spans="1:34">
      <c r="A1656" s="74"/>
      <c r="B1656" s="74"/>
      <c r="C1656" s="74"/>
      <c r="D1656" s="74"/>
      <c r="E1656" s="74"/>
      <c r="F1656" s="74"/>
      <c r="G1656" s="74"/>
      <c r="H1656" s="74"/>
      <c r="I1656" s="74"/>
      <c r="J1656" s="74"/>
      <c r="K1656" s="74"/>
      <c r="L1656" s="74"/>
      <c r="M1656" s="74"/>
      <c r="N1656" s="74"/>
      <c r="O1656" s="75"/>
      <c r="P1656" s="74"/>
      <c r="Q1656" s="75"/>
      <c r="R1656" s="74"/>
      <c r="S1656" s="74"/>
      <c r="T1656" s="74"/>
      <c r="U1656" s="75"/>
      <c r="V1656" s="74"/>
      <c r="W1656" s="75"/>
      <c r="X1656" s="74"/>
      <c r="Y1656" s="74"/>
      <c r="Z1656" s="74"/>
      <c r="AA1656" s="74"/>
      <c r="AB1656" s="74"/>
      <c r="AC1656" s="74"/>
      <c r="AD1656" s="74"/>
      <c r="AE1656" s="74"/>
      <c r="AF1656" s="74"/>
      <c r="AG1656" s="74"/>
      <c r="AH1656" s="74"/>
    </row>
    <row r="1657" s="73" customFormat="1" spans="1:34">
      <c r="A1657" s="74"/>
      <c r="B1657" s="74"/>
      <c r="C1657" s="74"/>
      <c r="D1657" s="74"/>
      <c r="E1657" s="74"/>
      <c r="F1657" s="74"/>
      <c r="G1657" s="74"/>
      <c r="H1657" s="74"/>
      <c r="I1657" s="74"/>
      <c r="J1657" s="74"/>
      <c r="K1657" s="74"/>
      <c r="L1657" s="74"/>
      <c r="M1657" s="74"/>
      <c r="N1657" s="74"/>
      <c r="O1657" s="75"/>
      <c r="P1657" s="74"/>
      <c r="Q1657" s="75"/>
      <c r="R1657" s="74"/>
      <c r="S1657" s="74"/>
      <c r="T1657" s="74"/>
      <c r="U1657" s="75"/>
      <c r="V1657" s="74"/>
      <c r="W1657" s="75"/>
      <c r="X1657" s="74"/>
      <c r="Y1657" s="74"/>
      <c r="Z1657" s="74"/>
      <c r="AA1657" s="74"/>
      <c r="AB1657" s="74"/>
      <c r="AC1657" s="74"/>
      <c r="AD1657" s="74"/>
      <c r="AE1657" s="74"/>
      <c r="AF1657" s="74"/>
      <c r="AG1657" s="74"/>
      <c r="AH1657" s="74"/>
    </row>
    <row r="1658" s="73" customFormat="1" spans="1:34">
      <c r="A1658" s="74"/>
      <c r="B1658" s="74"/>
      <c r="C1658" s="74"/>
      <c r="D1658" s="74"/>
      <c r="E1658" s="74"/>
      <c r="F1658" s="74"/>
      <c r="G1658" s="74"/>
      <c r="H1658" s="74"/>
      <c r="I1658" s="74"/>
      <c r="J1658" s="74"/>
      <c r="K1658" s="74"/>
      <c r="L1658" s="74"/>
      <c r="M1658" s="74"/>
      <c r="N1658" s="74"/>
      <c r="O1658" s="75"/>
      <c r="P1658" s="74"/>
      <c r="Q1658" s="75"/>
      <c r="R1658" s="74"/>
      <c r="S1658" s="74"/>
      <c r="T1658" s="74"/>
      <c r="U1658" s="75"/>
      <c r="V1658" s="74"/>
      <c r="W1658" s="75"/>
      <c r="X1658" s="74"/>
      <c r="Y1658" s="74"/>
      <c r="Z1658" s="74"/>
      <c r="AA1658" s="74"/>
      <c r="AB1658" s="74"/>
      <c r="AC1658" s="74"/>
      <c r="AD1658" s="74"/>
      <c r="AE1658" s="74"/>
      <c r="AF1658" s="74"/>
      <c r="AG1658" s="74"/>
      <c r="AH1658" s="74"/>
    </row>
    <row r="1659" s="73" customFormat="1" spans="1:34">
      <c r="A1659" s="74"/>
      <c r="B1659" s="74"/>
      <c r="C1659" s="74"/>
      <c r="D1659" s="74"/>
      <c r="E1659" s="74"/>
      <c r="F1659" s="74"/>
      <c r="G1659" s="74"/>
      <c r="H1659" s="74"/>
      <c r="I1659" s="74"/>
      <c r="J1659" s="74"/>
      <c r="K1659" s="74"/>
      <c r="L1659" s="74"/>
      <c r="M1659" s="74"/>
      <c r="N1659" s="74"/>
      <c r="O1659" s="75"/>
      <c r="P1659" s="74"/>
      <c r="Q1659" s="75"/>
      <c r="R1659" s="74"/>
      <c r="S1659" s="74"/>
      <c r="T1659" s="74"/>
      <c r="U1659" s="75"/>
      <c r="V1659" s="74"/>
      <c r="W1659" s="75"/>
      <c r="X1659" s="74"/>
      <c r="Y1659" s="74"/>
      <c r="Z1659" s="74"/>
      <c r="AA1659" s="74"/>
      <c r="AB1659" s="74"/>
      <c r="AC1659" s="74"/>
      <c r="AD1659" s="74"/>
      <c r="AE1659" s="74"/>
      <c r="AF1659" s="74"/>
      <c r="AG1659" s="74"/>
      <c r="AH1659" s="74"/>
    </row>
    <row r="1660" s="73" customFormat="1" spans="1:34">
      <c r="A1660" s="74"/>
      <c r="B1660" s="74"/>
      <c r="C1660" s="74"/>
      <c r="D1660" s="74"/>
      <c r="E1660" s="74"/>
      <c r="F1660" s="74"/>
      <c r="G1660" s="74"/>
      <c r="H1660" s="74"/>
      <c r="I1660" s="74"/>
      <c r="J1660" s="74"/>
      <c r="K1660" s="74"/>
      <c r="L1660" s="74"/>
      <c r="M1660" s="74"/>
      <c r="N1660" s="74"/>
      <c r="O1660" s="75"/>
      <c r="P1660" s="74"/>
      <c r="Q1660" s="75"/>
      <c r="R1660" s="74"/>
      <c r="S1660" s="74"/>
      <c r="T1660" s="74"/>
      <c r="U1660" s="75"/>
      <c r="V1660" s="74"/>
      <c r="W1660" s="75"/>
      <c r="X1660" s="74"/>
      <c r="Y1660" s="74"/>
      <c r="Z1660" s="74"/>
      <c r="AA1660" s="74"/>
      <c r="AB1660" s="74"/>
      <c r="AC1660" s="74"/>
      <c r="AD1660" s="74"/>
      <c r="AE1660" s="74"/>
      <c r="AF1660" s="74"/>
      <c r="AG1660" s="74"/>
      <c r="AH1660" s="74"/>
    </row>
    <row r="1661" s="73" customFormat="1" spans="1:34">
      <c r="A1661" s="74"/>
      <c r="B1661" s="74"/>
      <c r="C1661" s="74"/>
      <c r="D1661" s="74"/>
      <c r="E1661" s="74"/>
      <c r="F1661" s="74"/>
      <c r="G1661" s="74"/>
      <c r="H1661" s="74"/>
      <c r="I1661" s="74"/>
      <c r="J1661" s="74"/>
      <c r="K1661" s="74"/>
      <c r="L1661" s="74"/>
      <c r="M1661" s="74"/>
      <c r="N1661" s="74"/>
      <c r="O1661" s="75"/>
      <c r="P1661" s="74"/>
      <c r="Q1661" s="75"/>
      <c r="R1661" s="74"/>
      <c r="S1661" s="74"/>
      <c r="T1661" s="74"/>
      <c r="U1661" s="75"/>
      <c r="V1661" s="74"/>
      <c r="W1661" s="75"/>
      <c r="X1661" s="74"/>
      <c r="Y1661" s="74"/>
      <c r="Z1661" s="74"/>
      <c r="AA1661" s="74"/>
      <c r="AB1661" s="74"/>
      <c r="AC1661" s="74"/>
      <c r="AD1661" s="74"/>
      <c r="AE1661" s="74"/>
      <c r="AF1661" s="74"/>
      <c r="AG1661" s="74"/>
      <c r="AH1661" s="74"/>
    </row>
    <row r="1662" s="73" customFormat="1" spans="1:34">
      <c r="A1662" s="74"/>
      <c r="B1662" s="74"/>
      <c r="C1662" s="74"/>
      <c r="D1662" s="74"/>
      <c r="E1662" s="74"/>
      <c r="F1662" s="74"/>
      <c r="G1662" s="74"/>
      <c r="H1662" s="74"/>
      <c r="I1662" s="74"/>
      <c r="J1662" s="74"/>
      <c r="K1662" s="74"/>
      <c r="L1662" s="74"/>
      <c r="M1662" s="74"/>
      <c r="N1662" s="74"/>
      <c r="O1662" s="75"/>
      <c r="P1662" s="74"/>
      <c r="Q1662" s="75"/>
      <c r="R1662" s="74"/>
      <c r="S1662" s="74"/>
      <c r="T1662" s="74"/>
      <c r="U1662" s="75"/>
      <c r="V1662" s="74"/>
      <c r="W1662" s="75"/>
      <c r="X1662" s="74"/>
      <c r="Y1662" s="74"/>
      <c r="Z1662" s="74"/>
      <c r="AA1662" s="74"/>
      <c r="AB1662" s="74"/>
      <c r="AC1662" s="74"/>
      <c r="AD1662" s="74"/>
      <c r="AE1662" s="74"/>
      <c r="AF1662" s="74"/>
      <c r="AG1662" s="74"/>
      <c r="AH1662" s="74"/>
    </row>
    <row r="1663" s="73" customFormat="1" spans="1:34">
      <c r="A1663" s="74"/>
      <c r="B1663" s="74"/>
      <c r="C1663" s="74"/>
      <c r="D1663" s="74"/>
      <c r="E1663" s="74"/>
      <c r="F1663" s="74"/>
      <c r="G1663" s="74"/>
      <c r="H1663" s="74"/>
      <c r="I1663" s="74"/>
      <c r="J1663" s="74"/>
      <c r="K1663" s="74"/>
      <c r="L1663" s="74"/>
      <c r="M1663" s="74"/>
      <c r="N1663" s="74"/>
      <c r="O1663" s="75"/>
      <c r="P1663" s="74"/>
      <c r="Q1663" s="75"/>
      <c r="R1663" s="74"/>
      <c r="S1663" s="74"/>
      <c r="T1663" s="74"/>
      <c r="U1663" s="75"/>
      <c r="V1663" s="74"/>
      <c r="W1663" s="75"/>
      <c r="X1663" s="74"/>
      <c r="Y1663" s="74"/>
      <c r="Z1663" s="74"/>
      <c r="AA1663" s="74"/>
      <c r="AB1663" s="74"/>
      <c r="AC1663" s="74"/>
      <c r="AD1663" s="74"/>
      <c r="AE1663" s="74"/>
      <c r="AF1663" s="74"/>
      <c r="AG1663" s="74"/>
      <c r="AH1663" s="74"/>
    </row>
    <row r="1664" s="73" customFormat="1" spans="1:34">
      <c r="A1664" s="74"/>
      <c r="B1664" s="74"/>
      <c r="C1664" s="74"/>
      <c r="D1664" s="74"/>
      <c r="E1664" s="74"/>
      <c r="F1664" s="74"/>
      <c r="G1664" s="74"/>
      <c r="H1664" s="74"/>
      <c r="I1664" s="74"/>
      <c r="J1664" s="74"/>
      <c r="K1664" s="74"/>
      <c r="L1664" s="74"/>
      <c r="M1664" s="74"/>
      <c r="N1664" s="74"/>
      <c r="O1664" s="75"/>
      <c r="P1664" s="74"/>
      <c r="Q1664" s="75"/>
      <c r="R1664" s="74"/>
      <c r="S1664" s="74"/>
      <c r="T1664" s="74"/>
      <c r="U1664" s="75"/>
      <c r="V1664" s="74"/>
      <c r="W1664" s="75"/>
      <c r="X1664" s="74"/>
      <c r="Y1664" s="74"/>
      <c r="Z1664" s="74"/>
      <c r="AA1664" s="74"/>
      <c r="AB1664" s="74"/>
      <c r="AC1664" s="74"/>
      <c r="AD1664" s="74"/>
      <c r="AE1664" s="74"/>
      <c r="AF1664" s="74"/>
      <c r="AG1664" s="74"/>
      <c r="AH1664" s="74"/>
    </row>
    <row r="1665" s="73" customFormat="1" spans="1:34">
      <c r="A1665" s="74"/>
      <c r="B1665" s="74"/>
      <c r="C1665" s="74"/>
      <c r="D1665" s="74"/>
      <c r="E1665" s="74"/>
      <c r="F1665" s="74"/>
      <c r="G1665" s="74"/>
      <c r="H1665" s="74"/>
      <c r="I1665" s="74"/>
      <c r="J1665" s="74"/>
      <c r="K1665" s="74"/>
      <c r="L1665" s="74"/>
      <c r="M1665" s="74"/>
      <c r="N1665" s="74"/>
      <c r="O1665" s="75"/>
      <c r="P1665" s="74"/>
      <c r="Q1665" s="75"/>
      <c r="R1665" s="74"/>
      <c r="S1665" s="74"/>
      <c r="T1665" s="74"/>
      <c r="U1665" s="75"/>
      <c r="V1665" s="74"/>
      <c r="W1665" s="75"/>
      <c r="X1665" s="74"/>
      <c r="Y1665" s="74"/>
      <c r="Z1665" s="74"/>
      <c r="AA1665" s="74"/>
      <c r="AB1665" s="74"/>
      <c r="AC1665" s="74"/>
      <c r="AD1665" s="74"/>
      <c r="AE1665" s="74"/>
      <c r="AF1665" s="74"/>
      <c r="AG1665" s="74"/>
      <c r="AH1665" s="74"/>
    </row>
    <row r="1666" s="73" customFormat="1" spans="1:34">
      <c r="A1666" s="74"/>
      <c r="B1666" s="74"/>
      <c r="C1666" s="74"/>
      <c r="D1666" s="74"/>
      <c r="E1666" s="74"/>
      <c r="F1666" s="74"/>
      <c r="G1666" s="74"/>
      <c r="H1666" s="74"/>
      <c r="I1666" s="74"/>
      <c r="J1666" s="74"/>
      <c r="K1666" s="74"/>
      <c r="L1666" s="74"/>
      <c r="M1666" s="74"/>
      <c r="N1666" s="74"/>
      <c r="O1666" s="75"/>
      <c r="P1666" s="74"/>
      <c r="Q1666" s="75"/>
      <c r="R1666" s="74"/>
      <c r="S1666" s="74"/>
      <c r="T1666" s="74"/>
      <c r="U1666" s="75"/>
      <c r="V1666" s="74"/>
      <c r="W1666" s="75"/>
      <c r="X1666" s="74"/>
      <c r="Y1666" s="74"/>
      <c r="Z1666" s="74"/>
      <c r="AA1666" s="74"/>
      <c r="AB1666" s="74"/>
      <c r="AC1666" s="74"/>
      <c r="AD1666" s="74"/>
      <c r="AE1666" s="74"/>
      <c r="AF1666" s="74"/>
      <c r="AG1666" s="74"/>
      <c r="AH1666" s="74"/>
    </row>
    <row r="1667" s="73" customFormat="1" spans="1:34">
      <c r="A1667" s="74"/>
      <c r="B1667" s="74"/>
      <c r="C1667" s="74"/>
      <c r="D1667" s="74"/>
      <c r="E1667" s="74"/>
      <c r="F1667" s="74"/>
      <c r="G1667" s="74"/>
      <c r="H1667" s="74"/>
      <c r="I1667" s="74"/>
      <c r="J1667" s="74"/>
      <c r="K1667" s="74"/>
      <c r="L1667" s="74"/>
      <c r="M1667" s="74"/>
      <c r="N1667" s="74"/>
      <c r="O1667" s="75"/>
      <c r="P1667" s="74"/>
      <c r="Q1667" s="75"/>
      <c r="R1667" s="74"/>
      <c r="S1667" s="74"/>
      <c r="T1667" s="74"/>
      <c r="U1667" s="75"/>
      <c r="V1667" s="74"/>
      <c r="W1667" s="75"/>
      <c r="X1667" s="74"/>
      <c r="Y1667" s="74"/>
      <c r="Z1667" s="74"/>
      <c r="AA1667" s="74"/>
      <c r="AB1667" s="74"/>
      <c r="AC1667" s="74"/>
      <c r="AD1667" s="74"/>
      <c r="AE1667" s="74"/>
      <c r="AF1667" s="74"/>
      <c r="AG1667" s="74"/>
      <c r="AH1667" s="74"/>
    </row>
    <row r="1668" s="73" customFormat="1" spans="1:34">
      <c r="A1668" s="74"/>
      <c r="B1668" s="74"/>
      <c r="C1668" s="74"/>
      <c r="D1668" s="74"/>
      <c r="E1668" s="74"/>
      <c r="F1668" s="74"/>
      <c r="G1668" s="74"/>
      <c r="H1668" s="74"/>
      <c r="I1668" s="74"/>
      <c r="J1668" s="74"/>
      <c r="K1668" s="74"/>
      <c r="L1668" s="74"/>
      <c r="M1668" s="74"/>
      <c r="N1668" s="74"/>
      <c r="O1668" s="75"/>
      <c r="P1668" s="74"/>
      <c r="Q1668" s="75"/>
      <c r="R1668" s="74"/>
      <c r="S1668" s="74"/>
      <c r="T1668" s="74"/>
      <c r="U1668" s="75"/>
      <c r="V1668" s="74"/>
      <c r="W1668" s="75"/>
      <c r="X1668" s="74"/>
      <c r="Y1668" s="74"/>
      <c r="Z1668" s="74"/>
      <c r="AA1668" s="74"/>
      <c r="AB1668" s="74"/>
      <c r="AC1668" s="74"/>
      <c r="AD1668" s="74"/>
      <c r="AE1668" s="74"/>
      <c r="AF1668" s="74"/>
      <c r="AG1668" s="74"/>
      <c r="AH1668" s="74"/>
    </row>
    <row r="1669" s="73" customFormat="1" spans="1:34">
      <c r="A1669" s="74"/>
      <c r="B1669" s="74"/>
      <c r="C1669" s="74"/>
      <c r="D1669" s="74"/>
      <c r="E1669" s="74"/>
      <c r="F1669" s="74"/>
      <c r="G1669" s="74"/>
      <c r="H1669" s="74"/>
      <c r="I1669" s="74"/>
      <c r="J1669" s="74"/>
      <c r="K1669" s="74"/>
      <c r="L1669" s="74"/>
      <c r="M1669" s="74"/>
      <c r="N1669" s="74"/>
      <c r="O1669" s="75"/>
      <c r="P1669" s="74"/>
      <c r="Q1669" s="75"/>
      <c r="R1669" s="74"/>
      <c r="S1669" s="74"/>
      <c r="T1669" s="74"/>
      <c r="U1669" s="75"/>
      <c r="V1669" s="74"/>
      <c r="W1669" s="75"/>
      <c r="X1669" s="74"/>
      <c r="Y1669" s="74"/>
      <c r="Z1669" s="74"/>
      <c r="AA1669" s="74"/>
      <c r="AB1669" s="74"/>
      <c r="AC1669" s="74"/>
      <c r="AD1669" s="74"/>
      <c r="AE1669" s="74"/>
      <c r="AF1669" s="74"/>
      <c r="AG1669" s="74"/>
      <c r="AH1669" s="74"/>
    </row>
    <row r="1670" s="73" customFormat="1" spans="1:34">
      <c r="A1670" s="74"/>
      <c r="B1670" s="74"/>
      <c r="C1670" s="74"/>
      <c r="D1670" s="74"/>
      <c r="E1670" s="74"/>
      <c r="F1670" s="74"/>
      <c r="G1670" s="74"/>
      <c r="H1670" s="74"/>
      <c r="I1670" s="74"/>
      <c r="J1670" s="74"/>
      <c r="K1670" s="74"/>
      <c r="L1670" s="74"/>
      <c r="M1670" s="74"/>
      <c r="N1670" s="74"/>
      <c r="O1670" s="75"/>
      <c r="P1670" s="74"/>
      <c r="Q1670" s="75"/>
      <c r="R1670" s="74"/>
      <c r="S1670" s="74"/>
      <c r="T1670" s="74"/>
      <c r="U1670" s="75"/>
      <c r="V1670" s="74"/>
      <c r="W1670" s="75"/>
      <c r="X1670" s="74"/>
      <c r="Y1670" s="74"/>
      <c r="Z1670" s="74"/>
      <c r="AA1670" s="74"/>
      <c r="AB1670" s="74"/>
      <c r="AC1670" s="74"/>
      <c r="AD1670" s="74"/>
      <c r="AE1670" s="74"/>
      <c r="AF1670" s="74"/>
      <c r="AG1670" s="74"/>
      <c r="AH1670" s="74"/>
    </row>
    <row r="1671" s="73" customFormat="1" spans="1:34">
      <c r="A1671" s="74"/>
      <c r="B1671" s="74"/>
      <c r="C1671" s="74"/>
      <c r="D1671" s="74"/>
      <c r="E1671" s="74"/>
      <c r="F1671" s="74"/>
      <c r="G1671" s="74"/>
      <c r="H1671" s="74"/>
      <c r="I1671" s="74"/>
      <c r="J1671" s="74"/>
      <c r="K1671" s="74"/>
      <c r="L1671" s="74"/>
      <c r="M1671" s="74"/>
      <c r="N1671" s="74"/>
      <c r="O1671" s="75"/>
      <c r="P1671" s="74"/>
      <c r="Q1671" s="75"/>
      <c r="R1671" s="74"/>
      <c r="S1671" s="74"/>
      <c r="T1671" s="74"/>
      <c r="U1671" s="75"/>
      <c r="V1671" s="74"/>
      <c r="W1671" s="75"/>
      <c r="X1671" s="74"/>
      <c r="Y1671" s="74"/>
      <c r="Z1671" s="74"/>
      <c r="AA1671" s="74"/>
      <c r="AB1671" s="74"/>
      <c r="AC1671" s="74"/>
      <c r="AD1671" s="74"/>
      <c r="AE1671" s="74"/>
      <c r="AF1671" s="74"/>
      <c r="AG1671" s="74"/>
      <c r="AH1671" s="74"/>
    </row>
    <row r="1672" s="73" customFormat="1" spans="1:34">
      <c r="A1672" s="74"/>
      <c r="B1672" s="74"/>
      <c r="C1672" s="74"/>
      <c r="D1672" s="74"/>
      <c r="E1672" s="74"/>
      <c r="F1672" s="74"/>
      <c r="G1672" s="74"/>
      <c r="H1672" s="74"/>
      <c r="I1672" s="74"/>
      <c r="J1672" s="74"/>
      <c r="K1672" s="74"/>
      <c r="L1672" s="74"/>
      <c r="M1672" s="74"/>
      <c r="N1672" s="74"/>
      <c r="O1672" s="75"/>
      <c r="P1672" s="74"/>
      <c r="Q1672" s="75"/>
      <c r="R1672" s="74"/>
      <c r="S1672" s="74"/>
      <c r="T1672" s="74"/>
      <c r="U1672" s="75"/>
      <c r="V1672" s="74"/>
      <c r="W1672" s="75"/>
      <c r="X1672" s="74"/>
      <c r="Y1672" s="74"/>
      <c r="Z1672" s="74"/>
      <c r="AA1672" s="74"/>
      <c r="AB1672" s="74"/>
      <c r="AC1672" s="74"/>
      <c r="AD1672" s="74"/>
      <c r="AE1672" s="74"/>
      <c r="AF1672" s="74"/>
      <c r="AG1672" s="74"/>
      <c r="AH1672" s="74"/>
    </row>
    <row r="1673" s="73" customFormat="1" spans="1:34">
      <c r="A1673" s="74"/>
      <c r="B1673" s="74"/>
      <c r="C1673" s="74"/>
      <c r="D1673" s="74"/>
      <c r="E1673" s="74"/>
      <c r="F1673" s="74"/>
      <c r="G1673" s="74"/>
      <c r="H1673" s="74"/>
      <c r="I1673" s="74"/>
      <c r="J1673" s="74"/>
      <c r="K1673" s="74"/>
      <c r="L1673" s="74"/>
      <c r="M1673" s="74"/>
      <c r="N1673" s="74"/>
      <c r="O1673" s="75"/>
      <c r="P1673" s="74"/>
      <c r="Q1673" s="75"/>
      <c r="R1673" s="74"/>
      <c r="S1673" s="74"/>
      <c r="T1673" s="74"/>
      <c r="U1673" s="75"/>
      <c r="V1673" s="74"/>
      <c r="W1673" s="75"/>
      <c r="X1673" s="74"/>
      <c r="Y1673" s="74"/>
      <c r="Z1673" s="74"/>
      <c r="AA1673" s="74"/>
      <c r="AB1673" s="74"/>
      <c r="AC1673" s="74"/>
      <c r="AD1673" s="74"/>
      <c r="AE1673" s="74"/>
      <c r="AF1673" s="74"/>
      <c r="AG1673" s="74"/>
      <c r="AH1673" s="74"/>
    </row>
    <row r="1674" s="73" customFormat="1" spans="1:34">
      <c r="A1674" s="74"/>
      <c r="B1674" s="74"/>
      <c r="C1674" s="74"/>
      <c r="D1674" s="74"/>
      <c r="E1674" s="74"/>
      <c r="F1674" s="74"/>
      <c r="G1674" s="74"/>
      <c r="H1674" s="74"/>
      <c r="I1674" s="74"/>
      <c r="J1674" s="74"/>
      <c r="K1674" s="74"/>
      <c r="L1674" s="74"/>
      <c r="M1674" s="74"/>
      <c r="N1674" s="74"/>
      <c r="O1674" s="75"/>
      <c r="P1674" s="74"/>
      <c r="Q1674" s="75"/>
      <c r="R1674" s="74"/>
      <c r="S1674" s="74"/>
      <c r="T1674" s="74"/>
      <c r="U1674" s="75"/>
      <c r="V1674" s="74"/>
      <c r="W1674" s="75"/>
      <c r="X1674" s="74"/>
      <c r="Y1674" s="74"/>
      <c r="Z1674" s="74"/>
      <c r="AA1674" s="74"/>
      <c r="AB1674" s="74"/>
      <c r="AC1674" s="74"/>
      <c r="AD1674" s="74"/>
      <c r="AE1674" s="74"/>
      <c r="AF1674" s="74"/>
      <c r="AG1674" s="74"/>
      <c r="AH1674" s="74"/>
    </row>
    <row r="1675" s="73" customFormat="1" spans="1:34">
      <c r="A1675" s="74"/>
      <c r="B1675" s="74"/>
      <c r="C1675" s="74"/>
      <c r="D1675" s="74"/>
      <c r="E1675" s="74"/>
      <c r="F1675" s="74"/>
      <c r="G1675" s="74"/>
      <c r="H1675" s="74"/>
      <c r="I1675" s="74"/>
      <c r="J1675" s="74"/>
      <c r="K1675" s="74"/>
      <c r="L1675" s="74"/>
      <c r="M1675" s="74"/>
      <c r="N1675" s="74"/>
      <c r="O1675" s="75"/>
      <c r="P1675" s="74"/>
      <c r="Q1675" s="75"/>
      <c r="R1675" s="74"/>
      <c r="S1675" s="74"/>
      <c r="T1675" s="74"/>
      <c r="U1675" s="75"/>
      <c r="V1675" s="74"/>
      <c r="W1675" s="75"/>
      <c r="X1675" s="74"/>
      <c r="Y1675" s="74"/>
      <c r="Z1675" s="74"/>
      <c r="AA1675" s="74"/>
      <c r="AB1675" s="74"/>
      <c r="AC1675" s="74"/>
      <c r="AD1675" s="74"/>
      <c r="AE1675" s="74"/>
      <c r="AF1675" s="74"/>
      <c r="AG1675" s="74"/>
      <c r="AH1675" s="74"/>
    </row>
    <row r="1676" s="73" customFormat="1" spans="1:34">
      <c r="A1676" s="74"/>
      <c r="B1676" s="74"/>
      <c r="C1676" s="74"/>
      <c r="D1676" s="74"/>
      <c r="E1676" s="74"/>
      <c r="F1676" s="74"/>
      <c r="G1676" s="74"/>
      <c r="H1676" s="74"/>
      <c r="I1676" s="74"/>
      <c r="J1676" s="74"/>
      <c r="K1676" s="74"/>
      <c r="L1676" s="74"/>
      <c r="M1676" s="74"/>
      <c r="N1676" s="74"/>
      <c r="O1676" s="75"/>
      <c r="P1676" s="74"/>
      <c r="Q1676" s="75"/>
      <c r="R1676" s="74"/>
      <c r="S1676" s="74"/>
      <c r="T1676" s="74"/>
      <c r="U1676" s="75"/>
      <c r="V1676" s="74"/>
      <c r="W1676" s="75"/>
      <c r="X1676" s="74"/>
      <c r="Y1676" s="74"/>
      <c r="Z1676" s="74"/>
      <c r="AA1676" s="74"/>
      <c r="AB1676" s="74"/>
      <c r="AC1676" s="74"/>
      <c r="AD1676" s="74"/>
      <c r="AE1676" s="74"/>
      <c r="AF1676" s="74"/>
      <c r="AG1676" s="74"/>
      <c r="AH1676" s="74"/>
    </row>
    <row r="1677" s="73" customFormat="1" spans="1:34">
      <c r="A1677" s="74"/>
      <c r="B1677" s="74"/>
      <c r="C1677" s="74"/>
      <c r="D1677" s="74"/>
      <c r="E1677" s="74"/>
      <c r="F1677" s="74"/>
      <c r="G1677" s="74"/>
      <c r="H1677" s="74"/>
      <c r="I1677" s="74"/>
      <c r="J1677" s="74"/>
      <c r="K1677" s="74"/>
      <c r="L1677" s="74"/>
      <c r="M1677" s="74"/>
      <c r="N1677" s="74"/>
      <c r="O1677" s="75"/>
      <c r="P1677" s="74"/>
      <c r="Q1677" s="75"/>
      <c r="R1677" s="74"/>
      <c r="S1677" s="74"/>
      <c r="T1677" s="74"/>
      <c r="U1677" s="75"/>
      <c r="V1677" s="74"/>
      <c r="W1677" s="75"/>
      <c r="X1677" s="74"/>
      <c r="Y1677" s="74"/>
      <c r="Z1677" s="74"/>
      <c r="AA1677" s="74"/>
      <c r="AB1677" s="74"/>
      <c r="AC1677" s="74"/>
      <c r="AD1677" s="74"/>
      <c r="AE1677" s="74"/>
      <c r="AF1677" s="74"/>
      <c r="AG1677" s="74"/>
      <c r="AH1677" s="74"/>
    </row>
    <row r="1678" s="73" customFormat="1" spans="1:34">
      <c r="A1678" s="74"/>
      <c r="B1678" s="74"/>
      <c r="C1678" s="74"/>
      <c r="D1678" s="74"/>
      <c r="E1678" s="74"/>
      <c r="F1678" s="74"/>
      <c r="G1678" s="74"/>
      <c r="H1678" s="74"/>
      <c r="I1678" s="74"/>
      <c r="J1678" s="74"/>
      <c r="K1678" s="74"/>
      <c r="L1678" s="74"/>
      <c r="M1678" s="74"/>
      <c r="N1678" s="74"/>
      <c r="O1678" s="75"/>
      <c r="P1678" s="74"/>
      <c r="Q1678" s="75"/>
      <c r="R1678" s="74"/>
      <c r="S1678" s="74"/>
      <c r="T1678" s="74"/>
      <c r="U1678" s="75"/>
      <c r="V1678" s="74"/>
      <c r="W1678" s="75"/>
      <c r="X1678" s="74"/>
      <c r="Y1678" s="74"/>
      <c r="Z1678" s="74"/>
      <c r="AA1678" s="74"/>
      <c r="AB1678" s="74"/>
      <c r="AC1678" s="74"/>
      <c r="AD1678" s="74"/>
      <c r="AE1678" s="74"/>
      <c r="AF1678" s="74"/>
      <c r="AG1678" s="74"/>
      <c r="AH1678" s="74"/>
    </row>
    <row r="1679" s="73" customFormat="1" spans="1:34">
      <c r="A1679" s="74"/>
      <c r="B1679" s="74"/>
      <c r="C1679" s="74"/>
      <c r="D1679" s="74"/>
      <c r="E1679" s="74"/>
      <c r="F1679" s="74"/>
      <c r="G1679" s="74"/>
      <c r="H1679" s="74"/>
      <c r="I1679" s="74"/>
      <c r="J1679" s="74"/>
      <c r="K1679" s="74"/>
      <c r="L1679" s="74"/>
      <c r="M1679" s="74"/>
      <c r="N1679" s="74"/>
      <c r="O1679" s="75"/>
      <c r="P1679" s="74"/>
      <c r="Q1679" s="75"/>
      <c r="R1679" s="74"/>
      <c r="S1679" s="74"/>
      <c r="T1679" s="74"/>
      <c r="U1679" s="75"/>
      <c r="V1679" s="74"/>
      <c r="W1679" s="75"/>
      <c r="X1679" s="74"/>
      <c r="Y1679" s="74"/>
      <c r="Z1679" s="74"/>
      <c r="AA1679" s="74"/>
      <c r="AB1679" s="74"/>
      <c r="AC1679" s="74"/>
      <c r="AD1679" s="74"/>
      <c r="AE1679" s="74"/>
      <c r="AF1679" s="74"/>
      <c r="AG1679" s="74"/>
      <c r="AH1679" s="74"/>
    </row>
    <row r="1680" s="73" customFormat="1" spans="1:34">
      <c r="A1680" s="74"/>
      <c r="B1680" s="74"/>
      <c r="C1680" s="74"/>
      <c r="D1680" s="74"/>
      <c r="E1680" s="74"/>
      <c r="F1680" s="74"/>
      <c r="G1680" s="74"/>
      <c r="H1680" s="74"/>
      <c r="I1680" s="74"/>
      <c r="J1680" s="74"/>
      <c r="K1680" s="74"/>
      <c r="L1680" s="74"/>
      <c r="M1680" s="74"/>
      <c r="N1680" s="74"/>
      <c r="O1680" s="75"/>
      <c r="P1680" s="74"/>
      <c r="Q1680" s="75"/>
      <c r="R1680" s="74"/>
      <c r="S1680" s="74"/>
      <c r="T1680" s="74"/>
      <c r="U1680" s="75"/>
      <c r="V1680" s="74"/>
      <c r="W1680" s="75"/>
      <c r="X1680" s="74"/>
      <c r="Y1680" s="74"/>
      <c r="Z1680" s="74"/>
      <c r="AA1680" s="74"/>
      <c r="AB1680" s="74"/>
      <c r="AC1680" s="74"/>
      <c r="AD1680" s="74"/>
      <c r="AE1680" s="74"/>
      <c r="AF1680" s="74"/>
      <c r="AG1680" s="74"/>
      <c r="AH1680" s="74"/>
    </row>
    <row r="1681" s="73" customFormat="1" spans="1:34">
      <c r="A1681" s="74"/>
      <c r="B1681" s="74"/>
      <c r="C1681" s="74"/>
      <c r="D1681" s="74"/>
      <c r="E1681" s="74"/>
      <c r="F1681" s="74"/>
      <c r="G1681" s="74"/>
      <c r="H1681" s="74"/>
      <c r="I1681" s="74"/>
      <c r="J1681" s="74"/>
      <c r="K1681" s="74"/>
      <c r="L1681" s="74"/>
      <c r="M1681" s="74"/>
      <c r="N1681" s="74"/>
      <c r="O1681" s="75"/>
      <c r="P1681" s="74"/>
      <c r="Q1681" s="75"/>
      <c r="R1681" s="74"/>
      <c r="S1681" s="74"/>
      <c r="T1681" s="74"/>
      <c r="U1681" s="75"/>
      <c r="V1681" s="74"/>
      <c r="W1681" s="75"/>
      <c r="X1681" s="74"/>
      <c r="Y1681" s="74"/>
      <c r="Z1681" s="74"/>
      <c r="AA1681" s="74"/>
      <c r="AB1681" s="74"/>
      <c r="AC1681" s="74"/>
      <c r="AD1681" s="74"/>
      <c r="AE1681" s="74"/>
      <c r="AF1681" s="74"/>
      <c r="AG1681" s="74"/>
      <c r="AH1681" s="74"/>
    </row>
    <row r="1682" s="73" customFormat="1" spans="1:34">
      <c r="A1682" s="74"/>
      <c r="B1682" s="74"/>
      <c r="C1682" s="74"/>
      <c r="D1682" s="74"/>
      <c r="E1682" s="74"/>
      <c r="F1682" s="74"/>
      <c r="G1682" s="74"/>
      <c r="H1682" s="74"/>
      <c r="I1682" s="74"/>
      <c r="J1682" s="74"/>
      <c r="K1682" s="74"/>
      <c r="L1682" s="74"/>
      <c r="M1682" s="74"/>
      <c r="N1682" s="74"/>
      <c r="O1682" s="75"/>
      <c r="P1682" s="74"/>
      <c r="Q1682" s="75"/>
      <c r="R1682" s="74"/>
      <c r="S1682" s="74"/>
      <c r="T1682" s="74"/>
      <c r="U1682" s="75"/>
      <c r="V1682" s="74"/>
      <c r="W1682" s="75"/>
      <c r="X1682" s="74"/>
      <c r="Y1682" s="74"/>
      <c r="Z1682" s="74"/>
      <c r="AA1682" s="74"/>
      <c r="AB1682" s="74"/>
      <c r="AC1682" s="74"/>
      <c r="AD1682" s="74"/>
      <c r="AE1682" s="74"/>
      <c r="AF1682" s="74"/>
      <c r="AG1682" s="74"/>
      <c r="AH1682" s="74"/>
    </row>
    <row r="1683" s="73" customFormat="1" spans="1:34">
      <c r="A1683" s="74"/>
      <c r="B1683" s="74"/>
      <c r="C1683" s="74"/>
      <c r="D1683" s="74"/>
      <c r="E1683" s="74"/>
      <c r="F1683" s="74"/>
      <c r="G1683" s="74"/>
      <c r="H1683" s="74"/>
      <c r="I1683" s="74"/>
      <c r="J1683" s="74"/>
      <c r="K1683" s="74"/>
      <c r="L1683" s="74"/>
      <c r="M1683" s="74"/>
      <c r="N1683" s="74"/>
      <c r="O1683" s="75"/>
      <c r="P1683" s="74"/>
      <c r="Q1683" s="75"/>
      <c r="R1683" s="74"/>
      <c r="S1683" s="74"/>
      <c r="T1683" s="74"/>
      <c r="U1683" s="75"/>
      <c r="V1683" s="74"/>
      <c r="W1683" s="75"/>
      <c r="X1683" s="74"/>
      <c r="Y1683" s="74"/>
      <c r="Z1683" s="74"/>
      <c r="AA1683" s="74"/>
      <c r="AB1683" s="74"/>
      <c r="AC1683" s="74"/>
      <c r="AD1683" s="74"/>
      <c r="AE1683" s="74"/>
      <c r="AF1683" s="74"/>
      <c r="AG1683" s="74"/>
      <c r="AH1683" s="74"/>
    </row>
    <row r="1684" s="73" customFormat="1" spans="1:34">
      <c r="A1684" s="74"/>
      <c r="B1684" s="74"/>
      <c r="C1684" s="74"/>
      <c r="D1684" s="74"/>
      <c r="E1684" s="74"/>
      <c r="F1684" s="74"/>
      <c r="G1684" s="74"/>
      <c r="H1684" s="74"/>
      <c r="I1684" s="74"/>
      <c r="J1684" s="74"/>
      <c r="K1684" s="74"/>
      <c r="L1684" s="74"/>
      <c r="M1684" s="74"/>
      <c r="N1684" s="74"/>
      <c r="O1684" s="75"/>
      <c r="P1684" s="74"/>
      <c r="Q1684" s="75"/>
      <c r="R1684" s="74"/>
      <c r="S1684" s="74"/>
      <c r="T1684" s="74"/>
      <c r="U1684" s="75"/>
      <c r="V1684" s="74"/>
      <c r="W1684" s="75"/>
      <c r="X1684" s="74"/>
      <c r="Y1684" s="74"/>
      <c r="Z1684" s="74"/>
      <c r="AA1684" s="74"/>
      <c r="AB1684" s="74"/>
      <c r="AC1684" s="74"/>
      <c r="AD1684" s="74"/>
      <c r="AE1684" s="74"/>
      <c r="AF1684" s="74"/>
      <c r="AG1684" s="74"/>
      <c r="AH1684" s="74"/>
    </row>
    <row r="1685" s="73" customFormat="1" spans="1:34">
      <c r="A1685" s="74"/>
      <c r="B1685" s="74"/>
      <c r="C1685" s="74"/>
      <c r="D1685" s="74"/>
      <c r="E1685" s="74"/>
      <c r="F1685" s="74"/>
      <c r="G1685" s="74"/>
      <c r="H1685" s="74"/>
      <c r="I1685" s="74"/>
      <c r="J1685" s="74"/>
      <c r="K1685" s="74"/>
      <c r="L1685" s="74"/>
      <c r="M1685" s="74"/>
      <c r="N1685" s="74"/>
      <c r="O1685" s="75"/>
      <c r="P1685" s="74"/>
      <c r="Q1685" s="75"/>
      <c r="R1685" s="74"/>
      <c r="S1685" s="74"/>
      <c r="T1685" s="74"/>
      <c r="U1685" s="75"/>
      <c r="V1685" s="74"/>
      <c r="W1685" s="75"/>
      <c r="X1685" s="74"/>
      <c r="Y1685" s="74"/>
      <c r="Z1685" s="74"/>
      <c r="AA1685" s="74"/>
      <c r="AB1685" s="74"/>
      <c r="AC1685" s="74"/>
      <c r="AD1685" s="74"/>
      <c r="AE1685" s="74"/>
      <c r="AF1685" s="74"/>
      <c r="AG1685" s="74"/>
      <c r="AH1685" s="74"/>
    </row>
    <row r="1686" s="73" customFormat="1" spans="1:34">
      <c r="A1686" s="74"/>
      <c r="B1686" s="74"/>
      <c r="C1686" s="74"/>
      <c r="D1686" s="74"/>
      <c r="E1686" s="74"/>
      <c r="F1686" s="74"/>
      <c r="G1686" s="74"/>
      <c r="H1686" s="74"/>
      <c r="I1686" s="74"/>
      <c r="J1686" s="74"/>
      <c r="K1686" s="74"/>
      <c r="L1686" s="74"/>
      <c r="M1686" s="74"/>
      <c r="N1686" s="74"/>
      <c r="O1686" s="75"/>
      <c r="P1686" s="74"/>
      <c r="Q1686" s="75"/>
      <c r="R1686" s="74"/>
      <c r="S1686" s="74"/>
      <c r="T1686" s="74"/>
      <c r="U1686" s="75"/>
      <c r="V1686" s="74"/>
      <c r="W1686" s="75"/>
      <c r="X1686" s="74"/>
      <c r="Y1686" s="74"/>
      <c r="Z1686" s="74"/>
      <c r="AA1686" s="74"/>
      <c r="AB1686" s="74"/>
      <c r="AC1686" s="74"/>
      <c r="AD1686" s="74"/>
      <c r="AE1686" s="74"/>
      <c r="AF1686" s="74"/>
      <c r="AG1686" s="74"/>
      <c r="AH1686" s="74"/>
    </row>
    <row r="1687" s="73" customFormat="1" spans="1:34">
      <c r="A1687" s="74"/>
      <c r="B1687" s="74"/>
      <c r="C1687" s="74"/>
      <c r="D1687" s="74"/>
      <c r="E1687" s="74"/>
      <c r="F1687" s="74"/>
      <c r="G1687" s="74"/>
      <c r="H1687" s="74"/>
      <c r="I1687" s="74"/>
      <c r="J1687" s="74"/>
      <c r="K1687" s="74"/>
      <c r="L1687" s="74"/>
      <c r="M1687" s="74"/>
      <c r="N1687" s="74"/>
      <c r="O1687" s="75"/>
      <c r="P1687" s="74"/>
      <c r="Q1687" s="75"/>
      <c r="R1687" s="74"/>
      <c r="S1687" s="74"/>
      <c r="T1687" s="74"/>
      <c r="U1687" s="75"/>
      <c r="V1687" s="74"/>
      <c r="W1687" s="75"/>
      <c r="X1687" s="74"/>
      <c r="Y1687" s="74"/>
      <c r="Z1687" s="74"/>
      <c r="AA1687" s="74"/>
      <c r="AB1687" s="74"/>
      <c r="AC1687" s="74"/>
      <c r="AD1687" s="74"/>
      <c r="AE1687" s="74"/>
      <c r="AF1687" s="74"/>
      <c r="AG1687" s="74"/>
      <c r="AH1687" s="74"/>
    </row>
    <row r="1688" s="73" customFormat="1" spans="1:34">
      <c r="A1688" s="74"/>
      <c r="B1688" s="74"/>
      <c r="C1688" s="74"/>
      <c r="D1688" s="74"/>
      <c r="E1688" s="74"/>
      <c r="F1688" s="74"/>
      <c r="G1688" s="74"/>
      <c r="H1688" s="74"/>
      <c r="I1688" s="74"/>
      <c r="J1688" s="74"/>
      <c r="K1688" s="74"/>
      <c r="L1688" s="74"/>
      <c r="M1688" s="74"/>
      <c r="N1688" s="74"/>
      <c r="O1688" s="75"/>
      <c r="P1688" s="74"/>
      <c r="Q1688" s="75"/>
      <c r="R1688" s="74"/>
      <c r="S1688" s="74"/>
      <c r="T1688" s="74"/>
      <c r="U1688" s="75"/>
      <c r="V1688" s="74"/>
      <c r="W1688" s="75"/>
      <c r="X1688" s="74"/>
      <c r="Y1688" s="74"/>
      <c r="Z1688" s="74"/>
      <c r="AA1688" s="74"/>
      <c r="AB1688" s="74"/>
      <c r="AC1688" s="74"/>
      <c r="AD1688" s="74"/>
      <c r="AE1688" s="74"/>
      <c r="AF1688" s="74"/>
      <c r="AG1688" s="74"/>
      <c r="AH1688" s="74"/>
    </row>
    <row r="1689" s="73" customFormat="1" spans="1:34">
      <c r="A1689" s="74"/>
      <c r="B1689" s="74"/>
      <c r="C1689" s="74"/>
      <c r="D1689" s="74"/>
      <c r="E1689" s="74"/>
      <c r="F1689" s="74"/>
      <c r="G1689" s="74"/>
      <c r="H1689" s="74"/>
      <c r="I1689" s="74"/>
      <c r="J1689" s="74"/>
      <c r="K1689" s="74"/>
      <c r="L1689" s="74"/>
      <c r="M1689" s="74"/>
      <c r="N1689" s="74"/>
      <c r="O1689" s="75"/>
      <c r="P1689" s="74"/>
      <c r="Q1689" s="75"/>
      <c r="R1689" s="74"/>
      <c r="S1689" s="74"/>
      <c r="T1689" s="74"/>
      <c r="U1689" s="75"/>
      <c r="V1689" s="74"/>
      <c r="W1689" s="75"/>
      <c r="X1689" s="74"/>
      <c r="Y1689" s="74"/>
      <c r="Z1689" s="74"/>
      <c r="AA1689" s="74"/>
      <c r="AB1689" s="74"/>
      <c r="AC1689" s="74"/>
      <c r="AD1689" s="74"/>
      <c r="AE1689" s="74"/>
      <c r="AF1689" s="74"/>
      <c r="AG1689" s="74"/>
      <c r="AH1689" s="74"/>
    </row>
    <row r="1690" s="73" customFormat="1" spans="1:34">
      <c r="A1690" s="74"/>
      <c r="B1690" s="74"/>
      <c r="C1690" s="74"/>
      <c r="D1690" s="74"/>
      <c r="E1690" s="74"/>
      <c r="F1690" s="74"/>
      <c r="G1690" s="74"/>
      <c r="H1690" s="74"/>
      <c r="I1690" s="74"/>
      <c r="J1690" s="74"/>
      <c r="K1690" s="74"/>
      <c r="L1690" s="74"/>
      <c r="M1690" s="74"/>
      <c r="N1690" s="74"/>
      <c r="O1690" s="75"/>
      <c r="P1690" s="74"/>
      <c r="Q1690" s="75"/>
      <c r="R1690" s="74"/>
      <c r="S1690" s="74"/>
      <c r="T1690" s="74"/>
      <c r="U1690" s="75"/>
      <c r="V1690" s="74"/>
      <c r="W1690" s="75"/>
      <c r="X1690" s="74"/>
      <c r="Y1690" s="74"/>
      <c r="Z1690" s="74"/>
      <c r="AA1690" s="74"/>
      <c r="AB1690" s="74"/>
      <c r="AC1690" s="74"/>
      <c r="AD1690" s="74"/>
      <c r="AE1690" s="74"/>
      <c r="AF1690" s="74"/>
      <c r="AG1690" s="74"/>
      <c r="AH1690" s="74"/>
    </row>
    <row r="1691" s="73" customFormat="1" spans="1:34">
      <c r="A1691" s="74"/>
      <c r="B1691" s="74"/>
      <c r="C1691" s="74"/>
      <c r="D1691" s="74"/>
      <c r="E1691" s="74"/>
      <c r="F1691" s="74"/>
      <c r="G1691" s="74"/>
      <c r="H1691" s="74"/>
      <c r="I1691" s="74"/>
      <c r="J1691" s="74"/>
      <c r="K1691" s="74"/>
      <c r="L1691" s="74"/>
      <c r="M1691" s="74"/>
      <c r="N1691" s="74"/>
      <c r="O1691" s="75"/>
      <c r="P1691" s="74"/>
      <c r="Q1691" s="75"/>
      <c r="R1691" s="74"/>
      <c r="S1691" s="74"/>
      <c r="T1691" s="74"/>
      <c r="U1691" s="75"/>
      <c r="V1691" s="74"/>
      <c r="W1691" s="75"/>
      <c r="X1691" s="74"/>
      <c r="Y1691" s="74"/>
      <c r="Z1691" s="74"/>
      <c r="AA1691" s="74"/>
      <c r="AB1691" s="74"/>
      <c r="AC1691" s="74"/>
      <c r="AD1691" s="74"/>
      <c r="AE1691" s="74"/>
      <c r="AF1691" s="74"/>
      <c r="AG1691" s="74"/>
      <c r="AH1691" s="74"/>
    </row>
    <row r="1692" s="73" customFormat="1" spans="1:34">
      <c r="A1692" s="74"/>
      <c r="B1692" s="74"/>
      <c r="C1692" s="74"/>
      <c r="D1692" s="74"/>
      <c r="E1692" s="74"/>
      <c r="F1692" s="74"/>
      <c r="G1692" s="74"/>
      <c r="H1692" s="74"/>
      <c r="I1692" s="74"/>
      <c r="J1692" s="74"/>
      <c r="K1692" s="74"/>
      <c r="L1692" s="74"/>
      <c r="M1692" s="74"/>
      <c r="N1692" s="74"/>
      <c r="O1692" s="75"/>
      <c r="P1692" s="74"/>
      <c r="Q1692" s="75"/>
      <c r="R1692" s="74"/>
      <c r="S1692" s="74"/>
      <c r="T1692" s="74"/>
      <c r="U1692" s="75"/>
      <c r="V1692" s="74"/>
      <c r="W1692" s="75"/>
      <c r="X1692" s="74"/>
      <c r="Y1692" s="74"/>
      <c r="Z1692" s="74"/>
      <c r="AA1692" s="74"/>
      <c r="AB1692" s="74"/>
      <c r="AC1692" s="74"/>
      <c r="AD1692" s="74"/>
      <c r="AE1692" s="74"/>
      <c r="AF1692" s="74"/>
      <c r="AG1692" s="74"/>
      <c r="AH1692" s="74"/>
    </row>
    <row r="1693" s="73" customFormat="1" spans="1:34">
      <c r="A1693" s="74"/>
      <c r="B1693" s="74"/>
      <c r="C1693" s="74"/>
      <c r="D1693" s="74"/>
      <c r="E1693" s="74"/>
      <c r="F1693" s="74"/>
      <c r="G1693" s="74"/>
      <c r="H1693" s="74"/>
      <c r="I1693" s="74"/>
      <c r="J1693" s="74"/>
      <c r="K1693" s="74"/>
      <c r="L1693" s="74"/>
      <c r="M1693" s="74"/>
      <c r="N1693" s="74"/>
      <c r="O1693" s="75"/>
      <c r="P1693" s="74"/>
      <c r="Q1693" s="75"/>
      <c r="R1693" s="74"/>
      <c r="S1693" s="74"/>
      <c r="T1693" s="74"/>
      <c r="U1693" s="75"/>
      <c r="V1693" s="74"/>
      <c r="W1693" s="75"/>
      <c r="X1693" s="74"/>
      <c r="Y1693" s="74"/>
      <c r="Z1693" s="74"/>
      <c r="AA1693" s="74"/>
      <c r="AB1693" s="74"/>
      <c r="AC1693" s="74"/>
      <c r="AD1693" s="74"/>
      <c r="AE1693" s="74"/>
      <c r="AF1693" s="74"/>
      <c r="AG1693" s="74"/>
      <c r="AH1693" s="74"/>
    </row>
    <row r="1694" s="73" customFormat="1" spans="1:34">
      <c r="A1694" s="74"/>
      <c r="B1694" s="74"/>
      <c r="C1694" s="74"/>
      <c r="D1694" s="74"/>
      <c r="E1694" s="74"/>
      <c r="F1694" s="74"/>
      <c r="G1694" s="74"/>
      <c r="H1694" s="74"/>
      <c r="I1694" s="74"/>
      <c r="J1694" s="74"/>
      <c r="K1694" s="74"/>
      <c r="L1694" s="74"/>
      <c r="M1694" s="74"/>
      <c r="N1694" s="74"/>
      <c r="O1694" s="75"/>
      <c r="P1694" s="74"/>
      <c r="Q1694" s="75"/>
      <c r="R1694" s="74"/>
      <c r="S1694" s="74"/>
      <c r="T1694" s="74"/>
      <c r="U1694" s="75"/>
      <c r="V1694" s="74"/>
      <c r="W1694" s="75"/>
      <c r="X1694" s="74"/>
      <c r="Y1694" s="74"/>
      <c r="Z1694" s="74"/>
      <c r="AA1694" s="74"/>
      <c r="AB1694" s="74"/>
      <c r="AC1694" s="74"/>
      <c r="AD1694" s="74"/>
      <c r="AE1694" s="74"/>
      <c r="AF1694" s="74"/>
      <c r="AG1694" s="74"/>
      <c r="AH1694" s="74"/>
    </row>
    <row r="1695" s="73" customFormat="1" spans="1:34">
      <c r="A1695" s="74"/>
      <c r="B1695" s="74"/>
      <c r="C1695" s="74"/>
      <c r="D1695" s="74"/>
      <c r="E1695" s="74"/>
      <c r="F1695" s="74"/>
      <c r="G1695" s="74"/>
      <c r="H1695" s="74"/>
      <c r="I1695" s="74"/>
      <c r="J1695" s="74"/>
      <c r="K1695" s="74"/>
      <c r="L1695" s="74"/>
      <c r="M1695" s="74"/>
      <c r="N1695" s="74"/>
      <c r="O1695" s="75"/>
      <c r="P1695" s="74"/>
      <c r="Q1695" s="75"/>
      <c r="R1695" s="74"/>
      <c r="S1695" s="74"/>
      <c r="T1695" s="74"/>
      <c r="U1695" s="75"/>
      <c r="V1695" s="74"/>
      <c r="W1695" s="75"/>
      <c r="X1695" s="74"/>
      <c r="Y1695" s="74"/>
      <c r="Z1695" s="74"/>
      <c r="AA1695" s="74"/>
      <c r="AB1695" s="74"/>
      <c r="AC1695" s="74"/>
      <c r="AD1695" s="74"/>
      <c r="AE1695" s="74"/>
      <c r="AF1695" s="74"/>
      <c r="AG1695" s="74"/>
      <c r="AH1695" s="74"/>
    </row>
    <row r="1696" s="73" customFormat="1" spans="1:34">
      <c r="A1696" s="74"/>
      <c r="B1696" s="74"/>
      <c r="C1696" s="74"/>
      <c r="D1696" s="74"/>
      <c r="E1696" s="74"/>
      <c r="F1696" s="74"/>
      <c r="G1696" s="74"/>
      <c r="H1696" s="74"/>
      <c r="I1696" s="74"/>
      <c r="J1696" s="74"/>
      <c r="K1696" s="74"/>
      <c r="L1696" s="74"/>
      <c r="M1696" s="74"/>
      <c r="N1696" s="74"/>
      <c r="O1696" s="75"/>
      <c r="P1696" s="74"/>
      <c r="Q1696" s="75"/>
      <c r="R1696" s="74"/>
      <c r="S1696" s="74"/>
      <c r="T1696" s="74"/>
      <c r="U1696" s="75"/>
      <c r="V1696" s="74"/>
      <c r="W1696" s="75"/>
      <c r="X1696" s="74"/>
      <c r="Y1696" s="74"/>
      <c r="Z1696" s="74"/>
      <c r="AA1696" s="74"/>
      <c r="AB1696" s="74"/>
      <c r="AC1696" s="74"/>
      <c r="AD1696" s="74"/>
      <c r="AE1696" s="74"/>
      <c r="AF1696" s="74"/>
      <c r="AG1696" s="74"/>
      <c r="AH1696" s="74"/>
    </row>
    <row r="1697" s="73" customFormat="1" spans="1:34">
      <c r="A1697" s="74"/>
      <c r="B1697" s="74"/>
      <c r="C1697" s="74"/>
      <c r="D1697" s="74"/>
      <c r="E1697" s="74"/>
      <c r="F1697" s="74"/>
      <c r="G1697" s="74"/>
      <c r="H1697" s="74"/>
      <c r="I1697" s="74"/>
      <c r="J1697" s="74"/>
      <c r="K1697" s="74"/>
      <c r="L1697" s="74"/>
      <c r="M1697" s="74"/>
      <c r="N1697" s="74"/>
      <c r="O1697" s="75"/>
      <c r="P1697" s="74"/>
      <c r="Q1697" s="75"/>
      <c r="R1697" s="74"/>
      <c r="S1697" s="74"/>
      <c r="T1697" s="74"/>
      <c r="U1697" s="75"/>
      <c r="V1697" s="74"/>
      <c r="W1697" s="75"/>
      <c r="X1697" s="74"/>
      <c r="Y1697" s="74"/>
      <c r="Z1697" s="74"/>
      <c r="AA1697" s="74"/>
      <c r="AB1697" s="74"/>
      <c r="AC1697" s="74"/>
      <c r="AD1697" s="74"/>
      <c r="AE1697" s="74"/>
      <c r="AF1697" s="74"/>
      <c r="AG1697" s="74"/>
      <c r="AH1697" s="74"/>
    </row>
    <row r="1698" s="73" customFormat="1" spans="1:34">
      <c r="A1698" s="74"/>
      <c r="B1698" s="74"/>
      <c r="C1698" s="74"/>
      <c r="D1698" s="74"/>
      <c r="E1698" s="74"/>
      <c r="F1698" s="74"/>
      <c r="G1698" s="74"/>
      <c r="H1698" s="74"/>
      <c r="I1698" s="74"/>
      <c r="J1698" s="74"/>
      <c r="K1698" s="74"/>
      <c r="L1698" s="74"/>
      <c r="M1698" s="74"/>
      <c r="N1698" s="74"/>
      <c r="O1698" s="75"/>
      <c r="P1698" s="74"/>
      <c r="Q1698" s="75"/>
      <c r="R1698" s="74"/>
      <c r="S1698" s="74"/>
      <c r="T1698" s="74"/>
      <c r="U1698" s="75"/>
      <c r="V1698" s="74"/>
      <c r="W1698" s="75"/>
      <c r="X1698" s="74"/>
      <c r="Y1698" s="74"/>
      <c r="Z1698" s="74"/>
      <c r="AA1698" s="74"/>
      <c r="AB1698" s="74"/>
      <c r="AC1698" s="74"/>
      <c r="AD1698" s="74"/>
      <c r="AE1698" s="74"/>
      <c r="AF1698" s="74"/>
      <c r="AG1698" s="74"/>
      <c r="AH1698" s="74"/>
    </row>
    <row r="1699" s="73" customFormat="1" spans="1:34">
      <c r="A1699" s="74"/>
      <c r="B1699" s="74"/>
      <c r="C1699" s="74"/>
      <c r="D1699" s="74"/>
      <c r="E1699" s="74"/>
      <c r="F1699" s="74"/>
      <c r="G1699" s="74"/>
      <c r="H1699" s="74"/>
      <c r="I1699" s="74"/>
      <c r="J1699" s="74"/>
      <c r="K1699" s="74"/>
      <c r="L1699" s="74"/>
      <c r="M1699" s="74"/>
      <c r="N1699" s="74"/>
      <c r="O1699" s="75"/>
      <c r="P1699" s="74"/>
      <c r="Q1699" s="75"/>
      <c r="R1699" s="74"/>
      <c r="S1699" s="74"/>
      <c r="T1699" s="74"/>
      <c r="U1699" s="75"/>
      <c r="V1699" s="74"/>
      <c r="W1699" s="75"/>
      <c r="X1699" s="74"/>
      <c r="Y1699" s="74"/>
      <c r="Z1699" s="74"/>
      <c r="AA1699" s="74"/>
      <c r="AB1699" s="74"/>
      <c r="AC1699" s="74"/>
      <c r="AD1699" s="74"/>
      <c r="AE1699" s="74"/>
      <c r="AF1699" s="74"/>
      <c r="AG1699" s="74"/>
      <c r="AH1699" s="74"/>
    </row>
    <row r="1700" s="73" customFormat="1" spans="1:34">
      <c r="A1700" s="74"/>
      <c r="B1700" s="74"/>
      <c r="C1700" s="74"/>
      <c r="D1700" s="74"/>
      <c r="E1700" s="74"/>
      <c r="F1700" s="74"/>
      <c r="G1700" s="74"/>
      <c r="H1700" s="74"/>
      <c r="I1700" s="74"/>
      <c r="J1700" s="74"/>
      <c r="K1700" s="74"/>
      <c r="L1700" s="74"/>
      <c r="M1700" s="74"/>
      <c r="N1700" s="74"/>
      <c r="O1700" s="75"/>
      <c r="P1700" s="74"/>
      <c r="Q1700" s="75"/>
      <c r="R1700" s="74"/>
      <c r="S1700" s="74"/>
      <c r="T1700" s="74"/>
      <c r="U1700" s="75"/>
      <c r="V1700" s="74"/>
      <c r="W1700" s="75"/>
      <c r="X1700" s="74"/>
      <c r="Y1700" s="74"/>
      <c r="Z1700" s="74"/>
      <c r="AA1700" s="74"/>
      <c r="AB1700" s="74"/>
      <c r="AC1700" s="74"/>
      <c r="AD1700" s="74"/>
      <c r="AE1700" s="74"/>
      <c r="AF1700" s="74"/>
      <c r="AG1700" s="74"/>
      <c r="AH1700" s="74"/>
    </row>
    <row r="1701" s="73" customFormat="1" spans="1:34">
      <c r="A1701" s="74"/>
      <c r="B1701" s="74"/>
      <c r="C1701" s="74"/>
      <c r="D1701" s="74"/>
      <c r="E1701" s="74"/>
      <c r="F1701" s="74"/>
      <c r="G1701" s="74"/>
      <c r="H1701" s="74"/>
      <c r="I1701" s="74"/>
      <c r="J1701" s="74"/>
      <c r="K1701" s="74"/>
      <c r="L1701" s="74"/>
      <c r="M1701" s="74"/>
      <c r="N1701" s="74"/>
      <c r="O1701" s="75"/>
      <c r="P1701" s="74"/>
      <c r="Q1701" s="75"/>
      <c r="R1701" s="74"/>
      <c r="S1701" s="74"/>
      <c r="T1701" s="74"/>
      <c r="U1701" s="75"/>
      <c r="V1701" s="74"/>
      <c r="W1701" s="75"/>
      <c r="X1701" s="74"/>
      <c r="Y1701" s="74"/>
      <c r="Z1701" s="74"/>
      <c r="AA1701" s="74"/>
      <c r="AB1701" s="74"/>
      <c r="AC1701" s="74"/>
      <c r="AD1701" s="74"/>
      <c r="AE1701" s="74"/>
      <c r="AF1701" s="74"/>
      <c r="AG1701" s="74"/>
      <c r="AH1701" s="74"/>
    </row>
    <row r="1702" s="73" customFormat="1" spans="1:34">
      <c r="A1702" s="74"/>
      <c r="B1702" s="74"/>
      <c r="C1702" s="74"/>
      <c r="D1702" s="74"/>
      <c r="E1702" s="74"/>
      <c r="F1702" s="74"/>
      <c r="G1702" s="74"/>
      <c r="H1702" s="74"/>
      <c r="I1702" s="74"/>
      <c r="J1702" s="74"/>
      <c r="K1702" s="74"/>
      <c r="L1702" s="74"/>
      <c r="M1702" s="74"/>
      <c r="N1702" s="74"/>
      <c r="O1702" s="75"/>
      <c r="P1702" s="74"/>
      <c r="Q1702" s="75"/>
      <c r="R1702" s="74"/>
      <c r="S1702" s="74"/>
      <c r="T1702" s="74"/>
      <c r="U1702" s="75"/>
      <c r="V1702" s="74"/>
      <c r="W1702" s="75"/>
      <c r="X1702" s="74"/>
      <c r="Y1702" s="74"/>
      <c r="Z1702" s="74"/>
      <c r="AA1702" s="74"/>
      <c r="AB1702" s="74"/>
      <c r="AC1702" s="74"/>
      <c r="AD1702" s="74"/>
      <c r="AE1702" s="74"/>
      <c r="AF1702" s="74"/>
      <c r="AG1702" s="74"/>
      <c r="AH1702" s="74"/>
    </row>
    <row r="1703" s="73" customFormat="1" spans="1:34">
      <c r="A1703" s="74"/>
      <c r="B1703" s="74"/>
      <c r="C1703" s="74"/>
      <c r="D1703" s="74"/>
      <c r="E1703" s="74"/>
      <c r="F1703" s="74"/>
      <c r="G1703" s="74"/>
      <c r="H1703" s="74"/>
      <c r="I1703" s="74"/>
      <c r="J1703" s="74"/>
      <c r="K1703" s="74"/>
      <c r="L1703" s="74"/>
      <c r="M1703" s="74"/>
      <c r="N1703" s="74"/>
      <c r="O1703" s="75"/>
      <c r="P1703" s="74"/>
      <c r="Q1703" s="75"/>
      <c r="R1703" s="74"/>
      <c r="S1703" s="74"/>
      <c r="T1703" s="74"/>
      <c r="U1703" s="75"/>
      <c r="V1703" s="74"/>
      <c r="W1703" s="75"/>
      <c r="X1703" s="74"/>
      <c r="Y1703" s="74"/>
      <c r="Z1703" s="74"/>
      <c r="AA1703" s="74"/>
      <c r="AB1703" s="74"/>
      <c r="AC1703" s="74"/>
      <c r="AD1703" s="74"/>
      <c r="AE1703" s="74"/>
      <c r="AF1703" s="74"/>
      <c r="AG1703" s="74"/>
      <c r="AH1703" s="74"/>
    </row>
    <row r="1704" s="73" customFormat="1" spans="1:34">
      <c r="A1704" s="74"/>
      <c r="B1704" s="74"/>
      <c r="C1704" s="74"/>
      <c r="D1704" s="74"/>
      <c r="E1704" s="74"/>
      <c r="F1704" s="74"/>
      <c r="G1704" s="74"/>
      <c r="H1704" s="74"/>
      <c r="I1704" s="74"/>
      <c r="J1704" s="74"/>
      <c r="K1704" s="74"/>
      <c r="L1704" s="74"/>
      <c r="M1704" s="74"/>
      <c r="N1704" s="74"/>
      <c r="O1704" s="75"/>
      <c r="P1704" s="74"/>
      <c r="Q1704" s="75"/>
      <c r="R1704" s="74"/>
      <c r="S1704" s="74"/>
      <c r="T1704" s="74"/>
      <c r="U1704" s="75"/>
      <c r="V1704" s="74"/>
      <c r="W1704" s="75"/>
      <c r="X1704" s="74"/>
      <c r="Y1704" s="74"/>
      <c r="Z1704" s="74"/>
      <c r="AA1704" s="74"/>
      <c r="AB1704" s="74"/>
      <c r="AC1704" s="74"/>
      <c r="AD1704" s="74"/>
      <c r="AE1704" s="74"/>
      <c r="AF1704" s="74"/>
      <c r="AG1704" s="74"/>
      <c r="AH1704" s="74"/>
    </row>
    <row r="1705" s="73" customFormat="1" spans="1:34">
      <c r="A1705" s="74"/>
      <c r="B1705" s="74"/>
      <c r="C1705" s="74"/>
      <c r="D1705" s="74"/>
      <c r="E1705" s="74"/>
      <c r="F1705" s="74"/>
      <c r="G1705" s="74"/>
      <c r="H1705" s="74"/>
      <c r="I1705" s="74"/>
      <c r="J1705" s="74"/>
      <c r="K1705" s="74"/>
      <c r="L1705" s="74"/>
      <c r="M1705" s="74"/>
      <c r="N1705" s="74"/>
      <c r="O1705" s="75"/>
      <c r="P1705" s="74"/>
      <c r="Q1705" s="75"/>
      <c r="R1705" s="74"/>
      <c r="S1705" s="74"/>
      <c r="T1705" s="74"/>
      <c r="U1705" s="75"/>
      <c r="V1705" s="74"/>
      <c r="W1705" s="75"/>
      <c r="X1705" s="74"/>
      <c r="Y1705" s="74"/>
      <c r="Z1705" s="74"/>
      <c r="AA1705" s="74"/>
      <c r="AB1705" s="74"/>
      <c r="AC1705" s="74"/>
      <c r="AD1705" s="74"/>
      <c r="AE1705" s="74"/>
      <c r="AF1705" s="74"/>
      <c r="AG1705" s="74"/>
      <c r="AH1705" s="74"/>
    </row>
    <row r="1706" s="73" customFormat="1" spans="1:34">
      <c r="A1706" s="74"/>
      <c r="B1706" s="74"/>
      <c r="C1706" s="74"/>
      <c r="D1706" s="74"/>
      <c r="E1706" s="74"/>
      <c r="F1706" s="74"/>
      <c r="G1706" s="74"/>
      <c r="H1706" s="74"/>
      <c r="I1706" s="74"/>
      <c r="J1706" s="74"/>
      <c r="K1706" s="74"/>
      <c r="L1706" s="74"/>
      <c r="M1706" s="74"/>
      <c r="N1706" s="74"/>
      <c r="O1706" s="75"/>
      <c r="P1706" s="74"/>
      <c r="Q1706" s="75"/>
      <c r="R1706" s="74"/>
      <c r="S1706" s="74"/>
      <c r="T1706" s="74"/>
      <c r="U1706" s="75"/>
      <c r="V1706" s="74"/>
      <c r="W1706" s="75"/>
      <c r="X1706" s="74"/>
      <c r="Y1706" s="74"/>
      <c r="Z1706" s="74"/>
      <c r="AA1706" s="74"/>
      <c r="AB1706" s="74"/>
      <c r="AC1706" s="74"/>
      <c r="AD1706" s="74"/>
      <c r="AE1706" s="74"/>
      <c r="AF1706" s="74"/>
      <c r="AG1706" s="74"/>
      <c r="AH1706" s="74"/>
    </row>
    <row r="1707" s="73" customFormat="1" spans="1:34">
      <c r="A1707" s="74"/>
      <c r="B1707" s="74"/>
      <c r="C1707" s="74"/>
      <c r="D1707" s="74"/>
      <c r="E1707" s="74"/>
      <c r="F1707" s="74"/>
      <c r="G1707" s="74"/>
      <c r="H1707" s="74"/>
      <c r="I1707" s="74"/>
      <c r="J1707" s="74"/>
      <c r="K1707" s="74"/>
      <c r="L1707" s="74"/>
      <c r="M1707" s="74"/>
      <c r="N1707" s="74"/>
      <c r="O1707" s="75"/>
      <c r="P1707" s="74"/>
      <c r="Q1707" s="75"/>
      <c r="R1707" s="74"/>
      <c r="S1707" s="74"/>
      <c r="T1707" s="74"/>
      <c r="U1707" s="75"/>
      <c r="V1707" s="74"/>
      <c r="W1707" s="75"/>
      <c r="X1707" s="74"/>
      <c r="Y1707" s="74"/>
      <c r="Z1707" s="74"/>
      <c r="AA1707" s="74"/>
      <c r="AB1707" s="74"/>
      <c r="AC1707" s="74"/>
      <c r="AD1707" s="74"/>
      <c r="AE1707" s="74"/>
      <c r="AF1707" s="74"/>
      <c r="AG1707" s="74"/>
      <c r="AH1707" s="74"/>
    </row>
    <row r="1708" s="73" customFormat="1" spans="1:34">
      <c r="A1708" s="74"/>
      <c r="B1708" s="74"/>
      <c r="C1708" s="74"/>
      <c r="D1708" s="74"/>
      <c r="E1708" s="74"/>
      <c r="F1708" s="74"/>
      <c r="G1708" s="74"/>
      <c r="H1708" s="74"/>
      <c r="I1708" s="74"/>
      <c r="J1708" s="74"/>
      <c r="K1708" s="74"/>
      <c r="L1708" s="74"/>
      <c r="M1708" s="74"/>
      <c r="N1708" s="74"/>
      <c r="O1708" s="75"/>
      <c r="P1708" s="74"/>
      <c r="Q1708" s="75"/>
      <c r="R1708" s="74"/>
      <c r="S1708" s="74"/>
      <c r="T1708" s="74"/>
      <c r="U1708" s="75"/>
      <c r="V1708" s="74"/>
      <c r="W1708" s="75"/>
      <c r="X1708" s="74"/>
      <c r="Y1708" s="74"/>
      <c r="Z1708" s="74"/>
      <c r="AA1708" s="74"/>
      <c r="AB1708" s="74"/>
      <c r="AC1708" s="74"/>
      <c r="AD1708" s="74"/>
      <c r="AE1708" s="74"/>
      <c r="AF1708" s="74"/>
      <c r="AG1708" s="74"/>
      <c r="AH1708" s="74"/>
    </row>
    <row r="1709" s="73" customFormat="1" spans="1:34">
      <c r="A1709" s="74"/>
      <c r="B1709" s="74"/>
      <c r="C1709" s="74"/>
      <c r="D1709" s="74"/>
      <c r="E1709" s="74"/>
      <c r="F1709" s="74"/>
      <c r="G1709" s="74"/>
      <c r="H1709" s="74"/>
      <c r="I1709" s="74"/>
      <c r="J1709" s="74"/>
      <c r="K1709" s="74"/>
      <c r="L1709" s="74"/>
      <c r="M1709" s="74"/>
      <c r="N1709" s="74"/>
      <c r="O1709" s="75"/>
      <c r="P1709" s="74"/>
      <c r="Q1709" s="75"/>
      <c r="R1709" s="74"/>
      <c r="S1709" s="74"/>
      <c r="T1709" s="74"/>
      <c r="U1709" s="75"/>
      <c r="V1709" s="74"/>
      <c r="W1709" s="75"/>
      <c r="X1709" s="74"/>
      <c r="Y1709" s="74"/>
      <c r="Z1709" s="74"/>
      <c r="AA1709" s="74"/>
      <c r="AB1709" s="74"/>
      <c r="AC1709" s="74"/>
      <c r="AD1709" s="74"/>
      <c r="AE1709" s="74"/>
      <c r="AF1709" s="74"/>
      <c r="AG1709" s="74"/>
      <c r="AH1709" s="74"/>
    </row>
    <row r="1710" s="73" customFormat="1" spans="1:34">
      <c r="A1710" s="74"/>
      <c r="B1710" s="74"/>
      <c r="C1710" s="74"/>
      <c r="D1710" s="74"/>
      <c r="E1710" s="74"/>
      <c r="F1710" s="74"/>
      <c r="G1710" s="74"/>
      <c r="H1710" s="74"/>
      <c r="I1710" s="74"/>
      <c r="J1710" s="74"/>
      <c r="K1710" s="74"/>
      <c r="L1710" s="74"/>
      <c r="M1710" s="74"/>
      <c r="N1710" s="74"/>
      <c r="O1710" s="75"/>
      <c r="P1710" s="74"/>
      <c r="Q1710" s="75"/>
      <c r="R1710" s="74"/>
      <c r="S1710" s="74"/>
      <c r="T1710" s="74"/>
      <c r="U1710" s="75"/>
      <c r="V1710" s="74"/>
      <c r="W1710" s="75"/>
      <c r="X1710" s="74"/>
      <c r="Y1710" s="74"/>
      <c r="Z1710" s="74"/>
      <c r="AA1710" s="74"/>
      <c r="AB1710" s="74"/>
      <c r="AC1710" s="74"/>
      <c r="AD1710" s="74"/>
      <c r="AE1710" s="74"/>
      <c r="AF1710" s="74"/>
      <c r="AG1710" s="74"/>
      <c r="AH1710" s="74"/>
    </row>
    <row r="1711" s="73" customFormat="1" spans="1:34">
      <c r="A1711" s="74"/>
      <c r="B1711" s="74"/>
      <c r="C1711" s="74"/>
      <c r="D1711" s="74"/>
      <c r="E1711" s="74"/>
      <c r="F1711" s="74"/>
      <c r="G1711" s="74"/>
      <c r="H1711" s="74"/>
      <c r="I1711" s="74"/>
      <c r="J1711" s="74"/>
      <c r="K1711" s="74"/>
      <c r="L1711" s="74"/>
      <c r="M1711" s="74"/>
      <c r="N1711" s="74"/>
      <c r="O1711" s="75"/>
      <c r="P1711" s="74"/>
      <c r="Q1711" s="75"/>
      <c r="R1711" s="74"/>
      <c r="S1711" s="74"/>
      <c r="T1711" s="74"/>
      <c r="U1711" s="75"/>
      <c r="V1711" s="74"/>
      <c r="W1711" s="75"/>
      <c r="X1711" s="74"/>
      <c r="Y1711" s="74"/>
      <c r="Z1711" s="74"/>
      <c r="AA1711" s="74"/>
      <c r="AB1711" s="74"/>
      <c r="AC1711" s="74"/>
      <c r="AD1711" s="74"/>
      <c r="AE1711" s="74"/>
      <c r="AF1711" s="74"/>
      <c r="AG1711" s="74"/>
      <c r="AH1711" s="74"/>
    </row>
    <row r="1712" s="73" customFormat="1" spans="1:34">
      <c r="A1712" s="74"/>
      <c r="B1712" s="74"/>
      <c r="C1712" s="74"/>
      <c r="D1712" s="74"/>
      <c r="E1712" s="74"/>
      <c r="F1712" s="74"/>
      <c r="G1712" s="74"/>
      <c r="H1712" s="74"/>
      <c r="I1712" s="74"/>
      <c r="J1712" s="74"/>
      <c r="K1712" s="74"/>
      <c r="L1712" s="74"/>
      <c r="M1712" s="74"/>
      <c r="N1712" s="74"/>
      <c r="O1712" s="75"/>
      <c r="P1712" s="74"/>
      <c r="Q1712" s="75"/>
      <c r="R1712" s="74"/>
      <c r="S1712" s="74"/>
      <c r="T1712" s="74"/>
      <c r="U1712" s="75"/>
      <c r="V1712" s="74"/>
      <c r="W1712" s="75"/>
      <c r="X1712" s="74"/>
      <c r="Y1712" s="74"/>
      <c r="Z1712" s="74"/>
      <c r="AA1712" s="74"/>
      <c r="AB1712" s="74"/>
      <c r="AC1712" s="74"/>
      <c r="AD1712" s="74"/>
      <c r="AE1712" s="74"/>
      <c r="AF1712" s="74"/>
      <c r="AG1712" s="74"/>
      <c r="AH1712" s="74"/>
    </row>
    <row r="1713" s="73" customFormat="1" spans="1:34">
      <c r="A1713" s="74"/>
      <c r="B1713" s="74"/>
      <c r="C1713" s="74"/>
      <c r="D1713" s="74"/>
      <c r="E1713" s="74"/>
      <c r="F1713" s="74"/>
      <c r="G1713" s="74"/>
      <c r="H1713" s="74"/>
      <c r="I1713" s="74"/>
      <c r="J1713" s="74"/>
      <c r="K1713" s="74"/>
      <c r="L1713" s="74"/>
      <c r="M1713" s="74"/>
      <c r="N1713" s="74"/>
      <c r="O1713" s="75"/>
      <c r="P1713" s="74"/>
      <c r="Q1713" s="75"/>
      <c r="R1713" s="74"/>
      <c r="S1713" s="74"/>
      <c r="T1713" s="74"/>
      <c r="U1713" s="75"/>
      <c r="V1713" s="74"/>
      <c r="W1713" s="75"/>
      <c r="X1713" s="74"/>
      <c r="Y1713" s="74"/>
      <c r="Z1713" s="74"/>
      <c r="AA1713" s="74"/>
      <c r="AB1713" s="74"/>
      <c r="AC1713" s="74"/>
      <c r="AD1713" s="74"/>
      <c r="AE1713" s="74"/>
      <c r="AF1713" s="74"/>
      <c r="AG1713" s="74"/>
      <c r="AH1713" s="74"/>
    </row>
    <row r="1714" s="73" customFormat="1" spans="1:34">
      <c r="A1714" s="74"/>
      <c r="B1714" s="74"/>
      <c r="C1714" s="74"/>
      <c r="D1714" s="74"/>
      <c r="E1714" s="74"/>
      <c r="F1714" s="74"/>
      <c r="G1714" s="74"/>
      <c r="H1714" s="74"/>
      <c r="I1714" s="74"/>
      <c r="J1714" s="74"/>
      <c r="K1714" s="74"/>
      <c r="L1714" s="74"/>
      <c r="M1714" s="74"/>
      <c r="N1714" s="74"/>
      <c r="O1714" s="75"/>
      <c r="P1714" s="74"/>
      <c r="Q1714" s="75"/>
      <c r="R1714" s="74"/>
      <c r="S1714" s="74"/>
      <c r="T1714" s="74"/>
      <c r="U1714" s="75"/>
      <c r="V1714" s="74"/>
      <c r="W1714" s="75"/>
      <c r="X1714" s="74"/>
      <c r="Y1714" s="74"/>
      <c r="Z1714" s="74"/>
      <c r="AA1714" s="74"/>
      <c r="AB1714" s="74"/>
      <c r="AC1714" s="74"/>
      <c r="AD1714" s="74"/>
      <c r="AE1714" s="74"/>
      <c r="AF1714" s="74"/>
      <c r="AG1714" s="74"/>
      <c r="AH1714" s="74"/>
    </row>
    <row r="1715" s="73" customFormat="1" spans="1:34">
      <c r="A1715" s="74"/>
      <c r="B1715" s="74"/>
      <c r="C1715" s="74"/>
      <c r="D1715" s="74"/>
      <c r="E1715" s="74"/>
      <c r="F1715" s="74"/>
      <c r="G1715" s="74"/>
      <c r="H1715" s="74"/>
      <c r="I1715" s="74"/>
      <c r="J1715" s="74"/>
      <c r="K1715" s="74"/>
      <c r="L1715" s="74"/>
      <c r="M1715" s="74"/>
      <c r="N1715" s="74"/>
      <c r="O1715" s="75"/>
      <c r="P1715" s="74"/>
      <c r="Q1715" s="75"/>
      <c r="R1715" s="74"/>
      <c r="S1715" s="74"/>
      <c r="T1715" s="74"/>
      <c r="U1715" s="75"/>
      <c r="V1715" s="74"/>
      <c r="W1715" s="75"/>
      <c r="X1715" s="74"/>
      <c r="Y1715" s="74"/>
      <c r="Z1715" s="74"/>
      <c r="AA1715" s="74"/>
      <c r="AB1715" s="74"/>
      <c r="AC1715" s="74"/>
      <c r="AD1715" s="74"/>
      <c r="AE1715" s="74"/>
      <c r="AF1715" s="74"/>
      <c r="AG1715" s="74"/>
      <c r="AH1715" s="74"/>
    </row>
    <row r="1716" s="73" customFormat="1" spans="1:34">
      <c r="A1716" s="74"/>
      <c r="B1716" s="74"/>
      <c r="C1716" s="74"/>
      <c r="D1716" s="74"/>
      <c r="E1716" s="74"/>
      <c r="F1716" s="74"/>
      <c r="G1716" s="74"/>
      <c r="H1716" s="74"/>
      <c r="I1716" s="74"/>
      <c r="J1716" s="74"/>
      <c r="K1716" s="74"/>
      <c r="L1716" s="74"/>
      <c r="M1716" s="74"/>
      <c r="N1716" s="74"/>
      <c r="O1716" s="75"/>
      <c r="P1716" s="74"/>
      <c r="Q1716" s="75"/>
      <c r="R1716" s="74"/>
      <c r="S1716" s="74"/>
      <c r="T1716" s="74"/>
      <c r="U1716" s="75"/>
      <c r="V1716" s="74"/>
      <c r="W1716" s="75"/>
      <c r="X1716" s="74"/>
      <c r="Y1716" s="74"/>
      <c r="Z1716" s="74"/>
      <c r="AA1716" s="74"/>
      <c r="AB1716" s="74"/>
      <c r="AC1716" s="74"/>
      <c r="AD1716" s="74"/>
      <c r="AE1716" s="74"/>
      <c r="AF1716" s="74"/>
      <c r="AG1716" s="74"/>
      <c r="AH1716" s="74"/>
    </row>
    <row r="1717" s="73" customFormat="1" spans="1:34">
      <c r="A1717" s="74"/>
      <c r="B1717" s="74"/>
      <c r="C1717" s="74"/>
      <c r="D1717" s="74"/>
      <c r="E1717" s="74"/>
      <c r="F1717" s="74"/>
      <c r="G1717" s="74"/>
      <c r="H1717" s="74"/>
      <c r="I1717" s="74"/>
      <c r="J1717" s="74"/>
      <c r="K1717" s="74"/>
      <c r="L1717" s="74"/>
      <c r="M1717" s="74"/>
      <c r="N1717" s="74"/>
      <c r="O1717" s="75"/>
      <c r="P1717" s="74"/>
      <c r="Q1717" s="75"/>
      <c r="R1717" s="74"/>
      <c r="S1717" s="74"/>
      <c r="T1717" s="74"/>
      <c r="U1717" s="75"/>
      <c r="V1717" s="74"/>
      <c r="W1717" s="75"/>
      <c r="X1717" s="74"/>
      <c r="Y1717" s="74"/>
      <c r="Z1717" s="74"/>
      <c r="AA1717" s="74"/>
      <c r="AB1717" s="74"/>
      <c r="AC1717" s="74"/>
      <c r="AD1717" s="74"/>
      <c r="AE1717" s="74"/>
      <c r="AF1717" s="74"/>
      <c r="AG1717" s="74"/>
      <c r="AH1717" s="74"/>
    </row>
    <row r="1718" s="73" customFormat="1" spans="1:34">
      <c r="A1718" s="74"/>
      <c r="B1718" s="74"/>
      <c r="C1718" s="74"/>
      <c r="D1718" s="74"/>
      <c r="E1718" s="74"/>
      <c r="F1718" s="74"/>
      <c r="G1718" s="74"/>
      <c r="H1718" s="74"/>
      <c r="I1718" s="74"/>
      <c r="J1718" s="74"/>
      <c r="K1718" s="74"/>
      <c r="L1718" s="74"/>
      <c r="M1718" s="74"/>
      <c r="N1718" s="74"/>
      <c r="O1718" s="75"/>
      <c r="P1718" s="74"/>
      <c r="Q1718" s="75"/>
      <c r="R1718" s="74"/>
      <c r="S1718" s="74"/>
      <c r="T1718" s="74"/>
      <c r="U1718" s="75"/>
      <c r="V1718" s="74"/>
      <c r="W1718" s="75"/>
      <c r="X1718" s="74"/>
      <c r="Y1718" s="74"/>
      <c r="Z1718" s="74"/>
      <c r="AA1718" s="74"/>
      <c r="AB1718" s="74"/>
      <c r="AC1718" s="74"/>
      <c r="AD1718" s="74"/>
      <c r="AE1718" s="74"/>
      <c r="AF1718" s="74"/>
      <c r="AG1718" s="74"/>
      <c r="AH1718" s="74"/>
    </row>
    <row r="1719" s="73" customFormat="1" spans="1:34">
      <c r="A1719" s="74"/>
      <c r="B1719" s="74"/>
      <c r="C1719" s="74"/>
      <c r="D1719" s="74"/>
      <c r="E1719" s="74"/>
      <c r="F1719" s="74"/>
      <c r="G1719" s="74"/>
      <c r="H1719" s="74"/>
      <c r="I1719" s="74"/>
      <c r="J1719" s="74"/>
      <c r="K1719" s="74"/>
      <c r="L1719" s="74"/>
      <c r="M1719" s="74"/>
      <c r="N1719" s="74"/>
      <c r="O1719" s="75"/>
      <c r="P1719" s="74"/>
      <c r="Q1719" s="75"/>
      <c r="R1719" s="74"/>
      <c r="S1719" s="74"/>
      <c r="T1719" s="74"/>
      <c r="U1719" s="75"/>
      <c r="V1719" s="74"/>
      <c r="W1719" s="75"/>
      <c r="X1719" s="74"/>
      <c r="Y1719" s="74"/>
      <c r="Z1719" s="74"/>
      <c r="AA1719" s="74"/>
      <c r="AB1719" s="74"/>
      <c r="AC1719" s="74"/>
      <c r="AD1719" s="74"/>
      <c r="AE1719" s="74"/>
      <c r="AF1719" s="74"/>
      <c r="AG1719" s="74"/>
      <c r="AH1719" s="74"/>
    </row>
    <row r="1720" s="73" customFormat="1" spans="1:34">
      <c r="A1720" s="74"/>
      <c r="B1720" s="74"/>
      <c r="C1720" s="74"/>
      <c r="D1720" s="74"/>
      <c r="E1720" s="74"/>
      <c r="F1720" s="74"/>
      <c r="G1720" s="74"/>
      <c r="H1720" s="74"/>
      <c r="I1720" s="74"/>
      <c r="J1720" s="74"/>
      <c r="K1720" s="74"/>
      <c r="L1720" s="74"/>
      <c r="M1720" s="74"/>
      <c r="N1720" s="74"/>
      <c r="O1720" s="75"/>
      <c r="P1720" s="74"/>
      <c r="Q1720" s="75"/>
      <c r="R1720" s="74"/>
      <c r="S1720" s="74"/>
      <c r="T1720" s="74"/>
      <c r="U1720" s="75"/>
      <c r="V1720" s="74"/>
      <c r="W1720" s="75"/>
      <c r="X1720" s="74"/>
      <c r="Y1720" s="74"/>
      <c r="Z1720" s="74"/>
      <c r="AA1720" s="74"/>
      <c r="AB1720" s="74"/>
      <c r="AC1720" s="74"/>
      <c r="AD1720" s="74"/>
      <c r="AE1720" s="74"/>
      <c r="AF1720" s="74"/>
      <c r="AG1720" s="74"/>
      <c r="AH1720" s="74"/>
    </row>
    <row r="1721" s="73" customFormat="1" spans="1:34">
      <c r="A1721" s="74"/>
      <c r="B1721" s="74"/>
      <c r="C1721" s="74"/>
      <c r="D1721" s="74"/>
      <c r="E1721" s="74"/>
      <c r="F1721" s="74"/>
      <c r="G1721" s="74"/>
      <c r="H1721" s="74"/>
      <c r="I1721" s="74"/>
      <c r="J1721" s="74"/>
      <c r="K1721" s="74"/>
      <c r="L1721" s="74"/>
      <c r="M1721" s="74"/>
      <c r="N1721" s="74"/>
      <c r="O1721" s="75"/>
      <c r="P1721" s="74"/>
      <c r="Q1721" s="75"/>
      <c r="R1721" s="74"/>
      <c r="S1721" s="74"/>
      <c r="T1721" s="74"/>
      <c r="U1721" s="75"/>
      <c r="V1721" s="74"/>
      <c r="W1721" s="75"/>
      <c r="X1721" s="74"/>
      <c r="Y1721" s="74"/>
      <c r="Z1721" s="74"/>
      <c r="AA1721" s="74"/>
      <c r="AB1721" s="74"/>
      <c r="AC1721" s="74"/>
      <c r="AD1721" s="74"/>
      <c r="AE1721" s="74"/>
      <c r="AF1721" s="74"/>
      <c r="AG1721" s="74"/>
      <c r="AH1721" s="74"/>
    </row>
    <row r="1722" s="73" customFormat="1" spans="1:34">
      <c r="A1722" s="74"/>
      <c r="B1722" s="74"/>
      <c r="C1722" s="74"/>
      <c r="D1722" s="74"/>
      <c r="E1722" s="74"/>
      <c r="F1722" s="74"/>
      <c r="G1722" s="74"/>
      <c r="H1722" s="74"/>
      <c r="I1722" s="74"/>
      <c r="J1722" s="74"/>
      <c r="K1722" s="74"/>
      <c r="L1722" s="74"/>
      <c r="M1722" s="74"/>
      <c r="N1722" s="74"/>
      <c r="O1722" s="75"/>
      <c r="P1722" s="74"/>
      <c r="Q1722" s="75"/>
      <c r="R1722" s="74"/>
      <c r="S1722" s="74"/>
      <c r="T1722" s="74"/>
      <c r="U1722" s="75"/>
      <c r="V1722" s="74"/>
      <c r="W1722" s="75"/>
      <c r="X1722" s="74"/>
      <c r="Y1722" s="74"/>
      <c r="Z1722" s="74"/>
      <c r="AA1722" s="74"/>
      <c r="AB1722" s="74"/>
      <c r="AC1722" s="74"/>
      <c r="AD1722" s="74"/>
      <c r="AE1722" s="74"/>
      <c r="AF1722" s="74"/>
      <c r="AG1722" s="74"/>
      <c r="AH1722" s="74"/>
    </row>
    <row r="1723" s="73" customFormat="1" spans="1:34">
      <c r="A1723" s="74"/>
      <c r="B1723" s="74"/>
      <c r="C1723" s="74"/>
      <c r="D1723" s="74"/>
      <c r="E1723" s="74"/>
      <c r="F1723" s="74"/>
      <c r="G1723" s="74"/>
      <c r="H1723" s="74"/>
      <c r="I1723" s="74"/>
      <c r="J1723" s="74"/>
      <c r="K1723" s="74"/>
      <c r="L1723" s="74"/>
      <c r="M1723" s="74"/>
      <c r="N1723" s="74"/>
      <c r="O1723" s="75"/>
      <c r="P1723" s="74"/>
      <c r="Q1723" s="75"/>
      <c r="R1723" s="74"/>
      <c r="S1723" s="74"/>
      <c r="T1723" s="74"/>
      <c r="U1723" s="75"/>
      <c r="V1723" s="74"/>
      <c r="W1723" s="75"/>
      <c r="X1723" s="74"/>
      <c r="Y1723" s="74"/>
      <c r="Z1723" s="74"/>
      <c r="AA1723" s="74"/>
      <c r="AB1723" s="74"/>
      <c r="AC1723" s="74"/>
      <c r="AD1723" s="74"/>
      <c r="AE1723" s="74"/>
      <c r="AF1723" s="74"/>
      <c r="AG1723" s="74"/>
      <c r="AH1723" s="74"/>
    </row>
    <row r="1724" s="73" customFormat="1" spans="1:34">
      <c r="A1724" s="74"/>
      <c r="B1724" s="74"/>
      <c r="C1724" s="74"/>
      <c r="D1724" s="74"/>
      <c r="E1724" s="74"/>
      <c r="F1724" s="74"/>
      <c r="G1724" s="74"/>
      <c r="H1724" s="74"/>
      <c r="I1724" s="74"/>
      <c r="J1724" s="74"/>
      <c r="K1724" s="74"/>
      <c r="L1724" s="74"/>
      <c r="M1724" s="74"/>
      <c r="N1724" s="74"/>
      <c r="O1724" s="75"/>
      <c r="P1724" s="74"/>
      <c r="Q1724" s="75"/>
      <c r="R1724" s="74"/>
      <c r="S1724" s="74"/>
      <c r="T1724" s="74"/>
      <c r="U1724" s="75"/>
      <c r="V1724" s="74"/>
      <c r="W1724" s="75"/>
      <c r="X1724" s="74"/>
      <c r="Y1724" s="74"/>
      <c r="Z1724" s="74"/>
      <c r="AA1724" s="74"/>
      <c r="AB1724" s="74"/>
      <c r="AC1724" s="74"/>
      <c r="AD1724" s="74"/>
      <c r="AE1724" s="74"/>
      <c r="AF1724" s="74"/>
      <c r="AG1724" s="74"/>
      <c r="AH1724" s="74"/>
    </row>
    <row r="1725" s="73" customFormat="1" spans="1:34">
      <c r="A1725" s="74"/>
      <c r="B1725" s="74"/>
      <c r="C1725" s="74"/>
      <c r="D1725" s="74"/>
      <c r="E1725" s="74"/>
      <c r="F1725" s="74"/>
      <c r="G1725" s="74"/>
      <c r="H1725" s="74"/>
      <c r="I1725" s="74"/>
      <c r="J1725" s="74"/>
      <c r="K1725" s="74"/>
      <c r="L1725" s="74"/>
      <c r="M1725" s="74"/>
      <c r="N1725" s="74"/>
      <c r="O1725" s="75"/>
      <c r="P1725" s="74"/>
      <c r="Q1725" s="75"/>
      <c r="R1725" s="74"/>
      <c r="S1725" s="74"/>
      <c r="T1725" s="74"/>
      <c r="U1725" s="75"/>
      <c r="V1725" s="74"/>
      <c r="W1725" s="75"/>
      <c r="X1725" s="74"/>
      <c r="Y1725" s="74"/>
      <c r="Z1725" s="74"/>
      <c r="AA1725" s="74"/>
      <c r="AB1725" s="74"/>
      <c r="AC1725" s="74"/>
      <c r="AD1725" s="74"/>
      <c r="AE1725" s="74"/>
      <c r="AF1725" s="74"/>
      <c r="AG1725" s="74"/>
      <c r="AH1725" s="74"/>
    </row>
    <row r="1726" s="73" customFormat="1" spans="1:34">
      <c r="A1726" s="74"/>
      <c r="B1726" s="74"/>
      <c r="C1726" s="74"/>
      <c r="D1726" s="74"/>
      <c r="E1726" s="74"/>
      <c r="F1726" s="74"/>
      <c r="G1726" s="74"/>
      <c r="H1726" s="74"/>
      <c r="I1726" s="74"/>
      <c r="J1726" s="74"/>
      <c r="K1726" s="74"/>
      <c r="L1726" s="74"/>
      <c r="M1726" s="74"/>
      <c r="N1726" s="74"/>
      <c r="O1726" s="75"/>
      <c r="P1726" s="74"/>
      <c r="Q1726" s="75"/>
      <c r="R1726" s="74"/>
      <c r="S1726" s="74"/>
      <c r="T1726" s="74"/>
      <c r="U1726" s="75"/>
      <c r="V1726" s="74"/>
      <c r="W1726" s="75"/>
      <c r="X1726" s="74"/>
      <c r="Y1726" s="74"/>
      <c r="Z1726" s="74"/>
      <c r="AA1726" s="74"/>
      <c r="AB1726" s="74"/>
      <c r="AC1726" s="74"/>
      <c r="AD1726" s="74"/>
      <c r="AE1726" s="74"/>
      <c r="AF1726" s="74"/>
      <c r="AG1726" s="74"/>
      <c r="AH1726" s="74"/>
    </row>
    <row r="1727" s="73" customFormat="1" spans="1:34">
      <c r="A1727" s="74"/>
      <c r="B1727" s="74"/>
      <c r="C1727" s="74"/>
      <c r="D1727" s="74"/>
      <c r="E1727" s="74"/>
      <c r="F1727" s="74"/>
      <c r="G1727" s="74"/>
      <c r="H1727" s="74"/>
      <c r="I1727" s="74"/>
      <c r="J1727" s="74"/>
      <c r="K1727" s="74"/>
      <c r="L1727" s="74"/>
      <c r="M1727" s="74"/>
      <c r="N1727" s="74"/>
      <c r="O1727" s="75"/>
      <c r="P1727" s="74"/>
      <c r="Q1727" s="75"/>
      <c r="R1727" s="74"/>
      <c r="S1727" s="74"/>
      <c r="T1727" s="74"/>
      <c r="U1727" s="75"/>
      <c r="V1727" s="74"/>
      <c r="W1727" s="75"/>
      <c r="X1727" s="74"/>
      <c r="Y1727" s="74"/>
      <c r="Z1727" s="74"/>
      <c r="AA1727" s="74"/>
      <c r="AB1727" s="74"/>
      <c r="AC1727" s="74"/>
      <c r="AD1727" s="74"/>
      <c r="AE1727" s="74"/>
      <c r="AF1727" s="74"/>
      <c r="AG1727" s="74"/>
      <c r="AH1727" s="74"/>
    </row>
    <row r="1728" s="73" customFormat="1" spans="1:34">
      <c r="A1728" s="74"/>
      <c r="B1728" s="74"/>
      <c r="C1728" s="74"/>
      <c r="D1728" s="74"/>
      <c r="E1728" s="74"/>
      <c r="F1728" s="74"/>
      <c r="G1728" s="74"/>
      <c r="H1728" s="74"/>
      <c r="I1728" s="74"/>
      <c r="J1728" s="74"/>
      <c r="K1728" s="74"/>
      <c r="L1728" s="74"/>
      <c r="M1728" s="74"/>
      <c r="N1728" s="74"/>
      <c r="O1728" s="75"/>
      <c r="P1728" s="74"/>
      <c r="Q1728" s="75"/>
      <c r="R1728" s="74"/>
      <c r="S1728" s="74"/>
      <c r="T1728" s="74"/>
      <c r="U1728" s="75"/>
      <c r="V1728" s="74"/>
      <c r="W1728" s="75"/>
      <c r="X1728" s="74"/>
      <c r="Y1728" s="74"/>
      <c r="Z1728" s="74"/>
      <c r="AA1728" s="74"/>
      <c r="AB1728" s="74"/>
      <c r="AC1728" s="74"/>
      <c r="AD1728" s="74"/>
      <c r="AE1728" s="74"/>
      <c r="AF1728" s="74"/>
      <c r="AG1728" s="74"/>
      <c r="AH1728" s="74"/>
    </row>
    <row r="1729" s="73" customFormat="1" spans="1:34">
      <c r="A1729" s="74"/>
      <c r="B1729" s="74"/>
      <c r="C1729" s="74"/>
      <c r="D1729" s="74"/>
      <c r="E1729" s="74"/>
      <c r="F1729" s="74"/>
      <c r="G1729" s="74"/>
      <c r="H1729" s="74"/>
      <c r="I1729" s="74"/>
      <c r="J1729" s="74"/>
      <c r="K1729" s="74"/>
      <c r="L1729" s="74"/>
      <c r="M1729" s="74"/>
      <c r="N1729" s="74"/>
      <c r="O1729" s="75"/>
      <c r="P1729" s="74"/>
      <c r="Q1729" s="75"/>
      <c r="R1729" s="74"/>
      <c r="S1729" s="74"/>
      <c r="T1729" s="74"/>
      <c r="U1729" s="75"/>
      <c r="V1729" s="74"/>
      <c r="W1729" s="75"/>
      <c r="X1729" s="74"/>
      <c r="Y1729" s="74"/>
      <c r="Z1729" s="74"/>
      <c r="AA1729" s="74"/>
      <c r="AB1729" s="74"/>
      <c r="AC1729" s="74"/>
      <c r="AD1729" s="74"/>
      <c r="AE1729" s="74"/>
      <c r="AF1729" s="74"/>
      <c r="AG1729" s="74"/>
      <c r="AH1729" s="74"/>
    </row>
    <row r="1730" s="73" customFormat="1" spans="1:34">
      <c r="A1730" s="74"/>
      <c r="B1730" s="74"/>
      <c r="C1730" s="74"/>
      <c r="D1730" s="74"/>
      <c r="E1730" s="74"/>
      <c r="F1730" s="74"/>
      <c r="G1730" s="74"/>
      <c r="H1730" s="74"/>
      <c r="I1730" s="74"/>
      <c r="J1730" s="74"/>
      <c r="K1730" s="74"/>
      <c r="L1730" s="74"/>
      <c r="M1730" s="74"/>
      <c r="N1730" s="74"/>
      <c r="O1730" s="75"/>
      <c r="P1730" s="74"/>
      <c r="Q1730" s="75"/>
      <c r="R1730" s="74"/>
      <c r="S1730" s="74"/>
      <c r="T1730" s="74"/>
      <c r="U1730" s="75"/>
      <c r="V1730" s="74"/>
      <c r="W1730" s="75"/>
      <c r="X1730" s="74"/>
      <c r="Y1730" s="74"/>
      <c r="Z1730" s="74"/>
      <c r="AA1730" s="74"/>
      <c r="AB1730" s="74"/>
      <c r="AC1730" s="74"/>
      <c r="AD1730" s="74"/>
      <c r="AE1730" s="74"/>
      <c r="AF1730" s="74"/>
      <c r="AG1730" s="74"/>
      <c r="AH1730" s="74"/>
    </row>
    <row r="1731" s="73" customFormat="1" spans="1:34">
      <c r="A1731" s="74"/>
      <c r="B1731" s="74"/>
      <c r="C1731" s="74"/>
      <c r="D1731" s="74"/>
      <c r="E1731" s="74"/>
      <c r="F1731" s="74"/>
      <c r="G1731" s="74"/>
      <c r="H1731" s="74"/>
      <c r="I1731" s="74"/>
      <c r="J1731" s="74"/>
      <c r="K1731" s="74"/>
      <c r="L1731" s="74"/>
      <c r="M1731" s="74"/>
      <c r="N1731" s="74"/>
      <c r="O1731" s="75"/>
      <c r="P1731" s="74"/>
      <c r="Q1731" s="75"/>
      <c r="R1731" s="74"/>
      <c r="S1731" s="74"/>
      <c r="T1731" s="74"/>
      <c r="U1731" s="75"/>
      <c r="V1731" s="74"/>
      <c r="W1731" s="75"/>
      <c r="X1731" s="74"/>
      <c r="Y1731" s="74"/>
      <c r="Z1731" s="74"/>
      <c r="AA1731" s="74"/>
      <c r="AB1731" s="74"/>
      <c r="AC1731" s="74"/>
      <c r="AD1731" s="74"/>
      <c r="AE1731" s="74"/>
      <c r="AF1731" s="74"/>
      <c r="AG1731" s="74"/>
      <c r="AH1731" s="74"/>
    </row>
    <row r="1732" s="73" customFormat="1" spans="1:34">
      <c r="A1732" s="74"/>
      <c r="B1732" s="74"/>
      <c r="C1732" s="74"/>
      <c r="D1732" s="74"/>
      <c r="E1732" s="74"/>
      <c r="F1732" s="74"/>
      <c r="G1732" s="74"/>
      <c r="H1732" s="74"/>
      <c r="I1732" s="74"/>
      <c r="J1732" s="74"/>
      <c r="K1732" s="74"/>
      <c r="L1732" s="74"/>
      <c r="M1732" s="74"/>
      <c r="N1732" s="74"/>
      <c r="O1732" s="75"/>
      <c r="P1732" s="74"/>
      <c r="Q1732" s="75"/>
      <c r="R1732" s="74"/>
      <c r="S1732" s="74"/>
      <c r="T1732" s="74"/>
      <c r="U1732" s="75"/>
      <c r="V1732" s="74"/>
      <c r="W1732" s="75"/>
      <c r="X1732" s="74"/>
      <c r="Y1732" s="74"/>
      <c r="Z1732" s="74"/>
      <c r="AA1732" s="74"/>
      <c r="AB1732" s="74"/>
      <c r="AC1732" s="74"/>
      <c r="AD1732" s="74"/>
      <c r="AE1732" s="74"/>
      <c r="AF1732" s="74"/>
      <c r="AG1732" s="74"/>
      <c r="AH1732" s="74"/>
    </row>
    <row r="1733" s="73" customFormat="1" spans="1:34">
      <c r="A1733" s="74"/>
      <c r="B1733" s="74"/>
      <c r="C1733" s="74"/>
      <c r="D1733" s="74"/>
      <c r="E1733" s="74"/>
      <c r="F1733" s="74"/>
      <c r="G1733" s="74"/>
      <c r="H1733" s="74"/>
      <c r="I1733" s="74"/>
      <c r="J1733" s="74"/>
      <c r="K1733" s="74"/>
      <c r="L1733" s="74"/>
      <c r="M1733" s="74"/>
      <c r="N1733" s="74"/>
      <c r="O1733" s="75"/>
      <c r="P1733" s="74"/>
      <c r="Q1733" s="75"/>
      <c r="R1733" s="74"/>
      <c r="S1733" s="74"/>
      <c r="T1733" s="74"/>
      <c r="U1733" s="75"/>
      <c r="V1733" s="74"/>
      <c r="W1733" s="75"/>
      <c r="X1733" s="74"/>
      <c r="Y1733" s="74"/>
      <c r="Z1733" s="74"/>
      <c r="AA1733" s="74"/>
      <c r="AB1733" s="74"/>
      <c r="AC1733" s="74"/>
      <c r="AD1733" s="74"/>
      <c r="AE1733" s="74"/>
      <c r="AF1733" s="74"/>
      <c r="AG1733" s="74"/>
      <c r="AH1733" s="74"/>
    </row>
    <row r="1734" s="73" customFormat="1" spans="1:34">
      <c r="A1734" s="74"/>
      <c r="B1734" s="74"/>
      <c r="C1734" s="74"/>
      <c r="D1734" s="74"/>
      <c r="E1734" s="74"/>
      <c r="F1734" s="74"/>
      <c r="G1734" s="74"/>
      <c r="H1734" s="74"/>
      <c r="I1734" s="74"/>
      <c r="J1734" s="74"/>
      <c r="K1734" s="74"/>
      <c r="L1734" s="74"/>
      <c r="M1734" s="74"/>
      <c r="N1734" s="74"/>
      <c r="O1734" s="75"/>
      <c r="P1734" s="74"/>
      <c r="Q1734" s="75"/>
      <c r="R1734" s="74"/>
      <c r="S1734" s="74"/>
      <c r="T1734" s="74"/>
      <c r="U1734" s="75"/>
      <c r="V1734" s="74"/>
      <c r="W1734" s="75"/>
      <c r="X1734" s="74"/>
      <c r="Y1734" s="74"/>
      <c r="Z1734" s="74"/>
      <c r="AA1734" s="74"/>
      <c r="AB1734" s="74"/>
      <c r="AC1734" s="74"/>
      <c r="AD1734" s="74"/>
      <c r="AE1734" s="74"/>
      <c r="AF1734" s="74"/>
      <c r="AG1734" s="74"/>
      <c r="AH1734" s="74"/>
    </row>
    <row r="1735" s="73" customFormat="1" spans="1:34">
      <c r="A1735" s="74"/>
      <c r="B1735" s="74"/>
      <c r="C1735" s="74"/>
      <c r="D1735" s="74"/>
      <c r="E1735" s="74"/>
      <c r="F1735" s="74"/>
      <c r="G1735" s="74"/>
      <c r="H1735" s="74"/>
      <c r="I1735" s="74"/>
      <c r="J1735" s="74"/>
      <c r="K1735" s="74"/>
      <c r="L1735" s="74"/>
      <c r="M1735" s="74"/>
      <c r="N1735" s="74"/>
      <c r="O1735" s="75"/>
      <c r="P1735" s="74"/>
      <c r="Q1735" s="75"/>
      <c r="R1735" s="74"/>
      <c r="S1735" s="74"/>
      <c r="T1735" s="74"/>
      <c r="U1735" s="75"/>
      <c r="V1735" s="74"/>
      <c r="W1735" s="75"/>
      <c r="X1735" s="74"/>
      <c r="Y1735" s="74"/>
      <c r="Z1735" s="74"/>
      <c r="AA1735" s="74"/>
      <c r="AB1735" s="74"/>
      <c r="AC1735" s="74"/>
      <c r="AD1735" s="74"/>
      <c r="AE1735" s="74"/>
      <c r="AF1735" s="74"/>
      <c r="AG1735" s="74"/>
      <c r="AH1735" s="74"/>
    </row>
    <row r="1736" s="73" customFormat="1" spans="1:34">
      <c r="A1736" s="74"/>
      <c r="B1736" s="74"/>
      <c r="C1736" s="74"/>
      <c r="D1736" s="74"/>
      <c r="E1736" s="74"/>
      <c r="F1736" s="74"/>
      <c r="G1736" s="74"/>
      <c r="H1736" s="74"/>
      <c r="I1736" s="74"/>
      <c r="J1736" s="74"/>
      <c r="K1736" s="74"/>
      <c r="L1736" s="74"/>
      <c r="M1736" s="74"/>
      <c r="N1736" s="74"/>
      <c r="O1736" s="75"/>
      <c r="P1736" s="74"/>
      <c r="Q1736" s="75"/>
      <c r="R1736" s="74"/>
      <c r="S1736" s="74"/>
      <c r="T1736" s="74"/>
      <c r="U1736" s="75"/>
      <c r="V1736" s="74"/>
      <c r="W1736" s="75"/>
      <c r="X1736" s="74"/>
      <c r="Y1736" s="74"/>
      <c r="Z1736" s="74"/>
      <c r="AA1736" s="74"/>
      <c r="AB1736" s="74"/>
      <c r="AC1736" s="74"/>
      <c r="AD1736" s="74"/>
      <c r="AE1736" s="74"/>
      <c r="AF1736" s="74"/>
      <c r="AG1736" s="74"/>
      <c r="AH1736" s="74"/>
    </row>
    <row r="1737" s="73" customFormat="1" spans="1:34">
      <c r="A1737" s="74"/>
      <c r="B1737" s="74"/>
      <c r="C1737" s="74"/>
      <c r="D1737" s="74"/>
      <c r="E1737" s="74"/>
      <c r="F1737" s="74"/>
      <c r="G1737" s="74"/>
      <c r="H1737" s="74"/>
      <c r="I1737" s="74"/>
      <c r="J1737" s="74"/>
      <c r="K1737" s="74"/>
      <c r="L1737" s="74"/>
      <c r="M1737" s="74"/>
      <c r="N1737" s="74"/>
      <c r="O1737" s="75"/>
      <c r="P1737" s="74"/>
      <c r="Q1737" s="75"/>
      <c r="R1737" s="74"/>
      <c r="S1737" s="74"/>
      <c r="T1737" s="74"/>
      <c r="U1737" s="75"/>
      <c r="V1737" s="74"/>
      <c r="W1737" s="75"/>
      <c r="X1737" s="74"/>
      <c r="Y1737" s="74"/>
      <c r="Z1737" s="74"/>
      <c r="AA1737" s="74"/>
      <c r="AB1737" s="74"/>
      <c r="AC1737" s="74"/>
      <c r="AD1737" s="74"/>
      <c r="AE1737" s="74"/>
      <c r="AF1737" s="74"/>
      <c r="AG1737" s="74"/>
      <c r="AH1737" s="74"/>
    </row>
    <row r="1738" s="73" customFormat="1" spans="1:34">
      <c r="A1738" s="74"/>
      <c r="B1738" s="74"/>
      <c r="C1738" s="74"/>
      <c r="D1738" s="74"/>
      <c r="E1738" s="74"/>
      <c r="F1738" s="74"/>
      <c r="G1738" s="74"/>
      <c r="H1738" s="74"/>
      <c r="I1738" s="74"/>
      <c r="J1738" s="74"/>
      <c r="K1738" s="74"/>
      <c r="L1738" s="74"/>
      <c r="M1738" s="74"/>
      <c r="N1738" s="74"/>
      <c r="O1738" s="75"/>
      <c r="P1738" s="74"/>
      <c r="Q1738" s="75"/>
      <c r="R1738" s="74"/>
      <c r="S1738" s="74"/>
      <c r="T1738" s="74"/>
      <c r="U1738" s="75"/>
      <c r="V1738" s="74"/>
      <c r="W1738" s="75"/>
      <c r="X1738" s="74"/>
      <c r="Y1738" s="74"/>
      <c r="Z1738" s="74"/>
      <c r="AA1738" s="74"/>
      <c r="AB1738" s="74"/>
      <c r="AC1738" s="74"/>
      <c r="AD1738" s="74"/>
      <c r="AE1738" s="74"/>
      <c r="AF1738" s="74"/>
      <c r="AG1738" s="74"/>
      <c r="AH1738" s="74"/>
    </row>
    <row r="1739" s="73" customFormat="1" spans="1:34">
      <c r="A1739" s="74"/>
      <c r="B1739" s="74"/>
      <c r="C1739" s="74"/>
      <c r="D1739" s="74"/>
      <c r="E1739" s="74"/>
      <c r="F1739" s="74"/>
      <c r="G1739" s="74"/>
      <c r="H1739" s="74"/>
      <c r="I1739" s="74"/>
      <c r="J1739" s="74"/>
      <c r="K1739" s="74"/>
      <c r="L1739" s="74"/>
      <c r="M1739" s="74"/>
      <c r="N1739" s="74"/>
      <c r="O1739" s="75"/>
      <c r="P1739" s="74"/>
      <c r="Q1739" s="75"/>
      <c r="R1739" s="74"/>
      <c r="S1739" s="74"/>
      <c r="T1739" s="74"/>
      <c r="U1739" s="75"/>
      <c r="V1739" s="74"/>
      <c r="W1739" s="75"/>
      <c r="X1739" s="74"/>
      <c r="Y1739" s="74"/>
      <c r="Z1739" s="74"/>
      <c r="AA1739" s="74"/>
      <c r="AB1739" s="74"/>
      <c r="AC1739" s="74"/>
      <c r="AD1739" s="74"/>
      <c r="AE1739" s="74"/>
      <c r="AF1739" s="74"/>
      <c r="AG1739" s="74"/>
      <c r="AH1739" s="74"/>
    </row>
    <row r="1740" s="73" customFormat="1" spans="1:34">
      <c r="A1740" s="74"/>
      <c r="B1740" s="74"/>
      <c r="C1740" s="74"/>
      <c r="D1740" s="74"/>
      <c r="E1740" s="74"/>
      <c r="F1740" s="74"/>
      <c r="G1740" s="74"/>
      <c r="H1740" s="74"/>
      <c r="I1740" s="74"/>
      <c r="J1740" s="74"/>
      <c r="K1740" s="74"/>
      <c r="L1740" s="74"/>
      <c r="M1740" s="74"/>
      <c r="N1740" s="74"/>
      <c r="O1740" s="75"/>
      <c r="P1740" s="74"/>
      <c r="Q1740" s="75"/>
      <c r="R1740" s="74"/>
      <c r="S1740" s="74"/>
      <c r="T1740" s="74"/>
      <c r="U1740" s="75"/>
      <c r="V1740" s="74"/>
      <c r="W1740" s="75"/>
      <c r="X1740" s="74"/>
      <c r="Y1740" s="74"/>
      <c r="Z1740" s="74"/>
      <c r="AA1740" s="74"/>
      <c r="AB1740" s="74"/>
      <c r="AC1740" s="74"/>
      <c r="AD1740" s="74"/>
      <c r="AE1740" s="74"/>
      <c r="AF1740" s="74"/>
      <c r="AG1740" s="74"/>
      <c r="AH1740" s="74"/>
    </row>
    <row r="1741" s="73" customFormat="1" spans="1:34">
      <c r="A1741" s="74"/>
      <c r="B1741" s="74"/>
      <c r="C1741" s="74"/>
      <c r="D1741" s="74"/>
      <c r="E1741" s="74"/>
      <c r="F1741" s="74"/>
      <c r="G1741" s="74"/>
      <c r="H1741" s="74"/>
      <c r="I1741" s="74"/>
      <c r="J1741" s="74"/>
      <c r="K1741" s="74"/>
      <c r="L1741" s="74"/>
      <c r="M1741" s="74"/>
      <c r="N1741" s="74"/>
      <c r="O1741" s="75"/>
      <c r="P1741" s="74"/>
      <c r="Q1741" s="75"/>
      <c r="R1741" s="74"/>
      <c r="S1741" s="74"/>
      <c r="T1741" s="74"/>
      <c r="U1741" s="75"/>
      <c r="V1741" s="74"/>
      <c r="W1741" s="75"/>
      <c r="X1741" s="74"/>
      <c r="Y1741" s="74"/>
      <c r="Z1741" s="74"/>
      <c r="AA1741" s="74"/>
      <c r="AB1741" s="74"/>
      <c r="AC1741" s="74"/>
      <c r="AD1741" s="74"/>
      <c r="AE1741" s="74"/>
      <c r="AF1741" s="74"/>
      <c r="AG1741" s="74"/>
      <c r="AH1741" s="74"/>
    </row>
    <row r="1742" s="73" customFormat="1" spans="1:34">
      <c r="A1742" s="74"/>
      <c r="B1742" s="74"/>
      <c r="C1742" s="74"/>
      <c r="D1742" s="74"/>
      <c r="E1742" s="74"/>
      <c r="F1742" s="74"/>
      <c r="G1742" s="74"/>
      <c r="H1742" s="74"/>
      <c r="I1742" s="74"/>
      <c r="J1742" s="74"/>
      <c r="K1742" s="74"/>
      <c r="L1742" s="74"/>
      <c r="M1742" s="74"/>
      <c r="N1742" s="74"/>
      <c r="O1742" s="75"/>
      <c r="P1742" s="74"/>
      <c r="Q1742" s="75"/>
      <c r="R1742" s="74"/>
      <c r="S1742" s="74"/>
      <c r="T1742" s="74"/>
      <c r="U1742" s="75"/>
      <c r="V1742" s="74"/>
      <c r="W1742" s="75"/>
      <c r="X1742" s="74"/>
      <c r="Y1742" s="74"/>
      <c r="Z1742" s="74"/>
      <c r="AA1742" s="74"/>
      <c r="AB1742" s="74"/>
      <c r="AC1742" s="74"/>
      <c r="AD1742" s="74"/>
      <c r="AE1742" s="74"/>
      <c r="AF1742" s="74"/>
      <c r="AG1742" s="74"/>
      <c r="AH1742" s="74"/>
    </row>
    <row r="1743" s="73" customFormat="1" spans="1:34">
      <c r="A1743" s="74"/>
      <c r="B1743" s="74"/>
      <c r="C1743" s="74"/>
      <c r="D1743" s="74"/>
      <c r="E1743" s="74"/>
      <c r="F1743" s="74"/>
      <c r="G1743" s="74"/>
      <c r="H1743" s="74"/>
      <c r="I1743" s="74"/>
      <c r="J1743" s="74"/>
      <c r="K1743" s="74"/>
      <c r="L1743" s="74"/>
      <c r="M1743" s="74"/>
      <c r="N1743" s="74"/>
      <c r="O1743" s="75"/>
      <c r="P1743" s="74"/>
      <c r="Q1743" s="75"/>
      <c r="R1743" s="74"/>
      <c r="S1743" s="74"/>
      <c r="T1743" s="74"/>
      <c r="U1743" s="75"/>
      <c r="V1743" s="74"/>
      <c r="W1743" s="75"/>
      <c r="X1743" s="74"/>
      <c r="Y1743" s="74"/>
      <c r="Z1743" s="74"/>
      <c r="AA1743" s="74"/>
      <c r="AB1743" s="74"/>
      <c r="AC1743" s="74"/>
      <c r="AD1743" s="74"/>
      <c r="AE1743" s="74"/>
      <c r="AF1743" s="74"/>
      <c r="AG1743" s="74"/>
      <c r="AH1743" s="74"/>
    </row>
    <row r="1744" s="73" customFormat="1" spans="1:34">
      <c r="A1744" s="74"/>
      <c r="B1744" s="74"/>
      <c r="C1744" s="74"/>
      <c r="D1744" s="74"/>
      <c r="E1744" s="74"/>
      <c r="F1744" s="74"/>
      <c r="G1744" s="74"/>
      <c r="H1744" s="74"/>
      <c r="I1744" s="74"/>
      <c r="J1744" s="74"/>
      <c r="K1744" s="74"/>
      <c r="L1744" s="74"/>
      <c r="M1744" s="74"/>
      <c r="N1744" s="74"/>
      <c r="O1744" s="75"/>
      <c r="P1744" s="74"/>
      <c r="Q1744" s="75"/>
      <c r="R1744" s="74"/>
      <c r="S1744" s="74"/>
      <c r="T1744" s="74"/>
      <c r="U1744" s="75"/>
      <c r="V1744" s="74"/>
      <c r="W1744" s="75"/>
      <c r="X1744" s="74"/>
      <c r="Y1744" s="74"/>
      <c r="Z1744" s="74"/>
      <c r="AA1744" s="74"/>
      <c r="AB1744" s="74"/>
      <c r="AC1744" s="74"/>
      <c r="AD1744" s="74"/>
      <c r="AE1744" s="74"/>
      <c r="AF1744" s="74"/>
      <c r="AG1744" s="74"/>
      <c r="AH1744" s="74"/>
    </row>
    <row r="1745" s="73" customFormat="1" spans="1:34">
      <c r="A1745" s="74"/>
      <c r="B1745" s="74"/>
      <c r="C1745" s="74"/>
      <c r="D1745" s="74"/>
      <c r="E1745" s="74"/>
      <c r="F1745" s="74"/>
      <c r="G1745" s="74"/>
      <c r="H1745" s="74"/>
      <c r="I1745" s="74"/>
      <c r="J1745" s="74"/>
      <c r="K1745" s="74"/>
      <c r="L1745" s="74"/>
      <c r="M1745" s="74"/>
      <c r="N1745" s="74"/>
      <c r="O1745" s="75"/>
      <c r="P1745" s="74"/>
      <c r="Q1745" s="75"/>
      <c r="R1745" s="74"/>
      <c r="S1745" s="74"/>
      <c r="T1745" s="74"/>
      <c r="U1745" s="75"/>
      <c r="V1745" s="74"/>
      <c r="W1745" s="75"/>
      <c r="X1745" s="74"/>
      <c r="Y1745" s="74"/>
      <c r="Z1745" s="74"/>
      <c r="AA1745" s="74"/>
      <c r="AB1745" s="74"/>
      <c r="AC1745" s="74"/>
      <c r="AD1745" s="74"/>
      <c r="AE1745" s="74"/>
      <c r="AF1745" s="74"/>
      <c r="AG1745" s="74"/>
      <c r="AH1745" s="74"/>
    </row>
    <row r="1746" s="73" customFormat="1" spans="1:34">
      <c r="A1746" s="74"/>
      <c r="B1746" s="74"/>
      <c r="C1746" s="74"/>
      <c r="D1746" s="74"/>
      <c r="E1746" s="74"/>
      <c r="F1746" s="74"/>
      <c r="G1746" s="74"/>
      <c r="H1746" s="74"/>
      <c r="I1746" s="74"/>
      <c r="J1746" s="74"/>
      <c r="K1746" s="74"/>
      <c r="L1746" s="74"/>
      <c r="M1746" s="74"/>
      <c r="N1746" s="74"/>
      <c r="O1746" s="75"/>
      <c r="P1746" s="74"/>
      <c r="Q1746" s="75"/>
      <c r="R1746" s="74"/>
      <c r="S1746" s="74"/>
      <c r="T1746" s="74"/>
      <c r="U1746" s="75"/>
      <c r="V1746" s="74"/>
      <c r="W1746" s="75"/>
      <c r="X1746" s="74"/>
      <c r="Y1746" s="74"/>
      <c r="Z1746" s="74"/>
      <c r="AA1746" s="74"/>
      <c r="AB1746" s="74"/>
      <c r="AC1746" s="74"/>
      <c r="AD1746" s="74"/>
      <c r="AE1746" s="74"/>
      <c r="AF1746" s="74"/>
      <c r="AG1746" s="74"/>
      <c r="AH1746" s="74"/>
    </row>
    <row r="1748" s="73" customFormat="1" spans="1:34">
      <c r="A1748" s="74"/>
      <c r="B1748" s="74"/>
      <c r="C1748" s="74"/>
      <c r="D1748" s="74"/>
      <c r="E1748" s="74"/>
      <c r="F1748" s="74"/>
      <c r="G1748" s="74"/>
      <c r="H1748" s="74"/>
      <c r="I1748" s="74"/>
      <c r="J1748" s="74"/>
      <c r="K1748" s="74"/>
      <c r="L1748" s="74"/>
      <c r="M1748" s="74"/>
      <c r="N1748" s="74"/>
      <c r="O1748" s="75"/>
      <c r="P1748" s="74"/>
      <c r="Q1748" s="75"/>
      <c r="R1748" s="74"/>
      <c r="S1748" s="74"/>
      <c r="T1748" s="74"/>
      <c r="U1748" s="75"/>
      <c r="V1748" s="74"/>
      <c r="W1748" s="75"/>
      <c r="X1748" s="74"/>
      <c r="Y1748" s="74"/>
      <c r="Z1748" s="74"/>
      <c r="AA1748" s="74"/>
      <c r="AB1748" s="74"/>
      <c r="AC1748" s="74"/>
      <c r="AD1748" s="74"/>
      <c r="AE1748" s="74"/>
      <c r="AF1748" s="74"/>
      <c r="AG1748" s="74"/>
      <c r="AH1748" s="74"/>
    </row>
    <row r="1749" s="73" customFormat="1" spans="1:34">
      <c r="A1749" s="74"/>
      <c r="B1749" s="74"/>
      <c r="C1749" s="74"/>
      <c r="D1749" s="74"/>
      <c r="E1749" s="74"/>
      <c r="F1749" s="74"/>
      <c r="G1749" s="74"/>
      <c r="H1749" s="74"/>
      <c r="I1749" s="74"/>
      <c r="J1749" s="74"/>
      <c r="K1749" s="74"/>
      <c r="L1749" s="74"/>
      <c r="M1749" s="74"/>
      <c r="N1749" s="74"/>
      <c r="O1749" s="75"/>
      <c r="P1749" s="74"/>
      <c r="Q1749" s="75"/>
      <c r="R1749" s="74"/>
      <c r="S1749" s="74"/>
      <c r="T1749" s="74"/>
      <c r="U1749" s="75"/>
      <c r="V1749" s="74"/>
      <c r="W1749" s="75"/>
      <c r="X1749" s="74"/>
      <c r="Y1749" s="74"/>
      <c r="Z1749" s="74"/>
      <c r="AA1749" s="74"/>
      <c r="AB1749" s="74"/>
      <c r="AC1749" s="74"/>
      <c r="AD1749" s="74"/>
      <c r="AE1749" s="74"/>
      <c r="AF1749" s="74"/>
      <c r="AG1749" s="74"/>
      <c r="AH1749" s="74"/>
    </row>
    <row r="1750" s="73" customFormat="1" spans="1:34">
      <c r="A1750" s="74"/>
      <c r="B1750" s="74"/>
      <c r="C1750" s="74"/>
      <c r="D1750" s="74"/>
      <c r="E1750" s="74"/>
      <c r="F1750" s="74"/>
      <c r="G1750" s="74"/>
      <c r="H1750" s="74"/>
      <c r="I1750" s="74"/>
      <c r="J1750" s="74"/>
      <c r="K1750" s="74"/>
      <c r="L1750" s="74"/>
      <c r="M1750" s="74"/>
      <c r="N1750" s="74"/>
      <c r="O1750" s="75"/>
      <c r="P1750" s="74"/>
      <c r="Q1750" s="75"/>
      <c r="R1750" s="74"/>
      <c r="S1750" s="74"/>
      <c r="T1750" s="74"/>
      <c r="U1750" s="75"/>
      <c r="V1750" s="74"/>
      <c r="W1750" s="75"/>
      <c r="X1750" s="74"/>
      <c r="Y1750" s="74"/>
      <c r="Z1750" s="74"/>
      <c r="AA1750" s="74"/>
      <c r="AB1750" s="74"/>
      <c r="AC1750" s="74"/>
      <c r="AD1750" s="74"/>
      <c r="AE1750" s="74"/>
      <c r="AF1750" s="74"/>
      <c r="AG1750" s="74"/>
      <c r="AH1750" s="74"/>
    </row>
    <row r="1751" s="73" customFormat="1" spans="1:34">
      <c r="A1751" s="74"/>
      <c r="B1751" s="74"/>
      <c r="C1751" s="74"/>
      <c r="D1751" s="74"/>
      <c r="E1751" s="74"/>
      <c r="F1751" s="74"/>
      <c r="G1751" s="74"/>
      <c r="H1751" s="74"/>
      <c r="I1751" s="74"/>
      <c r="J1751" s="74"/>
      <c r="K1751" s="74"/>
      <c r="L1751" s="74"/>
      <c r="M1751" s="74"/>
      <c r="N1751" s="74"/>
      <c r="O1751" s="75"/>
      <c r="P1751" s="74"/>
      <c r="Q1751" s="75"/>
      <c r="R1751" s="74"/>
      <c r="S1751" s="74"/>
      <c r="T1751" s="74"/>
      <c r="U1751" s="75"/>
      <c r="V1751" s="74"/>
      <c r="W1751" s="75"/>
      <c r="X1751" s="74"/>
      <c r="Y1751" s="74"/>
      <c r="Z1751" s="74"/>
      <c r="AA1751" s="74"/>
      <c r="AB1751" s="74"/>
      <c r="AC1751" s="74"/>
      <c r="AD1751" s="74"/>
      <c r="AE1751" s="74"/>
      <c r="AF1751" s="74"/>
      <c r="AG1751" s="74"/>
      <c r="AH1751" s="74"/>
    </row>
    <row r="1752" s="73" customFormat="1" spans="1:34">
      <c r="A1752" s="74"/>
      <c r="B1752" s="74"/>
      <c r="C1752" s="74"/>
      <c r="D1752" s="74"/>
      <c r="E1752" s="74"/>
      <c r="F1752" s="74"/>
      <c r="G1752" s="74"/>
      <c r="H1752" s="74"/>
      <c r="I1752" s="74"/>
      <c r="J1752" s="74"/>
      <c r="K1752" s="74"/>
      <c r="L1752" s="74"/>
      <c r="M1752" s="74"/>
      <c r="N1752" s="74"/>
      <c r="O1752" s="75"/>
      <c r="P1752" s="74"/>
      <c r="Q1752" s="75"/>
      <c r="R1752" s="74"/>
      <c r="S1752" s="74"/>
      <c r="T1752" s="74"/>
      <c r="U1752" s="75"/>
      <c r="V1752" s="74"/>
      <c r="W1752" s="75"/>
      <c r="X1752" s="74"/>
      <c r="Y1752" s="74"/>
      <c r="Z1752" s="74"/>
      <c r="AA1752" s="74"/>
      <c r="AB1752" s="74"/>
      <c r="AC1752" s="74"/>
      <c r="AD1752" s="74"/>
      <c r="AE1752" s="74"/>
      <c r="AF1752" s="74"/>
      <c r="AG1752" s="74"/>
      <c r="AH1752" s="74"/>
    </row>
    <row r="1753" s="73" customFormat="1" spans="1:34">
      <c r="A1753" s="74"/>
      <c r="B1753" s="74"/>
      <c r="C1753" s="74"/>
      <c r="D1753" s="74"/>
      <c r="E1753" s="74"/>
      <c r="F1753" s="74"/>
      <c r="G1753" s="74"/>
      <c r="H1753" s="74"/>
      <c r="I1753" s="74"/>
      <c r="J1753" s="74"/>
      <c r="K1753" s="74"/>
      <c r="L1753" s="74"/>
      <c r="M1753" s="74"/>
      <c r="N1753" s="74"/>
      <c r="O1753" s="75"/>
      <c r="P1753" s="74"/>
      <c r="Q1753" s="75"/>
      <c r="R1753" s="74"/>
      <c r="S1753" s="74"/>
      <c r="T1753" s="74"/>
      <c r="U1753" s="75"/>
      <c r="V1753" s="74"/>
      <c r="W1753" s="75"/>
      <c r="X1753" s="74"/>
      <c r="Y1753" s="74"/>
      <c r="Z1753" s="74"/>
      <c r="AA1753" s="74"/>
      <c r="AB1753" s="74"/>
      <c r="AC1753" s="74"/>
      <c r="AD1753" s="74"/>
      <c r="AE1753" s="74"/>
      <c r="AF1753" s="74"/>
      <c r="AG1753" s="74"/>
      <c r="AH1753" s="74"/>
    </row>
    <row r="1754" s="73" customFormat="1" spans="1:34">
      <c r="A1754" s="74"/>
      <c r="B1754" s="74"/>
      <c r="C1754" s="74"/>
      <c r="D1754" s="74"/>
      <c r="E1754" s="74"/>
      <c r="F1754" s="74"/>
      <c r="G1754" s="74"/>
      <c r="H1754" s="74"/>
      <c r="I1754" s="74"/>
      <c r="J1754" s="74"/>
      <c r="K1754" s="74"/>
      <c r="L1754" s="74"/>
      <c r="M1754" s="74"/>
      <c r="N1754" s="74"/>
      <c r="O1754" s="75"/>
      <c r="P1754" s="74"/>
      <c r="Q1754" s="75"/>
      <c r="R1754" s="74"/>
      <c r="S1754" s="74"/>
      <c r="T1754" s="74"/>
      <c r="U1754" s="75"/>
      <c r="V1754" s="74"/>
      <c r="W1754" s="75"/>
      <c r="X1754" s="74"/>
      <c r="Y1754" s="74"/>
      <c r="Z1754" s="74"/>
      <c r="AA1754" s="74"/>
      <c r="AB1754" s="74"/>
      <c r="AC1754" s="74"/>
      <c r="AD1754" s="74"/>
      <c r="AE1754" s="74"/>
      <c r="AF1754" s="74"/>
      <c r="AG1754" s="74"/>
      <c r="AH1754" s="74"/>
    </row>
    <row r="1755" s="73" customFormat="1" spans="1:34">
      <c r="A1755" s="74"/>
      <c r="B1755" s="74"/>
      <c r="C1755" s="74"/>
      <c r="D1755" s="74"/>
      <c r="E1755" s="74"/>
      <c r="F1755" s="74"/>
      <c r="G1755" s="74"/>
      <c r="H1755" s="74"/>
      <c r="I1755" s="74"/>
      <c r="J1755" s="74"/>
      <c r="K1755" s="74"/>
      <c r="L1755" s="74"/>
      <c r="M1755" s="74"/>
      <c r="N1755" s="74"/>
      <c r="O1755" s="75"/>
      <c r="P1755" s="74"/>
      <c r="Q1755" s="75"/>
      <c r="R1755" s="74"/>
      <c r="S1755" s="74"/>
      <c r="T1755" s="74"/>
      <c r="U1755" s="75"/>
      <c r="V1755" s="74"/>
      <c r="W1755" s="75"/>
      <c r="X1755" s="74"/>
      <c r="Y1755" s="74"/>
      <c r="Z1755" s="74"/>
      <c r="AA1755" s="74"/>
      <c r="AB1755" s="74"/>
      <c r="AC1755" s="74"/>
      <c r="AD1755" s="74"/>
      <c r="AE1755" s="74"/>
      <c r="AF1755" s="74"/>
      <c r="AG1755" s="74"/>
      <c r="AH1755" s="74"/>
    </row>
    <row r="1756" s="73" customFormat="1" spans="1:34">
      <c r="A1756" s="74"/>
      <c r="B1756" s="74"/>
      <c r="C1756" s="74"/>
      <c r="D1756" s="74"/>
      <c r="E1756" s="74"/>
      <c r="F1756" s="74"/>
      <c r="G1756" s="74"/>
      <c r="H1756" s="74"/>
      <c r="I1756" s="74"/>
      <c r="J1756" s="74"/>
      <c r="K1756" s="74"/>
      <c r="L1756" s="74"/>
      <c r="M1756" s="74"/>
      <c r="N1756" s="74"/>
      <c r="O1756" s="75"/>
      <c r="P1756" s="74"/>
      <c r="Q1756" s="75"/>
      <c r="R1756" s="74"/>
      <c r="S1756" s="74"/>
      <c r="T1756" s="74"/>
      <c r="U1756" s="75"/>
      <c r="V1756" s="74"/>
      <c r="W1756" s="75"/>
      <c r="X1756" s="74"/>
      <c r="Y1756" s="74"/>
      <c r="Z1756" s="74"/>
      <c r="AA1756" s="74"/>
      <c r="AB1756" s="74"/>
      <c r="AC1756" s="74"/>
      <c r="AD1756" s="74"/>
      <c r="AE1756" s="74"/>
      <c r="AF1756" s="74"/>
      <c r="AG1756" s="74"/>
      <c r="AH1756" s="74"/>
    </row>
    <row r="1757" s="73" customFormat="1" spans="1:34">
      <c r="A1757" s="74"/>
      <c r="B1757" s="74"/>
      <c r="C1757" s="74"/>
      <c r="D1757" s="74"/>
      <c r="E1757" s="74"/>
      <c r="F1757" s="74"/>
      <c r="G1757" s="74"/>
      <c r="H1757" s="74"/>
      <c r="I1757" s="74"/>
      <c r="J1757" s="74"/>
      <c r="K1757" s="74"/>
      <c r="L1757" s="74"/>
      <c r="M1757" s="74"/>
      <c r="N1757" s="74"/>
      <c r="O1757" s="75"/>
      <c r="P1757" s="74"/>
      <c r="Q1757" s="75"/>
      <c r="R1757" s="74"/>
      <c r="S1757" s="74"/>
      <c r="T1757" s="74"/>
      <c r="U1757" s="75"/>
      <c r="V1757" s="74"/>
      <c r="W1757" s="75"/>
      <c r="X1757" s="74"/>
      <c r="Y1757" s="74"/>
      <c r="Z1757" s="74"/>
      <c r="AA1757" s="74"/>
      <c r="AB1757" s="74"/>
      <c r="AC1757" s="74"/>
      <c r="AD1757" s="74"/>
      <c r="AE1757" s="74"/>
      <c r="AF1757" s="74"/>
      <c r="AG1757" s="74"/>
      <c r="AH1757" s="74"/>
    </row>
    <row r="1758" s="73" customFormat="1" spans="1:34">
      <c r="A1758" s="74"/>
      <c r="B1758" s="74"/>
      <c r="C1758" s="74"/>
      <c r="D1758" s="74"/>
      <c r="E1758" s="74"/>
      <c r="F1758" s="74"/>
      <c r="G1758" s="74"/>
      <c r="H1758" s="74"/>
      <c r="I1758" s="74"/>
      <c r="J1758" s="74"/>
      <c r="K1758" s="74"/>
      <c r="L1758" s="74"/>
      <c r="M1758" s="74"/>
      <c r="N1758" s="74"/>
      <c r="O1758" s="75"/>
      <c r="P1758" s="74"/>
      <c r="Q1758" s="75"/>
      <c r="R1758" s="74"/>
      <c r="S1758" s="74"/>
      <c r="T1758" s="74"/>
      <c r="U1758" s="75"/>
      <c r="V1758" s="74"/>
      <c r="W1758" s="75"/>
      <c r="X1758" s="74"/>
      <c r="Y1758" s="74"/>
      <c r="Z1758" s="74"/>
      <c r="AA1758" s="74"/>
      <c r="AB1758" s="74"/>
      <c r="AC1758" s="74"/>
      <c r="AD1758" s="74"/>
      <c r="AE1758" s="74"/>
      <c r="AF1758" s="74"/>
      <c r="AG1758" s="74"/>
      <c r="AH1758" s="74"/>
    </row>
    <row r="1759" s="73" customFormat="1" spans="1:34">
      <c r="A1759" s="74"/>
      <c r="B1759" s="74"/>
      <c r="C1759" s="74"/>
      <c r="D1759" s="74"/>
      <c r="E1759" s="74"/>
      <c r="F1759" s="74"/>
      <c r="G1759" s="74"/>
      <c r="H1759" s="74"/>
      <c r="I1759" s="74"/>
      <c r="J1759" s="74"/>
      <c r="K1759" s="74"/>
      <c r="L1759" s="74"/>
      <c r="M1759" s="74"/>
      <c r="N1759" s="74"/>
      <c r="O1759" s="75"/>
      <c r="P1759" s="74"/>
      <c r="Q1759" s="75"/>
      <c r="R1759" s="74"/>
      <c r="S1759" s="74"/>
      <c r="T1759" s="74"/>
      <c r="U1759" s="75"/>
      <c r="V1759" s="74"/>
      <c r="W1759" s="75"/>
      <c r="X1759" s="74"/>
      <c r="Y1759" s="74"/>
      <c r="Z1759" s="74"/>
      <c r="AA1759" s="74"/>
      <c r="AB1759" s="74"/>
      <c r="AC1759" s="74"/>
      <c r="AD1759" s="74"/>
      <c r="AE1759" s="74"/>
      <c r="AF1759" s="74"/>
      <c r="AG1759" s="74"/>
      <c r="AH1759" s="74"/>
    </row>
    <row r="1760" s="73" customFormat="1" spans="1:34">
      <c r="A1760" s="74"/>
      <c r="B1760" s="74"/>
      <c r="C1760" s="74"/>
      <c r="D1760" s="74"/>
      <c r="E1760" s="74"/>
      <c r="F1760" s="74"/>
      <c r="G1760" s="74"/>
      <c r="H1760" s="74"/>
      <c r="I1760" s="74"/>
      <c r="J1760" s="74"/>
      <c r="K1760" s="74"/>
      <c r="L1760" s="74"/>
      <c r="M1760" s="74"/>
      <c r="N1760" s="74"/>
      <c r="O1760" s="75"/>
      <c r="P1760" s="74"/>
      <c r="Q1760" s="75"/>
      <c r="R1760" s="74"/>
      <c r="S1760" s="74"/>
      <c r="T1760" s="74"/>
      <c r="U1760" s="75"/>
      <c r="V1760" s="74"/>
      <c r="W1760" s="75"/>
      <c r="X1760" s="74"/>
      <c r="Y1760" s="74"/>
      <c r="Z1760" s="74"/>
      <c r="AA1760" s="74"/>
      <c r="AB1760" s="74"/>
      <c r="AC1760" s="74"/>
      <c r="AD1760" s="74"/>
      <c r="AE1760" s="74"/>
      <c r="AF1760" s="74"/>
      <c r="AG1760" s="74"/>
      <c r="AH1760" s="74"/>
    </row>
    <row r="1761" s="73" customFormat="1" spans="1:34">
      <c r="A1761" s="74"/>
      <c r="B1761" s="74"/>
      <c r="C1761" s="74"/>
      <c r="D1761" s="74"/>
      <c r="E1761" s="74"/>
      <c r="F1761" s="74"/>
      <c r="G1761" s="74"/>
      <c r="H1761" s="74"/>
      <c r="I1761" s="74"/>
      <c r="J1761" s="74"/>
      <c r="K1761" s="74"/>
      <c r="L1761" s="74"/>
      <c r="M1761" s="74"/>
      <c r="N1761" s="74"/>
      <c r="O1761" s="75"/>
      <c r="P1761" s="74"/>
      <c r="Q1761" s="75"/>
      <c r="R1761" s="74"/>
      <c r="S1761" s="74"/>
      <c r="T1761" s="74"/>
      <c r="U1761" s="75"/>
      <c r="V1761" s="74"/>
      <c r="W1761" s="75"/>
      <c r="X1761" s="74"/>
      <c r="Y1761" s="74"/>
      <c r="Z1761" s="74"/>
      <c r="AA1761" s="74"/>
      <c r="AB1761" s="74"/>
      <c r="AC1761" s="74"/>
      <c r="AD1761" s="74"/>
      <c r="AE1761" s="74"/>
      <c r="AF1761" s="74"/>
      <c r="AG1761" s="74"/>
      <c r="AH1761" s="74"/>
    </row>
    <row r="1762" s="73" customFormat="1" spans="1:34">
      <c r="A1762" s="74"/>
      <c r="B1762" s="74"/>
      <c r="C1762" s="74"/>
      <c r="D1762" s="74"/>
      <c r="E1762" s="74"/>
      <c r="F1762" s="74"/>
      <c r="G1762" s="74"/>
      <c r="H1762" s="74"/>
      <c r="I1762" s="74"/>
      <c r="J1762" s="74"/>
      <c r="K1762" s="74"/>
      <c r="L1762" s="74"/>
      <c r="M1762" s="74"/>
      <c r="N1762" s="74"/>
      <c r="O1762" s="75"/>
      <c r="P1762" s="74"/>
      <c r="Q1762" s="75"/>
      <c r="R1762" s="74"/>
      <c r="S1762" s="74"/>
      <c r="T1762" s="74"/>
      <c r="U1762" s="75"/>
      <c r="V1762" s="74"/>
      <c r="W1762" s="75"/>
      <c r="X1762" s="74"/>
      <c r="Y1762" s="74"/>
      <c r="Z1762" s="74"/>
      <c r="AA1762" s="74"/>
      <c r="AB1762" s="74"/>
      <c r="AC1762" s="74"/>
      <c r="AD1762" s="74"/>
      <c r="AE1762" s="74"/>
      <c r="AF1762" s="74"/>
      <c r="AG1762" s="74"/>
      <c r="AH1762" s="74"/>
    </row>
    <row r="1763" s="73" customFormat="1" spans="1:34">
      <c r="A1763" s="74"/>
      <c r="B1763" s="74"/>
      <c r="C1763" s="74"/>
      <c r="D1763" s="74"/>
      <c r="E1763" s="74"/>
      <c r="F1763" s="74"/>
      <c r="G1763" s="74"/>
      <c r="H1763" s="74"/>
      <c r="I1763" s="74"/>
      <c r="J1763" s="74"/>
      <c r="K1763" s="74"/>
      <c r="L1763" s="74"/>
      <c r="M1763" s="74"/>
      <c r="N1763" s="74"/>
      <c r="O1763" s="75"/>
      <c r="P1763" s="74"/>
      <c r="Q1763" s="75"/>
      <c r="R1763" s="74"/>
      <c r="S1763" s="74"/>
      <c r="T1763" s="74"/>
      <c r="U1763" s="75"/>
      <c r="V1763" s="74"/>
      <c r="W1763" s="75"/>
      <c r="X1763" s="74"/>
      <c r="Y1763" s="74"/>
      <c r="Z1763" s="74"/>
      <c r="AA1763" s="74"/>
      <c r="AB1763" s="74"/>
      <c r="AC1763" s="74"/>
      <c r="AD1763" s="74"/>
      <c r="AE1763" s="74"/>
      <c r="AF1763" s="74"/>
      <c r="AG1763" s="74"/>
      <c r="AH1763" s="74"/>
    </row>
    <row r="1765" s="73" customFormat="1" spans="1:34">
      <c r="A1765" s="74"/>
      <c r="B1765" s="74"/>
      <c r="C1765" s="74"/>
      <c r="D1765" s="74"/>
      <c r="E1765" s="74"/>
      <c r="F1765" s="74"/>
      <c r="G1765" s="74"/>
      <c r="H1765" s="74"/>
      <c r="I1765" s="74"/>
      <c r="J1765" s="74"/>
      <c r="K1765" s="74"/>
      <c r="L1765" s="74"/>
      <c r="M1765" s="74"/>
      <c r="N1765" s="74"/>
      <c r="O1765" s="75"/>
      <c r="P1765" s="74"/>
      <c r="Q1765" s="75"/>
      <c r="R1765" s="74"/>
      <c r="S1765" s="74"/>
      <c r="T1765" s="74"/>
      <c r="U1765" s="75"/>
      <c r="V1765" s="74"/>
      <c r="W1765" s="75"/>
      <c r="X1765" s="74"/>
      <c r="Y1765" s="74"/>
      <c r="Z1765" s="74"/>
      <c r="AA1765" s="74"/>
      <c r="AB1765" s="74"/>
      <c r="AC1765" s="74"/>
      <c r="AD1765" s="74"/>
      <c r="AE1765" s="74"/>
      <c r="AF1765" s="74"/>
      <c r="AG1765" s="74"/>
      <c r="AH1765" s="74"/>
    </row>
    <row r="1766" s="73" customFormat="1" spans="1:34">
      <c r="A1766" s="74"/>
      <c r="B1766" s="74"/>
      <c r="C1766" s="74"/>
      <c r="D1766" s="74"/>
      <c r="E1766" s="74"/>
      <c r="F1766" s="74"/>
      <c r="G1766" s="74"/>
      <c r="H1766" s="74"/>
      <c r="I1766" s="74"/>
      <c r="J1766" s="74"/>
      <c r="K1766" s="74"/>
      <c r="L1766" s="74"/>
      <c r="M1766" s="74"/>
      <c r="N1766" s="74"/>
      <c r="O1766" s="75"/>
      <c r="P1766" s="74"/>
      <c r="Q1766" s="75"/>
      <c r="R1766" s="74"/>
      <c r="S1766" s="74"/>
      <c r="T1766" s="74"/>
      <c r="U1766" s="75"/>
      <c r="V1766" s="74"/>
      <c r="W1766" s="75"/>
      <c r="X1766" s="74"/>
      <c r="Y1766" s="74"/>
      <c r="Z1766" s="74"/>
      <c r="AA1766" s="74"/>
      <c r="AB1766" s="74"/>
      <c r="AC1766" s="74"/>
      <c r="AD1766" s="74"/>
      <c r="AE1766" s="74"/>
      <c r="AF1766" s="74"/>
      <c r="AG1766" s="74"/>
      <c r="AH1766" s="74"/>
    </row>
    <row r="1767" s="73" customFormat="1" spans="1:34">
      <c r="A1767" s="74"/>
      <c r="B1767" s="74"/>
      <c r="C1767" s="74"/>
      <c r="D1767" s="74"/>
      <c r="E1767" s="74"/>
      <c r="F1767" s="74"/>
      <c r="G1767" s="74"/>
      <c r="H1767" s="74"/>
      <c r="I1767" s="74"/>
      <c r="J1767" s="74"/>
      <c r="K1767" s="74"/>
      <c r="L1767" s="74"/>
      <c r="M1767" s="74"/>
      <c r="N1767" s="74"/>
      <c r="O1767" s="75"/>
      <c r="P1767" s="74"/>
      <c r="Q1767" s="75"/>
      <c r="R1767" s="74"/>
      <c r="S1767" s="74"/>
      <c r="T1767" s="74"/>
      <c r="U1767" s="75"/>
      <c r="V1767" s="74"/>
      <c r="W1767" s="75"/>
      <c r="X1767" s="74"/>
      <c r="Y1767" s="74"/>
      <c r="Z1767" s="74"/>
      <c r="AA1767" s="74"/>
      <c r="AB1767" s="74"/>
      <c r="AC1767" s="74"/>
      <c r="AD1767" s="74"/>
      <c r="AE1767" s="74"/>
      <c r="AF1767" s="74"/>
      <c r="AG1767" s="74"/>
      <c r="AH1767" s="74"/>
    </row>
    <row r="1768" s="73" customFormat="1" spans="1:34">
      <c r="A1768" s="74"/>
      <c r="B1768" s="74"/>
      <c r="C1768" s="74"/>
      <c r="D1768" s="74"/>
      <c r="E1768" s="74"/>
      <c r="F1768" s="74"/>
      <c r="G1768" s="74"/>
      <c r="H1768" s="74"/>
      <c r="I1768" s="74"/>
      <c r="J1768" s="74"/>
      <c r="K1768" s="74"/>
      <c r="L1768" s="74"/>
      <c r="M1768" s="74"/>
      <c r="N1768" s="74"/>
      <c r="O1768" s="75"/>
      <c r="P1768" s="74"/>
      <c r="Q1768" s="75"/>
      <c r="R1768" s="74"/>
      <c r="S1768" s="74"/>
      <c r="T1768" s="74"/>
      <c r="U1768" s="75"/>
      <c r="V1768" s="74"/>
      <c r="W1768" s="75"/>
      <c r="X1768" s="74"/>
      <c r="Y1768" s="74"/>
      <c r="Z1768" s="74"/>
      <c r="AA1768" s="74"/>
      <c r="AB1768" s="74"/>
      <c r="AC1768" s="74"/>
      <c r="AD1768" s="74"/>
      <c r="AE1768" s="74"/>
      <c r="AF1768" s="74"/>
      <c r="AG1768" s="74"/>
      <c r="AH1768" s="74"/>
    </row>
    <row r="1769" s="73" customFormat="1" spans="1:34">
      <c r="A1769" s="74"/>
      <c r="B1769" s="74"/>
      <c r="C1769" s="74"/>
      <c r="D1769" s="74"/>
      <c r="E1769" s="74"/>
      <c r="F1769" s="74"/>
      <c r="G1769" s="74"/>
      <c r="H1769" s="74"/>
      <c r="I1769" s="74"/>
      <c r="J1769" s="74"/>
      <c r="K1769" s="74"/>
      <c r="L1769" s="74"/>
      <c r="M1769" s="74"/>
      <c r="N1769" s="74"/>
      <c r="O1769" s="75"/>
      <c r="P1769" s="74"/>
      <c r="Q1769" s="75"/>
      <c r="R1769" s="74"/>
      <c r="S1769" s="74"/>
      <c r="T1769" s="74"/>
      <c r="U1769" s="75"/>
      <c r="V1769" s="74"/>
      <c r="W1769" s="75"/>
      <c r="X1769" s="74"/>
      <c r="Y1769" s="74"/>
      <c r="Z1769" s="74"/>
      <c r="AA1769" s="74"/>
      <c r="AB1769" s="74"/>
      <c r="AC1769" s="74"/>
      <c r="AD1769" s="74"/>
      <c r="AE1769" s="74"/>
      <c r="AF1769" s="74"/>
      <c r="AG1769" s="74"/>
      <c r="AH1769" s="74"/>
    </row>
    <row r="1770" s="73" customFormat="1" spans="1:34">
      <c r="A1770" s="74"/>
      <c r="B1770" s="74"/>
      <c r="C1770" s="74"/>
      <c r="D1770" s="74"/>
      <c r="E1770" s="74"/>
      <c r="F1770" s="74"/>
      <c r="G1770" s="74"/>
      <c r="H1770" s="74"/>
      <c r="I1770" s="74"/>
      <c r="J1770" s="74"/>
      <c r="K1770" s="74"/>
      <c r="L1770" s="74"/>
      <c r="M1770" s="74"/>
      <c r="N1770" s="74"/>
      <c r="O1770" s="75"/>
      <c r="P1770" s="74"/>
      <c r="Q1770" s="75"/>
      <c r="R1770" s="74"/>
      <c r="S1770" s="74"/>
      <c r="T1770" s="74"/>
      <c r="U1770" s="75"/>
      <c r="V1770" s="74"/>
      <c r="W1770" s="75"/>
      <c r="X1770" s="74"/>
      <c r="Y1770" s="74"/>
      <c r="Z1770" s="74"/>
      <c r="AA1770" s="74"/>
      <c r="AB1770" s="74"/>
      <c r="AC1770" s="74"/>
      <c r="AD1770" s="74"/>
      <c r="AE1770" s="74"/>
      <c r="AF1770" s="74"/>
      <c r="AG1770" s="74"/>
      <c r="AH1770" s="74"/>
    </row>
    <row r="1771" s="73" customFormat="1" spans="1:34">
      <c r="A1771" s="74"/>
      <c r="B1771" s="74"/>
      <c r="C1771" s="74"/>
      <c r="D1771" s="74"/>
      <c r="E1771" s="74"/>
      <c r="F1771" s="74"/>
      <c r="G1771" s="74"/>
      <c r="H1771" s="74"/>
      <c r="I1771" s="74"/>
      <c r="J1771" s="74"/>
      <c r="K1771" s="74"/>
      <c r="L1771" s="74"/>
      <c r="M1771" s="74"/>
      <c r="N1771" s="74"/>
      <c r="O1771" s="75"/>
      <c r="P1771" s="74"/>
      <c r="Q1771" s="75"/>
      <c r="R1771" s="74"/>
      <c r="S1771" s="74"/>
      <c r="T1771" s="74"/>
      <c r="U1771" s="75"/>
      <c r="V1771" s="74"/>
      <c r="W1771" s="75"/>
      <c r="X1771" s="74"/>
      <c r="Y1771" s="74"/>
      <c r="Z1771" s="74"/>
      <c r="AA1771" s="74"/>
      <c r="AB1771" s="74"/>
      <c r="AC1771" s="74"/>
      <c r="AD1771" s="74"/>
      <c r="AE1771" s="74"/>
      <c r="AF1771" s="74"/>
      <c r="AG1771" s="74"/>
      <c r="AH1771" s="74"/>
    </row>
    <row r="1772" s="73" customFormat="1" spans="1:34">
      <c r="A1772" s="74"/>
      <c r="B1772" s="74"/>
      <c r="C1772" s="74"/>
      <c r="D1772" s="74"/>
      <c r="E1772" s="74"/>
      <c r="F1772" s="74"/>
      <c r="G1772" s="74"/>
      <c r="H1772" s="74"/>
      <c r="I1772" s="74"/>
      <c r="J1772" s="74"/>
      <c r="K1772" s="74"/>
      <c r="L1772" s="74"/>
      <c r="M1772" s="74"/>
      <c r="N1772" s="74"/>
      <c r="O1772" s="75"/>
      <c r="P1772" s="74"/>
      <c r="Q1772" s="75"/>
      <c r="R1772" s="74"/>
      <c r="S1772" s="74"/>
      <c r="T1772" s="74"/>
      <c r="U1772" s="75"/>
      <c r="V1772" s="74"/>
      <c r="W1772" s="75"/>
      <c r="X1772" s="74"/>
      <c r="Y1772" s="74"/>
      <c r="Z1772" s="74"/>
      <c r="AA1772" s="74"/>
      <c r="AB1772" s="74"/>
      <c r="AC1772" s="74"/>
      <c r="AD1772" s="74"/>
      <c r="AE1772" s="74"/>
      <c r="AF1772" s="74"/>
      <c r="AG1772" s="74"/>
      <c r="AH1772" s="74"/>
    </row>
    <row r="1773" s="73" customFormat="1" spans="1:34">
      <c r="A1773" s="74"/>
      <c r="B1773" s="74"/>
      <c r="C1773" s="74"/>
      <c r="D1773" s="74"/>
      <c r="E1773" s="74"/>
      <c r="F1773" s="74"/>
      <c r="G1773" s="74"/>
      <c r="H1773" s="74"/>
      <c r="I1773" s="74"/>
      <c r="J1773" s="74"/>
      <c r="K1773" s="74"/>
      <c r="L1773" s="74"/>
      <c r="M1773" s="74"/>
      <c r="N1773" s="74"/>
      <c r="O1773" s="75"/>
      <c r="P1773" s="74"/>
      <c r="Q1773" s="75"/>
      <c r="R1773" s="74"/>
      <c r="S1773" s="74"/>
      <c r="T1773" s="74"/>
      <c r="U1773" s="75"/>
      <c r="V1773" s="74"/>
      <c r="W1773" s="75"/>
      <c r="X1773" s="74"/>
      <c r="Y1773" s="74"/>
      <c r="Z1773" s="74"/>
      <c r="AA1773" s="74"/>
      <c r="AB1773" s="74"/>
      <c r="AC1773" s="74"/>
      <c r="AD1773" s="74"/>
      <c r="AE1773" s="74"/>
      <c r="AF1773" s="74"/>
      <c r="AG1773" s="74"/>
      <c r="AH1773" s="74"/>
    </row>
    <row r="1774" s="73" customFormat="1" spans="1:34">
      <c r="A1774" s="74"/>
      <c r="B1774" s="74"/>
      <c r="C1774" s="74"/>
      <c r="D1774" s="74"/>
      <c r="E1774" s="74"/>
      <c r="F1774" s="74"/>
      <c r="G1774" s="74"/>
      <c r="H1774" s="74"/>
      <c r="I1774" s="74"/>
      <c r="J1774" s="74"/>
      <c r="K1774" s="74"/>
      <c r="L1774" s="74"/>
      <c r="M1774" s="74"/>
      <c r="N1774" s="74"/>
      <c r="O1774" s="75"/>
      <c r="P1774" s="74"/>
      <c r="Q1774" s="75"/>
      <c r="R1774" s="74"/>
      <c r="S1774" s="74"/>
      <c r="T1774" s="74"/>
      <c r="U1774" s="75"/>
      <c r="V1774" s="74"/>
      <c r="W1774" s="75"/>
      <c r="X1774" s="74"/>
      <c r="Y1774" s="74"/>
      <c r="Z1774" s="74"/>
      <c r="AA1774" s="74"/>
      <c r="AB1774" s="74"/>
      <c r="AC1774" s="74"/>
      <c r="AD1774" s="74"/>
      <c r="AE1774" s="74"/>
      <c r="AF1774" s="74"/>
      <c r="AG1774" s="74"/>
      <c r="AH1774" s="74"/>
    </row>
    <row r="1775" s="73" customFormat="1" spans="1:34">
      <c r="A1775" s="74"/>
      <c r="B1775" s="74"/>
      <c r="C1775" s="74"/>
      <c r="D1775" s="74"/>
      <c r="E1775" s="74"/>
      <c r="F1775" s="74"/>
      <c r="G1775" s="74"/>
      <c r="H1775" s="74"/>
      <c r="I1775" s="74"/>
      <c r="J1775" s="74"/>
      <c r="K1775" s="74"/>
      <c r="L1775" s="74"/>
      <c r="M1775" s="74"/>
      <c r="N1775" s="74"/>
      <c r="O1775" s="75"/>
      <c r="P1775" s="74"/>
      <c r="Q1775" s="75"/>
      <c r="R1775" s="74"/>
      <c r="S1775" s="74"/>
      <c r="T1775" s="74"/>
      <c r="U1775" s="75"/>
      <c r="V1775" s="74"/>
      <c r="W1775" s="75"/>
      <c r="X1775" s="74"/>
      <c r="Y1775" s="74"/>
      <c r="Z1775" s="74"/>
      <c r="AA1775" s="74"/>
      <c r="AB1775" s="74"/>
      <c r="AC1775" s="74"/>
      <c r="AD1775" s="74"/>
      <c r="AE1775" s="74"/>
      <c r="AF1775" s="74"/>
      <c r="AG1775" s="74"/>
      <c r="AH1775" s="74"/>
    </row>
    <row r="1776" s="73" customFormat="1" spans="1:34">
      <c r="A1776" s="74"/>
      <c r="B1776" s="74"/>
      <c r="C1776" s="74"/>
      <c r="D1776" s="74"/>
      <c r="E1776" s="74"/>
      <c r="F1776" s="74"/>
      <c r="G1776" s="74"/>
      <c r="H1776" s="74"/>
      <c r="I1776" s="74"/>
      <c r="J1776" s="74"/>
      <c r="K1776" s="74"/>
      <c r="L1776" s="74"/>
      <c r="M1776" s="74"/>
      <c r="N1776" s="74"/>
      <c r="O1776" s="75"/>
      <c r="P1776" s="74"/>
      <c r="Q1776" s="75"/>
      <c r="R1776" s="74"/>
      <c r="S1776" s="74"/>
      <c r="T1776" s="74"/>
      <c r="U1776" s="75"/>
      <c r="V1776" s="74"/>
      <c r="W1776" s="75"/>
      <c r="X1776" s="74"/>
      <c r="Y1776" s="74"/>
      <c r="Z1776" s="74"/>
      <c r="AA1776" s="74"/>
      <c r="AB1776" s="74"/>
      <c r="AC1776" s="74"/>
      <c r="AD1776" s="74"/>
      <c r="AE1776" s="74"/>
      <c r="AF1776" s="74"/>
      <c r="AG1776" s="74"/>
      <c r="AH1776" s="74"/>
    </row>
    <row r="1777" s="73" customFormat="1" spans="1:34">
      <c r="A1777" s="74"/>
      <c r="B1777" s="74"/>
      <c r="C1777" s="74"/>
      <c r="D1777" s="74"/>
      <c r="E1777" s="74"/>
      <c r="F1777" s="74"/>
      <c r="G1777" s="74"/>
      <c r="H1777" s="74"/>
      <c r="I1777" s="74"/>
      <c r="J1777" s="74"/>
      <c r="K1777" s="74"/>
      <c r="L1777" s="74"/>
      <c r="M1777" s="74"/>
      <c r="N1777" s="74"/>
      <c r="O1777" s="75"/>
      <c r="P1777" s="74"/>
      <c r="Q1777" s="75"/>
      <c r="R1777" s="74"/>
      <c r="S1777" s="74"/>
      <c r="T1777" s="74"/>
      <c r="U1777" s="75"/>
      <c r="V1777" s="74"/>
      <c r="W1777" s="75"/>
      <c r="X1777" s="74"/>
      <c r="Y1777" s="74"/>
      <c r="Z1777" s="74"/>
      <c r="AA1777" s="74"/>
      <c r="AB1777" s="74"/>
      <c r="AC1777" s="74"/>
      <c r="AD1777" s="74"/>
      <c r="AE1777" s="74"/>
      <c r="AF1777" s="74"/>
      <c r="AG1777" s="74"/>
      <c r="AH1777" s="74"/>
    </row>
    <row r="1778" s="73" customFormat="1" spans="1:34">
      <c r="A1778" s="74"/>
      <c r="B1778" s="74"/>
      <c r="C1778" s="74"/>
      <c r="D1778" s="74"/>
      <c r="E1778" s="74"/>
      <c r="F1778" s="74"/>
      <c r="G1778" s="74"/>
      <c r="H1778" s="74"/>
      <c r="I1778" s="74"/>
      <c r="J1778" s="74"/>
      <c r="K1778" s="74"/>
      <c r="L1778" s="74"/>
      <c r="M1778" s="74"/>
      <c r="N1778" s="74"/>
      <c r="O1778" s="75"/>
      <c r="P1778" s="74"/>
      <c r="Q1778" s="75"/>
      <c r="R1778" s="74"/>
      <c r="S1778" s="74"/>
      <c r="T1778" s="74"/>
      <c r="U1778" s="75"/>
      <c r="V1778" s="74"/>
      <c r="W1778" s="75"/>
      <c r="X1778" s="74"/>
      <c r="Y1778" s="74"/>
      <c r="Z1778" s="74"/>
      <c r="AA1778" s="74"/>
      <c r="AB1778" s="74"/>
      <c r="AC1778" s="74"/>
      <c r="AD1778" s="74"/>
      <c r="AE1778" s="74"/>
      <c r="AF1778" s="74"/>
      <c r="AG1778" s="74"/>
      <c r="AH1778" s="74"/>
    </row>
    <row r="1779" s="73" customFormat="1" spans="1:34">
      <c r="A1779" s="74"/>
      <c r="B1779" s="74"/>
      <c r="C1779" s="74"/>
      <c r="D1779" s="74"/>
      <c r="E1779" s="74"/>
      <c r="F1779" s="74"/>
      <c r="G1779" s="74"/>
      <c r="H1779" s="74"/>
      <c r="I1779" s="74"/>
      <c r="J1779" s="74"/>
      <c r="K1779" s="74"/>
      <c r="L1779" s="74"/>
      <c r="M1779" s="74"/>
      <c r="N1779" s="74"/>
      <c r="O1779" s="75"/>
      <c r="P1779" s="74"/>
      <c r="Q1779" s="75"/>
      <c r="R1779" s="74"/>
      <c r="S1779" s="74"/>
      <c r="T1779" s="74"/>
      <c r="U1779" s="75"/>
      <c r="V1779" s="74"/>
      <c r="W1779" s="75"/>
      <c r="X1779" s="74"/>
      <c r="Y1779" s="74"/>
      <c r="Z1779" s="74"/>
      <c r="AA1779" s="74"/>
      <c r="AB1779" s="74"/>
      <c r="AC1779" s="74"/>
      <c r="AD1779" s="74"/>
      <c r="AE1779" s="74"/>
      <c r="AF1779" s="74"/>
      <c r="AG1779" s="74"/>
      <c r="AH1779" s="74"/>
    </row>
    <row r="1780" s="73" customFormat="1" spans="1:34">
      <c r="A1780" s="74"/>
      <c r="B1780" s="74"/>
      <c r="C1780" s="74"/>
      <c r="D1780" s="74"/>
      <c r="E1780" s="74"/>
      <c r="F1780" s="74"/>
      <c r="G1780" s="74"/>
      <c r="H1780" s="74"/>
      <c r="I1780" s="74"/>
      <c r="J1780" s="74"/>
      <c r="K1780" s="74"/>
      <c r="L1780" s="74"/>
      <c r="M1780" s="74"/>
      <c r="N1780" s="74"/>
      <c r="O1780" s="75"/>
      <c r="P1780" s="74"/>
      <c r="Q1780" s="75"/>
      <c r="R1780" s="74"/>
      <c r="S1780" s="74"/>
      <c r="T1780" s="74"/>
      <c r="U1780" s="75"/>
      <c r="V1780" s="74"/>
      <c r="W1780" s="75"/>
      <c r="X1780" s="74"/>
      <c r="Y1780" s="74"/>
      <c r="Z1780" s="74"/>
      <c r="AA1780" s="74"/>
      <c r="AB1780" s="74"/>
      <c r="AC1780" s="74"/>
      <c r="AD1780" s="74"/>
      <c r="AE1780" s="74"/>
      <c r="AF1780" s="74"/>
      <c r="AG1780" s="74"/>
      <c r="AH1780" s="74"/>
    </row>
    <row r="1781" s="73" customFormat="1" spans="1:34">
      <c r="A1781" s="74"/>
      <c r="B1781" s="74"/>
      <c r="C1781" s="74"/>
      <c r="D1781" s="74"/>
      <c r="E1781" s="74"/>
      <c r="F1781" s="74"/>
      <c r="G1781" s="74"/>
      <c r="H1781" s="74"/>
      <c r="I1781" s="74"/>
      <c r="J1781" s="74"/>
      <c r="K1781" s="74"/>
      <c r="L1781" s="74"/>
      <c r="M1781" s="74"/>
      <c r="N1781" s="74"/>
      <c r="O1781" s="75"/>
      <c r="P1781" s="74"/>
      <c r="Q1781" s="75"/>
      <c r="R1781" s="74"/>
      <c r="S1781" s="74"/>
      <c r="T1781" s="74"/>
      <c r="U1781" s="75"/>
      <c r="V1781" s="74"/>
      <c r="W1781" s="75"/>
      <c r="X1781" s="74"/>
      <c r="Y1781" s="74"/>
      <c r="Z1781" s="74"/>
      <c r="AA1781" s="74"/>
      <c r="AB1781" s="74"/>
      <c r="AC1781" s="74"/>
      <c r="AD1781" s="74"/>
      <c r="AE1781" s="74"/>
      <c r="AF1781" s="74"/>
      <c r="AG1781" s="74"/>
      <c r="AH1781" s="74"/>
    </row>
    <row r="1782" s="73" customFormat="1" spans="1:34">
      <c r="A1782" s="74"/>
      <c r="B1782" s="74"/>
      <c r="C1782" s="74"/>
      <c r="D1782" s="74"/>
      <c r="E1782" s="74"/>
      <c r="F1782" s="74"/>
      <c r="G1782" s="74"/>
      <c r="H1782" s="74"/>
      <c r="I1782" s="74"/>
      <c r="J1782" s="74"/>
      <c r="K1782" s="74"/>
      <c r="L1782" s="74"/>
      <c r="M1782" s="74"/>
      <c r="N1782" s="74"/>
      <c r="O1782" s="75"/>
      <c r="P1782" s="74"/>
      <c r="Q1782" s="75"/>
      <c r="R1782" s="74"/>
      <c r="S1782" s="74"/>
      <c r="T1782" s="74"/>
      <c r="U1782" s="75"/>
      <c r="V1782" s="74"/>
      <c r="W1782" s="75"/>
      <c r="X1782" s="74"/>
      <c r="Y1782" s="74"/>
      <c r="Z1782" s="74"/>
      <c r="AA1782" s="74"/>
      <c r="AB1782" s="74"/>
      <c r="AC1782" s="74"/>
      <c r="AD1782" s="74"/>
      <c r="AE1782" s="74"/>
      <c r="AF1782" s="74"/>
      <c r="AG1782" s="74"/>
      <c r="AH1782" s="74"/>
    </row>
    <row r="1783" s="73" customFormat="1" spans="1:34">
      <c r="A1783" s="74"/>
      <c r="B1783" s="74"/>
      <c r="C1783" s="74"/>
      <c r="D1783" s="74"/>
      <c r="E1783" s="74"/>
      <c r="F1783" s="74"/>
      <c r="G1783" s="74"/>
      <c r="H1783" s="74"/>
      <c r="I1783" s="74"/>
      <c r="J1783" s="74"/>
      <c r="K1783" s="74"/>
      <c r="L1783" s="74"/>
      <c r="M1783" s="74"/>
      <c r="N1783" s="74"/>
      <c r="O1783" s="75"/>
      <c r="P1783" s="74"/>
      <c r="Q1783" s="75"/>
      <c r="R1783" s="74"/>
      <c r="S1783" s="74"/>
      <c r="T1783" s="74"/>
      <c r="U1783" s="75"/>
      <c r="V1783" s="74"/>
      <c r="W1783" s="75"/>
      <c r="X1783" s="74"/>
      <c r="Y1783" s="74"/>
      <c r="Z1783" s="74"/>
      <c r="AA1783" s="74"/>
      <c r="AB1783" s="74"/>
      <c r="AC1783" s="74"/>
      <c r="AD1783" s="74"/>
      <c r="AE1783" s="74"/>
      <c r="AF1783" s="74"/>
      <c r="AG1783" s="74"/>
      <c r="AH1783" s="74"/>
    </row>
    <row r="1784" s="73" customFormat="1" spans="1:34">
      <c r="A1784" s="74"/>
      <c r="B1784" s="74"/>
      <c r="C1784" s="74"/>
      <c r="D1784" s="74"/>
      <c r="E1784" s="74"/>
      <c r="F1784" s="74"/>
      <c r="G1784" s="74"/>
      <c r="H1784" s="74"/>
      <c r="I1784" s="74"/>
      <c r="J1784" s="74"/>
      <c r="K1784" s="74"/>
      <c r="L1784" s="74"/>
      <c r="M1784" s="74"/>
      <c r="N1784" s="74"/>
      <c r="O1784" s="75"/>
      <c r="P1784" s="74"/>
      <c r="Q1784" s="75"/>
      <c r="R1784" s="74"/>
      <c r="S1784" s="74"/>
      <c r="T1784" s="74"/>
      <c r="U1784" s="75"/>
      <c r="V1784" s="74"/>
      <c r="W1784" s="75"/>
      <c r="X1784" s="74"/>
      <c r="Y1784" s="74"/>
      <c r="Z1784" s="74"/>
      <c r="AA1784" s="74"/>
      <c r="AB1784" s="74"/>
      <c r="AC1784" s="74"/>
      <c r="AD1784" s="74"/>
      <c r="AE1784" s="74"/>
      <c r="AF1784" s="74"/>
      <c r="AG1784" s="74"/>
      <c r="AH1784" s="74"/>
    </row>
    <row r="1785" s="73" customFormat="1" spans="1:34">
      <c r="A1785" s="74"/>
      <c r="B1785" s="74"/>
      <c r="C1785" s="74"/>
      <c r="D1785" s="74"/>
      <c r="E1785" s="74"/>
      <c r="F1785" s="74"/>
      <c r="G1785" s="74"/>
      <c r="H1785" s="74"/>
      <c r="I1785" s="74"/>
      <c r="J1785" s="74"/>
      <c r="K1785" s="74"/>
      <c r="L1785" s="74"/>
      <c r="M1785" s="74"/>
      <c r="N1785" s="74"/>
      <c r="O1785" s="75"/>
      <c r="P1785" s="74"/>
      <c r="Q1785" s="75"/>
      <c r="R1785" s="74"/>
      <c r="S1785" s="74"/>
      <c r="T1785" s="74"/>
      <c r="U1785" s="75"/>
      <c r="V1785" s="74"/>
      <c r="W1785" s="75"/>
      <c r="X1785" s="74"/>
      <c r="Y1785" s="74"/>
      <c r="Z1785" s="74"/>
      <c r="AA1785" s="74"/>
      <c r="AB1785" s="74"/>
      <c r="AC1785" s="74"/>
      <c r="AD1785" s="74"/>
      <c r="AE1785" s="74"/>
      <c r="AF1785" s="74"/>
      <c r="AG1785" s="74"/>
      <c r="AH1785" s="74"/>
    </row>
    <row r="1786" s="73" customFormat="1" spans="1:34">
      <c r="A1786" s="74"/>
      <c r="B1786" s="74"/>
      <c r="C1786" s="74"/>
      <c r="D1786" s="74"/>
      <c r="E1786" s="74"/>
      <c r="F1786" s="74"/>
      <c r="G1786" s="74"/>
      <c r="H1786" s="74"/>
      <c r="I1786" s="74"/>
      <c r="J1786" s="74"/>
      <c r="K1786" s="74"/>
      <c r="L1786" s="74"/>
      <c r="M1786" s="74"/>
      <c r="N1786" s="74"/>
      <c r="O1786" s="75"/>
      <c r="P1786" s="74"/>
      <c r="Q1786" s="75"/>
      <c r="R1786" s="74"/>
      <c r="S1786" s="74"/>
      <c r="T1786" s="74"/>
      <c r="U1786" s="75"/>
      <c r="V1786" s="74"/>
      <c r="W1786" s="75"/>
      <c r="X1786" s="74"/>
      <c r="Y1786" s="74"/>
      <c r="Z1786" s="74"/>
      <c r="AA1786" s="74"/>
      <c r="AB1786" s="74"/>
      <c r="AC1786" s="74"/>
      <c r="AD1786" s="74"/>
      <c r="AE1786" s="74"/>
      <c r="AF1786" s="74"/>
      <c r="AG1786" s="74"/>
      <c r="AH1786" s="74"/>
    </row>
    <row r="1787" s="73" customFormat="1" spans="1:34">
      <c r="A1787" s="74"/>
      <c r="B1787" s="74"/>
      <c r="C1787" s="74"/>
      <c r="D1787" s="74"/>
      <c r="E1787" s="74"/>
      <c r="F1787" s="74"/>
      <c r="G1787" s="74"/>
      <c r="H1787" s="74"/>
      <c r="I1787" s="74"/>
      <c r="J1787" s="74"/>
      <c r="K1787" s="74"/>
      <c r="L1787" s="74"/>
      <c r="M1787" s="74"/>
      <c r="N1787" s="74"/>
      <c r="O1787" s="75"/>
      <c r="P1787" s="74"/>
      <c r="Q1787" s="75"/>
      <c r="R1787" s="74"/>
      <c r="S1787" s="74"/>
      <c r="T1787" s="74"/>
      <c r="U1787" s="75"/>
      <c r="V1787" s="74"/>
      <c r="W1787" s="75"/>
      <c r="X1787" s="74"/>
      <c r="Y1787" s="74"/>
      <c r="Z1787" s="74"/>
      <c r="AA1787" s="74"/>
      <c r="AB1787" s="74"/>
      <c r="AC1787" s="74"/>
      <c r="AD1787" s="74"/>
      <c r="AE1787" s="74"/>
      <c r="AF1787" s="74"/>
      <c r="AG1787" s="74"/>
      <c r="AH1787" s="74"/>
    </row>
    <row r="1788" s="73" customFormat="1" spans="1:34">
      <c r="A1788" s="74"/>
      <c r="B1788" s="74"/>
      <c r="C1788" s="74"/>
      <c r="D1788" s="74"/>
      <c r="E1788" s="74"/>
      <c r="F1788" s="74"/>
      <c r="G1788" s="74"/>
      <c r="H1788" s="74"/>
      <c r="I1788" s="74"/>
      <c r="J1788" s="74"/>
      <c r="K1788" s="74"/>
      <c r="L1788" s="74"/>
      <c r="M1788" s="74"/>
      <c r="N1788" s="74"/>
      <c r="O1788" s="75"/>
      <c r="P1788" s="74"/>
      <c r="Q1788" s="75"/>
      <c r="R1788" s="74"/>
      <c r="S1788" s="74"/>
      <c r="T1788" s="74"/>
      <c r="U1788" s="75"/>
      <c r="V1788" s="74"/>
      <c r="W1788" s="75"/>
      <c r="X1788" s="74"/>
      <c r="Y1788" s="74"/>
      <c r="Z1788" s="74"/>
      <c r="AA1788" s="74"/>
      <c r="AB1788" s="74"/>
      <c r="AC1788" s="74"/>
      <c r="AD1788" s="74"/>
      <c r="AE1788" s="74"/>
      <c r="AF1788" s="74"/>
      <c r="AG1788" s="74"/>
      <c r="AH1788" s="74"/>
    </row>
    <row r="1789" s="73" customFormat="1" spans="1:34">
      <c r="A1789" s="74"/>
      <c r="B1789" s="74"/>
      <c r="C1789" s="74"/>
      <c r="D1789" s="74"/>
      <c r="E1789" s="74"/>
      <c r="F1789" s="74"/>
      <c r="G1789" s="74"/>
      <c r="H1789" s="74"/>
      <c r="I1789" s="74"/>
      <c r="J1789" s="74"/>
      <c r="K1789" s="74"/>
      <c r="L1789" s="74"/>
      <c r="M1789" s="74"/>
      <c r="N1789" s="74"/>
      <c r="O1789" s="75"/>
      <c r="P1789" s="74"/>
      <c r="Q1789" s="75"/>
      <c r="R1789" s="74"/>
      <c r="S1789" s="74"/>
      <c r="T1789" s="74"/>
      <c r="U1789" s="75"/>
      <c r="V1789" s="74"/>
      <c r="W1789" s="75"/>
      <c r="X1789" s="74"/>
      <c r="Y1789" s="74"/>
      <c r="Z1789" s="74"/>
      <c r="AA1789" s="74"/>
      <c r="AB1789" s="74"/>
      <c r="AC1789" s="74"/>
      <c r="AD1789" s="74"/>
      <c r="AE1789" s="74"/>
      <c r="AF1789" s="74"/>
      <c r="AG1789" s="74"/>
      <c r="AH1789" s="74"/>
    </row>
    <row r="1790" s="73" customFormat="1" spans="1:34">
      <c r="A1790" s="74"/>
      <c r="B1790" s="74"/>
      <c r="C1790" s="74"/>
      <c r="D1790" s="74"/>
      <c r="E1790" s="74"/>
      <c r="F1790" s="74"/>
      <c r="G1790" s="74"/>
      <c r="H1790" s="74"/>
      <c r="I1790" s="74"/>
      <c r="J1790" s="74"/>
      <c r="K1790" s="74"/>
      <c r="L1790" s="74"/>
      <c r="M1790" s="74"/>
      <c r="N1790" s="74"/>
      <c r="O1790" s="75"/>
      <c r="P1790" s="74"/>
      <c r="Q1790" s="75"/>
      <c r="R1790" s="74"/>
      <c r="S1790" s="74"/>
      <c r="T1790" s="74"/>
      <c r="U1790" s="75"/>
      <c r="V1790" s="74"/>
      <c r="W1790" s="75"/>
      <c r="X1790" s="74"/>
      <c r="Y1790" s="74"/>
      <c r="Z1790" s="74"/>
      <c r="AA1790" s="74"/>
      <c r="AB1790" s="74"/>
      <c r="AC1790" s="74"/>
      <c r="AD1790" s="74"/>
      <c r="AE1790" s="74"/>
      <c r="AF1790" s="74"/>
      <c r="AG1790" s="74"/>
      <c r="AH1790" s="74"/>
    </row>
    <row r="1791" s="73" customFormat="1" spans="1:34">
      <c r="A1791" s="74"/>
      <c r="B1791" s="74"/>
      <c r="C1791" s="74"/>
      <c r="D1791" s="74"/>
      <c r="E1791" s="74"/>
      <c r="F1791" s="74"/>
      <c r="G1791" s="74"/>
      <c r="H1791" s="74"/>
      <c r="I1791" s="74"/>
      <c r="J1791" s="74"/>
      <c r="K1791" s="74"/>
      <c r="L1791" s="74"/>
      <c r="M1791" s="74"/>
      <c r="N1791" s="74"/>
      <c r="O1791" s="75"/>
      <c r="P1791" s="74"/>
      <c r="Q1791" s="75"/>
      <c r="R1791" s="74"/>
      <c r="S1791" s="74"/>
      <c r="T1791" s="74"/>
      <c r="U1791" s="75"/>
      <c r="V1791" s="74"/>
      <c r="W1791" s="75"/>
      <c r="X1791" s="74"/>
      <c r="Y1791" s="74"/>
      <c r="Z1791" s="74"/>
      <c r="AA1791" s="74"/>
      <c r="AB1791" s="74"/>
      <c r="AC1791" s="74"/>
      <c r="AD1791" s="74"/>
      <c r="AE1791" s="74"/>
      <c r="AF1791" s="74"/>
      <c r="AG1791" s="74"/>
      <c r="AH1791" s="74"/>
    </row>
    <row r="1792" s="73" customFormat="1" spans="1:34">
      <c r="A1792" s="74"/>
      <c r="B1792" s="74"/>
      <c r="C1792" s="74"/>
      <c r="D1792" s="74"/>
      <c r="E1792" s="74"/>
      <c r="F1792" s="74"/>
      <c r="G1792" s="74"/>
      <c r="H1792" s="74"/>
      <c r="I1792" s="74"/>
      <c r="J1792" s="74"/>
      <c r="K1792" s="74"/>
      <c r="L1792" s="74"/>
      <c r="M1792" s="74"/>
      <c r="N1792" s="74"/>
      <c r="O1792" s="75"/>
      <c r="P1792" s="74"/>
      <c r="Q1792" s="75"/>
      <c r="R1792" s="74"/>
      <c r="S1792" s="74"/>
      <c r="T1792" s="74"/>
      <c r="U1792" s="75"/>
      <c r="V1792" s="74"/>
      <c r="W1792" s="75"/>
      <c r="X1792" s="74"/>
      <c r="Y1792" s="74"/>
      <c r="Z1792" s="74"/>
      <c r="AA1792" s="74"/>
      <c r="AB1792" s="74"/>
      <c r="AC1792" s="74"/>
      <c r="AD1792" s="74"/>
      <c r="AE1792" s="74"/>
      <c r="AF1792" s="74"/>
      <c r="AG1792" s="74"/>
      <c r="AH1792" s="74"/>
    </row>
    <row r="1793" s="73" customFormat="1" spans="1:34">
      <c r="A1793" s="74"/>
      <c r="B1793" s="74"/>
      <c r="C1793" s="74"/>
      <c r="D1793" s="74"/>
      <c r="E1793" s="74"/>
      <c r="F1793" s="74"/>
      <c r="G1793" s="74"/>
      <c r="H1793" s="74"/>
      <c r="I1793" s="74"/>
      <c r="J1793" s="74"/>
      <c r="K1793" s="74"/>
      <c r="L1793" s="74"/>
      <c r="M1793" s="74"/>
      <c r="N1793" s="74"/>
      <c r="O1793" s="75"/>
      <c r="P1793" s="74"/>
      <c r="Q1793" s="75"/>
      <c r="R1793" s="74"/>
      <c r="S1793" s="74"/>
      <c r="T1793" s="74"/>
      <c r="U1793" s="75"/>
      <c r="V1793" s="74"/>
      <c r="W1793" s="75"/>
      <c r="X1793" s="74"/>
      <c r="Y1793" s="74"/>
      <c r="Z1793" s="74"/>
      <c r="AA1793" s="74"/>
      <c r="AB1793" s="74"/>
      <c r="AC1793" s="74"/>
      <c r="AD1793" s="74"/>
      <c r="AE1793" s="74"/>
      <c r="AF1793" s="74"/>
      <c r="AG1793" s="74"/>
      <c r="AH1793" s="74"/>
    </row>
    <row r="1794" s="73" customFormat="1" spans="1:34">
      <c r="A1794" s="74"/>
      <c r="B1794" s="74"/>
      <c r="C1794" s="74"/>
      <c r="D1794" s="74"/>
      <c r="E1794" s="74"/>
      <c r="F1794" s="74"/>
      <c r="G1794" s="74"/>
      <c r="H1794" s="74"/>
      <c r="I1794" s="74"/>
      <c r="J1794" s="74"/>
      <c r="K1794" s="74"/>
      <c r="L1794" s="74"/>
      <c r="M1794" s="74"/>
      <c r="N1794" s="74"/>
      <c r="O1794" s="75"/>
      <c r="P1794" s="74"/>
      <c r="Q1794" s="75"/>
      <c r="R1794" s="74"/>
      <c r="S1794" s="74"/>
      <c r="T1794" s="74"/>
      <c r="U1794" s="75"/>
      <c r="V1794" s="74"/>
      <c r="W1794" s="75"/>
      <c r="X1794" s="74"/>
      <c r="Y1794" s="74"/>
      <c r="Z1794" s="74"/>
      <c r="AA1794" s="74"/>
      <c r="AB1794" s="74"/>
      <c r="AC1794" s="74"/>
      <c r="AD1794" s="74"/>
      <c r="AE1794" s="74"/>
      <c r="AF1794" s="74"/>
      <c r="AG1794" s="74"/>
      <c r="AH1794" s="74"/>
    </row>
    <row r="1795" s="73" customFormat="1" spans="1:34">
      <c r="A1795" s="74"/>
      <c r="B1795" s="74"/>
      <c r="C1795" s="74"/>
      <c r="D1795" s="74"/>
      <c r="E1795" s="74"/>
      <c r="F1795" s="74"/>
      <c r="G1795" s="74"/>
      <c r="H1795" s="74"/>
      <c r="I1795" s="74"/>
      <c r="J1795" s="74"/>
      <c r="K1795" s="74"/>
      <c r="L1795" s="74"/>
      <c r="M1795" s="74"/>
      <c r="N1795" s="74"/>
      <c r="O1795" s="75"/>
      <c r="P1795" s="74"/>
      <c r="Q1795" s="75"/>
      <c r="R1795" s="74"/>
      <c r="S1795" s="74"/>
      <c r="T1795" s="74"/>
      <c r="U1795" s="75"/>
      <c r="V1795" s="74"/>
      <c r="W1795" s="75"/>
      <c r="X1795" s="74"/>
      <c r="Y1795" s="74"/>
      <c r="Z1795" s="74"/>
      <c r="AA1795" s="74"/>
      <c r="AB1795" s="74"/>
      <c r="AC1795" s="74"/>
      <c r="AD1795" s="74"/>
      <c r="AE1795" s="74"/>
      <c r="AF1795" s="74"/>
      <c r="AG1795" s="74"/>
      <c r="AH1795" s="74"/>
    </row>
    <row r="1796" s="73" customFormat="1" spans="1:34">
      <c r="A1796" s="74"/>
      <c r="B1796" s="74"/>
      <c r="C1796" s="74"/>
      <c r="D1796" s="74"/>
      <c r="E1796" s="74"/>
      <c r="F1796" s="74"/>
      <c r="G1796" s="74"/>
      <c r="H1796" s="74"/>
      <c r="I1796" s="74"/>
      <c r="J1796" s="74"/>
      <c r="K1796" s="74"/>
      <c r="L1796" s="74"/>
      <c r="M1796" s="74"/>
      <c r="N1796" s="74"/>
      <c r="O1796" s="75"/>
      <c r="P1796" s="74"/>
      <c r="Q1796" s="75"/>
      <c r="R1796" s="74"/>
      <c r="S1796" s="74"/>
      <c r="T1796" s="74"/>
      <c r="U1796" s="75"/>
      <c r="V1796" s="74"/>
      <c r="W1796" s="75"/>
      <c r="X1796" s="74"/>
      <c r="Y1796" s="74"/>
      <c r="Z1796" s="74"/>
      <c r="AA1796" s="74"/>
      <c r="AB1796" s="74"/>
      <c r="AC1796" s="74"/>
      <c r="AD1796" s="74"/>
      <c r="AE1796" s="74"/>
      <c r="AF1796" s="74"/>
      <c r="AG1796" s="74"/>
      <c r="AH1796" s="74"/>
    </row>
    <row r="1797" s="73" customFormat="1" spans="1:34">
      <c r="A1797" s="74"/>
      <c r="B1797" s="74"/>
      <c r="C1797" s="74"/>
      <c r="D1797" s="74"/>
      <c r="E1797" s="74"/>
      <c r="F1797" s="74"/>
      <c r="G1797" s="74"/>
      <c r="H1797" s="74"/>
      <c r="I1797" s="74"/>
      <c r="J1797" s="74"/>
      <c r="K1797" s="74"/>
      <c r="L1797" s="74"/>
      <c r="M1797" s="74"/>
      <c r="N1797" s="74"/>
      <c r="O1797" s="75"/>
      <c r="P1797" s="74"/>
      <c r="Q1797" s="75"/>
      <c r="R1797" s="74"/>
      <c r="S1797" s="74"/>
      <c r="T1797" s="74"/>
      <c r="U1797" s="75"/>
      <c r="V1797" s="74"/>
      <c r="W1797" s="75"/>
      <c r="X1797" s="74"/>
      <c r="Y1797" s="74"/>
      <c r="Z1797" s="74"/>
      <c r="AA1797" s="74"/>
      <c r="AB1797" s="74"/>
      <c r="AC1797" s="74"/>
      <c r="AD1797" s="74"/>
      <c r="AE1797" s="74"/>
      <c r="AF1797" s="74"/>
      <c r="AG1797" s="74"/>
      <c r="AH1797" s="74"/>
    </row>
    <row r="1798" s="73" customFormat="1" spans="1:34">
      <c r="A1798" s="74"/>
      <c r="B1798" s="74"/>
      <c r="C1798" s="74"/>
      <c r="D1798" s="74"/>
      <c r="E1798" s="74"/>
      <c r="F1798" s="74"/>
      <c r="G1798" s="74"/>
      <c r="H1798" s="74"/>
      <c r="I1798" s="74"/>
      <c r="J1798" s="74"/>
      <c r="K1798" s="74"/>
      <c r="L1798" s="74"/>
      <c r="M1798" s="74"/>
      <c r="N1798" s="74"/>
      <c r="O1798" s="75"/>
      <c r="P1798" s="74"/>
      <c r="Q1798" s="75"/>
      <c r="R1798" s="74"/>
      <c r="S1798" s="74"/>
      <c r="T1798" s="74"/>
      <c r="U1798" s="75"/>
      <c r="V1798" s="74"/>
      <c r="W1798" s="75"/>
      <c r="X1798" s="74"/>
      <c r="Y1798" s="74"/>
      <c r="Z1798" s="74"/>
      <c r="AA1798" s="74"/>
      <c r="AB1798" s="74"/>
      <c r="AC1798" s="74"/>
      <c r="AD1798" s="74"/>
      <c r="AE1798" s="74"/>
      <c r="AF1798" s="74"/>
      <c r="AG1798" s="74"/>
      <c r="AH1798" s="74"/>
    </row>
    <row r="1799" s="73" customFormat="1" spans="1:34">
      <c r="A1799" s="74"/>
      <c r="B1799" s="74"/>
      <c r="C1799" s="74"/>
      <c r="D1799" s="74"/>
      <c r="E1799" s="74"/>
      <c r="F1799" s="74"/>
      <c r="G1799" s="74"/>
      <c r="H1799" s="74"/>
      <c r="I1799" s="74"/>
      <c r="J1799" s="74"/>
      <c r="K1799" s="74"/>
      <c r="L1799" s="74"/>
      <c r="M1799" s="74"/>
      <c r="N1799" s="74"/>
      <c r="O1799" s="75"/>
      <c r="P1799" s="74"/>
      <c r="Q1799" s="75"/>
      <c r="R1799" s="74"/>
      <c r="S1799" s="74"/>
      <c r="T1799" s="74"/>
      <c r="U1799" s="75"/>
      <c r="V1799" s="74"/>
      <c r="W1799" s="75"/>
      <c r="X1799" s="74"/>
      <c r="Y1799" s="74"/>
      <c r="Z1799" s="74"/>
      <c r="AA1799" s="74"/>
      <c r="AB1799" s="74"/>
      <c r="AC1799" s="74"/>
      <c r="AD1799" s="74"/>
      <c r="AE1799" s="74"/>
      <c r="AF1799" s="74"/>
      <c r="AG1799" s="74"/>
      <c r="AH1799" s="74"/>
    </row>
    <row r="1800" s="73" customFormat="1" spans="1:34">
      <c r="A1800" s="74"/>
      <c r="B1800" s="74"/>
      <c r="C1800" s="74"/>
      <c r="D1800" s="74"/>
      <c r="E1800" s="74"/>
      <c r="F1800" s="74"/>
      <c r="G1800" s="74"/>
      <c r="H1800" s="74"/>
      <c r="I1800" s="74"/>
      <c r="J1800" s="74"/>
      <c r="K1800" s="74"/>
      <c r="L1800" s="74"/>
      <c r="M1800" s="74"/>
      <c r="N1800" s="74"/>
      <c r="O1800" s="75"/>
      <c r="P1800" s="74"/>
      <c r="Q1800" s="75"/>
      <c r="R1800" s="74"/>
      <c r="S1800" s="74"/>
      <c r="T1800" s="74"/>
      <c r="U1800" s="75"/>
      <c r="V1800" s="74"/>
      <c r="W1800" s="75"/>
      <c r="X1800" s="74"/>
      <c r="Y1800" s="74"/>
      <c r="Z1800" s="74"/>
      <c r="AA1800" s="74"/>
      <c r="AB1800" s="74"/>
      <c r="AC1800" s="74"/>
      <c r="AD1800" s="74"/>
      <c r="AE1800" s="74"/>
      <c r="AF1800" s="74"/>
      <c r="AG1800" s="74"/>
      <c r="AH1800" s="74"/>
    </row>
    <row r="1801" s="73" customFormat="1" spans="1:34">
      <c r="A1801" s="74"/>
      <c r="B1801" s="74"/>
      <c r="C1801" s="74"/>
      <c r="D1801" s="74"/>
      <c r="E1801" s="74"/>
      <c r="F1801" s="74"/>
      <c r="G1801" s="74"/>
      <c r="H1801" s="74"/>
      <c r="I1801" s="74"/>
      <c r="J1801" s="74"/>
      <c r="K1801" s="74"/>
      <c r="L1801" s="74"/>
      <c r="M1801" s="74"/>
      <c r="N1801" s="74"/>
      <c r="O1801" s="75"/>
      <c r="P1801" s="74"/>
      <c r="Q1801" s="75"/>
      <c r="R1801" s="74"/>
      <c r="S1801" s="74"/>
      <c r="T1801" s="74"/>
      <c r="U1801" s="75"/>
      <c r="V1801" s="74"/>
      <c r="W1801" s="75"/>
      <c r="X1801" s="74"/>
      <c r="Y1801" s="74"/>
      <c r="Z1801" s="74"/>
      <c r="AA1801" s="74"/>
      <c r="AB1801" s="74"/>
      <c r="AC1801" s="74"/>
      <c r="AD1801" s="74"/>
      <c r="AE1801" s="74"/>
      <c r="AF1801" s="74"/>
      <c r="AG1801" s="74"/>
      <c r="AH1801" s="74"/>
    </row>
    <row r="1802" s="73" customFormat="1" spans="1:34">
      <c r="A1802" s="74"/>
      <c r="B1802" s="74"/>
      <c r="C1802" s="74"/>
      <c r="D1802" s="74"/>
      <c r="E1802" s="74"/>
      <c r="F1802" s="74"/>
      <c r="G1802" s="74"/>
      <c r="H1802" s="74"/>
      <c r="I1802" s="74"/>
      <c r="J1802" s="74"/>
      <c r="K1802" s="74"/>
      <c r="L1802" s="74"/>
      <c r="M1802" s="74"/>
      <c r="N1802" s="74"/>
      <c r="O1802" s="75"/>
      <c r="P1802" s="74"/>
      <c r="Q1802" s="75"/>
      <c r="R1802" s="74"/>
      <c r="S1802" s="74"/>
      <c r="T1802" s="74"/>
      <c r="U1802" s="75"/>
      <c r="V1802" s="74"/>
      <c r="W1802" s="75"/>
      <c r="X1802" s="74"/>
      <c r="Y1802" s="74"/>
      <c r="Z1802" s="74"/>
      <c r="AA1802" s="74"/>
      <c r="AB1802" s="74"/>
      <c r="AC1802" s="74"/>
      <c r="AD1802" s="74"/>
      <c r="AE1802" s="74"/>
      <c r="AF1802" s="74"/>
      <c r="AG1802" s="74"/>
      <c r="AH1802" s="74"/>
    </row>
    <row r="1803" s="73" customFormat="1" spans="1:34">
      <c r="A1803" s="74"/>
      <c r="B1803" s="74"/>
      <c r="C1803" s="74"/>
      <c r="D1803" s="74"/>
      <c r="E1803" s="74"/>
      <c r="F1803" s="74"/>
      <c r="G1803" s="74"/>
      <c r="H1803" s="74"/>
      <c r="I1803" s="74"/>
      <c r="J1803" s="74"/>
      <c r="K1803" s="74"/>
      <c r="L1803" s="74"/>
      <c r="M1803" s="74"/>
      <c r="N1803" s="74"/>
      <c r="O1803" s="75"/>
      <c r="P1803" s="74"/>
      <c r="Q1803" s="75"/>
      <c r="R1803" s="74"/>
      <c r="S1803" s="74"/>
      <c r="T1803" s="74"/>
      <c r="U1803" s="75"/>
      <c r="V1803" s="74"/>
      <c r="W1803" s="75"/>
      <c r="X1803" s="74"/>
      <c r="Y1803" s="74"/>
      <c r="Z1803" s="74"/>
      <c r="AA1803" s="74"/>
      <c r="AB1803" s="74"/>
      <c r="AC1803" s="74"/>
      <c r="AD1803" s="74"/>
      <c r="AE1803" s="74"/>
      <c r="AF1803" s="74"/>
      <c r="AG1803" s="74"/>
      <c r="AH1803" s="74"/>
    </row>
    <row r="1804" s="73" customFormat="1" spans="1:34">
      <c r="A1804" s="74"/>
      <c r="B1804" s="74"/>
      <c r="C1804" s="74"/>
      <c r="D1804" s="74"/>
      <c r="E1804" s="74"/>
      <c r="F1804" s="74"/>
      <c r="G1804" s="74"/>
      <c r="H1804" s="74"/>
      <c r="I1804" s="74"/>
      <c r="J1804" s="74"/>
      <c r="K1804" s="74"/>
      <c r="L1804" s="74"/>
      <c r="M1804" s="74"/>
      <c r="N1804" s="74"/>
      <c r="O1804" s="75"/>
      <c r="P1804" s="74"/>
      <c r="Q1804" s="75"/>
      <c r="R1804" s="74"/>
      <c r="S1804" s="74"/>
      <c r="T1804" s="74"/>
      <c r="U1804" s="75"/>
      <c r="V1804" s="74"/>
      <c r="W1804" s="75"/>
      <c r="X1804" s="74"/>
      <c r="Y1804" s="74"/>
      <c r="Z1804" s="74"/>
      <c r="AA1804" s="74"/>
      <c r="AB1804" s="74"/>
      <c r="AC1804" s="74"/>
      <c r="AD1804" s="74"/>
      <c r="AE1804" s="74"/>
      <c r="AF1804" s="74"/>
      <c r="AG1804" s="74"/>
      <c r="AH1804" s="74"/>
    </row>
    <row r="1805" s="73" customFormat="1" spans="1:34">
      <c r="A1805" s="74"/>
      <c r="B1805" s="74"/>
      <c r="C1805" s="74"/>
      <c r="D1805" s="74"/>
      <c r="E1805" s="74"/>
      <c r="F1805" s="74"/>
      <c r="G1805" s="74"/>
      <c r="H1805" s="74"/>
      <c r="I1805" s="74"/>
      <c r="J1805" s="74"/>
      <c r="K1805" s="74"/>
      <c r="L1805" s="74"/>
      <c r="M1805" s="74"/>
      <c r="N1805" s="74"/>
      <c r="O1805" s="75"/>
      <c r="P1805" s="74"/>
      <c r="Q1805" s="75"/>
      <c r="R1805" s="74"/>
      <c r="S1805" s="74"/>
      <c r="T1805" s="74"/>
      <c r="U1805" s="75"/>
      <c r="V1805" s="74"/>
      <c r="W1805" s="75"/>
      <c r="X1805" s="74"/>
      <c r="Y1805" s="74"/>
      <c r="Z1805" s="74"/>
      <c r="AA1805" s="74"/>
      <c r="AB1805" s="74"/>
      <c r="AC1805" s="74"/>
      <c r="AD1805" s="74"/>
      <c r="AE1805" s="74"/>
      <c r="AF1805" s="74"/>
      <c r="AG1805" s="74"/>
      <c r="AH1805" s="74"/>
    </row>
    <row r="1806" s="73" customFormat="1" spans="1:34">
      <c r="A1806" s="74"/>
      <c r="B1806" s="74"/>
      <c r="C1806" s="74"/>
      <c r="D1806" s="74"/>
      <c r="E1806" s="74"/>
      <c r="F1806" s="74"/>
      <c r="G1806" s="74"/>
      <c r="H1806" s="74"/>
      <c r="I1806" s="74"/>
      <c r="J1806" s="74"/>
      <c r="K1806" s="74"/>
      <c r="L1806" s="74"/>
      <c r="M1806" s="74"/>
      <c r="N1806" s="74"/>
      <c r="O1806" s="75"/>
      <c r="P1806" s="74"/>
      <c r="Q1806" s="75"/>
      <c r="R1806" s="74"/>
      <c r="S1806" s="74"/>
      <c r="T1806" s="74"/>
      <c r="U1806" s="75"/>
      <c r="V1806" s="74"/>
      <c r="W1806" s="75"/>
      <c r="X1806" s="74"/>
      <c r="Y1806" s="74"/>
      <c r="Z1806" s="74"/>
      <c r="AA1806" s="74"/>
      <c r="AB1806" s="74"/>
      <c r="AC1806" s="74"/>
      <c r="AD1806" s="74"/>
      <c r="AE1806" s="74"/>
      <c r="AF1806" s="74"/>
      <c r="AG1806" s="74"/>
      <c r="AH1806" s="74"/>
    </row>
    <row r="1807" s="73" customFormat="1" spans="1:34">
      <c r="A1807" s="74"/>
      <c r="B1807" s="74"/>
      <c r="C1807" s="74"/>
      <c r="D1807" s="74"/>
      <c r="E1807" s="74"/>
      <c r="F1807" s="74"/>
      <c r="G1807" s="74"/>
      <c r="H1807" s="74"/>
      <c r="I1807" s="74"/>
      <c r="J1807" s="74"/>
      <c r="K1807" s="74"/>
      <c r="L1807" s="74"/>
      <c r="M1807" s="74"/>
      <c r="N1807" s="74"/>
      <c r="O1807" s="75"/>
      <c r="P1807" s="74"/>
      <c r="Q1807" s="75"/>
      <c r="R1807" s="74"/>
      <c r="S1807" s="74"/>
      <c r="T1807" s="74"/>
      <c r="U1807" s="75"/>
      <c r="V1807" s="74"/>
      <c r="W1807" s="75"/>
      <c r="X1807" s="74"/>
      <c r="Y1807" s="74"/>
      <c r="Z1807" s="74"/>
      <c r="AA1807" s="74"/>
      <c r="AB1807" s="74"/>
      <c r="AC1807" s="74"/>
      <c r="AD1807" s="74"/>
      <c r="AE1807" s="74"/>
      <c r="AF1807" s="74"/>
      <c r="AG1807" s="74"/>
      <c r="AH1807" s="74"/>
    </row>
    <row r="1808" s="73" customFormat="1" spans="1:34">
      <c r="A1808" s="74"/>
      <c r="B1808" s="74"/>
      <c r="C1808" s="74"/>
      <c r="D1808" s="74"/>
      <c r="E1808" s="74"/>
      <c r="F1808" s="74"/>
      <c r="G1808" s="74"/>
      <c r="H1808" s="74"/>
      <c r="I1808" s="74"/>
      <c r="J1808" s="74"/>
      <c r="K1808" s="74"/>
      <c r="L1808" s="74"/>
      <c r="M1808" s="74"/>
      <c r="N1808" s="74"/>
      <c r="O1808" s="75"/>
      <c r="P1808" s="74"/>
      <c r="Q1808" s="75"/>
      <c r="R1808" s="74"/>
      <c r="S1808" s="74"/>
      <c r="T1808" s="74"/>
      <c r="U1808" s="75"/>
      <c r="V1808" s="74"/>
      <c r="W1808" s="75"/>
      <c r="X1808" s="74"/>
      <c r="Y1808" s="74"/>
      <c r="Z1808" s="74"/>
      <c r="AA1808" s="74"/>
      <c r="AB1808" s="74"/>
      <c r="AC1808" s="74"/>
      <c r="AD1808" s="74"/>
      <c r="AE1808" s="74"/>
      <c r="AF1808" s="74"/>
      <c r="AG1808" s="74"/>
      <c r="AH1808" s="74"/>
    </row>
    <row r="1809" s="73" customFormat="1" spans="1:34">
      <c r="A1809" s="74"/>
      <c r="B1809" s="74"/>
      <c r="C1809" s="74"/>
      <c r="D1809" s="74"/>
      <c r="E1809" s="74"/>
      <c r="F1809" s="74"/>
      <c r="G1809" s="74"/>
      <c r="H1809" s="74"/>
      <c r="I1809" s="74"/>
      <c r="J1809" s="74"/>
      <c r="K1809" s="74"/>
      <c r="L1809" s="74"/>
      <c r="M1809" s="74"/>
      <c r="N1809" s="74"/>
      <c r="O1809" s="75"/>
      <c r="P1809" s="74"/>
      <c r="Q1809" s="75"/>
      <c r="R1809" s="74"/>
      <c r="S1809" s="74"/>
      <c r="T1809" s="74"/>
      <c r="U1809" s="75"/>
      <c r="V1809" s="74"/>
      <c r="W1809" s="75"/>
      <c r="X1809" s="74"/>
      <c r="Y1809" s="74"/>
      <c r="Z1809" s="74"/>
      <c r="AA1809" s="74"/>
      <c r="AB1809" s="74"/>
      <c r="AC1809" s="74"/>
      <c r="AD1809" s="74"/>
      <c r="AE1809" s="74"/>
      <c r="AF1809" s="74"/>
      <c r="AG1809" s="74"/>
      <c r="AH1809" s="74"/>
    </row>
    <row r="1810" s="73" customFormat="1" spans="1:34">
      <c r="A1810" s="74"/>
      <c r="B1810" s="74"/>
      <c r="C1810" s="74"/>
      <c r="D1810" s="74"/>
      <c r="E1810" s="74"/>
      <c r="F1810" s="74"/>
      <c r="G1810" s="74"/>
      <c r="H1810" s="74"/>
      <c r="I1810" s="74"/>
      <c r="J1810" s="74"/>
      <c r="K1810" s="74"/>
      <c r="L1810" s="74"/>
      <c r="M1810" s="74"/>
      <c r="N1810" s="74"/>
      <c r="O1810" s="75"/>
      <c r="P1810" s="74"/>
      <c r="Q1810" s="75"/>
      <c r="R1810" s="74"/>
      <c r="S1810" s="74"/>
      <c r="T1810" s="74"/>
      <c r="U1810" s="75"/>
      <c r="V1810" s="74"/>
      <c r="W1810" s="75"/>
      <c r="X1810" s="74"/>
      <c r="Y1810" s="74"/>
      <c r="Z1810" s="74"/>
      <c r="AA1810" s="74"/>
      <c r="AB1810" s="74"/>
      <c r="AC1810" s="74"/>
      <c r="AD1810" s="74"/>
      <c r="AE1810" s="74"/>
      <c r="AF1810" s="74"/>
      <c r="AG1810" s="74"/>
      <c r="AH1810" s="74"/>
    </row>
    <row r="1811" s="73" customFormat="1" spans="1:34">
      <c r="A1811" s="74"/>
      <c r="B1811" s="74"/>
      <c r="C1811" s="74"/>
      <c r="D1811" s="74"/>
      <c r="E1811" s="74"/>
      <c r="F1811" s="74"/>
      <c r="G1811" s="74"/>
      <c r="H1811" s="74"/>
      <c r="I1811" s="74"/>
      <c r="J1811" s="74"/>
      <c r="K1811" s="74"/>
      <c r="L1811" s="74"/>
      <c r="M1811" s="74"/>
      <c r="N1811" s="74"/>
      <c r="O1811" s="75"/>
      <c r="P1811" s="74"/>
      <c r="Q1811" s="75"/>
      <c r="R1811" s="74"/>
      <c r="S1811" s="74"/>
      <c r="T1811" s="74"/>
      <c r="U1811" s="75"/>
      <c r="V1811" s="74"/>
      <c r="W1811" s="75"/>
      <c r="X1811" s="74"/>
      <c r="Y1811" s="74"/>
      <c r="Z1811" s="74"/>
      <c r="AA1811" s="74"/>
      <c r="AB1811" s="74"/>
      <c r="AC1811" s="74"/>
      <c r="AD1811" s="74"/>
      <c r="AE1811" s="74"/>
      <c r="AF1811" s="74"/>
      <c r="AG1811" s="74"/>
      <c r="AH1811" s="74"/>
    </row>
    <row r="1812" s="73" customFormat="1" spans="1:34">
      <c r="A1812" s="74"/>
      <c r="B1812" s="74"/>
      <c r="C1812" s="74"/>
      <c r="D1812" s="74"/>
      <c r="E1812" s="74"/>
      <c r="F1812" s="74"/>
      <c r="G1812" s="74"/>
      <c r="H1812" s="74"/>
      <c r="I1812" s="74"/>
      <c r="J1812" s="74"/>
      <c r="K1812" s="74"/>
      <c r="L1812" s="74"/>
      <c r="M1812" s="74"/>
      <c r="N1812" s="74"/>
      <c r="O1812" s="75"/>
      <c r="P1812" s="74"/>
      <c r="Q1812" s="75"/>
      <c r="R1812" s="74"/>
      <c r="S1812" s="74"/>
      <c r="T1812" s="74"/>
      <c r="U1812" s="75"/>
      <c r="V1812" s="74"/>
      <c r="W1812" s="75"/>
      <c r="X1812" s="74"/>
      <c r="Y1812" s="74"/>
      <c r="Z1812" s="74"/>
      <c r="AA1812" s="74"/>
      <c r="AB1812" s="74"/>
      <c r="AC1812" s="74"/>
      <c r="AD1812" s="74"/>
      <c r="AE1812" s="74"/>
      <c r="AF1812" s="74"/>
      <c r="AG1812" s="74"/>
      <c r="AH1812" s="74"/>
    </row>
    <row r="1813" s="73" customFormat="1" spans="1:34">
      <c r="A1813" s="74"/>
      <c r="B1813" s="74"/>
      <c r="C1813" s="74"/>
      <c r="D1813" s="74"/>
      <c r="E1813" s="74"/>
      <c r="F1813" s="74"/>
      <c r="G1813" s="74"/>
      <c r="H1813" s="74"/>
      <c r="I1813" s="74"/>
      <c r="J1813" s="74"/>
      <c r="K1813" s="74"/>
      <c r="L1813" s="74"/>
      <c r="M1813" s="74"/>
      <c r="N1813" s="74"/>
      <c r="O1813" s="75"/>
      <c r="P1813" s="74"/>
      <c r="Q1813" s="75"/>
      <c r="R1813" s="74"/>
      <c r="S1813" s="74"/>
      <c r="T1813" s="74"/>
      <c r="U1813" s="75"/>
      <c r="V1813" s="74"/>
      <c r="W1813" s="75"/>
      <c r="X1813" s="74"/>
      <c r="Y1813" s="74"/>
      <c r="Z1813" s="74"/>
      <c r="AA1813" s="74"/>
      <c r="AB1813" s="74"/>
      <c r="AC1813" s="74"/>
      <c r="AD1813" s="74"/>
      <c r="AE1813" s="74"/>
      <c r="AF1813" s="74"/>
      <c r="AG1813" s="74"/>
      <c r="AH1813" s="74"/>
    </row>
    <row r="1814" s="73" customFormat="1" spans="1:34">
      <c r="A1814" s="74"/>
      <c r="B1814" s="74"/>
      <c r="C1814" s="74"/>
      <c r="D1814" s="74"/>
      <c r="E1814" s="74"/>
      <c r="F1814" s="74"/>
      <c r="G1814" s="74"/>
      <c r="H1814" s="74"/>
      <c r="I1814" s="74"/>
      <c r="J1814" s="74"/>
      <c r="K1814" s="74"/>
      <c r="L1814" s="74"/>
      <c r="M1814" s="74"/>
      <c r="N1814" s="74"/>
      <c r="O1814" s="75"/>
      <c r="P1814" s="74"/>
      <c r="Q1814" s="75"/>
      <c r="R1814" s="74"/>
      <c r="S1814" s="74"/>
      <c r="T1814" s="74"/>
      <c r="U1814" s="75"/>
      <c r="V1814" s="74"/>
      <c r="W1814" s="75"/>
      <c r="X1814" s="74"/>
      <c r="Y1814" s="74"/>
      <c r="Z1814" s="74"/>
      <c r="AA1814" s="74"/>
      <c r="AB1814" s="74"/>
      <c r="AC1814" s="74"/>
      <c r="AD1814" s="74"/>
      <c r="AE1814" s="74"/>
      <c r="AF1814" s="74"/>
      <c r="AG1814" s="74"/>
      <c r="AH1814" s="74"/>
    </row>
    <row r="1815" s="73" customFormat="1" spans="1:34">
      <c r="A1815" s="74"/>
      <c r="B1815" s="74"/>
      <c r="C1815" s="74"/>
      <c r="D1815" s="74"/>
      <c r="E1815" s="74"/>
      <c r="F1815" s="74"/>
      <c r="G1815" s="74"/>
      <c r="H1815" s="74"/>
      <c r="I1815" s="74"/>
      <c r="J1815" s="74"/>
      <c r="K1815" s="74"/>
      <c r="L1815" s="74"/>
      <c r="M1815" s="74"/>
      <c r="N1815" s="74"/>
      <c r="O1815" s="75"/>
      <c r="P1815" s="74"/>
      <c r="Q1815" s="75"/>
      <c r="R1815" s="74"/>
      <c r="S1815" s="74"/>
      <c r="T1815" s="74"/>
      <c r="U1815" s="75"/>
      <c r="V1815" s="74"/>
      <c r="W1815" s="75"/>
      <c r="X1815" s="74"/>
      <c r="Y1815" s="74"/>
      <c r="Z1815" s="74"/>
      <c r="AA1815" s="74"/>
      <c r="AB1815" s="74"/>
      <c r="AC1815" s="74"/>
      <c r="AD1815" s="74"/>
      <c r="AE1815" s="74"/>
      <c r="AF1815" s="74"/>
      <c r="AG1815" s="74"/>
      <c r="AH1815" s="74"/>
    </row>
    <row r="1816" s="73" customFormat="1" spans="1:34">
      <c r="A1816" s="74"/>
      <c r="B1816" s="74"/>
      <c r="C1816" s="74"/>
      <c r="D1816" s="74"/>
      <c r="E1816" s="74"/>
      <c r="F1816" s="74"/>
      <c r="G1816" s="74"/>
      <c r="H1816" s="74"/>
      <c r="I1816" s="74"/>
      <c r="J1816" s="74"/>
      <c r="K1816" s="74"/>
      <c r="L1816" s="74"/>
      <c r="M1816" s="74"/>
      <c r="N1816" s="74"/>
      <c r="O1816" s="75"/>
      <c r="P1816" s="74"/>
      <c r="Q1816" s="75"/>
      <c r="R1816" s="74"/>
      <c r="S1816" s="74"/>
      <c r="T1816" s="74"/>
      <c r="U1816" s="75"/>
      <c r="V1816" s="74"/>
      <c r="W1816" s="75"/>
      <c r="X1816" s="74"/>
      <c r="Y1816" s="74"/>
      <c r="Z1816" s="74"/>
      <c r="AA1816" s="74"/>
      <c r="AB1816" s="74"/>
      <c r="AC1816" s="74"/>
      <c r="AD1816" s="74"/>
      <c r="AE1816" s="74"/>
      <c r="AF1816" s="74"/>
      <c r="AG1816" s="74"/>
      <c r="AH1816" s="74"/>
    </row>
    <row r="1817" s="73" customFormat="1" spans="1:34">
      <c r="A1817" s="74"/>
      <c r="B1817" s="74"/>
      <c r="C1817" s="74"/>
      <c r="D1817" s="74"/>
      <c r="E1817" s="74"/>
      <c r="F1817" s="74"/>
      <c r="G1817" s="74"/>
      <c r="H1817" s="74"/>
      <c r="I1817" s="74"/>
      <c r="J1817" s="74"/>
      <c r="K1817" s="74"/>
      <c r="L1817" s="74"/>
      <c r="M1817" s="74"/>
      <c r="N1817" s="74"/>
      <c r="O1817" s="75"/>
      <c r="P1817" s="74"/>
      <c r="Q1817" s="75"/>
      <c r="R1817" s="74"/>
      <c r="S1817" s="74"/>
      <c r="T1817" s="74"/>
      <c r="U1817" s="75"/>
      <c r="V1817" s="74"/>
      <c r="W1817" s="75"/>
      <c r="X1817" s="74"/>
      <c r="Y1817" s="74"/>
      <c r="Z1817" s="74"/>
      <c r="AA1817" s="74"/>
      <c r="AB1817" s="74"/>
      <c r="AC1817" s="74"/>
      <c r="AD1817" s="74"/>
      <c r="AE1817" s="74"/>
      <c r="AF1817" s="74"/>
      <c r="AG1817" s="74"/>
      <c r="AH1817" s="74"/>
    </row>
    <row r="1818" s="73" customFormat="1" spans="1:34">
      <c r="A1818" s="74"/>
      <c r="B1818" s="74"/>
      <c r="C1818" s="74"/>
      <c r="D1818" s="74"/>
      <c r="E1818" s="74"/>
      <c r="F1818" s="74"/>
      <c r="G1818" s="74"/>
      <c r="H1818" s="74"/>
      <c r="I1818" s="74"/>
      <c r="J1818" s="74"/>
      <c r="K1818" s="74"/>
      <c r="L1818" s="74"/>
      <c r="M1818" s="74"/>
      <c r="N1818" s="74"/>
      <c r="O1818" s="75"/>
      <c r="P1818" s="74"/>
      <c r="Q1818" s="75"/>
      <c r="R1818" s="74"/>
      <c r="S1818" s="74"/>
      <c r="T1818" s="74"/>
      <c r="U1818" s="75"/>
      <c r="V1818" s="74"/>
      <c r="W1818" s="75"/>
      <c r="X1818" s="74"/>
      <c r="Y1818" s="74"/>
      <c r="Z1818" s="74"/>
      <c r="AA1818" s="74"/>
      <c r="AB1818" s="74"/>
      <c r="AC1818" s="74"/>
      <c r="AD1818" s="74"/>
      <c r="AE1818" s="74"/>
      <c r="AF1818" s="74"/>
      <c r="AG1818" s="74"/>
      <c r="AH1818" s="74"/>
    </row>
    <row r="1819" s="73" customFormat="1" spans="1:34">
      <c r="A1819" s="74"/>
      <c r="B1819" s="74"/>
      <c r="C1819" s="74"/>
      <c r="D1819" s="74"/>
      <c r="E1819" s="74"/>
      <c r="F1819" s="74"/>
      <c r="G1819" s="74"/>
      <c r="H1819" s="74"/>
      <c r="I1819" s="74"/>
      <c r="J1819" s="74"/>
      <c r="K1819" s="74"/>
      <c r="L1819" s="74"/>
      <c r="M1819" s="74"/>
      <c r="N1819" s="74"/>
      <c r="O1819" s="75"/>
      <c r="P1819" s="74"/>
      <c r="Q1819" s="75"/>
      <c r="R1819" s="74"/>
      <c r="S1819" s="74"/>
      <c r="T1819" s="74"/>
      <c r="U1819" s="75"/>
      <c r="V1819" s="74"/>
      <c r="W1819" s="75"/>
      <c r="X1819" s="74"/>
      <c r="Y1819" s="74"/>
      <c r="Z1819" s="74"/>
      <c r="AA1819" s="74"/>
      <c r="AB1819" s="74"/>
      <c r="AC1819" s="74"/>
      <c r="AD1819" s="74"/>
      <c r="AE1819" s="74"/>
      <c r="AF1819" s="74"/>
      <c r="AG1819" s="74"/>
      <c r="AH1819" s="74"/>
    </row>
    <row r="1820" s="73" customFormat="1" spans="1:34">
      <c r="A1820" s="74"/>
      <c r="B1820" s="74"/>
      <c r="C1820" s="74"/>
      <c r="D1820" s="74"/>
      <c r="E1820" s="74"/>
      <c r="F1820" s="74"/>
      <c r="G1820" s="74"/>
      <c r="H1820" s="74"/>
      <c r="I1820" s="74"/>
      <c r="J1820" s="74"/>
      <c r="K1820" s="74"/>
      <c r="L1820" s="74"/>
      <c r="M1820" s="74"/>
      <c r="N1820" s="74"/>
      <c r="O1820" s="75"/>
      <c r="P1820" s="74"/>
      <c r="Q1820" s="75"/>
      <c r="R1820" s="74"/>
      <c r="S1820" s="74"/>
      <c r="T1820" s="74"/>
      <c r="U1820" s="75"/>
      <c r="V1820" s="74"/>
      <c r="W1820" s="75"/>
      <c r="X1820" s="74"/>
      <c r="Y1820" s="74"/>
      <c r="Z1820" s="74"/>
      <c r="AA1820" s="74"/>
      <c r="AB1820" s="74"/>
      <c r="AC1820" s="74"/>
      <c r="AD1820" s="74"/>
      <c r="AE1820" s="74"/>
      <c r="AF1820" s="74"/>
      <c r="AG1820" s="74"/>
      <c r="AH1820" s="74"/>
    </row>
    <row r="1821" s="73" customFormat="1" spans="1:34">
      <c r="A1821" s="74"/>
      <c r="B1821" s="74"/>
      <c r="C1821" s="74"/>
      <c r="D1821" s="74"/>
      <c r="E1821" s="74"/>
      <c r="F1821" s="74"/>
      <c r="G1821" s="74"/>
      <c r="H1821" s="74"/>
      <c r="I1821" s="74"/>
      <c r="J1821" s="74"/>
      <c r="K1821" s="74"/>
      <c r="L1821" s="74"/>
      <c r="M1821" s="74"/>
      <c r="N1821" s="74"/>
      <c r="O1821" s="75"/>
      <c r="P1821" s="74"/>
      <c r="Q1821" s="75"/>
      <c r="R1821" s="74"/>
      <c r="S1821" s="74"/>
      <c r="T1821" s="74"/>
      <c r="U1821" s="75"/>
      <c r="V1821" s="74"/>
      <c r="W1821" s="75"/>
      <c r="X1821" s="74"/>
      <c r="Y1821" s="74"/>
      <c r="Z1821" s="74"/>
      <c r="AA1821" s="74"/>
      <c r="AB1821" s="74"/>
      <c r="AC1821" s="74"/>
      <c r="AD1821" s="74"/>
      <c r="AE1821" s="74"/>
      <c r="AF1821" s="74"/>
      <c r="AG1821" s="74"/>
      <c r="AH1821" s="74"/>
    </row>
    <row r="1822" s="73" customFormat="1" spans="1:34">
      <c r="A1822" s="74"/>
      <c r="B1822" s="74"/>
      <c r="C1822" s="74"/>
      <c r="D1822" s="74"/>
      <c r="E1822" s="74"/>
      <c r="F1822" s="74"/>
      <c r="G1822" s="74"/>
      <c r="H1822" s="74"/>
      <c r="I1822" s="74"/>
      <c r="J1822" s="74"/>
      <c r="K1822" s="74"/>
      <c r="L1822" s="74"/>
      <c r="M1822" s="74"/>
      <c r="N1822" s="74"/>
      <c r="O1822" s="75"/>
      <c r="P1822" s="74"/>
      <c r="Q1822" s="75"/>
      <c r="R1822" s="74"/>
      <c r="S1822" s="74"/>
      <c r="T1822" s="74"/>
      <c r="U1822" s="75"/>
      <c r="V1822" s="74"/>
      <c r="W1822" s="75"/>
      <c r="X1822" s="74"/>
      <c r="Y1822" s="74"/>
      <c r="Z1822" s="74"/>
      <c r="AA1822" s="74"/>
      <c r="AB1822" s="74"/>
      <c r="AC1822" s="74"/>
      <c r="AD1822" s="74"/>
      <c r="AE1822" s="74"/>
      <c r="AF1822" s="74"/>
      <c r="AG1822" s="74"/>
      <c r="AH1822" s="74"/>
    </row>
    <row r="1823" s="73" customFormat="1" spans="1:34">
      <c r="A1823" s="74"/>
      <c r="B1823" s="74"/>
      <c r="C1823" s="74"/>
      <c r="D1823" s="74"/>
      <c r="E1823" s="74"/>
      <c r="F1823" s="74"/>
      <c r="G1823" s="74"/>
      <c r="H1823" s="74"/>
      <c r="I1823" s="74"/>
      <c r="J1823" s="74"/>
      <c r="K1823" s="74"/>
      <c r="L1823" s="74"/>
      <c r="M1823" s="74"/>
      <c r="N1823" s="74"/>
      <c r="O1823" s="75"/>
      <c r="P1823" s="74"/>
      <c r="Q1823" s="75"/>
      <c r="R1823" s="74"/>
      <c r="S1823" s="74"/>
      <c r="T1823" s="74"/>
      <c r="U1823" s="75"/>
      <c r="V1823" s="74"/>
      <c r="W1823" s="75"/>
      <c r="X1823" s="74"/>
      <c r="Y1823" s="74"/>
      <c r="Z1823" s="74"/>
      <c r="AA1823" s="74"/>
      <c r="AB1823" s="74"/>
      <c r="AC1823" s="74"/>
      <c r="AD1823" s="74"/>
      <c r="AE1823" s="74"/>
      <c r="AF1823" s="74"/>
      <c r="AG1823" s="74"/>
      <c r="AH1823" s="74"/>
    </row>
    <row r="1824" s="73" customFormat="1" spans="1:34">
      <c r="A1824" s="74"/>
      <c r="B1824" s="74"/>
      <c r="C1824" s="74"/>
      <c r="D1824" s="74"/>
      <c r="E1824" s="74"/>
      <c r="F1824" s="74"/>
      <c r="G1824" s="74"/>
      <c r="H1824" s="74"/>
      <c r="I1824" s="74"/>
      <c r="J1824" s="74"/>
      <c r="K1824" s="74"/>
      <c r="L1824" s="74"/>
      <c r="M1824" s="74"/>
      <c r="N1824" s="74"/>
      <c r="O1824" s="75"/>
      <c r="P1824" s="74"/>
      <c r="Q1824" s="75"/>
      <c r="R1824" s="74"/>
      <c r="S1824" s="74"/>
      <c r="T1824" s="74"/>
      <c r="U1824" s="75"/>
      <c r="V1824" s="74"/>
      <c r="W1824" s="75"/>
      <c r="X1824" s="74"/>
      <c r="Y1824" s="74"/>
      <c r="Z1824" s="74"/>
      <c r="AA1824" s="74"/>
      <c r="AB1824" s="74"/>
      <c r="AC1824" s="74"/>
      <c r="AD1824" s="74"/>
      <c r="AE1824" s="74"/>
      <c r="AF1824" s="74"/>
      <c r="AG1824" s="74"/>
      <c r="AH1824" s="74"/>
    </row>
    <row r="1825" s="73" customFormat="1" spans="1:34">
      <c r="A1825" s="74"/>
      <c r="B1825" s="74"/>
      <c r="C1825" s="74"/>
      <c r="D1825" s="74"/>
      <c r="E1825" s="74"/>
      <c r="F1825" s="74"/>
      <c r="G1825" s="74"/>
      <c r="H1825" s="74"/>
      <c r="I1825" s="74"/>
      <c r="J1825" s="74"/>
      <c r="K1825" s="74"/>
      <c r="L1825" s="74"/>
      <c r="M1825" s="74"/>
      <c r="N1825" s="74"/>
      <c r="O1825" s="75"/>
      <c r="P1825" s="74"/>
      <c r="Q1825" s="75"/>
      <c r="R1825" s="74"/>
      <c r="S1825" s="74"/>
      <c r="T1825" s="74"/>
      <c r="U1825" s="75"/>
      <c r="V1825" s="74"/>
      <c r="W1825" s="75"/>
      <c r="X1825" s="74"/>
      <c r="Y1825" s="74"/>
      <c r="Z1825" s="74"/>
      <c r="AA1825" s="74"/>
      <c r="AB1825" s="74"/>
      <c r="AC1825" s="74"/>
      <c r="AD1825" s="74"/>
      <c r="AE1825" s="74"/>
      <c r="AF1825" s="74"/>
      <c r="AG1825" s="74"/>
      <c r="AH1825" s="74"/>
    </row>
    <row r="1826" s="73" customFormat="1" spans="1:34">
      <c r="A1826" s="74"/>
      <c r="B1826" s="74"/>
      <c r="C1826" s="74"/>
      <c r="D1826" s="74"/>
      <c r="E1826" s="74"/>
      <c r="F1826" s="74"/>
      <c r="G1826" s="74"/>
      <c r="H1826" s="74"/>
      <c r="I1826" s="74"/>
      <c r="J1826" s="74"/>
      <c r="K1826" s="74"/>
      <c r="L1826" s="74"/>
      <c r="M1826" s="74"/>
      <c r="N1826" s="74"/>
      <c r="O1826" s="75"/>
      <c r="P1826" s="74"/>
      <c r="Q1826" s="75"/>
      <c r="R1826" s="74"/>
      <c r="S1826" s="74"/>
      <c r="T1826" s="74"/>
      <c r="U1826" s="75"/>
      <c r="V1826" s="74"/>
      <c r="W1826" s="75"/>
      <c r="X1826" s="74"/>
      <c r="Y1826" s="74"/>
      <c r="Z1826" s="74"/>
      <c r="AA1826" s="74"/>
      <c r="AB1826" s="74"/>
      <c r="AC1826" s="74"/>
      <c r="AD1826" s="74"/>
      <c r="AE1826" s="74"/>
      <c r="AF1826" s="74"/>
      <c r="AG1826" s="74"/>
      <c r="AH1826" s="74"/>
    </row>
    <row r="1827" s="73" customFormat="1" spans="1:34">
      <c r="A1827" s="74"/>
      <c r="B1827" s="74"/>
      <c r="C1827" s="74"/>
      <c r="D1827" s="74"/>
      <c r="E1827" s="74"/>
      <c r="F1827" s="74"/>
      <c r="G1827" s="74"/>
      <c r="H1827" s="74"/>
      <c r="I1827" s="74"/>
      <c r="J1827" s="74"/>
      <c r="K1827" s="74"/>
      <c r="L1827" s="74"/>
      <c r="M1827" s="74"/>
      <c r="N1827" s="74"/>
      <c r="O1827" s="75"/>
      <c r="P1827" s="74"/>
      <c r="Q1827" s="75"/>
      <c r="R1827" s="74"/>
      <c r="S1827" s="74"/>
      <c r="T1827" s="74"/>
      <c r="U1827" s="75"/>
      <c r="V1827" s="74"/>
      <c r="W1827" s="75"/>
      <c r="X1827" s="74"/>
      <c r="Y1827" s="74"/>
      <c r="Z1827" s="74"/>
      <c r="AA1827" s="74"/>
      <c r="AB1827" s="74"/>
      <c r="AC1827" s="74"/>
      <c r="AD1827" s="74"/>
      <c r="AE1827" s="74"/>
      <c r="AF1827" s="74"/>
      <c r="AG1827" s="74"/>
      <c r="AH1827" s="74"/>
    </row>
    <row r="1828" s="73" customFormat="1" spans="1:34">
      <c r="A1828" s="74"/>
      <c r="B1828" s="74"/>
      <c r="C1828" s="74"/>
      <c r="D1828" s="74"/>
      <c r="E1828" s="74"/>
      <c r="F1828" s="74"/>
      <c r="G1828" s="74"/>
      <c r="H1828" s="74"/>
      <c r="I1828" s="74"/>
      <c r="J1828" s="74"/>
      <c r="K1828" s="74"/>
      <c r="L1828" s="74"/>
      <c r="M1828" s="74"/>
      <c r="N1828" s="74"/>
      <c r="O1828" s="75"/>
      <c r="P1828" s="74"/>
      <c r="Q1828" s="75"/>
      <c r="R1828" s="74"/>
      <c r="S1828" s="74"/>
      <c r="T1828" s="74"/>
      <c r="U1828" s="75"/>
      <c r="V1828" s="74"/>
      <c r="W1828" s="75"/>
      <c r="X1828" s="74"/>
      <c r="Y1828" s="74"/>
      <c r="Z1828" s="74"/>
      <c r="AA1828" s="74"/>
      <c r="AB1828" s="74"/>
      <c r="AC1828" s="74"/>
      <c r="AD1828" s="74"/>
      <c r="AE1828" s="74"/>
      <c r="AF1828" s="74"/>
      <c r="AG1828" s="74"/>
      <c r="AH1828" s="74"/>
    </row>
    <row r="1829" s="73" customFormat="1" spans="1:34">
      <c r="A1829" s="74"/>
      <c r="B1829" s="74"/>
      <c r="C1829" s="74"/>
      <c r="D1829" s="74"/>
      <c r="E1829" s="74"/>
      <c r="F1829" s="74"/>
      <c r="G1829" s="74"/>
      <c r="H1829" s="74"/>
      <c r="I1829" s="74"/>
      <c r="J1829" s="74"/>
      <c r="K1829" s="74"/>
      <c r="L1829" s="74"/>
      <c r="M1829" s="74"/>
      <c r="N1829" s="74"/>
      <c r="O1829" s="75"/>
      <c r="P1829" s="74"/>
      <c r="Q1829" s="75"/>
      <c r="R1829" s="74"/>
      <c r="S1829" s="74"/>
      <c r="T1829" s="74"/>
      <c r="U1829" s="75"/>
      <c r="V1829" s="74"/>
      <c r="W1829" s="75"/>
      <c r="X1829" s="74"/>
      <c r="Y1829" s="74"/>
      <c r="Z1829" s="74"/>
      <c r="AA1829" s="74"/>
      <c r="AB1829" s="74"/>
      <c r="AC1829" s="74"/>
      <c r="AD1829" s="74"/>
      <c r="AE1829" s="74"/>
      <c r="AF1829" s="74"/>
      <c r="AG1829" s="74"/>
      <c r="AH1829" s="74"/>
    </row>
    <row r="1830" s="73" customFormat="1" spans="1:34">
      <c r="A1830" s="74"/>
      <c r="B1830" s="74"/>
      <c r="C1830" s="74"/>
      <c r="D1830" s="74"/>
      <c r="E1830" s="74"/>
      <c r="F1830" s="74"/>
      <c r="G1830" s="74"/>
      <c r="H1830" s="74"/>
      <c r="I1830" s="74"/>
      <c r="J1830" s="74"/>
      <c r="K1830" s="74"/>
      <c r="L1830" s="74"/>
      <c r="M1830" s="74"/>
      <c r="N1830" s="74"/>
      <c r="O1830" s="75"/>
      <c r="P1830" s="74"/>
      <c r="Q1830" s="75"/>
      <c r="R1830" s="74"/>
      <c r="S1830" s="74"/>
      <c r="T1830" s="74"/>
      <c r="U1830" s="75"/>
      <c r="V1830" s="74"/>
      <c r="W1830" s="75"/>
      <c r="X1830" s="74"/>
      <c r="Y1830" s="74"/>
      <c r="Z1830" s="74"/>
      <c r="AA1830" s="74"/>
      <c r="AB1830" s="74"/>
      <c r="AC1830" s="74"/>
      <c r="AD1830" s="74"/>
      <c r="AE1830" s="74"/>
      <c r="AF1830" s="74"/>
      <c r="AG1830" s="74"/>
      <c r="AH1830" s="74"/>
    </row>
    <row r="1831" s="73" customFormat="1" spans="1:34">
      <c r="A1831" s="74"/>
      <c r="B1831" s="74"/>
      <c r="C1831" s="74"/>
      <c r="D1831" s="74"/>
      <c r="E1831" s="74"/>
      <c r="F1831" s="74"/>
      <c r="G1831" s="74"/>
      <c r="H1831" s="74"/>
      <c r="I1831" s="74"/>
      <c r="J1831" s="74"/>
      <c r="K1831" s="74"/>
      <c r="L1831" s="74"/>
      <c r="M1831" s="74"/>
      <c r="N1831" s="74"/>
      <c r="O1831" s="75"/>
      <c r="P1831" s="74"/>
      <c r="Q1831" s="75"/>
      <c r="R1831" s="74"/>
      <c r="S1831" s="74"/>
      <c r="T1831" s="74"/>
      <c r="U1831" s="75"/>
      <c r="V1831" s="74"/>
      <c r="W1831" s="75"/>
      <c r="X1831" s="74"/>
      <c r="Y1831" s="74"/>
      <c r="Z1831" s="74"/>
      <c r="AA1831" s="74"/>
      <c r="AB1831" s="74"/>
      <c r="AC1831" s="74"/>
      <c r="AD1831" s="74"/>
      <c r="AE1831" s="74"/>
      <c r="AF1831" s="74"/>
      <c r="AG1831" s="74"/>
      <c r="AH1831" s="74"/>
    </row>
    <row r="1832" s="73" customFormat="1" spans="1:34">
      <c r="A1832" s="74"/>
      <c r="B1832" s="74"/>
      <c r="C1832" s="74"/>
      <c r="D1832" s="74"/>
      <c r="E1832" s="74"/>
      <c r="F1832" s="74"/>
      <c r="G1832" s="74"/>
      <c r="H1832" s="74"/>
      <c r="I1832" s="74"/>
      <c r="J1832" s="74"/>
      <c r="K1832" s="74"/>
      <c r="L1832" s="74"/>
      <c r="M1832" s="74"/>
      <c r="N1832" s="74"/>
      <c r="O1832" s="75"/>
      <c r="P1832" s="74"/>
      <c r="Q1832" s="75"/>
      <c r="R1832" s="74"/>
      <c r="S1832" s="74"/>
      <c r="T1832" s="74"/>
      <c r="U1832" s="75"/>
      <c r="V1832" s="74"/>
      <c r="W1832" s="75"/>
      <c r="X1832" s="74"/>
      <c r="Y1832" s="74"/>
      <c r="Z1832" s="74"/>
      <c r="AA1832" s="74"/>
      <c r="AB1832" s="74"/>
      <c r="AC1832" s="74"/>
      <c r="AD1832" s="74"/>
      <c r="AE1832" s="74"/>
      <c r="AF1832" s="74"/>
      <c r="AG1832" s="74"/>
      <c r="AH1832" s="74"/>
    </row>
    <row r="1833" s="73" customFormat="1" spans="1:34">
      <c r="A1833" s="74"/>
      <c r="B1833" s="74"/>
      <c r="C1833" s="74"/>
      <c r="D1833" s="74"/>
      <c r="E1833" s="74"/>
      <c r="F1833" s="74"/>
      <c r="G1833" s="74"/>
      <c r="H1833" s="74"/>
      <c r="I1833" s="74"/>
      <c r="J1833" s="74"/>
      <c r="K1833" s="74"/>
      <c r="L1833" s="74"/>
      <c r="M1833" s="74"/>
      <c r="N1833" s="74"/>
      <c r="O1833" s="75"/>
      <c r="P1833" s="74"/>
      <c r="Q1833" s="75"/>
      <c r="R1833" s="74"/>
      <c r="S1833" s="74"/>
      <c r="T1833" s="74"/>
      <c r="U1833" s="75"/>
      <c r="V1833" s="74"/>
      <c r="W1833" s="75"/>
      <c r="X1833" s="74"/>
      <c r="Y1833" s="74"/>
      <c r="Z1833" s="74"/>
      <c r="AA1833" s="74"/>
      <c r="AB1833" s="74"/>
      <c r="AC1833" s="74"/>
      <c r="AD1833" s="74"/>
      <c r="AE1833" s="74"/>
      <c r="AF1833" s="74"/>
      <c r="AG1833" s="74"/>
      <c r="AH1833" s="74"/>
    </row>
    <row r="1834" s="73" customFormat="1" spans="1:34">
      <c r="A1834" s="74"/>
      <c r="B1834" s="74"/>
      <c r="C1834" s="74"/>
      <c r="D1834" s="74"/>
      <c r="E1834" s="74"/>
      <c r="F1834" s="74"/>
      <c r="G1834" s="74"/>
      <c r="H1834" s="74"/>
      <c r="I1834" s="74"/>
      <c r="J1834" s="74"/>
      <c r="K1834" s="74"/>
      <c r="L1834" s="74"/>
      <c r="M1834" s="74"/>
      <c r="N1834" s="74"/>
      <c r="O1834" s="75"/>
      <c r="P1834" s="74"/>
      <c r="Q1834" s="75"/>
      <c r="R1834" s="74"/>
      <c r="S1834" s="74"/>
      <c r="T1834" s="74"/>
      <c r="U1834" s="75"/>
      <c r="V1834" s="74"/>
      <c r="W1834" s="75"/>
      <c r="X1834" s="74"/>
      <c r="Y1834" s="74"/>
      <c r="Z1834" s="74"/>
      <c r="AA1834" s="74"/>
      <c r="AB1834" s="74"/>
      <c r="AC1834" s="74"/>
      <c r="AD1834" s="74"/>
      <c r="AE1834" s="74"/>
      <c r="AF1834" s="74"/>
      <c r="AG1834" s="74"/>
      <c r="AH1834" s="74"/>
    </row>
    <row r="1835" s="73" customFormat="1" spans="1:34">
      <c r="A1835" s="74"/>
      <c r="B1835" s="74"/>
      <c r="C1835" s="74"/>
      <c r="D1835" s="74"/>
      <c r="E1835" s="74"/>
      <c r="F1835" s="74"/>
      <c r="G1835" s="74"/>
      <c r="H1835" s="74"/>
      <c r="I1835" s="74"/>
      <c r="J1835" s="74"/>
      <c r="K1835" s="74"/>
      <c r="L1835" s="74"/>
      <c r="M1835" s="74"/>
      <c r="N1835" s="74"/>
      <c r="O1835" s="75"/>
      <c r="P1835" s="74"/>
      <c r="Q1835" s="75"/>
      <c r="R1835" s="74"/>
      <c r="S1835" s="74"/>
      <c r="T1835" s="74"/>
      <c r="U1835" s="75"/>
      <c r="V1835" s="74"/>
      <c r="W1835" s="75"/>
      <c r="X1835" s="74"/>
      <c r="Y1835" s="74"/>
      <c r="Z1835" s="74"/>
      <c r="AA1835" s="74"/>
      <c r="AB1835" s="74"/>
      <c r="AC1835" s="74"/>
      <c r="AD1835" s="74"/>
      <c r="AE1835" s="74"/>
      <c r="AF1835" s="74"/>
      <c r="AG1835" s="74"/>
      <c r="AH1835" s="74"/>
    </row>
    <row r="1836" s="73" customFormat="1" spans="1:34">
      <c r="A1836" s="74"/>
      <c r="B1836" s="74"/>
      <c r="C1836" s="74"/>
      <c r="D1836" s="74"/>
      <c r="E1836" s="74"/>
      <c r="F1836" s="74"/>
      <c r="G1836" s="74"/>
      <c r="H1836" s="74"/>
      <c r="I1836" s="74"/>
      <c r="J1836" s="74"/>
      <c r="K1836" s="74"/>
      <c r="L1836" s="74"/>
      <c r="M1836" s="74"/>
      <c r="N1836" s="74"/>
      <c r="O1836" s="75"/>
      <c r="P1836" s="74"/>
      <c r="Q1836" s="75"/>
      <c r="R1836" s="74"/>
      <c r="S1836" s="74"/>
      <c r="T1836" s="74"/>
      <c r="U1836" s="75"/>
      <c r="V1836" s="74"/>
      <c r="W1836" s="75"/>
      <c r="X1836" s="74"/>
      <c r="Y1836" s="74"/>
      <c r="Z1836" s="74"/>
      <c r="AA1836" s="74"/>
      <c r="AB1836" s="74"/>
      <c r="AC1836" s="74"/>
      <c r="AD1836" s="74"/>
      <c r="AE1836" s="74"/>
      <c r="AF1836" s="74"/>
      <c r="AG1836" s="74"/>
      <c r="AH1836" s="74"/>
    </row>
    <row r="1837" s="73" customFormat="1" spans="1:34">
      <c r="A1837" s="74"/>
      <c r="B1837" s="74"/>
      <c r="C1837" s="74"/>
      <c r="D1837" s="74"/>
      <c r="E1837" s="74"/>
      <c r="F1837" s="74"/>
      <c r="G1837" s="74"/>
      <c r="H1837" s="74"/>
      <c r="I1837" s="74"/>
      <c r="J1837" s="74"/>
      <c r="K1837" s="74"/>
      <c r="L1837" s="74"/>
      <c r="M1837" s="74"/>
      <c r="N1837" s="74"/>
      <c r="O1837" s="75"/>
      <c r="P1837" s="74"/>
      <c r="Q1837" s="75"/>
      <c r="R1837" s="74"/>
      <c r="S1837" s="74"/>
      <c r="T1837" s="74"/>
      <c r="U1837" s="75"/>
      <c r="V1837" s="74"/>
      <c r="W1837" s="75"/>
      <c r="X1837" s="74"/>
      <c r="Y1837" s="74"/>
      <c r="Z1837" s="74"/>
      <c r="AA1837" s="74"/>
      <c r="AB1837" s="74"/>
      <c r="AC1837" s="74"/>
      <c r="AD1837" s="74"/>
      <c r="AE1837" s="74"/>
      <c r="AF1837" s="74"/>
      <c r="AG1837" s="74"/>
      <c r="AH1837" s="74"/>
    </row>
    <row r="1838" s="73" customFormat="1" spans="1:34">
      <c r="A1838" s="74"/>
      <c r="B1838" s="74"/>
      <c r="C1838" s="74"/>
      <c r="D1838" s="74"/>
      <c r="E1838" s="74"/>
      <c r="F1838" s="74"/>
      <c r="G1838" s="74"/>
      <c r="H1838" s="74"/>
      <c r="I1838" s="74"/>
      <c r="J1838" s="74"/>
      <c r="K1838" s="74"/>
      <c r="L1838" s="74"/>
      <c r="M1838" s="74"/>
      <c r="N1838" s="74"/>
      <c r="O1838" s="75"/>
      <c r="P1838" s="74"/>
      <c r="Q1838" s="75"/>
      <c r="R1838" s="74"/>
      <c r="S1838" s="74"/>
      <c r="T1838" s="74"/>
      <c r="U1838" s="75"/>
      <c r="V1838" s="74"/>
      <c r="W1838" s="75"/>
      <c r="X1838" s="74"/>
      <c r="Y1838" s="74"/>
      <c r="Z1838" s="74"/>
      <c r="AA1838" s="74"/>
      <c r="AB1838" s="74"/>
      <c r="AC1838" s="74"/>
      <c r="AD1838" s="74"/>
      <c r="AE1838" s="74"/>
      <c r="AF1838" s="74"/>
      <c r="AG1838" s="74"/>
      <c r="AH1838" s="74"/>
    </row>
    <row r="1839" s="73" customFormat="1" spans="1:34">
      <c r="A1839" s="74"/>
      <c r="B1839" s="74"/>
      <c r="C1839" s="74"/>
      <c r="D1839" s="74"/>
      <c r="E1839" s="74"/>
      <c r="F1839" s="74"/>
      <c r="G1839" s="74"/>
      <c r="H1839" s="74"/>
      <c r="I1839" s="74"/>
      <c r="J1839" s="74"/>
      <c r="K1839" s="74"/>
      <c r="L1839" s="74"/>
      <c r="M1839" s="74"/>
      <c r="N1839" s="74"/>
      <c r="O1839" s="75"/>
      <c r="P1839" s="74"/>
      <c r="Q1839" s="75"/>
      <c r="R1839" s="74"/>
      <c r="S1839" s="74"/>
      <c r="T1839" s="74"/>
      <c r="U1839" s="75"/>
      <c r="V1839" s="74"/>
      <c r="W1839" s="75"/>
      <c r="X1839" s="74"/>
      <c r="Y1839" s="74"/>
      <c r="Z1839" s="74"/>
      <c r="AA1839" s="74"/>
      <c r="AB1839" s="74"/>
      <c r="AC1839" s="74"/>
      <c r="AD1839" s="74"/>
      <c r="AE1839" s="74"/>
      <c r="AF1839" s="74"/>
      <c r="AG1839" s="74"/>
      <c r="AH1839" s="74"/>
    </row>
    <row r="1840" s="73" customFormat="1" spans="1:34">
      <c r="A1840" s="74"/>
      <c r="B1840" s="74"/>
      <c r="C1840" s="74"/>
      <c r="D1840" s="74"/>
      <c r="E1840" s="74"/>
      <c r="F1840" s="74"/>
      <c r="G1840" s="74"/>
      <c r="H1840" s="74"/>
      <c r="I1840" s="74"/>
      <c r="J1840" s="74"/>
      <c r="K1840" s="74"/>
      <c r="L1840" s="74"/>
      <c r="M1840" s="74"/>
      <c r="N1840" s="74"/>
      <c r="O1840" s="75"/>
      <c r="P1840" s="74"/>
      <c r="Q1840" s="75"/>
      <c r="R1840" s="74"/>
      <c r="S1840" s="74"/>
      <c r="T1840" s="74"/>
      <c r="U1840" s="75"/>
      <c r="V1840" s="74"/>
      <c r="W1840" s="75"/>
      <c r="X1840" s="74"/>
      <c r="Y1840" s="74"/>
      <c r="Z1840" s="74"/>
      <c r="AA1840" s="74"/>
      <c r="AB1840" s="74"/>
      <c r="AC1840" s="74"/>
      <c r="AD1840" s="74"/>
      <c r="AE1840" s="74"/>
      <c r="AF1840" s="74"/>
      <c r="AG1840" s="74"/>
      <c r="AH1840" s="74"/>
    </row>
    <row r="1841" s="73" customFormat="1" spans="1:34">
      <c r="A1841" s="74"/>
      <c r="B1841" s="74"/>
      <c r="C1841" s="74"/>
      <c r="D1841" s="74"/>
      <c r="E1841" s="74"/>
      <c r="F1841" s="74"/>
      <c r="G1841" s="74"/>
      <c r="H1841" s="74"/>
      <c r="I1841" s="74"/>
      <c r="J1841" s="74"/>
      <c r="K1841" s="74"/>
      <c r="L1841" s="74"/>
      <c r="M1841" s="74"/>
      <c r="N1841" s="74"/>
      <c r="O1841" s="75"/>
      <c r="P1841" s="74"/>
      <c r="Q1841" s="75"/>
      <c r="R1841" s="74"/>
      <c r="S1841" s="74"/>
      <c r="T1841" s="74"/>
      <c r="U1841" s="75"/>
      <c r="V1841" s="74"/>
      <c r="W1841" s="75"/>
      <c r="X1841" s="74"/>
      <c r="Y1841" s="74"/>
      <c r="Z1841" s="74"/>
      <c r="AA1841" s="74"/>
      <c r="AB1841" s="74"/>
      <c r="AC1841" s="74"/>
      <c r="AD1841" s="74"/>
      <c r="AE1841" s="74"/>
      <c r="AF1841" s="74"/>
      <c r="AG1841" s="74"/>
      <c r="AH1841" s="74"/>
    </row>
    <row r="1842" s="73" customFormat="1" spans="1:34">
      <c r="A1842" s="74"/>
      <c r="B1842" s="74"/>
      <c r="C1842" s="74"/>
      <c r="D1842" s="74"/>
      <c r="E1842" s="74"/>
      <c r="F1842" s="74"/>
      <c r="G1842" s="74"/>
      <c r="H1842" s="74"/>
      <c r="I1842" s="74"/>
      <c r="J1842" s="74"/>
      <c r="K1842" s="74"/>
      <c r="L1842" s="74"/>
      <c r="M1842" s="74"/>
      <c r="N1842" s="74"/>
      <c r="O1842" s="75"/>
      <c r="P1842" s="74"/>
      <c r="Q1842" s="75"/>
      <c r="R1842" s="74"/>
      <c r="S1842" s="74"/>
      <c r="T1842" s="74"/>
      <c r="U1842" s="75"/>
      <c r="V1842" s="74"/>
      <c r="W1842" s="75"/>
      <c r="X1842" s="74"/>
      <c r="Y1842" s="74"/>
      <c r="Z1842" s="74"/>
      <c r="AA1842" s="74"/>
      <c r="AB1842" s="74"/>
      <c r="AC1842" s="74"/>
      <c r="AD1842" s="74"/>
      <c r="AE1842" s="74"/>
      <c r="AF1842" s="74"/>
      <c r="AG1842" s="74"/>
      <c r="AH1842" s="74"/>
    </row>
    <row r="1843" s="73" customFormat="1" spans="1:34">
      <c r="A1843" s="74"/>
      <c r="B1843" s="74"/>
      <c r="C1843" s="74"/>
      <c r="D1843" s="74"/>
      <c r="E1843" s="74"/>
      <c r="F1843" s="74"/>
      <c r="G1843" s="74"/>
      <c r="H1843" s="74"/>
      <c r="I1843" s="74"/>
      <c r="J1843" s="74"/>
      <c r="K1843" s="74"/>
      <c r="L1843" s="74"/>
      <c r="M1843" s="74"/>
      <c r="N1843" s="74"/>
      <c r="O1843" s="75"/>
      <c r="P1843" s="74"/>
      <c r="Q1843" s="75"/>
      <c r="R1843" s="74"/>
      <c r="S1843" s="74"/>
      <c r="T1843" s="74"/>
      <c r="U1843" s="75"/>
      <c r="V1843" s="74"/>
      <c r="W1843" s="75"/>
      <c r="X1843" s="74"/>
      <c r="Y1843" s="74"/>
      <c r="Z1843" s="74"/>
      <c r="AA1843" s="74"/>
      <c r="AB1843" s="74"/>
      <c r="AC1843" s="74"/>
      <c r="AD1843" s="74"/>
      <c r="AE1843" s="74"/>
      <c r="AF1843" s="74"/>
      <c r="AG1843" s="74"/>
      <c r="AH1843" s="74"/>
    </row>
    <row r="1844" s="73" customFormat="1" spans="1:34">
      <c r="A1844" s="74"/>
      <c r="B1844" s="74"/>
      <c r="C1844" s="74"/>
      <c r="D1844" s="74"/>
      <c r="E1844" s="74"/>
      <c r="F1844" s="74"/>
      <c r="G1844" s="74"/>
      <c r="H1844" s="74"/>
      <c r="I1844" s="74"/>
      <c r="J1844" s="74"/>
      <c r="K1844" s="74"/>
      <c r="L1844" s="74"/>
      <c r="M1844" s="74"/>
      <c r="N1844" s="74"/>
      <c r="O1844" s="75"/>
      <c r="P1844" s="74"/>
      <c r="Q1844" s="75"/>
      <c r="R1844" s="74"/>
      <c r="S1844" s="74"/>
      <c r="T1844" s="74"/>
      <c r="U1844" s="75"/>
      <c r="V1844" s="74"/>
      <c r="W1844" s="75"/>
      <c r="X1844" s="74"/>
      <c r="Y1844" s="74"/>
      <c r="Z1844" s="74"/>
      <c r="AA1844" s="74"/>
      <c r="AB1844" s="74"/>
      <c r="AC1844" s="74"/>
      <c r="AD1844" s="74"/>
      <c r="AE1844" s="74"/>
      <c r="AF1844" s="74"/>
      <c r="AG1844" s="74"/>
      <c r="AH1844" s="74"/>
    </row>
    <row r="1845" s="73" customFormat="1" spans="1:34">
      <c r="A1845" s="74"/>
      <c r="B1845" s="74"/>
      <c r="C1845" s="74"/>
      <c r="D1845" s="74"/>
      <c r="E1845" s="74"/>
      <c r="F1845" s="74"/>
      <c r="G1845" s="74"/>
      <c r="H1845" s="74"/>
      <c r="I1845" s="74"/>
      <c r="J1845" s="74"/>
      <c r="K1845" s="74"/>
      <c r="L1845" s="74"/>
      <c r="M1845" s="74"/>
      <c r="N1845" s="74"/>
      <c r="O1845" s="75"/>
      <c r="P1845" s="74"/>
      <c r="Q1845" s="75"/>
      <c r="R1845" s="74"/>
      <c r="S1845" s="74"/>
      <c r="T1845" s="74"/>
      <c r="U1845" s="75"/>
      <c r="V1845" s="74"/>
      <c r="W1845" s="75"/>
      <c r="X1845" s="74"/>
      <c r="Y1845" s="74"/>
      <c r="Z1845" s="74"/>
      <c r="AA1845" s="74"/>
      <c r="AB1845" s="74"/>
      <c r="AC1845" s="74"/>
      <c r="AD1845" s="74"/>
      <c r="AE1845" s="74"/>
      <c r="AF1845" s="74"/>
      <c r="AG1845" s="74"/>
      <c r="AH1845" s="74"/>
    </row>
    <row r="1846" s="73" customFormat="1" spans="1:34">
      <c r="A1846" s="74"/>
      <c r="B1846" s="74"/>
      <c r="C1846" s="74"/>
      <c r="D1846" s="74"/>
      <c r="E1846" s="74"/>
      <c r="F1846" s="74"/>
      <c r="G1846" s="74"/>
      <c r="H1846" s="74"/>
      <c r="I1846" s="74"/>
      <c r="J1846" s="74"/>
      <c r="K1846" s="74"/>
      <c r="L1846" s="74"/>
      <c r="M1846" s="74"/>
      <c r="N1846" s="74"/>
      <c r="O1846" s="75"/>
      <c r="P1846" s="74"/>
      <c r="Q1846" s="75"/>
      <c r="R1846" s="74"/>
      <c r="S1846" s="74"/>
      <c r="T1846" s="74"/>
      <c r="U1846" s="75"/>
      <c r="V1846" s="74"/>
      <c r="W1846" s="75"/>
      <c r="X1846" s="74"/>
      <c r="Y1846" s="74"/>
      <c r="Z1846" s="74"/>
      <c r="AA1846" s="74"/>
      <c r="AB1846" s="74"/>
      <c r="AC1846" s="74"/>
      <c r="AD1846" s="74"/>
      <c r="AE1846" s="74"/>
      <c r="AF1846" s="74"/>
      <c r="AG1846" s="74"/>
      <c r="AH1846" s="74"/>
    </row>
    <row r="1847" s="73" customFormat="1" spans="1:34">
      <c r="A1847" s="74"/>
      <c r="B1847" s="74"/>
      <c r="C1847" s="74"/>
      <c r="D1847" s="74"/>
      <c r="E1847" s="74"/>
      <c r="F1847" s="74"/>
      <c r="G1847" s="74"/>
      <c r="H1847" s="74"/>
      <c r="I1847" s="74"/>
      <c r="J1847" s="74"/>
      <c r="K1847" s="74"/>
      <c r="L1847" s="74"/>
      <c r="M1847" s="74"/>
      <c r="N1847" s="74"/>
      <c r="O1847" s="75"/>
      <c r="P1847" s="74"/>
      <c r="Q1847" s="75"/>
      <c r="R1847" s="74"/>
      <c r="S1847" s="74"/>
      <c r="T1847" s="74"/>
      <c r="U1847" s="75"/>
      <c r="V1847" s="74"/>
      <c r="W1847" s="75"/>
      <c r="X1847" s="74"/>
      <c r="Y1847" s="74"/>
      <c r="Z1847" s="74"/>
      <c r="AA1847" s="74"/>
      <c r="AB1847" s="74"/>
      <c r="AC1847" s="74"/>
      <c r="AD1847" s="74"/>
      <c r="AE1847" s="74"/>
      <c r="AF1847" s="74"/>
      <c r="AG1847" s="74"/>
      <c r="AH1847" s="74"/>
    </row>
    <row r="1848" s="73" customFormat="1" spans="1:34">
      <c r="A1848" s="74"/>
      <c r="B1848" s="74"/>
      <c r="C1848" s="74"/>
      <c r="D1848" s="74"/>
      <c r="E1848" s="74"/>
      <c r="F1848" s="74"/>
      <c r="G1848" s="74"/>
      <c r="H1848" s="74"/>
      <c r="I1848" s="74"/>
      <c r="J1848" s="74"/>
      <c r="K1848" s="74"/>
      <c r="L1848" s="74"/>
      <c r="M1848" s="74"/>
      <c r="N1848" s="74"/>
      <c r="O1848" s="75"/>
      <c r="P1848" s="74"/>
      <c r="Q1848" s="75"/>
      <c r="R1848" s="74"/>
      <c r="S1848" s="74"/>
      <c r="T1848" s="74"/>
      <c r="U1848" s="75"/>
      <c r="V1848" s="74"/>
      <c r="W1848" s="75"/>
      <c r="X1848" s="74"/>
      <c r="Y1848" s="74"/>
      <c r="Z1848" s="74"/>
      <c r="AA1848" s="74"/>
      <c r="AB1848" s="74"/>
      <c r="AC1848" s="74"/>
      <c r="AD1848" s="74"/>
      <c r="AE1848" s="74"/>
      <c r="AF1848" s="74"/>
      <c r="AG1848" s="74"/>
      <c r="AH1848" s="74"/>
    </row>
    <row r="1850" s="73" customFormat="1" spans="1:34">
      <c r="A1850" s="74"/>
      <c r="B1850" s="74"/>
      <c r="C1850" s="74"/>
      <c r="D1850" s="74"/>
      <c r="E1850" s="74"/>
      <c r="F1850" s="74"/>
      <c r="G1850" s="74"/>
      <c r="H1850" s="74"/>
      <c r="I1850" s="74"/>
      <c r="J1850" s="74"/>
      <c r="K1850" s="74"/>
      <c r="L1850" s="74"/>
      <c r="M1850" s="74"/>
      <c r="N1850" s="74"/>
      <c r="O1850" s="75"/>
      <c r="P1850" s="74"/>
      <c r="Q1850" s="75"/>
      <c r="R1850" s="74"/>
      <c r="S1850" s="74"/>
      <c r="T1850" s="74"/>
      <c r="U1850" s="75"/>
      <c r="V1850" s="74"/>
      <c r="W1850" s="75"/>
      <c r="X1850" s="74"/>
      <c r="Y1850" s="74"/>
      <c r="Z1850" s="74"/>
      <c r="AA1850" s="74"/>
      <c r="AB1850" s="74"/>
      <c r="AC1850" s="74"/>
      <c r="AD1850" s="74"/>
      <c r="AE1850" s="74"/>
      <c r="AF1850" s="74"/>
      <c r="AG1850" s="74"/>
      <c r="AH1850" s="74"/>
    </row>
    <row r="1851" s="73" customFormat="1" spans="1:34">
      <c r="A1851" s="74"/>
      <c r="B1851" s="74"/>
      <c r="C1851" s="74"/>
      <c r="D1851" s="74"/>
      <c r="E1851" s="74"/>
      <c r="F1851" s="74"/>
      <c r="G1851" s="74"/>
      <c r="H1851" s="74"/>
      <c r="I1851" s="74"/>
      <c r="J1851" s="74"/>
      <c r="K1851" s="74"/>
      <c r="L1851" s="74"/>
      <c r="M1851" s="74"/>
      <c r="N1851" s="74"/>
      <c r="O1851" s="75"/>
      <c r="P1851" s="74"/>
      <c r="Q1851" s="75"/>
      <c r="R1851" s="74"/>
      <c r="S1851" s="74"/>
      <c r="T1851" s="74"/>
      <c r="U1851" s="75"/>
      <c r="V1851" s="74"/>
      <c r="W1851" s="75"/>
      <c r="X1851" s="74"/>
      <c r="Y1851" s="74"/>
      <c r="Z1851" s="74"/>
      <c r="AA1851" s="74"/>
      <c r="AB1851" s="74"/>
      <c r="AC1851" s="74"/>
      <c r="AD1851" s="74"/>
      <c r="AE1851" s="74"/>
      <c r="AF1851" s="74"/>
      <c r="AG1851" s="74"/>
      <c r="AH1851" s="74"/>
    </row>
    <row r="1852" s="73" customFormat="1" spans="1:34">
      <c r="A1852" s="74"/>
      <c r="B1852" s="74"/>
      <c r="C1852" s="74"/>
      <c r="D1852" s="74"/>
      <c r="E1852" s="74"/>
      <c r="F1852" s="74"/>
      <c r="G1852" s="74"/>
      <c r="H1852" s="74"/>
      <c r="I1852" s="74"/>
      <c r="J1852" s="74"/>
      <c r="K1852" s="74"/>
      <c r="L1852" s="74"/>
      <c r="M1852" s="74"/>
      <c r="N1852" s="74"/>
      <c r="O1852" s="75"/>
      <c r="P1852" s="74"/>
      <c r="Q1852" s="75"/>
      <c r="R1852" s="74"/>
      <c r="S1852" s="74"/>
      <c r="T1852" s="74"/>
      <c r="U1852" s="75"/>
      <c r="V1852" s="74"/>
      <c r="W1852" s="75"/>
      <c r="X1852" s="74"/>
      <c r="Y1852" s="74"/>
      <c r="Z1852" s="74"/>
      <c r="AA1852" s="74"/>
      <c r="AB1852" s="74"/>
      <c r="AC1852" s="74"/>
      <c r="AD1852" s="74"/>
      <c r="AE1852" s="74"/>
      <c r="AF1852" s="74"/>
      <c r="AG1852" s="74"/>
      <c r="AH1852" s="74"/>
    </row>
    <row r="1853" s="73" customFormat="1" spans="1:34">
      <c r="A1853" s="74"/>
      <c r="B1853" s="74"/>
      <c r="C1853" s="74"/>
      <c r="D1853" s="74"/>
      <c r="E1853" s="74"/>
      <c r="F1853" s="74"/>
      <c r="G1853" s="74"/>
      <c r="H1853" s="74"/>
      <c r="I1853" s="74"/>
      <c r="J1853" s="74"/>
      <c r="K1853" s="74"/>
      <c r="L1853" s="74"/>
      <c r="M1853" s="74"/>
      <c r="N1853" s="74"/>
      <c r="O1853" s="75"/>
      <c r="P1853" s="74"/>
      <c r="Q1853" s="75"/>
      <c r="R1853" s="74"/>
      <c r="S1853" s="74"/>
      <c r="T1853" s="74"/>
      <c r="U1853" s="75"/>
      <c r="V1853" s="74"/>
      <c r="W1853" s="75"/>
      <c r="X1853" s="74"/>
      <c r="Y1853" s="74"/>
      <c r="Z1853" s="74"/>
      <c r="AA1853" s="74"/>
      <c r="AB1853" s="74"/>
      <c r="AC1853" s="74"/>
      <c r="AD1853" s="74"/>
      <c r="AE1853" s="74"/>
      <c r="AF1853" s="74"/>
      <c r="AG1853" s="74"/>
      <c r="AH1853" s="74"/>
    </row>
    <row r="1854" s="73" customFormat="1" spans="1:34">
      <c r="A1854" s="74"/>
      <c r="B1854" s="74"/>
      <c r="C1854" s="74"/>
      <c r="D1854" s="74"/>
      <c r="E1854" s="74"/>
      <c r="F1854" s="74"/>
      <c r="G1854" s="74"/>
      <c r="H1854" s="74"/>
      <c r="I1854" s="74"/>
      <c r="J1854" s="74"/>
      <c r="K1854" s="74"/>
      <c r="L1854" s="74"/>
      <c r="M1854" s="74"/>
      <c r="N1854" s="74"/>
      <c r="O1854" s="75"/>
      <c r="P1854" s="74"/>
      <c r="Q1854" s="75"/>
      <c r="R1854" s="74"/>
      <c r="S1854" s="74"/>
      <c r="T1854" s="74"/>
      <c r="U1854" s="75"/>
      <c r="V1854" s="74"/>
      <c r="W1854" s="75"/>
      <c r="X1854" s="74"/>
      <c r="Y1854" s="74"/>
      <c r="Z1854" s="74"/>
      <c r="AA1854" s="74"/>
      <c r="AB1854" s="74"/>
      <c r="AC1854" s="74"/>
      <c r="AD1854" s="74"/>
      <c r="AE1854" s="74"/>
      <c r="AF1854" s="74"/>
      <c r="AG1854" s="74"/>
      <c r="AH1854" s="74"/>
    </row>
    <row r="1855" s="73" customFormat="1" spans="1:34">
      <c r="A1855" s="74"/>
      <c r="B1855" s="74"/>
      <c r="C1855" s="74"/>
      <c r="D1855" s="74"/>
      <c r="E1855" s="74"/>
      <c r="F1855" s="74"/>
      <c r="G1855" s="74"/>
      <c r="H1855" s="74"/>
      <c r="I1855" s="74"/>
      <c r="J1855" s="74"/>
      <c r="K1855" s="74"/>
      <c r="L1855" s="74"/>
      <c r="M1855" s="74"/>
      <c r="N1855" s="74"/>
      <c r="O1855" s="75"/>
      <c r="P1855" s="74"/>
      <c r="Q1855" s="75"/>
      <c r="R1855" s="74"/>
      <c r="S1855" s="74"/>
      <c r="T1855" s="74"/>
      <c r="U1855" s="75"/>
      <c r="V1855" s="74"/>
      <c r="W1855" s="75"/>
      <c r="X1855" s="74"/>
      <c r="Y1855" s="74"/>
      <c r="Z1855" s="74"/>
      <c r="AA1855" s="74"/>
      <c r="AB1855" s="74"/>
      <c r="AC1855" s="74"/>
      <c r="AD1855" s="74"/>
      <c r="AE1855" s="74"/>
      <c r="AF1855" s="74"/>
      <c r="AG1855" s="74"/>
      <c r="AH1855" s="74"/>
    </row>
    <row r="1856" s="73" customFormat="1" spans="1:34">
      <c r="A1856" s="74"/>
      <c r="B1856" s="74"/>
      <c r="C1856" s="74"/>
      <c r="D1856" s="74"/>
      <c r="E1856" s="74"/>
      <c r="F1856" s="74"/>
      <c r="G1856" s="74"/>
      <c r="H1856" s="74"/>
      <c r="I1856" s="74"/>
      <c r="J1856" s="74"/>
      <c r="K1856" s="74"/>
      <c r="L1856" s="74"/>
      <c r="M1856" s="74"/>
      <c r="N1856" s="74"/>
      <c r="O1856" s="75"/>
      <c r="P1856" s="74"/>
      <c r="Q1856" s="75"/>
      <c r="R1856" s="74"/>
      <c r="S1856" s="74"/>
      <c r="T1856" s="74"/>
      <c r="U1856" s="75"/>
      <c r="V1856" s="74"/>
      <c r="W1856" s="75"/>
      <c r="X1856" s="74"/>
      <c r="Y1856" s="74"/>
      <c r="Z1856" s="74"/>
      <c r="AA1856" s="74"/>
      <c r="AB1856" s="74"/>
      <c r="AC1856" s="74"/>
      <c r="AD1856" s="74"/>
      <c r="AE1856" s="74"/>
      <c r="AF1856" s="74"/>
      <c r="AG1856" s="74"/>
      <c r="AH1856" s="74"/>
    </row>
    <row r="1857" s="73" customFormat="1" spans="1:34">
      <c r="A1857" s="74"/>
      <c r="B1857" s="74"/>
      <c r="C1857" s="74"/>
      <c r="D1857" s="74"/>
      <c r="E1857" s="74"/>
      <c r="F1857" s="74"/>
      <c r="G1857" s="74"/>
      <c r="H1857" s="74"/>
      <c r="I1857" s="74"/>
      <c r="J1857" s="74"/>
      <c r="K1857" s="74"/>
      <c r="L1857" s="74"/>
      <c r="M1857" s="74"/>
      <c r="N1857" s="74"/>
      <c r="O1857" s="75"/>
      <c r="P1857" s="74"/>
      <c r="Q1857" s="75"/>
      <c r="R1857" s="74"/>
      <c r="S1857" s="74"/>
      <c r="T1857" s="74"/>
      <c r="U1857" s="75"/>
      <c r="V1857" s="74"/>
      <c r="W1857" s="75"/>
      <c r="X1857" s="74"/>
      <c r="Y1857" s="74"/>
      <c r="Z1857" s="74"/>
      <c r="AA1857" s="74"/>
      <c r="AB1857" s="74"/>
      <c r="AC1857" s="74"/>
      <c r="AD1857" s="74"/>
      <c r="AE1857" s="74"/>
      <c r="AF1857" s="74"/>
      <c r="AG1857" s="74"/>
      <c r="AH1857" s="74"/>
    </row>
    <row r="1858" s="73" customFormat="1" spans="1:34">
      <c r="A1858" s="74"/>
      <c r="B1858" s="74"/>
      <c r="C1858" s="74"/>
      <c r="D1858" s="74"/>
      <c r="E1858" s="74"/>
      <c r="F1858" s="74"/>
      <c r="G1858" s="74"/>
      <c r="H1858" s="74"/>
      <c r="I1858" s="74"/>
      <c r="J1858" s="74"/>
      <c r="K1858" s="74"/>
      <c r="L1858" s="74"/>
      <c r="M1858" s="74"/>
      <c r="N1858" s="74"/>
      <c r="O1858" s="75"/>
      <c r="P1858" s="74"/>
      <c r="Q1858" s="75"/>
      <c r="R1858" s="74"/>
      <c r="S1858" s="74"/>
      <c r="T1858" s="74"/>
      <c r="U1858" s="75"/>
      <c r="V1858" s="74"/>
      <c r="W1858" s="75"/>
      <c r="X1858" s="74"/>
      <c r="Y1858" s="74"/>
      <c r="Z1858" s="74"/>
      <c r="AA1858" s="74"/>
      <c r="AB1858" s="74"/>
      <c r="AC1858" s="74"/>
      <c r="AD1858" s="74"/>
      <c r="AE1858" s="74"/>
      <c r="AF1858" s="74"/>
      <c r="AG1858" s="74"/>
      <c r="AH1858" s="74"/>
    </row>
    <row r="1859" s="73" customFormat="1" spans="1:34">
      <c r="A1859" s="74"/>
      <c r="B1859" s="74"/>
      <c r="C1859" s="74"/>
      <c r="D1859" s="74"/>
      <c r="E1859" s="74"/>
      <c r="F1859" s="74"/>
      <c r="G1859" s="74"/>
      <c r="H1859" s="74"/>
      <c r="I1859" s="74"/>
      <c r="J1859" s="74"/>
      <c r="K1859" s="74"/>
      <c r="L1859" s="74"/>
      <c r="M1859" s="74"/>
      <c r="N1859" s="74"/>
      <c r="O1859" s="75"/>
      <c r="P1859" s="74"/>
      <c r="Q1859" s="75"/>
      <c r="R1859" s="74"/>
      <c r="S1859" s="74"/>
      <c r="T1859" s="74"/>
      <c r="U1859" s="75"/>
      <c r="V1859" s="74"/>
      <c r="W1859" s="75"/>
      <c r="X1859" s="74"/>
      <c r="Y1859" s="74"/>
      <c r="Z1859" s="74"/>
      <c r="AA1859" s="74"/>
      <c r="AB1859" s="74"/>
      <c r="AC1859" s="74"/>
      <c r="AD1859" s="74"/>
      <c r="AE1859" s="74"/>
      <c r="AF1859" s="74"/>
      <c r="AG1859" s="74"/>
      <c r="AH1859" s="74"/>
    </row>
    <row r="1860" s="73" customFormat="1" spans="1:34">
      <c r="A1860" s="74"/>
      <c r="B1860" s="74"/>
      <c r="C1860" s="74"/>
      <c r="D1860" s="74"/>
      <c r="E1860" s="74"/>
      <c r="F1860" s="74"/>
      <c r="G1860" s="74"/>
      <c r="H1860" s="74"/>
      <c r="I1860" s="74"/>
      <c r="J1860" s="74"/>
      <c r="K1860" s="74"/>
      <c r="L1860" s="74"/>
      <c r="M1860" s="74"/>
      <c r="N1860" s="74"/>
      <c r="O1860" s="75"/>
      <c r="P1860" s="74"/>
      <c r="Q1860" s="75"/>
      <c r="R1860" s="74"/>
      <c r="S1860" s="74"/>
      <c r="T1860" s="74"/>
      <c r="U1860" s="75"/>
      <c r="V1860" s="74"/>
      <c r="W1860" s="75"/>
      <c r="X1860" s="74"/>
      <c r="Y1860" s="74"/>
      <c r="Z1860" s="74"/>
      <c r="AA1860" s="74"/>
      <c r="AB1860" s="74"/>
      <c r="AC1860" s="74"/>
      <c r="AD1860" s="74"/>
      <c r="AE1860" s="74"/>
      <c r="AF1860" s="74"/>
      <c r="AG1860" s="74"/>
      <c r="AH1860" s="74"/>
    </row>
    <row r="1861" s="73" customFormat="1" spans="1:34">
      <c r="A1861" s="74"/>
      <c r="B1861" s="74"/>
      <c r="C1861" s="74"/>
      <c r="D1861" s="74"/>
      <c r="E1861" s="74"/>
      <c r="F1861" s="74"/>
      <c r="G1861" s="74"/>
      <c r="H1861" s="74"/>
      <c r="I1861" s="74"/>
      <c r="J1861" s="74"/>
      <c r="K1861" s="74"/>
      <c r="L1861" s="74"/>
      <c r="M1861" s="74"/>
      <c r="N1861" s="74"/>
      <c r="O1861" s="75"/>
      <c r="P1861" s="74"/>
      <c r="Q1861" s="75"/>
      <c r="R1861" s="74"/>
      <c r="S1861" s="74"/>
      <c r="T1861" s="74"/>
      <c r="U1861" s="75"/>
      <c r="V1861" s="74"/>
      <c r="W1861" s="75"/>
      <c r="X1861" s="74"/>
      <c r="Y1861" s="74"/>
      <c r="Z1861" s="74"/>
      <c r="AA1861" s="74"/>
      <c r="AB1861" s="74"/>
      <c r="AC1861" s="74"/>
      <c r="AD1861" s="74"/>
      <c r="AE1861" s="74"/>
      <c r="AF1861" s="74"/>
      <c r="AG1861" s="74"/>
      <c r="AH1861" s="74"/>
    </row>
    <row r="1862" s="73" customFormat="1" spans="1:34">
      <c r="A1862" s="74"/>
      <c r="B1862" s="74"/>
      <c r="C1862" s="74"/>
      <c r="D1862" s="74"/>
      <c r="E1862" s="74"/>
      <c r="F1862" s="74"/>
      <c r="G1862" s="74"/>
      <c r="H1862" s="74"/>
      <c r="I1862" s="74"/>
      <c r="J1862" s="74"/>
      <c r="K1862" s="74"/>
      <c r="L1862" s="74"/>
      <c r="M1862" s="74"/>
      <c r="N1862" s="74"/>
      <c r="O1862" s="75"/>
      <c r="P1862" s="74"/>
      <c r="Q1862" s="75"/>
      <c r="R1862" s="74"/>
      <c r="S1862" s="74"/>
      <c r="T1862" s="74"/>
      <c r="U1862" s="75"/>
      <c r="V1862" s="74"/>
      <c r="W1862" s="75"/>
      <c r="X1862" s="74"/>
      <c r="Y1862" s="74"/>
      <c r="Z1862" s="74"/>
      <c r="AA1862" s="74"/>
      <c r="AB1862" s="74"/>
      <c r="AC1862" s="74"/>
      <c r="AD1862" s="74"/>
      <c r="AE1862" s="74"/>
      <c r="AF1862" s="74"/>
      <c r="AG1862" s="74"/>
      <c r="AH1862" s="74"/>
    </row>
    <row r="1863" s="73" customFormat="1" spans="1:34">
      <c r="A1863" s="74"/>
      <c r="B1863" s="74"/>
      <c r="C1863" s="74"/>
      <c r="D1863" s="74"/>
      <c r="E1863" s="74"/>
      <c r="F1863" s="74"/>
      <c r="G1863" s="74"/>
      <c r="H1863" s="74"/>
      <c r="I1863" s="74"/>
      <c r="J1863" s="74"/>
      <c r="K1863" s="74"/>
      <c r="L1863" s="74"/>
      <c r="M1863" s="74"/>
      <c r="N1863" s="74"/>
      <c r="O1863" s="75"/>
      <c r="P1863" s="74"/>
      <c r="Q1863" s="75"/>
      <c r="R1863" s="74"/>
      <c r="S1863" s="74"/>
      <c r="T1863" s="74"/>
      <c r="U1863" s="75"/>
      <c r="V1863" s="74"/>
      <c r="W1863" s="75"/>
      <c r="X1863" s="74"/>
      <c r="Y1863" s="74"/>
      <c r="Z1863" s="74"/>
      <c r="AA1863" s="74"/>
      <c r="AB1863" s="74"/>
      <c r="AC1863" s="74"/>
      <c r="AD1863" s="74"/>
      <c r="AE1863" s="74"/>
      <c r="AF1863" s="74"/>
      <c r="AG1863" s="74"/>
      <c r="AH1863" s="74"/>
    </row>
    <row r="1864" s="73" customFormat="1" spans="1:34">
      <c r="A1864" s="74"/>
      <c r="B1864" s="74"/>
      <c r="C1864" s="74"/>
      <c r="D1864" s="74"/>
      <c r="E1864" s="74"/>
      <c r="F1864" s="74"/>
      <c r="G1864" s="74"/>
      <c r="H1864" s="74"/>
      <c r="I1864" s="74"/>
      <c r="J1864" s="74"/>
      <c r="K1864" s="74"/>
      <c r="L1864" s="74"/>
      <c r="M1864" s="74"/>
      <c r="N1864" s="74"/>
      <c r="O1864" s="75"/>
      <c r="P1864" s="74"/>
      <c r="Q1864" s="75"/>
      <c r="R1864" s="74"/>
      <c r="S1864" s="74"/>
      <c r="T1864" s="74"/>
      <c r="U1864" s="75"/>
      <c r="V1864" s="74"/>
      <c r="W1864" s="75"/>
      <c r="X1864" s="74"/>
      <c r="Y1864" s="74"/>
      <c r="Z1864" s="74"/>
      <c r="AA1864" s="74"/>
      <c r="AB1864" s="74"/>
      <c r="AC1864" s="74"/>
      <c r="AD1864" s="74"/>
      <c r="AE1864" s="74"/>
      <c r="AF1864" s="74"/>
      <c r="AG1864" s="74"/>
      <c r="AH1864" s="74"/>
    </row>
    <row r="1865" s="73" customFormat="1" spans="1:34">
      <c r="A1865" s="74"/>
      <c r="B1865" s="74"/>
      <c r="C1865" s="74"/>
      <c r="D1865" s="74"/>
      <c r="E1865" s="74"/>
      <c r="F1865" s="74"/>
      <c r="G1865" s="74"/>
      <c r="H1865" s="74"/>
      <c r="I1865" s="74"/>
      <c r="J1865" s="74"/>
      <c r="K1865" s="74"/>
      <c r="L1865" s="74"/>
      <c r="M1865" s="74"/>
      <c r="N1865" s="74"/>
      <c r="O1865" s="75"/>
      <c r="P1865" s="74"/>
      <c r="Q1865" s="75"/>
      <c r="R1865" s="74"/>
      <c r="S1865" s="74"/>
      <c r="T1865" s="74"/>
      <c r="U1865" s="75"/>
      <c r="V1865" s="74"/>
      <c r="W1865" s="75"/>
      <c r="X1865" s="74"/>
      <c r="Y1865" s="74"/>
      <c r="Z1865" s="74"/>
      <c r="AA1865" s="74"/>
      <c r="AB1865" s="74"/>
      <c r="AC1865" s="74"/>
      <c r="AD1865" s="74"/>
      <c r="AE1865" s="74"/>
      <c r="AF1865" s="74"/>
      <c r="AG1865" s="74"/>
      <c r="AH1865" s="74"/>
    </row>
    <row r="1866" s="73" customFormat="1" spans="1:34">
      <c r="A1866" s="74"/>
      <c r="B1866" s="74"/>
      <c r="C1866" s="74"/>
      <c r="D1866" s="74"/>
      <c r="E1866" s="74"/>
      <c r="F1866" s="74"/>
      <c r="G1866" s="74"/>
      <c r="H1866" s="74"/>
      <c r="I1866" s="74"/>
      <c r="J1866" s="74"/>
      <c r="K1866" s="74"/>
      <c r="L1866" s="74"/>
      <c r="M1866" s="74"/>
      <c r="N1866" s="74"/>
      <c r="O1866" s="75"/>
      <c r="P1866" s="74"/>
      <c r="Q1866" s="75"/>
      <c r="R1866" s="74"/>
      <c r="S1866" s="74"/>
      <c r="T1866" s="74"/>
      <c r="U1866" s="75"/>
      <c r="V1866" s="74"/>
      <c r="W1866" s="75"/>
      <c r="X1866" s="74"/>
      <c r="Y1866" s="74"/>
      <c r="Z1866" s="74"/>
      <c r="AA1866" s="74"/>
      <c r="AB1866" s="74"/>
      <c r="AC1866" s="74"/>
      <c r="AD1866" s="74"/>
      <c r="AE1866" s="74"/>
      <c r="AF1866" s="74"/>
      <c r="AG1866" s="74"/>
      <c r="AH1866" s="74"/>
    </row>
    <row r="1867" s="73" customFormat="1" spans="1:34">
      <c r="A1867" s="74"/>
      <c r="B1867" s="74"/>
      <c r="C1867" s="74"/>
      <c r="D1867" s="74"/>
      <c r="E1867" s="74"/>
      <c r="F1867" s="74"/>
      <c r="G1867" s="74"/>
      <c r="H1867" s="74"/>
      <c r="I1867" s="74"/>
      <c r="J1867" s="74"/>
      <c r="K1867" s="74"/>
      <c r="L1867" s="74"/>
      <c r="M1867" s="74"/>
      <c r="N1867" s="74"/>
      <c r="O1867" s="75"/>
      <c r="P1867" s="74"/>
      <c r="Q1867" s="75"/>
      <c r="R1867" s="74"/>
      <c r="S1867" s="74"/>
      <c r="T1867" s="74"/>
      <c r="U1867" s="75"/>
      <c r="V1867" s="74"/>
      <c r="W1867" s="75"/>
      <c r="X1867" s="74"/>
      <c r="Y1867" s="74"/>
      <c r="Z1867" s="74"/>
      <c r="AA1867" s="74"/>
      <c r="AB1867" s="74"/>
      <c r="AC1867" s="74"/>
      <c r="AD1867" s="74"/>
      <c r="AE1867" s="74"/>
      <c r="AF1867" s="74"/>
      <c r="AG1867" s="74"/>
      <c r="AH1867" s="74"/>
    </row>
    <row r="1868" s="73" customFormat="1" spans="1:34">
      <c r="A1868" s="74"/>
      <c r="B1868" s="74"/>
      <c r="C1868" s="74"/>
      <c r="D1868" s="74"/>
      <c r="E1868" s="74"/>
      <c r="F1868" s="74"/>
      <c r="G1868" s="74"/>
      <c r="H1868" s="74"/>
      <c r="I1868" s="74"/>
      <c r="J1868" s="74"/>
      <c r="K1868" s="74"/>
      <c r="L1868" s="74"/>
      <c r="M1868" s="74"/>
      <c r="N1868" s="74"/>
      <c r="O1868" s="75"/>
      <c r="P1868" s="74"/>
      <c r="Q1868" s="75"/>
      <c r="R1868" s="74"/>
      <c r="S1868" s="74"/>
      <c r="T1868" s="74"/>
      <c r="U1868" s="75"/>
      <c r="V1868" s="74"/>
      <c r="W1868" s="75"/>
      <c r="X1868" s="74"/>
      <c r="Y1868" s="74"/>
      <c r="Z1868" s="74"/>
      <c r="AA1868" s="74"/>
      <c r="AB1868" s="74"/>
      <c r="AC1868" s="74"/>
      <c r="AD1868" s="74"/>
      <c r="AE1868" s="74"/>
      <c r="AF1868" s="74"/>
      <c r="AG1868" s="74"/>
      <c r="AH1868" s="74"/>
    </row>
    <row r="1869" s="73" customFormat="1" spans="1:34">
      <c r="A1869" s="74"/>
      <c r="B1869" s="74"/>
      <c r="C1869" s="74"/>
      <c r="D1869" s="74"/>
      <c r="E1869" s="74"/>
      <c r="F1869" s="74"/>
      <c r="G1869" s="74"/>
      <c r="H1869" s="74"/>
      <c r="I1869" s="74"/>
      <c r="J1869" s="74"/>
      <c r="K1869" s="74"/>
      <c r="L1869" s="74"/>
      <c r="M1869" s="74"/>
      <c r="N1869" s="74"/>
      <c r="O1869" s="75"/>
      <c r="P1869" s="74"/>
      <c r="Q1869" s="75"/>
      <c r="R1869" s="74"/>
      <c r="S1869" s="74"/>
      <c r="T1869" s="74"/>
      <c r="U1869" s="75"/>
      <c r="V1869" s="74"/>
      <c r="W1869" s="75"/>
      <c r="X1869" s="74"/>
      <c r="Y1869" s="74"/>
      <c r="Z1869" s="74"/>
      <c r="AA1869" s="74"/>
      <c r="AB1869" s="74"/>
      <c r="AC1869" s="74"/>
      <c r="AD1869" s="74"/>
      <c r="AE1869" s="74"/>
      <c r="AF1869" s="74"/>
      <c r="AG1869" s="74"/>
      <c r="AH1869" s="74"/>
    </row>
    <row r="1870" s="73" customFormat="1" spans="1:34">
      <c r="A1870" s="74"/>
      <c r="B1870" s="74"/>
      <c r="C1870" s="74"/>
      <c r="D1870" s="74"/>
      <c r="E1870" s="74"/>
      <c r="F1870" s="74"/>
      <c r="G1870" s="74"/>
      <c r="H1870" s="74"/>
      <c r="I1870" s="74"/>
      <c r="J1870" s="74"/>
      <c r="K1870" s="74"/>
      <c r="L1870" s="74"/>
      <c r="M1870" s="74"/>
      <c r="N1870" s="74"/>
      <c r="O1870" s="75"/>
      <c r="P1870" s="74"/>
      <c r="Q1870" s="75"/>
      <c r="R1870" s="74"/>
      <c r="S1870" s="74"/>
      <c r="T1870" s="74"/>
      <c r="U1870" s="75"/>
      <c r="V1870" s="74"/>
      <c r="W1870" s="75"/>
      <c r="X1870" s="74"/>
      <c r="Y1870" s="74"/>
      <c r="Z1870" s="74"/>
      <c r="AA1870" s="74"/>
      <c r="AB1870" s="74"/>
      <c r="AC1870" s="74"/>
      <c r="AD1870" s="74"/>
      <c r="AE1870" s="74"/>
      <c r="AF1870" s="74"/>
      <c r="AG1870" s="74"/>
      <c r="AH1870" s="74"/>
    </row>
    <row r="1871" s="73" customFormat="1" spans="1:34">
      <c r="A1871" s="74"/>
      <c r="B1871" s="74"/>
      <c r="C1871" s="74"/>
      <c r="D1871" s="74"/>
      <c r="E1871" s="74"/>
      <c r="F1871" s="74"/>
      <c r="G1871" s="74"/>
      <c r="H1871" s="74"/>
      <c r="I1871" s="74"/>
      <c r="J1871" s="74"/>
      <c r="K1871" s="74"/>
      <c r="L1871" s="74"/>
      <c r="M1871" s="74"/>
      <c r="N1871" s="74"/>
      <c r="O1871" s="75"/>
      <c r="P1871" s="74"/>
      <c r="Q1871" s="75"/>
      <c r="R1871" s="74"/>
      <c r="S1871" s="74"/>
      <c r="T1871" s="74"/>
      <c r="U1871" s="75"/>
      <c r="V1871" s="74"/>
      <c r="W1871" s="75"/>
      <c r="X1871" s="74"/>
      <c r="Y1871" s="74"/>
      <c r="Z1871" s="74"/>
      <c r="AA1871" s="74"/>
      <c r="AB1871" s="74"/>
      <c r="AC1871" s="74"/>
      <c r="AD1871" s="74"/>
      <c r="AE1871" s="74"/>
      <c r="AF1871" s="74"/>
      <c r="AG1871" s="74"/>
      <c r="AH1871" s="74"/>
    </row>
    <row r="1873" s="73" customFormat="1" spans="1:34">
      <c r="A1873" s="74"/>
      <c r="B1873" s="74"/>
      <c r="C1873" s="74"/>
      <c r="D1873" s="74"/>
      <c r="E1873" s="74"/>
      <c r="F1873" s="74"/>
      <c r="G1873" s="74"/>
      <c r="H1873" s="74"/>
      <c r="I1873" s="74"/>
      <c r="J1873" s="74"/>
      <c r="K1873" s="74"/>
      <c r="L1873" s="74"/>
      <c r="M1873" s="74"/>
      <c r="N1873" s="74"/>
      <c r="O1873" s="75"/>
      <c r="P1873" s="74"/>
      <c r="Q1873" s="75"/>
      <c r="R1873" s="74"/>
      <c r="S1873" s="74"/>
      <c r="T1873" s="74"/>
      <c r="U1873" s="75"/>
      <c r="V1873" s="74"/>
      <c r="W1873" s="75"/>
      <c r="X1873" s="74"/>
      <c r="Y1873" s="74"/>
      <c r="Z1873" s="74"/>
      <c r="AA1873" s="74"/>
      <c r="AB1873" s="74"/>
      <c r="AC1873" s="74"/>
      <c r="AD1873" s="74"/>
      <c r="AE1873" s="74"/>
      <c r="AF1873" s="74"/>
      <c r="AG1873" s="74"/>
      <c r="AH1873" s="74"/>
    </row>
    <row r="1874" s="73" customFormat="1" spans="1:34">
      <c r="A1874" s="74"/>
      <c r="B1874" s="74"/>
      <c r="C1874" s="74"/>
      <c r="D1874" s="74"/>
      <c r="E1874" s="74"/>
      <c r="F1874" s="74"/>
      <c r="G1874" s="74"/>
      <c r="H1874" s="74"/>
      <c r="I1874" s="74"/>
      <c r="J1874" s="74"/>
      <c r="K1874" s="74"/>
      <c r="L1874" s="74"/>
      <c r="M1874" s="74"/>
      <c r="N1874" s="74"/>
      <c r="O1874" s="75"/>
      <c r="P1874" s="74"/>
      <c r="Q1874" s="75"/>
      <c r="R1874" s="74"/>
      <c r="S1874" s="74"/>
      <c r="T1874" s="74"/>
      <c r="U1874" s="75"/>
      <c r="V1874" s="74"/>
      <c r="W1874" s="75"/>
      <c r="X1874" s="74"/>
      <c r="Y1874" s="74"/>
      <c r="Z1874" s="74"/>
      <c r="AA1874" s="74"/>
      <c r="AB1874" s="74"/>
      <c r="AC1874" s="74"/>
      <c r="AD1874" s="74"/>
      <c r="AE1874" s="74"/>
      <c r="AF1874" s="74"/>
      <c r="AG1874" s="74"/>
      <c r="AH1874" s="74"/>
    </row>
    <row r="1875" s="73" customFormat="1" spans="1:34">
      <c r="A1875" s="74"/>
      <c r="B1875" s="74"/>
      <c r="C1875" s="74"/>
      <c r="D1875" s="74"/>
      <c r="E1875" s="74"/>
      <c r="F1875" s="74"/>
      <c r="G1875" s="74"/>
      <c r="H1875" s="74"/>
      <c r="I1875" s="74"/>
      <c r="J1875" s="74"/>
      <c r="K1875" s="74"/>
      <c r="L1875" s="74"/>
      <c r="M1875" s="74"/>
      <c r="N1875" s="74"/>
      <c r="O1875" s="75"/>
      <c r="P1875" s="74"/>
      <c r="Q1875" s="75"/>
      <c r="R1875" s="74"/>
      <c r="S1875" s="74"/>
      <c r="T1875" s="74"/>
      <c r="U1875" s="75"/>
      <c r="V1875" s="74"/>
      <c r="W1875" s="75"/>
      <c r="X1875" s="74"/>
      <c r="Y1875" s="74"/>
      <c r="Z1875" s="74"/>
      <c r="AA1875" s="74"/>
      <c r="AB1875" s="74"/>
      <c r="AC1875" s="74"/>
      <c r="AD1875" s="74"/>
      <c r="AE1875" s="74"/>
      <c r="AF1875" s="74"/>
      <c r="AG1875" s="74"/>
      <c r="AH1875" s="74"/>
    </row>
    <row r="1876" s="73" customFormat="1" spans="1:34">
      <c r="A1876" s="74"/>
      <c r="B1876" s="74"/>
      <c r="C1876" s="74"/>
      <c r="D1876" s="74"/>
      <c r="E1876" s="74"/>
      <c r="F1876" s="74"/>
      <c r="G1876" s="74"/>
      <c r="H1876" s="74"/>
      <c r="I1876" s="74"/>
      <c r="J1876" s="74"/>
      <c r="K1876" s="74"/>
      <c r="L1876" s="74"/>
      <c r="M1876" s="74"/>
      <c r="N1876" s="74"/>
      <c r="O1876" s="75"/>
      <c r="P1876" s="74"/>
      <c r="Q1876" s="75"/>
      <c r="R1876" s="74"/>
      <c r="S1876" s="74"/>
      <c r="T1876" s="74"/>
      <c r="U1876" s="75"/>
      <c r="V1876" s="74"/>
      <c r="W1876" s="75"/>
      <c r="X1876" s="74"/>
      <c r="Y1876" s="74"/>
      <c r="Z1876" s="74"/>
      <c r="AA1876" s="74"/>
      <c r="AB1876" s="74"/>
      <c r="AC1876" s="74"/>
      <c r="AD1876" s="74"/>
      <c r="AE1876" s="74"/>
      <c r="AF1876" s="74"/>
      <c r="AG1876" s="74"/>
      <c r="AH1876" s="74"/>
    </row>
    <row r="1877" s="73" customFormat="1" spans="1:34">
      <c r="A1877" s="74"/>
      <c r="B1877" s="74"/>
      <c r="C1877" s="74"/>
      <c r="D1877" s="74"/>
      <c r="E1877" s="74"/>
      <c r="F1877" s="74"/>
      <c r="G1877" s="74"/>
      <c r="H1877" s="74"/>
      <c r="I1877" s="74"/>
      <c r="J1877" s="74"/>
      <c r="K1877" s="74"/>
      <c r="L1877" s="74"/>
      <c r="M1877" s="74"/>
      <c r="N1877" s="74"/>
      <c r="O1877" s="75"/>
      <c r="P1877" s="74"/>
      <c r="Q1877" s="75"/>
      <c r="R1877" s="74"/>
      <c r="S1877" s="74"/>
      <c r="T1877" s="74"/>
      <c r="U1877" s="75"/>
      <c r="V1877" s="74"/>
      <c r="W1877" s="75"/>
      <c r="X1877" s="74"/>
      <c r="Y1877" s="74"/>
      <c r="Z1877" s="74"/>
      <c r="AA1877" s="74"/>
      <c r="AB1877" s="74"/>
      <c r="AC1877" s="74"/>
      <c r="AD1877" s="74"/>
      <c r="AE1877" s="74"/>
      <c r="AF1877" s="74"/>
      <c r="AG1877" s="74"/>
      <c r="AH1877" s="74"/>
    </row>
    <row r="1878" s="73" customFormat="1" spans="1:34">
      <c r="A1878" s="74"/>
      <c r="B1878" s="74"/>
      <c r="C1878" s="74"/>
      <c r="D1878" s="74"/>
      <c r="E1878" s="74"/>
      <c r="F1878" s="74"/>
      <c r="G1878" s="74"/>
      <c r="H1878" s="74"/>
      <c r="I1878" s="74"/>
      <c r="J1878" s="74"/>
      <c r="K1878" s="74"/>
      <c r="L1878" s="74"/>
      <c r="M1878" s="74"/>
      <c r="N1878" s="74"/>
      <c r="O1878" s="75"/>
      <c r="P1878" s="74"/>
      <c r="Q1878" s="75"/>
      <c r="R1878" s="74"/>
      <c r="S1878" s="74"/>
      <c r="T1878" s="74"/>
      <c r="U1878" s="75"/>
      <c r="V1878" s="74"/>
      <c r="W1878" s="75"/>
      <c r="X1878" s="74"/>
      <c r="Y1878" s="74"/>
      <c r="Z1878" s="74"/>
      <c r="AA1878" s="74"/>
      <c r="AB1878" s="74"/>
      <c r="AC1878" s="74"/>
      <c r="AD1878" s="74"/>
      <c r="AE1878" s="74"/>
      <c r="AF1878" s="74"/>
      <c r="AG1878" s="74"/>
      <c r="AH1878" s="74"/>
    </row>
    <row r="1879" s="73" customFormat="1" spans="1:34">
      <c r="A1879" s="74"/>
      <c r="B1879" s="74"/>
      <c r="C1879" s="74"/>
      <c r="D1879" s="74"/>
      <c r="E1879" s="74"/>
      <c r="F1879" s="74"/>
      <c r="G1879" s="74"/>
      <c r="H1879" s="74"/>
      <c r="I1879" s="74"/>
      <c r="J1879" s="74"/>
      <c r="K1879" s="74"/>
      <c r="L1879" s="74"/>
      <c r="M1879" s="74"/>
      <c r="N1879" s="74"/>
      <c r="O1879" s="75"/>
      <c r="P1879" s="74"/>
      <c r="Q1879" s="75"/>
      <c r="R1879" s="74"/>
      <c r="S1879" s="74"/>
      <c r="T1879" s="74"/>
      <c r="U1879" s="75"/>
      <c r="V1879" s="74"/>
      <c r="W1879" s="75"/>
      <c r="X1879" s="74"/>
      <c r="Y1879" s="74"/>
      <c r="Z1879" s="74"/>
      <c r="AA1879" s="74"/>
      <c r="AB1879" s="74"/>
      <c r="AC1879" s="74"/>
      <c r="AD1879" s="74"/>
      <c r="AE1879" s="74"/>
      <c r="AF1879" s="74"/>
      <c r="AG1879" s="74"/>
      <c r="AH1879" s="74"/>
    </row>
    <row r="1880" s="73" customFormat="1" spans="1:34">
      <c r="A1880" s="74"/>
      <c r="B1880" s="74"/>
      <c r="C1880" s="74"/>
      <c r="D1880" s="74"/>
      <c r="E1880" s="74"/>
      <c r="F1880" s="74"/>
      <c r="G1880" s="74"/>
      <c r="H1880" s="74"/>
      <c r="I1880" s="74"/>
      <c r="J1880" s="74"/>
      <c r="K1880" s="74"/>
      <c r="L1880" s="74"/>
      <c r="M1880" s="74"/>
      <c r="N1880" s="74"/>
      <c r="O1880" s="75"/>
      <c r="P1880" s="74"/>
      <c r="Q1880" s="75"/>
      <c r="R1880" s="74"/>
      <c r="S1880" s="74"/>
      <c r="T1880" s="74"/>
      <c r="U1880" s="75"/>
      <c r="V1880" s="74"/>
      <c r="W1880" s="75"/>
      <c r="X1880" s="74"/>
      <c r="Y1880" s="74"/>
      <c r="Z1880" s="74"/>
      <c r="AA1880" s="74"/>
      <c r="AB1880" s="74"/>
      <c r="AC1880" s="74"/>
      <c r="AD1880" s="74"/>
      <c r="AE1880" s="74"/>
      <c r="AF1880" s="74"/>
      <c r="AG1880" s="74"/>
      <c r="AH1880" s="74"/>
    </row>
    <row r="1881" s="73" customFormat="1" spans="1:34">
      <c r="A1881" s="74"/>
      <c r="B1881" s="74"/>
      <c r="C1881" s="74"/>
      <c r="D1881" s="74"/>
      <c r="E1881" s="74"/>
      <c r="F1881" s="74"/>
      <c r="G1881" s="74"/>
      <c r="H1881" s="74"/>
      <c r="I1881" s="74"/>
      <c r="J1881" s="74"/>
      <c r="K1881" s="74"/>
      <c r="L1881" s="74"/>
      <c r="M1881" s="74"/>
      <c r="N1881" s="74"/>
      <c r="O1881" s="75"/>
      <c r="P1881" s="74"/>
      <c r="Q1881" s="75"/>
      <c r="R1881" s="74"/>
      <c r="S1881" s="74"/>
      <c r="T1881" s="74"/>
      <c r="U1881" s="75"/>
      <c r="V1881" s="74"/>
      <c r="W1881" s="75"/>
      <c r="X1881" s="74"/>
      <c r="Y1881" s="74"/>
      <c r="Z1881" s="74"/>
      <c r="AA1881" s="74"/>
      <c r="AB1881" s="74"/>
      <c r="AC1881" s="74"/>
      <c r="AD1881" s="74"/>
      <c r="AE1881" s="74"/>
      <c r="AF1881" s="74"/>
      <c r="AG1881" s="74"/>
      <c r="AH1881" s="74"/>
    </row>
    <row r="1882" s="73" customFormat="1" spans="1:34">
      <c r="A1882" s="74"/>
      <c r="B1882" s="74"/>
      <c r="C1882" s="74"/>
      <c r="D1882" s="74"/>
      <c r="E1882" s="74"/>
      <c r="F1882" s="74"/>
      <c r="G1882" s="74"/>
      <c r="H1882" s="74"/>
      <c r="I1882" s="74"/>
      <c r="J1882" s="74"/>
      <c r="K1882" s="74"/>
      <c r="L1882" s="74"/>
      <c r="M1882" s="74"/>
      <c r="N1882" s="74"/>
      <c r="O1882" s="75"/>
      <c r="P1882" s="74"/>
      <c r="Q1882" s="75"/>
      <c r="R1882" s="74"/>
      <c r="S1882" s="74"/>
      <c r="T1882" s="74"/>
      <c r="U1882" s="75"/>
      <c r="V1882" s="74"/>
      <c r="W1882" s="75"/>
      <c r="X1882" s="74"/>
      <c r="Y1882" s="74"/>
      <c r="Z1882" s="74"/>
      <c r="AA1882" s="74"/>
      <c r="AB1882" s="74"/>
      <c r="AC1882" s="74"/>
      <c r="AD1882" s="74"/>
      <c r="AE1882" s="74"/>
      <c r="AF1882" s="74"/>
      <c r="AG1882" s="74"/>
      <c r="AH1882" s="74"/>
    </row>
    <row r="1883" s="73" customFormat="1" spans="1:34">
      <c r="A1883" s="74"/>
      <c r="B1883" s="74"/>
      <c r="C1883" s="74"/>
      <c r="D1883" s="74"/>
      <c r="E1883" s="74"/>
      <c r="F1883" s="74"/>
      <c r="G1883" s="74"/>
      <c r="H1883" s="74"/>
      <c r="I1883" s="74"/>
      <c r="J1883" s="74"/>
      <c r="K1883" s="74"/>
      <c r="L1883" s="74"/>
      <c r="M1883" s="74"/>
      <c r="N1883" s="74"/>
      <c r="O1883" s="75"/>
      <c r="P1883" s="74"/>
      <c r="Q1883" s="75"/>
      <c r="R1883" s="74"/>
      <c r="S1883" s="74"/>
      <c r="T1883" s="74"/>
      <c r="U1883" s="75"/>
      <c r="V1883" s="74"/>
      <c r="W1883" s="75"/>
      <c r="X1883" s="74"/>
      <c r="Y1883" s="74"/>
      <c r="Z1883" s="74"/>
      <c r="AA1883" s="74"/>
      <c r="AB1883" s="74"/>
      <c r="AC1883" s="74"/>
      <c r="AD1883" s="74"/>
      <c r="AE1883" s="74"/>
      <c r="AF1883" s="74"/>
      <c r="AG1883" s="74"/>
      <c r="AH1883" s="74"/>
    </row>
    <row r="1884" s="73" customFormat="1" spans="1:34">
      <c r="A1884" s="74"/>
      <c r="B1884" s="74"/>
      <c r="C1884" s="74"/>
      <c r="D1884" s="74"/>
      <c r="E1884" s="74"/>
      <c r="F1884" s="74"/>
      <c r="G1884" s="74"/>
      <c r="H1884" s="74"/>
      <c r="I1884" s="74"/>
      <c r="J1884" s="74"/>
      <c r="K1884" s="74"/>
      <c r="L1884" s="74"/>
      <c r="M1884" s="74"/>
      <c r="N1884" s="74"/>
      <c r="O1884" s="75"/>
      <c r="P1884" s="74"/>
      <c r="Q1884" s="75"/>
      <c r="R1884" s="74"/>
      <c r="S1884" s="74"/>
      <c r="T1884" s="74"/>
      <c r="U1884" s="75"/>
      <c r="V1884" s="74"/>
      <c r="W1884" s="75"/>
      <c r="X1884" s="74"/>
      <c r="Y1884" s="74"/>
      <c r="Z1884" s="74"/>
      <c r="AA1884" s="74"/>
      <c r="AB1884" s="74"/>
      <c r="AC1884" s="74"/>
      <c r="AD1884" s="74"/>
      <c r="AE1884" s="74"/>
      <c r="AF1884" s="74"/>
      <c r="AG1884" s="74"/>
      <c r="AH1884" s="74"/>
    </row>
    <row r="1885" s="73" customFormat="1" spans="1:34">
      <c r="A1885" s="74"/>
      <c r="B1885" s="74"/>
      <c r="C1885" s="74"/>
      <c r="D1885" s="74"/>
      <c r="E1885" s="74"/>
      <c r="F1885" s="74"/>
      <c r="G1885" s="74"/>
      <c r="H1885" s="74"/>
      <c r="I1885" s="74"/>
      <c r="J1885" s="74"/>
      <c r="K1885" s="74"/>
      <c r="L1885" s="74"/>
      <c r="M1885" s="74"/>
      <c r="N1885" s="74"/>
      <c r="O1885" s="75"/>
      <c r="P1885" s="74"/>
      <c r="Q1885" s="75"/>
      <c r="R1885" s="74"/>
      <c r="S1885" s="74"/>
      <c r="T1885" s="74"/>
      <c r="U1885" s="75"/>
      <c r="V1885" s="74"/>
      <c r="W1885" s="75"/>
      <c r="X1885" s="74"/>
      <c r="Y1885" s="74"/>
      <c r="Z1885" s="74"/>
      <c r="AA1885" s="74"/>
      <c r="AB1885" s="74"/>
      <c r="AC1885" s="74"/>
      <c r="AD1885" s="74"/>
      <c r="AE1885" s="74"/>
      <c r="AF1885" s="74"/>
      <c r="AG1885" s="74"/>
      <c r="AH1885" s="74"/>
    </row>
    <row r="1886" s="73" customFormat="1" spans="1:34">
      <c r="A1886" s="74"/>
      <c r="B1886" s="74"/>
      <c r="C1886" s="74"/>
      <c r="D1886" s="74"/>
      <c r="E1886" s="74"/>
      <c r="F1886" s="74"/>
      <c r="G1886" s="74"/>
      <c r="H1886" s="74"/>
      <c r="I1886" s="74"/>
      <c r="J1886" s="74"/>
      <c r="K1886" s="74"/>
      <c r="L1886" s="74"/>
      <c r="M1886" s="74"/>
      <c r="N1886" s="74"/>
      <c r="O1886" s="75"/>
      <c r="P1886" s="74"/>
      <c r="Q1886" s="75"/>
      <c r="R1886" s="74"/>
      <c r="S1886" s="74"/>
      <c r="T1886" s="74"/>
      <c r="U1886" s="75"/>
      <c r="V1886" s="74"/>
      <c r="W1886" s="75"/>
      <c r="X1886" s="74"/>
      <c r="Y1886" s="74"/>
      <c r="Z1886" s="74"/>
      <c r="AA1886" s="74"/>
      <c r="AB1886" s="74"/>
      <c r="AC1886" s="74"/>
      <c r="AD1886" s="74"/>
      <c r="AE1886" s="74"/>
      <c r="AF1886" s="74"/>
      <c r="AG1886" s="74"/>
      <c r="AH1886" s="74"/>
    </row>
    <row r="1887" s="73" customFormat="1" spans="1:34">
      <c r="A1887" s="74"/>
      <c r="B1887" s="74"/>
      <c r="C1887" s="74"/>
      <c r="D1887" s="74"/>
      <c r="E1887" s="74"/>
      <c r="F1887" s="74"/>
      <c r="G1887" s="74"/>
      <c r="H1887" s="74"/>
      <c r="I1887" s="74"/>
      <c r="J1887" s="74"/>
      <c r="K1887" s="74"/>
      <c r="L1887" s="74"/>
      <c r="M1887" s="74"/>
      <c r="N1887" s="74"/>
      <c r="O1887" s="75"/>
      <c r="P1887" s="74"/>
      <c r="Q1887" s="75"/>
      <c r="R1887" s="74"/>
      <c r="S1887" s="74"/>
      <c r="T1887" s="74"/>
      <c r="U1887" s="75"/>
      <c r="V1887" s="74"/>
      <c r="W1887" s="75"/>
      <c r="X1887" s="74"/>
      <c r="Y1887" s="74"/>
      <c r="Z1887" s="74"/>
      <c r="AA1887" s="74"/>
      <c r="AB1887" s="74"/>
      <c r="AC1887" s="74"/>
      <c r="AD1887" s="74"/>
      <c r="AE1887" s="74"/>
      <c r="AF1887" s="74"/>
      <c r="AG1887" s="74"/>
      <c r="AH1887" s="74"/>
    </row>
    <row r="1888" s="73" customFormat="1" spans="1:34">
      <c r="A1888" s="74"/>
      <c r="B1888" s="74"/>
      <c r="C1888" s="74"/>
      <c r="D1888" s="74"/>
      <c r="E1888" s="74"/>
      <c r="F1888" s="74"/>
      <c r="G1888" s="74"/>
      <c r="H1888" s="74"/>
      <c r="I1888" s="74"/>
      <c r="J1888" s="74"/>
      <c r="K1888" s="74"/>
      <c r="L1888" s="74"/>
      <c r="M1888" s="74"/>
      <c r="N1888" s="74"/>
      <c r="O1888" s="75"/>
      <c r="P1888" s="74"/>
      <c r="Q1888" s="75"/>
      <c r="R1888" s="74"/>
      <c r="S1888" s="74"/>
      <c r="T1888" s="74"/>
      <c r="U1888" s="75"/>
      <c r="V1888" s="74"/>
      <c r="W1888" s="75"/>
      <c r="X1888" s="74"/>
      <c r="Y1888" s="74"/>
      <c r="Z1888" s="74"/>
      <c r="AA1888" s="74"/>
      <c r="AB1888" s="74"/>
      <c r="AC1888" s="74"/>
      <c r="AD1888" s="74"/>
      <c r="AE1888" s="74"/>
      <c r="AF1888" s="74"/>
      <c r="AG1888" s="74"/>
      <c r="AH1888" s="74"/>
    </row>
    <row r="1889" s="73" customFormat="1" spans="1:34">
      <c r="A1889" s="74"/>
      <c r="B1889" s="74"/>
      <c r="C1889" s="74"/>
      <c r="D1889" s="74"/>
      <c r="E1889" s="74"/>
      <c r="F1889" s="74"/>
      <c r="G1889" s="74"/>
      <c r="H1889" s="74"/>
      <c r="I1889" s="74"/>
      <c r="J1889" s="74"/>
      <c r="K1889" s="74"/>
      <c r="L1889" s="74"/>
      <c r="M1889" s="74"/>
      <c r="N1889" s="74"/>
      <c r="O1889" s="75"/>
      <c r="P1889" s="74"/>
      <c r="Q1889" s="75"/>
      <c r="R1889" s="74"/>
      <c r="S1889" s="74"/>
      <c r="T1889" s="74"/>
      <c r="U1889" s="75"/>
      <c r="V1889" s="74"/>
      <c r="W1889" s="75"/>
      <c r="X1889" s="74"/>
      <c r="Y1889" s="74"/>
      <c r="Z1889" s="74"/>
      <c r="AA1889" s="74"/>
      <c r="AB1889" s="74"/>
      <c r="AC1889" s="74"/>
      <c r="AD1889" s="74"/>
      <c r="AE1889" s="74"/>
      <c r="AF1889" s="74"/>
      <c r="AG1889" s="74"/>
      <c r="AH1889" s="74"/>
    </row>
    <row r="1890" s="73" customFormat="1" spans="1:34">
      <c r="A1890" s="74"/>
      <c r="B1890" s="74"/>
      <c r="C1890" s="74"/>
      <c r="D1890" s="74"/>
      <c r="E1890" s="74"/>
      <c r="F1890" s="74"/>
      <c r="G1890" s="74"/>
      <c r="H1890" s="74"/>
      <c r="I1890" s="74"/>
      <c r="J1890" s="74"/>
      <c r="K1890" s="74"/>
      <c r="L1890" s="74"/>
      <c r="M1890" s="74"/>
      <c r="N1890" s="74"/>
      <c r="O1890" s="75"/>
      <c r="P1890" s="74"/>
      <c r="Q1890" s="75"/>
      <c r="R1890" s="74"/>
      <c r="S1890" s="74"/>
      <c r="T1890" s="74"/>
      <c r="U1890" s="75"/>
      <c r="V1890" s="74"/>
      <c r="W1890" s="75"/>
      <c r="X1890" s="74"/>
      <c r="Y1890" s="74"/>
      <c r="Z1890" s="74"/>
      <c r="AA1890" s="74"/>
      <c r="AB1890" s="74"/>
      <c r="AC1890" s="74"/>
      <c r="AD1890" s="74"/>
      <c r="AE1890" s="74"/>
      <c r="AF1890" s="74"/>
      <c r="AG1890" s="74"/>
      <c r="AH1890" s="74"/>
    </row>
    <row r="1891" s="73" customFormat="1" spans="1:34">
      <c r="A1891" s="74"/>
      <c r="B1891" s="74"/>
      <c r="C1891" s="74"/>
      <c r="D1891" s="74"/>
      <c r="E1891" s="74"/>
      <c r="F1891" s="74"/>
      <c r="G1891" s="74"/>
      <c r="H1891" s="74"/>
      <c r="I1891" s="74"/>
      <c r="J1891" s="74"/>
      <c r="K1891" s="74"/>
      <c r="L1891" s="74"/>
      <c r="M1891" s="74"/>
      <c r="N1891" s="74"/>
      <c r="O1891" s="75"/>
      <c r="P1891" s="74"/>
      <c r="Q1891" s="75"/>
      <c r="R1891" s="74"/>
      <c r="S1891" s="74"/>
      <c r="T1891" s="74"/>
      <c r="U1891" s="75"/>
      <c r="V1891" s="74"/>
      <c r="W1891" s="75"/>
      <c r="X1891" s="74"/>
      <c r="Y1891" s="74"/>
      <c r="Z1891" s="74"/>
      <c r="AA1891" s="74"/>
      <c r="AB1891" s="74"/>
      <c r="AC1891" s="74"/>
      <c r="AD1891" s="74"/>
      <c r="AE1891" s="74"/>
      <c r="AF1891" s="74"/>
      <c r="AG1891" s="74"/>
      <c r="AH1891" s="74"/>
    </row>
    <row r="1892" s="73" customFormat="1" spans="1:34">
      <c r="A1892" s="74"/>
      <c r="B1892" s="74"/>
      <c r="C1892" s="74"/>
      <c r="D1892" s="74"/>
      <c r="E1892" s="74"/>
      <c r="F1892" s="74"/>
      <c r="G1892" s="74"/>
      <c r="H1892" s="74"/>
      <c r="I1892" s="74"/>
      <c r="J1892" s="74"/>
      <c r="K1892" s="74"/>
      <c r="L1892" s="74"/>
      <c r="M1892" s="74"/>
      <c r="N1892" s="74"/>
      <c r="O1892" s="75"/>
      <c r="P1892" s="74"/>
      <c r="Q1892" s="75"/>
      <c r="R1892" s="74"/>
      <c r="S1892" s="74"/>
      <c r="T1892" s="74"/>
      <c r="U1892" s="75"/>
      <c r="V1892" s="74"/>
      <c r="W1892" s="75"/>
      <c r="X1892" s="74"/>
      <c r="Y1892" s="74"/>
      <c r="Z1892" s="74"/>
      <c r="AA1892" s="74"/>
      <c r="AB1892" s="74"/>
      <c r="AC1892" s="74"/>
      <c r="AD1892" s="74"/>
      <c r="AE1892" s="74"/>
      <c r="AF1892" s="74"/>
      <c r="AG1892" s="74"/>
      <c r="AH1892" s="74"/>
    </row>
    <row r="1893" s="73" customFormat="1" spans="1:34">
      <c r="A1893" s="74"/>
      <c r="B1893" s="74"/>
      <c r="C1893" s="74"/>
      <c r="D1893" s="74"/>
      <c r="E1893" s="74"/>
      <c r="F1893" s="74"/>
      <c r="G1893" s="74"/>
      <c r="H1893" s="74"/>
      <c r="I1893" s="74"/>
      <c r="J1893" s="74"/>
      <c r="K1893" s="74"/>
      <c r="L1893" s="74"/>
      <c r="M1893" s="74"/>
      <c r="N1893" s="74"/>
      <c r="O1893" s="75"/>
      <c r="P1893" s="74"/>
      <c r="Q1893" s="75"/>
      <c r="R1893" s="74"/>
      <c r="S1893" s="74"/>
      <c r="T1893" s="74"/>
      <c r="U1893" s="75"/>
      <c r="V1893" s="74"/>
      <c r="W1893" s="75"/>
      <c r="X1893" s="74"/>
      <c r="Y1893" s="74"/>
      <c r="Z1893" s="74"/>
      <c r="AA1893" s="74"/>
      <c r="AB1893" s="74"/>
      <c r="AC1893" s="74"/>
      <c r="AD1893" s="74"/>
      <c r="AE1893" s="74"/>
      <c r="AF1893" s="74"/>
      <c r="AG1893" s="74"/>
      <c r="AH1893" s="74"/>
    </row>
    <row r="1894" s="73" customFormat="1" spans="1:34">
      <c r="A1894" s="74"/>
      <c r="B1894" s="74"/>
      <c r="C1894" s="74"/>
      <c r="D1894" s="74"/>
      <c r="E1894" s="74"/>
      <c r="F1894" s="74"/>
      <c r="G1894" s="74"/>
      <c r="H1894" s="74"/>
      <c r="I1894" s="74"/>
      <c r="J1894" s="74"/>
      <c r="K1894" s="74"/>
      <c r="L1894" s="74"/>
      <c r="M1894" s="74"/>
      <c r="N1894" s="74"/>
      <c r="O1894" s="75"/>
      <c r="P1894" s="74"/>
      <c r="Q1894" s="75"/>
      <c r="R1894" s="74"/>
      <c r="S1894" s="74"/>
      <c r="T1894" s="74"/>
      <c r="U1894" s="75"/>
      <c r="V1894" s="74"/>
      <c r="W1894" s="75"/>
      <c r="X1894" s="74"/>
      <c r="Y1894" s="74"/>
      <c r="Z1894" s="74"/>
      <c r="AA1894" s="74"/>
      <c r="AB1894" s="74"/>
      <c r="AC1894" s="74"/>
      <c r="AD1894" s="74"/>
      <c r="AE1894" s="74"/>
      <c r="AF1894" s="74"/>
      <c r="AG1894" s="74"/>
      <c r="AH1894" s="74"/>
    </row>
    <row r="1895" s="73" customFormat="1" spans="1:34">
      <c r="A1895" s="74"/>
      <c r="B1895" s="74"/>
      <c r="C1895" s="74"/>
      <c r="D1895" s="74"/>
      <c r="E1895" s="74"/>
      <c r="F1895" s="74"/>
      <c r="G1895" s="74"/>
      <c r="H1895" s="74"/>
      <c r="I1895" s="74"/>
      <c r="J1895" s="74"/>
      <c r="K1895" s="74"/>
      <c r="L1895" s="74"/>
      <c r="M1895" s="74"/>
      <c r="N1895" s="74"/>
      <c r="O1895" s="75"/>
      <c r="P1895" s="74"/>
      <c r="Q1895" s="75"/>
      <c r="R1895" s="74"/>
      <c r="S1895" s="74"/>
      <c r="T1895" s="74"/>
      <c r="U1895" s="75"/>
      <c r="V1895" s="74"/>
      <c r="W1895" s="75"/>
      <c r="X1895" s="74"/>
      <c r="Y1895" s="74"/>
      <c r="Z1895" s="74"/>
      <c r="AA1895" s="74"/>
      <c r="AB1895" s="74"/>
      <c r="AC1895" s="74"/>
      <c r="AD1895" s="74"/>
      <c r="AE1895" s="74"/>
      <c r="AF1895" s="74"/>
      <c r="AG1895" s="74"/>
      <c r="AH1895" s="74"/>
    </row>
    <row r="1896" s="73" customFormat="1" spans="1:34">
      <c r="A1896" s="74"/>
      <c r="B1896" s="74"/>
      <c r="C1896" s="74"/>
      <c r="D1896" s="74"/>
      <c r="E1896" s="74"/>
      <c r="F1896" s="74"/>
      <c r="G1896" s="74"/>
      <c r="H1896" s="74"/>
      <c r="I1896" s="74"/>
      <c r="J1896" s="74"/>
      <c r="K1896" s="74"/>
      <c r="L1896" s="74"/>
      <c r="M1896" s="74"/>
      <c r="N1896" s="74"/>
      <c r="O1896" s="75"/>
      <c r="P1896" s="74"/>
      <c r="Q1896" s="75"/>
      <c r="R1896" s="74"/>
      <c r="S1896" s="74"/>
      <c r="T1896" s="74"/>
      <c r="U1896" s="75"/>
      <c r="V1896" s="74"/>
      <c r="W1896" s="75"/>
      <c r="X1896" s="74"/>
      <c r="Y1896" s="74"/>
      <c r="Z1896" s="74"/>
      <c r="AA1896" s="74"/>
      <c r="AB1896" s="74"/>
      <c r="AC1896" s="74"/>
      <c r="AD1896" s="74"/>
      <c r="AE1896" s="74"/>
      <c r="AF1896" s="74"/>
      <c r="AG1896" s="74"/>
      <c r="AH1896" s="74"/>
    </row>
    <row r="1897" s="73" customFormat="1" spans="1:34">
      <c r="A1897" s="74"/>
      <c r="B1897" s="74"/>
      <c r="C1897" s="74"/>
      <c r="D1897" s="74"/>
      <c r="E1897" s="74"/>
      <c r="F1897" s="74"/>
      <c r="G1897" s="74"/>
      <c r="H1897" s="74"/>
      <c r="I1897" s="74"/>
      <c r="J1897" s="74"/>
      <c r="K1897" s="74"/>
      <c r="L1897" s="74"/>
      <c r="M1897" s="74"/>
      <c r="N1897" s="74"/>
      <c r="O1897" s="75"/>
      <c r="P1897" s="74"/>
      <c r="Q1897" s="75"/>
      <c r="R1897" s="74"/>
      <c r="S1897" s="74"/>
      <c r="T1897" s="74"/>
      <c r="U1897" s="75"/>
      <c r="V1897" s="74"/>
      <c r="W1897" s="75"/>
      <c r="X1897" s="74"/>
      <c r="Y1897" s="74"/>
      <c r="Z1897" s="74"/>
      <c r="AA1897" s="74"/>
      <c r="AB1897" s="74"/>
      <c r="AC1897" s="74"/>
      <c r="AD1897" s="74"/>
      <c r="AE1897" s="74"/>
      <c r="AF1897" s="74"/>
      <c r="AG1897" s="74"/>
      <c r="AH1897" s="74"/>
    </row>
    <row r="1898" s="73" customFormat="1" spans="1:34">
      <c r="A1898" s="74"/>
      <c r="B1898" s="74"/>
      <c r="C1898" s="74"/>
      <c r="D1898" s="74"/>
      <c r="E1898" s="74"/>
      <c r="F1898" s="74"/>
      <c r="G1898" s="74"/>
      <c r="H1898" s="74"/>
      <c r="I1898" s="74"/>
      <c r="J1898" s="74"/>
      <c r="K1898" s="74"/>
      <c r="L1898" s="74"/>
      <c r="M1898" s="74"/>
      <c r="N1898" s="74"/>
      <c r="O1898" s="75"/>
      <c r="P1898" s="74"/>
      <c r="Q1898" s="75"/>
      <c r="R1898" s="74"/>
      <c r="S1898" s="74"/>
      <c r="T1898" s="74"/>
      <c r="U1898" s="75"/>
      <c r="V1898" s="74"/>
      <c r="W1898" s="75"/>
      <c r="X1898" s="74"/>
      <c r="Y1898" s="74"/>
      <c r="Z1898" s="74"/>
      <c r="AA1898" s="74"/>
      <c r="AB1898" s="74"/>
      <c r="AC1898" s="74"/>
      <c r="AD1898" s="74"/>
      <c r="AE1898" s="74"/>
      <c r="AF1898" s="74"/>
      <c r="AG1898" s="74"/>
      <c r="AH1898" s="74"/>
    </row>
    <row r="1899" s="73" customFormat="1" spans="1:34">
      <c r="A1899" s="74"/>
      <c r="B1899" s="74"/>
      <c r="C1899" s="74"/>
      <c r="D1899" s="74"/>
      <c r="E1899" s="74"/>
      <c r="F1899" s="74"/>
      <c r="G1899" s="74"/>
      <c r="H1899" s="74"/>
      <c r="I1899" s="74"/>
      <c r="J1899" s="74"/>
      <c r="K1899" s="74"/>
      <c r="L1899" s="74"/>
      <c r="M1899" s="74"/>
      <c r="N1899" s="74"/>
      <c r="O1899" s="75"/>
      <c r="P1899" s="74"/>
      <c r="Q1899" s="75"/>
      <c r="R1899" s="74"/>
      <c r="S1899" s="74"/>
      <c r="T1899" s="74"/>
      <c r="U1899" s="75"/>
      <c r="V1899" s="74"/>
      <c r="W1899" s="75"/>
      <c r="X1899" s="74"/>
      <c r="Y1899" s="74"/>
      <c r="Z1899" s="74"/>
      <c r="AA1899" s="74"/>
      <c r="AB1899" s="74"/>
      <c r="AC1899" s="74"/>
      <c r="AD1899" s="74"/>
      <c r="AE1899" s="74"/>
      <c r="AF1899" s="74"/>
      <c r="AG1899" s="74"/>
      <c r="AH1899" s="74"/>
    </row>
    <row r="1900" s="73" customFormat="1" spans="1:34">
      <c r="A1900" s="74"/>
      <c r="B1900" s="74"/>
      <c r="C1900" s="74"/>
      <c r="D1900" s="74"/>
      <c r="E1900" s="74"/>
      <c r="F1900" s="74"/>
      <c r="G1900" s="74"/>
      <c r="H1900" s="74"/>
      <c r="I1900" s="74"/>
      <c r="J1900" s="74"/>
      <c r="K1900" s="74"/>
      <c r="L1900" s="74"/>
      <c r="M1900" s="74"/>
      <c r="N1900" s="74"/>
      <c r="O1900" s="75"/>
      <c r="P1900" s="74"/>
      <c r="Q1900" s="75"/>
      <c r="R1900" s="74"/>
      <c r="S1900" s="74"/>
      <c r="T1900" s="74"/>
      <c r="U1900" s="75"/>
      <c r="V1900" s="74"/>
      <c r="W1900" s="75"/>
      <c r="X1900" s="74"/>
      <c r="Y1900" s="74"/>
      <c r="Z1900" s="74"/>
      <c r="AA1900" s="74"/>
      <c r="AB1900" s="74"/>
      <c r="AC1900" s="74"/>
      <c r="AD1900" s="74"/>
      <c r="AE1900" s="74"/>
      <c r="AF1900" s="74"/>
      <c r="AG1900" s="74"/>
      <c r="AH1900" s="74"/>
    </row>
    <row r="1901" s="73" customFormat="1" spans="1:34">
      <c r="A1901" s="74"/>
      <c r="B1901" s="74"/>
      <c r="C1901" s="74"/>
      <c r="D1901" s="74"/>
      <c r="E1901" s="74"/>
      <c r="F1901" s="74"/>
      <c r="G1901" s="74"/>
      <c r="H1901" s="74"/>
      <c r="I1901" s="74"/>
      <c r="J1901" s="74"/>
      <c r="K1901" s="74"/>
      <c r="L1901" s="74"/>
      <c r="M1901" s="74"/>
      <c r="N1901" s="74"/>
      <c r="O1901" s="75"/>
      <c r="P1901" s="74"/>
      <c r="Q1901" s="75"/>
      <c r="R1901" s="74"/>
      <c r="S1901" s="74"/>
      <c r="T1901" s="74"/>
      <c r="U1901" s="75"/>
      <c r="V1901" s="74"/>
      <c r="W1901" s="75"/>
      <c r="X1901" s="74"/>
      <c r="Y1901" s="74"/>
      <c r="Z1901" s="74"/>
      <c r="AA1901" s="74"/>
      <c r="AB1901" s="74"/>
      <c r="AC1901" s="74"/>
      <c r="AD1901" s="74"/>
      <c r="AE1901" s="74"/>
      <c r="AF1901" s="74"/>
      <c r="AG1901" s="74"/>
      <c r="AH1901" s="74"/>
    </row>
    <row r="1903" s="73" customFormat="1" spans="1:34">
      <c r="A1903" s="74"/>
      <c r="B1903" s="74"/>
      <c r="C1903" s="74"/>
      <c r="D1903" s="74"/>
      <c r="E1903" s="74"/>
      <c r="F1903" s="74"/>
      <c r="G1903" s="74"/>
      <c r="H1903" s="74"/>
      <c r="I1903" s="74"/>
      <c r="J1903" s="74"/>
      <c r="K1903" s="74"/>
      <c r="L1903" s="74"/>
      <c r="M1903" s="74"/>
      <c r="N1903" s="74"/>
      <c r="O1903" s="75"/>
      <c r="P1903" s="74"/>
      <c r="Q1903" s="75"/>
      <c r="R1903" s="74"/>
      <c r="S1903" s="74"/>
      <c r="T1903" s="74"/>
      <c r="U1903" s="75"/>
      <c r="V1903" s="74"/>
      <c r="W1903" s="75"/>
      <c r="X1903" s="74"/>
      <c r="Y1903" s="74"/>
      <c r="Z1903" s="74"/>
      <c r="AA1903" s="74"/>
      <c r="AB1903" s="74"/>
      <c r="AC1903" s="74"/>
      <c r="AD1903" s="74"/>
      <c r="AE1903" s="74"/>
      <c r="AF1903" s="74"/>
      <c r="AG1903" s="74"/>
      <c r="AH1903" s="74"/>
    </row>
    <row r="1904" s="73" customFormat="1" spans="1:34">
      <c r="A1904" s="74"/>
      <c r="B1904" s="74"/>
      <c r="C1904" s="74"/>
      <c r="D1904" s="74"/>
      <c r="E1904" s="74"/>
      <c r="F1904" s="74"/>
      <c r="G1904" s="74"/>
      <c r="H1904" s="74"/>
      <c r="I1904" s="74"/>
      <c r="J1904" s="74"/>
      <c r="K1904" s="74"/>
      <c r="L1904" s="74"/>
      <c r="M1904" s="74"/>
      <c r="N1904" s="74"/>
      <c r="O1904" s="75"/>
      <c r="P1904" s="74"/>
      <c r="Q1904" s="75"/>
      <c r="R1904" s="74"/>
      <c r="S1904" s="74"/>
      <c r="T1904" s="74"/>
      <c r="U1904" s="75"/>
      <c r="V1904" s="74"/>
      <c r="W1904" s="75"/>
      <c r="X1904" s="74"/>
      <c r="Y1904" s="74"/>
      <c r="Z1904" s="74"/>
      <c r="AA1904" s="74"/>
      <c r="AB1904" s="74"/>
      <c r="AC1904" s="74"/>
      <c r="AD1904" s="74"/>
      <c r="AE1904" s="74"/>
      <c r="AF1904" s="74"/>
      <c r="AG1904" s="74"/>
      <c r="AH1904" s="74"/>
    </row>
    <row r="1905" s="73" customFormat="1" spans="1:34">
      <c r="A1905" s="74"/>
      <c r="B1905" s="74"/>
      <c r="C1905" s="74"/>
      <c r="D1905" s="74"/>
      <c r="E1905" s="74"/>
      <c r="F1905" s="74"/>
      <c r="G1905" s="74"/>
      <c r="H1905" s="74"/>
      <c r="I1905" s="74"/>
      <c r="J1905" s="74"/>
      <c r="K1905" s="74"/>
      <c r="L1905" s="74"/>
      <c r="M1905" s="74"/>
      <c r="N1905" s="74"/>
      <c r="O1905" s="75"/>
      <c r="P1905" s="74"/>
      <c r="Q1905" s="75"/>
      <c r="R1905" s="74"/>
      <c r="S1905" s="74"/>
      <c r="T1905" s="74"/>
      <c r="U1905" s="75"/>
      <c r="V1905" s="74"/>
      <c r="W1905" s="74"/>
      <c r="X1905" s="74"/>
      <c r="Y1905" s="74"/>
      <c r="Z1905" s="74"/>
      <c r="AA1905" s="74"/>
      <c r="AB1905" s="74"/>
      <c r="AC1905" s="74"/>
      <c r="AD1905" s="74"/>
      <c r="AE1905" s="74"/>
      <c r="AF1905" s="74"/>
      <c r="AG1905" s="74"/>
      <c r="AH1905" s="74"/>
    </row>
    <row r="1906" s="73" customFormat="1" spans="1:34">
      <c r="A1906" s="74"/>
      <c r="B1906" s="74"/>
      <c r="C1906" s="74"/>
      <c r="D1906" s="74"/>
      <c r="E1906" s="74"/>
      <c r="F1906" s="74"/>
      <c r="G1906" s="74"/>
      <c r="H1906" s="74"/>
      <c r="I1906" s="74"/>
      <c r="J1906" s="74"/>
      <c r="K1906" s="74"/>
      <c r="L1906" s="74"/>
      <c r="M1906" s="74"/>
      <c r="N1906" s="74"/>
      <c r="O1906" s="75"/>
      <c r="P1906" s="74"/>
      <c r="Q1906" s="75"/>
      <c r="R1906" s="74"/>
      <c r="S1906" s="74"/>
      <c r="T1906" s="74"/>
      <c r="U1906" s="75"/>
      <c r="V1906" s="74"/>
      <c r="W1906" s="75"/>
      <c r="X1906" s="74"/>
      <c r="Y1906" s="74"/>
      <c r="Z1906" s="74"/>
      <c r="AA1906" s="74"/>
      <c r="AB1906" s="74"/>
      <c r="AC1906" s="74"/>
      <c r="AD1906" s="74"/>
      <c r="AE1906" s="74"/>
      <c r="AF1906" s="74"/>
      <c r="AG1906" s="74"/>
      <c r="AH1906" s="74"/>
    </row>
    <row r="1907" s="73" customFormat="1" spans="1:34">
      <c r="A1907" s="74"/>
      <c r="B1907" s="74"/>
      <c r="C1907" s="74"/>
      <c r="D1907" s="74"/>
      <c r="E1907" s="74"/>
      <c r="F1907" s="74"/>
      <c r="G1907" s="74"/>
      <c r="H1907" s="74"/>
      <c r="I1907" s="74"/>
      <c r="J1907" s="74"/>
      <c r="K1907" s="74"/>
      <c r="L1907" s="74"/>
      <c r="M1907" s="74"/>
      <c r="N1907" s="74"/>
      <c r="O1907" s="75"/>
      <c r="P1907" s="74"/>
      <c r="Q1907" s="75"/>
      <c r="R1907" s="74"/>
      <c r="S1907" s="74"/>
      <c r="T1907" s="74"/>
      <c r="U1907" s="75"/>
      <c r="V1907" s="74"/>
      <c r="W1907" s="75"/>
      <c r="X1907" s="74"/>
      <c r="Y1907" s="74"/>
      <c r="Z1907" s="74"/>
      <c r="AA1907" s="74"/>
      <c r="AB1907" s="74"/>
      <c r="AC1907" s="74"/>
      <c r="AD1907" s="74"/>
      <c r="AE1907" s="74"/>
      <c r="AF1907" s="74"/>
      <c r="AG1907" s="74"/>
      <c r="AH1907" s="74"/>
    </row>
    <row r="1908" s="73" customFormat="1" spans="1:34">
      <c r="A1908" s="74"/>
      <c r="B1908" s="74"/>
      <c r="C1908" s="74"/>
      <c r="D1908" s="74"/>
      <c r="E1908" s="74"/>
      <c r="F1908" s="74"/>
      <c r="G1908" s="74"/>
      <c r="H1908" s="74"/>
      <c r="I1908" s="74"/>
      <c r="J1908" s="74"/>
      <c r="K1908" s="74"/>
      <c r="L1908" s="74"/>
      <c r="M1908" s="74"/>
      <c r="N1908" s="74"/>
      <c r="O1908" s="75"/>
      <c r="P1908" s="74"/>
      <c r="Q1908" s="75"/>
      <c r="R1908" s="74"/>
      <c r="S1908" s="74"/>
      <c r="T1908" s="74"/>
      <c r="U1908" s="75"/>
      <c r="V1908" s="74"/>
      <c r="W1908" s="75"/>
      <c r="X1908" s="74"/>
      <c r="Y1908" s="74"/>
      <c r="Z1908" s="74"/>
      <c r="AA1908" s="74"/>
      <c r="AB1908" s="74"/>
      <c r="AC1908" s="74"/>
      <c r="AD1908" s="74"/>
      <c r="AE1908" s="74"/>
      <c r="AF1908" s="74"/>
      <c r="AG1908" s="74"/>
      <c r="AH1908" s="74"/>
    </row>
    <row r="1909" s="73" customFormat="1" spans="1:34">
      <c r="A1909" s="74"/>
      <c r="B1909" s="74"/>
      <c r="C1909" s="74"/>
      <c r="D1909" s="74"/>
      <c r="E1909" s="74"/>
      <c r="F1909" s="74"/>
      <c r="G1909" s="74"/>
      <c r="H1909" s="74"/>
      <c r="I1909" s="74"/>
      <c r="J1909" s="74"/>
      <c r="K1909" s="74"/>
      <c r="L1909" s="74"/>
      <c r="M1909" s="74"/>
      <c r="N1909" s="74"/>
      <c r="O1909" s="75"/>
      <c r="P1909" s="74"/>
      <c r="Q1909" s="75"/>
      <c r="R1909" s="74"/>
      <c r="S1909" s="74"/>
      <c r="T1909" s="74"/>
      <c r="U1909" s="75"/>
      <c r="V1909" s="74"/>
      <c r="W1909" s="75"/>
      <c r="X1909" s="74"/>
      <c r="Y1909" s="74"/>
      <c r="Z1909" s="74"/>
      <c r="AA1909" s="74"/>
      <c r="AB1909" s="74"/>
      <c r="AC1909" s="74"/>
      <c r="AD1909" s="74"/>
      <c r="AE1909" s="74"/>
      <c r="AF1909" s="74"/>
      <c r="AG1909" s="74"/>
      <c r="AH1909" s="74"/>
    </row>
    <row r="1910" s="73" customFormat="1" spans="1:34">
      <c r="A1910" s="74"/>
      <c r="B1910" s="74"/>
      <c r="C1910" s="74"/>
      <c r="D1910" s="74"/>
      <c r="E1910" s="74"/>
      <c r="F1910" s="74"/>
      <c r="G1910" s="74"/>
      <c r="H1910" s="74"/>
      <c r="I1910" s="74"/>
      <c r="J1910" s="74"/>
      <c r="K1910" s="74"/>
      <c r="L1910" s="74"/>
      <c r="M1910" s="74"/>
      <c r="N1910" s="74"/>
      <c r="O1910" s="75"/>
      <c r="P1910" s="74"/>
      <c r="Q1910" s="75"/>
      <c r="R1910" s="74"/>
      <c r="S1910" s="74"/>
      <c r="T1910" s="74"/>
      <c r="U1910" s="75"/>
      <c r="V1910" s="74"/>
      <c r="W1910" s="75"/>
      <c r="X1910" s="74"/>
      <c r="Y1910" s="74"/>
      <c r="Z1910" s="74"/>
      <c r="AA1910" s="74"/>
      <c r="AB1910" s="74"/>
      <c r="AC1910" s="74"/>
      <c r="AD1910" s="74"/>
      <c r="AE1910" s="74"/>
      <c r="AF1910" s="74"/>
      <c r="AG1910" s="74"/>
      <c r="AH1910" s="74"/>
    </row>
    <row r="1911" s="73" customFormat="1" spans="1:34">
      <c r="A1911" s="74"/>
      <c r="B1911" s="74"/>
      <c r="C1911" s="74"/>
      <c r="D1911" s="74"/>
      <c r="E1911" s="74"/>
      <c r="F1911" s="74"/>
      <c r="G1911" s="74"/>
      <c r="H1911" s="74"/>
      <c r="I1911" s="74"/>
      <c r="J1911" s="74"/>
      <c r="K1911" s="74"/>
      <c r="L1911" s="74"/>
      <c r="M1911" s="74"/>
      <c r="N1911" s="74"/>
      <c r="O1911" s="75"/>
      <c r="P1911" s="74"/>
      <c r="Q1911" s="75"/>
      <c r="R1911" s="74"/>
      <c r="S1911" s="74"/>
      <c r="T1911" s="74"/>
      <c r="U1911" s="75"/>
      <c r="V1911" s="74"/>
      <c r="W1911" s="75"/>
      <c r="X1911" s="74"/>
      <c r="Y1911" s="74"/>
      <c r="Z1911" s="74"/>
      <c r="AA1911" s="74"/>
      <c r="AB1911" s="74"/>
      <c r="AC1911" s="74"/>
      <c r="AD1911" s="74"/>
      <c r="AE1911" s="74"/>
      <c r="AF1911" s="74"/>
      <c r="AG1911" s="74"/>
      <c r="AH1911" s="74"/>
    </row>
    <row r="1912" s="73" customFormat="1" spans="1:34">
      <c r="A1912" s="74"/>
      <c r="B1912" s="74"/>
      <c r="C1912" s="74"/>
      <c r="D1912" s="74"/>
      <c r="E1912" s="74"/>
      <c r="F1912" s="74"/>
      <c r="G1912" s="74"/>
      <c r="H1912" s="74"/>
      <c r="I1912" s="74"/>
      <c r="J1912" s="74"/>
      <c r="K1912" s="74"/>
      <c r="L1912" s="74"/>
      <c r="M1912" s="74"/>
      <c r="N1912" s="74"/>
      <c r="O1912" s="75"/>
      <c r="P1912" s="74"/>
      <c r="Q1912" s="75"/>
      <c r="R1912" s="74"/>
      <c r="S1912" s="74"/>
      <c r="T1912" s="74"/>
      <c r="U1912" s="75"/>
      <c r="V1912" s="74"/>
      <c r="W1912" s="75"/>
      <c r="X1912" s="74"/>
      <c r="Y1912" s="74"/>
      <c r="Z1912" s="74"/>
      <c r="AA1912" s="74"/>
      <c r="AB1912" s="74"/>
      <c r="AC1912" s="74"/>
      <c r="AD1912" s="74"/>
      <c r="AE1912" s="74"/>
      <c r="AF1912" s="74"/>
      <c r="AG1912" s="74"/>
      <c r="AH1912" s="74"/>
    </row>
    <row r="1913" s="73" customFormat="1" spans="1:34">
      <c r="A1913" s="74"/>
      <c r="B1913" s="74"/>
      <c r="C1913" s="74"/>
      <c r="D1913" s="74"/>
      <c r="E1913" s="74"/>
      <c r="F1913" s="74"/>
      <c r="G1913" s="74"/>
      <c r="H1913" s="74"/>
      <c r="I1913" s="74"/>
      <c r="J1913" s="74"/>
      <c r="K1913" s="74"/>
      <c r="L1913" s="74"/>
      <c r="M1913" s="74"/>
      <c r="N1913" s="74"/>
      <c r="O1913" s="75"/>
      <c r="P1913" s="74"/>
      <c r="Q1913" s="75"/>
      <c r="R1913" s="74"/>
      <c r="S1913" s="74"/>
      <c r="T1913" s="74"/>
      <c r="U1913" s="75"/>
      <c r="V1913" s="74"/>
      <c r="W1913" s="75"/>
      <c r="X1913" s="74"/>
      <c r="Y1913" s="74"/>
      <c r="Z1913" s="74"/>
      <c r="AA1913" s="74"/>
      <c r="AB1913" s="74"/>
      <c r="AC1913" s="74"/>
      <c r="AD1913" s="74"/>
      <c r="AE1913" s="74"/>
      <c r="AF1913" s="74"/>
      <c r="AG1913" s="74"/>
      <c r="AH1913" s="74"/>
    </row>
    <row r="1914" s="73" customFormat="1" spans="1:34">
      <c r="A1914" s="74"/>
      <c r="B1914" s="74"/>
      <c r="C1914" s="74"/>
      <c r="D1914" s="74"/>
      <c r="E1914" s="74"/>
      <c r="F1914" s="74"/>
      <c r="G1914" s="74"/>
      <c r="H1914" s="74"/>
      <c r="I1914" s="74"/>
      <c r="J1914" s="74"/>
      <c r="K1914" s="74"/>
      <c r="L1914" s="74"/>
      <c r="M1914" s="74"/>
      <c r="N1914" s="74"/>
      <c r="O1914" s="75"/>
      <c r="P1914" s="74"/>
      <c r="Q1914" s="75"/>
      <c r="R1914" s="74"/>
      <c r="S1914" s="74"/>
      <c r="T1914" s="74"/>
      <c r="U1914" s="75"/>
      <c r="V1914" s="74"/>
      <c r="W1914" s="75"/>
      <c r="X1914" s="74"/>
      <c r="Y1914" s="74"/>
      <c r="Z1914" s="74"/>
      <c r="AA1914" s="74"/>
      <c r="AB1914" s="74"/>
      <c r="AC1914" s="74"/>
      <c r="AD1914" s="74"/>
      <c r="AE1914" s="74"/>
      <c r="AF1914" s="74"/>
      <c r="AG1914" s="74"/>
      <c r="AH1914" s="74"/>
    </row>
    <row r="1915" s="73" customFormat="1" spans="1:34">
      <c r="A1915" s="74"/>
      <c r="B1915" s="74"/>
      <c r="C1915" s="74"/>
      <c r="D1915" s="74"/>
      <c r="E1915" s="74"/>
      <c r="F1915" s="74"/>
      <c r="G1915" s="74"/>
      <c r="H1915" s="74"/>
      <c r="I1915" s="74"/>
      <c r="J1915" s="74"/>
      <c r="K1915" s="74"/>
      <c r="L1915" s="74"/>
      <c r="M1915" s="74"/>
      <c r="N1915" s="74"/>
      <c r="O1915" s="75"/>
      <c r="P1915" s="74"/>
      <c r="Q1915" s="75"/>
      <c r="R1915" s="74"/>
      <c r="S1915" s="74"/>
      <c r="T1915" s="74"/>
      <c r="U1915" s="75"/>
      <c r="V1915" s="74"/>
      <c r="W1915" s="75"/>
      <c r="X1915" s="74"/>
      <c r="Y1915" s="74"/>
      <c r="Z1915" s="74"/>
      <c r="AA1915" s="74"/>
      <c r="AB1915" s="74"/>
      <c r="AC1915" s="74"/>
      <c r="AD1915" s="74"/>
      <c r="AE1915" s="74"/>
      <c r="AF1915" s="74"/>
      <c r="AG1915" s="74"/>
      <c r="AH1915" s="74"/>
    </row>
    <row r="1916" s="73" customFormat="1" spans="1:34">
      <c r="A1916" s="74"/>
      <c r="B1916" s="74"/>
      <c r="C1916" s="74"/>
      <c r="D1916" s="74"/>
      <c r="E1916" s="74"/>
      <c r="F1916" s="74"/>
      <c r="G1916" s="74"/>
      <c r="H1916" s="74"/>
      <c r="I1916" s="74"/>
      <c r="J1916" s="74"/>
      <c r="K1916" s="74"/>
      <c r="L1916" s="74"/>
      <c r="M1916" s="74"/>
      <c r="N1916" s="74"/>
      <c r="O1916" s="75"/>
      <c r="P1916" s="74"/>
      <c r="Q1916" s="75"/>
      <c r="R1916" s="74"/>
      <c r="S1916" s="74"/>
      <c r="T1916" s="74"/>
      <c r="U1916" s="75"/>
      <c r="V1916" s="74"/>
      <c r="W1916" s="75"/>
      <c r="X1916" s="74"/>
      <c r="Y1916" s="74"/>
      <c r="Z1916" s="74"/>
      <c r="AA1916" s="74"/>
      <c r="AB1916" s="74"/>
      <c r="AC1916" s="74"/>
      <c r="AD1916" s="74"/>
      <c r="AE1916" s="74"/>
      <c r="AF1916" s="74"/>
      <c r="AG1916" s="74"/>
      <c r="AH1916" s="74"/>
    </row>
    <row r="1919" s="73" customFormat="1" spans="1:34">
      <c r="A1919" s="74"/>
      <c r="B1919" s="74"/>
      <c r="C1919" s="74"/>
      <c r="D1919" s="74"/>
      <c r="E1919" s="74"/>
      <c r="F1919" s="74"/>
      <c r="G1919" s="74"/>
      <c r="H1919" s="74"/>
      <c r="I1919" s="74"/>
      <c r="J1919" s="74"/>
      <c r="K1919" s="74"/>
      <c r="L1919" s="74"/>
      <c r="M1919" s="74"/>
      <c r="N1919" s="74"/>
      <c r="O1919" s="75"/>
      <c r="P1919" s="74"/>
      <c r="Q1919" s="75"/>
      <c r="R1919" s="74"/>
      <c r="S1919" s="74"/>
      <c r="T1919" s="74"/>
      <c r="U1919" s="75"/>
      <c r="V1919" s="74"/>
      <c r="W1919" s="75"/>
      <c r="X1919" s="74"/>
      <c r="Y1919" s="74"/>
      <c r="Z1919" s="74"/>
      <c r="AA1919" s="74"/>
      <c r="AB1919" s="74"/>
      <c r="AC1919" s="74"/>
      <c r="AD1919" s="74"/>
      <c r="AE1919" s="74"/>
      <c r="AF1919" s="74"/>
      <c r="AG1919" s="74"/>
      <c r="AH1919" s="74"/>
    </row>
    <row r="1920" s="73" customFormat="1" spans="1:34">
      <c r="A1920" s="74"/>
      <c r="B1920" s="74"/>
      <c r="C1920" s="74"/>
      <c r="D1920" s="74"/>
      <c r="E1920" s="74"/>
      <c r="F1920" s="74"/>
      <c r="G1920" s="74"/>
      <c r="H1920" s="74"/>
      <c r="I1920" s="74"/>
      <c r="J1920" s="74"/>
      <c r="K1920" s="74"/>
      <c r="L1920" s="74"/>
      <c r="M1920" s="74"/>
      <c r="N1920" s="74"/>
      <c r="O1920" s="75"/>
      <c r="P1920" s="74"/>
      <c r="Q1920" s="75"/>
      <c r="R1920" s="74"/>
      <c r="S1920" s="74"/>
      <c r="T1920" s="74"/>
      <c r="U1920" s="75"/>
      <c r="V1920" s="74"/>
      <c r="W1920" s="75"/>
      <c r="X1920" s="74"/>
      <c r="Y1920" s="74"/>
      <c r="Z1920" s="74"/>
      <c r="AA1920" s="74"/>
      <c r="AB1920" s="74"/>
      <c r="AC1920" s="74"/>
      <c r="AD1920" s="74"/>
      <c r="AE1920" s="74"/>
      <c r="AF1920" s="74"/>
      <c r="AG1920" s="74"/>
      <c r="AH1920" s="74"/>
    </row>
    <row r="1921" s="73" customFormat="1" spans="1:34">
      <c r="A1921" s="74"/>
      <c r="B1921" s="74"/>
      <c r="C1921" s="74"/>
      <c r="D1921" s="74"/>
      <c r="E1921" s="74"/>
      <c r="F1921" s="74"/>
      <c r="G1921" s="74"/>
      <c r="H1921" s="74"/>
      <c r="I1921" s="74"/>
      <c r="J1921" s="74"/>
      <c r="K1921" s="74"/>
      <c r="L1921" s="74"/>
      <c r="M1921" s="74"/>
      <c r="N1921" s="74"/>
      <c r="O1921" s="75"/>
      <c r="P1921" s="74"/>
      <c r="Q1921" s="75"/>
      <c r="R1921" s="74"/>
      <c r="S1921" s="74"/>
      <c r="T1921" s="74"/>
      <c r="U1921" s="75"/>
      <c r="V1921" s="74"/>
      <c r="W1921" s="75"/>
      <c r="X1921" s="74"/>
      <c r="Y1921" s="74"/>
      <c r="Z1921" s="74"/>
      <c r="AA1921" s="74"/>
      <c r="AB1921" s="74"/>
      <c r="AC1921" s="74"/>
      <c r="AD1921" s="74"/>
      <c r="AE1921" s="74"/>
      <c r="AF1921" s="74"/>
      <c r="AG1921" s="74"/>
      <c r="AH1921" s="74"/>
    </row>
    <row r="1922" s="73" customFormat="1" spans="1:34">
      <c r="A1922" s="74"/>
      <c r="B1922" s="74"/>
      <c r="C1922" s="74"/>
      <c r="D1922" s="74"/>
      <c r="E1922" s="74"/>
      <c r="F1922" s="74"/>
      <c r="G1922" s="74"/>
      <c r="H1922" s="74"/>
      <c r="I1922" s="74"/>
      <c r="J1922" s="74"/>
      <c r="K1922" s="74"/>
      <c r="L1922" s="74"/>
      <c r="M1922" s="74"/>
      <c r="N1922" s="74"/>
      <c r="O1922" s="75"/>
      <c r="P1922" s="74"/>
      <c r="Q1922" s="75"/>
      <c r="R1922" s="74"/>
      <c r="S1922" s="74"/>
      <c r="T1922" s="74"/>
      <c r="U1922" s="75"/>
      <c r="V1922" s="74"/>
      <c r="W1922" s="75"/>
      <c r="X1922" s="74"/>
      <c r="Y1922" s="74"/>
      <c r="Z1922" s="74"/>
      <c r="AA1922" s="74"/>
      <c r="AB1922" s="74"/>
      <c r="AC1922" s="74"/>
      <c r="AD1922" s="74"/>
      <c r="AE1922" s="74"/>
      <c r="AF1922" s="74"/>
      <c r="AG1922" s="74"/>
      <c r="AH1922" s="74"/>
    </row>
    <row r="1923" s="73" customFormat="1" spans="1:34">
      <c r="A1923" s="74"/>
      <c r="B1923" s="74"/>
      <c r="C1923" s="74"/>
      <c r="D1923" s="74"/>
      <c r="E1923" s="74"/>
      <c r="F1923" s="74"/>
      <c r="G1923" s="74"/>
      <c r="H1923" s="74"/>
      <c r="I1923" s="74"/>
      <c r="J1923" s="74"/>
      <c r="K1923" s="74"/>
      <c r="L1923" s="74"/>
      <c r="M1923" s="74"/>
      <c r="N1923" s="74"/>
      <c r="O1923" s="75"/>
      <c r="P1923" s="74"/>
      <c r="Q1923" s="75"/>
      <c r="R1923" s="74"/>
      <c r="S1923" s="74"/>
      <c r="T1923" s="74"/>
      <c r="U1923" s="75"/>
      <c r="V1923" s="74"/>
      <c r="W1923" s="75"/>
      <c r="X1923" s="74"/>
      <c r="Y1923" s="74"/>
      <c r="Z1923" s="74"/>
      <c r="AA1923" s="74"/>
      <c r="AB1923" s="74"/>
      <c r="AC1923" s="74"/>
      <c r="AD1923" s="74"/>
      <c r="AE1923" s="74"/>
      <c r="AF1923" s="74"/>
      <c r="AG1923" s="74"/>
      <c r="AH1923" s="74"/>
    </row>
    <row r="1924" s="73" customFormat="1" spans="1:34">
      <c r="A1924" s="74"/>
      <c r="B1924" s="74"/>
      <c r="C1924" s="74"/>
      <c r="D1924" s="74"/>
      <c r="E1924" s="74"/>
      <c r="F1924" s="74"/>
      <c r="G1924" s="74"/>
      <c r="H1924" s="74"/>
      <c r="I1924" s="74"/>
      <c r="J1924" s="74"/>
      <c r="K1924" s="74"/>
      <c r="L1924" s="74"/>
      <c r="M1924" s="74"/>
      <c r="N1924" s="74"/>
      <c r="O1924" s="75"/>
      <c r="P1924" s="74"/>
      <c r="Q1924" s="75"/>
      <c r="R1924" s="74"/>
      <c r="S1924" s="74"/>
      <c r="T1924" s="74"/>
      <c r="U1924" s="75"/>
      <c r="V1924" s="74"/>
      <c r="W1924" s="75"/>
      <c r="X1924" s="74"/>
      <c r="Y1924" s="74"/>
      <c r="Z1924" s="74"/>
      <c r="AA1924" s="74"/>
      <c r="AB1924" s="74"/>
      <c r="AC1924" s="74"/>
      <c r="AD1924" s="74"/>
      <c r="AE1924" s="74"/>
      <c r="AF1924" s="74"/>
      <c r="AG1924" s="74"/>
      <c r="AH1924" s="74"/>
    </row>
    <row r="1925" s="73" customFormat="1" spans="1:34">
      <c r="A1925" s="74"/>
      <c r="B1925" s="74"/>
      <c r="C1925" s="74"/>
      <c r="D1925" s="74"/>
      <c r="E1925" s="74"/>
      <c r="F1925" s="74"/>
      <c r="G1925" s="74"/>
      <c r="H1925" s="74"/>
      <c r="I1925" s="74"/>
      <c r="J1925" s="74"/>
      <c r="K1925" s="74"/>
      <c r="L1925" s="74"/>
      <c r="M1925" s="74"/>
      <c r="N1925" s="74"/>
      <c r="O1925" s="75"/>
      <c r="P1925" s="74"/>
      <c r="Q1925" s="75"/>
      <c r="R1925" s="74"/>
      <c r="S1925" s="74"/>
      <c r="T1925" s="74"/>
      <c r="U1925" s="75"/>
      <c r="V1925" s="74"/>
      <c r="W1925" s="75"/>
      <c r="X1925" s="74"/>
      <c r="Y1925" s="74"/>
      <c r="Z1925" s="74"/>
      <c r="AA1925" s="74"/>
      <c r="AB1925" s="74"/>
      <c r="AC1925" s="74"/>
      <c r="AD1925" s="74"/>
      <c r="AE1925" s="74"/>
      <c r="AF1925" s="74"/>
      <c r="AG1925" s="74"/>
      <c r="AH1925" s="74"/>
    </row>
    <row r="1926" s="73" customFormat="1" spans="1:34">
      <c r="A1926" s="74"/>
      <c r="B1926" s="74"/>
      <c r="C1926" s="74"/>
      <c r="D1926" s="74"/>
      <c r="E1926" s="74"/>
      <c r="F1926" s="74"/>
      <c r="G1926" s="74"/>
      <c r="H1926" s="74"/>
      <c r="I1926" s="74"/>
      <c r="J1926" s="74"/>
      <c r="K1926" s="74"/>
      <c r="L1926" s="74"/>
      <c r="M1926" s="74"/>
      <c r="N1926" s="74"/>
      <c r="O1926" s="75"/>
      <c r="P1926" s="74"/>
      <c r="Q1926" s="75"/>
      <c r="R1926" s="74"/>
      <c r="S1926" s="74"/>
      <c r="T1926" s="74"/>
      <c r="U1926" s="75"/>
      <c r="V1926" s="74"/>
      <c r="W1926" s="75"/>
      <c r="X1926" s="74"/>
      <c r="Y1926" s="74"/>
      <c r="Z1926" s="74"/>
      <c r="AA1926" s="74"/>
      <c r="AB1926" s="74"/>
      <c r="AC1926" s="74"/>
      <c r="AD1926" s="74"/>
      <c r="AE1926" s="74"/>
      <c r="AF1926" s="74"/>
      <c r="AG1926" s="74"/>
      <c r="AH1926" s="74"/>
    </row>
    <row r="1927" s="73" customFormat="1" spans="1:34">
      <c r="A1927" s="74"/>
      <c r="B1927" s="74"/>
      <c r="C1927" s="74"/>
      <c r="D1927" s="74"/>
      <c r="E1927" s="74"/>
      <c r="F1927" s="74"/>
      <c r="G1927" s="74"/>
      <c r="H1927" s="74"/>
      <c r="I1927" s="74"/>
      <c r="J1927" s="74"/>
      <c r="K1927" s="74"/>
      <c r="L1927" s="74"/>
      <c r="M1927" s="74"/>
      <c r="N1927" s="74"/>
      <c r="O1927" s="75"/>
      <c r="P1927" s="74"/>
      <c r="Q1927" s="75"/>
      <c r="R1927" s="74"/>
      <c r="S1927" s="74"/>
      <c r="T1927" s="74"/>
      <c r="U1927" s="75"/>
      <c r="V1927" s="74"/>
      <c r="W1927" s="75"/>
      <c r="X1927" s="74"/>
      <c r="Y1927" s="74"/>
      <c r="Z1927" s="74"/>
      <c r="AA1927" s="74"/>
      <c r="AB1927" s="74"/>
      <c r="AC1927" s="74"/>
      <c r="AD1927" s="74"/>
      <c r="AE1927" s="74"/>
      <c r="AF1927" s="74"/>
      <c r="AG1927" s="74"/>
      <c r="AH1927" s="74"/>
    </row>
    <row r="1928" s="73" customFormat="1" spans="1:34">
      <c r="A1928" s="74"/>
      <c r="B1928" s="74"/>
      <c r="C1928" s="74"/>
      <c r="D1928" s="74"/>
      <c r="E1928" s="74"/>
      <c r="F1928" s="74"/>
      <c r="G1928" s="74"/>
      <c r="H1928" s="74"/>
      <c r="I1928" s="74"/>
      <c r="J1928" s="74"/>
      <c r="K1928" s="74"/>
      <c r="L1928" s="74"/>
      <c r="M1928" s="74"/>
      <c r="N1928" s="74"/>
      <c r="O1928" s="75"/>
      <c r="P1928" s="74"/>
      <c r="Q1928" s="75"/>
      <c r="R1928" s="74"/>
      <c r="S1928" s="74"/>
      <c r="T1928" s="74"/>
      <c r="U1928" s="75"/>
      <c r="V1928" s="74"/>
      <c r="W1928" s="75"/>
      <c r="X1928" s="74"/>
      <c r="Y1928" s="74"/>
      <c r="Z1928" s="74"/>
      <c r="AA1928" s="74"/>
      <c r="AB1928" s="74"/>
      <c r="AC1928" s="74"/>
      <c r="AD1928" s="74"/>
      <c r="AE1928" s="74"/>
      <c r="AF1928" s="74"/>
      <c r="AG1928" s="74"/>
      <c r="AH1928" s="74"/>
    </row>
    <row r="1929" s="73" customFormat="1" spans="1:34">
      <c r="A1929" s="74"/>
      <c r="B1929" s="74"/>
      <c r="C1929" s="74"/>
      <c r="D1929" s="74"/>
      <c r="E1929" s="74"/>
      <c r="F1929" s="74"/>
      <c r="G1929" s="74"/>
      <c r="H1929" s="74"/>
      <c r="I1929" s="74"/>
      <c r="J1929" s="74"/>
      <c r="K1929" s="74"/>
      <c r="L1929" s="74"/>
      <c r="M1929" s="74"/>
      <c r="N1929" s="74"/>
      <c r="O1929" s="75"/>
      <c r="P1929" s="74"/>
      <c r="Q1929" s="75"/>
      <c r="R1929" s="74"/>
      <c r="S1929" s="74"/>
      <c r="T1929" s="74"/>
      <c r="U1929" s="75"/>
      <c r="V1929" s="74"/>
      <c r="W1929" s="75"/>
      <c r="X1929" s="74"/>
      <c r="Y1929" s="74"/>
      <c r="Z1929" s="74"/>
      <c r="AA1929" s="74"/>
      <c r="AB1929" s="74"/>
      <c r="AC1929" s="74"/>
      <c r="AD1929" s="74"/>
      <c r="AE1929" s="74"/>
      <c r="AF1929" s="74"/>
      <c r="AG1929" s="74"/>
      <c r="AH1929" s="74"/>
    </row>
    <row r="1930" s="73" customFormat="1" spans="1:34">
      <c r="A1930" s="74"/>
      <c r="B1930" s="74"/>
      <c r="C1930" s="74"/>
      <c r="D1930" s="74"/>
      <c r="E1930" s="74"/>
      <c r="F1930" s="74"/>
      <c r="G1930" s="74"/>
      <c r="H1930" s="74"/>
      <c r="I1930" s="74"/>
      <c r="J1930" s="74"/>
      <c r="K1930" s="74"/>
      <c r="L1930" s="74"/>
      <c r="M1930" s="74"/>
      <c r="N1930" s="74"/>
      <c r="O1930" s="75"/>
      <c r="P1930" s="74"/>
      <c r="Q1930" s="75"/>
      <c r="R1930" s="74"/>
      <c r="S1930" s="74"/>
      <c r="T1930" s="74"/>
      <c r="U1930" s="75"/>
      <c r="V1930" s="74"/>
      <c r="W1930" s="75"/>
      <c r="X1930" s="74"/>
      <c r="Y1930" s="74"/>
      <c r="Z1930" s="74"/>
      <c r="AA1930" s="74"/>
      <c r="AB1930" s="74"/>
      <c r="AC1930" s="74"/>
      <c r="AD1930" s="74"/>
      <c r="AE1930" s="74"/>
      <c r="AF1930" s="74"/>
      <c r="AG1930" s="74"/>
      <c r="AH1930" s="74"/>
    </row>
    <row r="1931" s="73" customFormat="1" spans="1:34">
      <c r="A1931" s="74"/>
      <c r="B1931" s="74"/>
      <c r="C1931" s="74"/>
      <c r="D1931" s="74"/>
      <c r="E1931" s="74"/>
      <c r="F1931" s="74"/>
      <c r="G1931" s="74"/>
      <c r="H1931" s="74"/>
      <c r="I1931" s="74"/>
      <c r="J1931" s="74"/>
      <c r="K1931" s="74"/>
      <c r="L1931" s="74"/>
      <c r="M1931" s="74"/>
      <c r="N1931" s="74"/>
      <c r="O1931" s="75"/>
      <c r="P1931" s="74"/>
      <c r="Q1931" s="75"/>
      <c r="R1931" s="74"/>
      <c r="S1931" s="74"/>
      <c r="T1931" s="74"/>
      <c r="U1931" s="75"/>
      <c r="V1931" s="74"/>
      <c r="W1931" s="75"/>
      <c r="X1931" s="74"/>
      <c r="Y1931" s="74"/>
      <c r="Z1931" s="74"/>
      <c r="AA1931" s="74"/>
      <c r="AB1931" s="74"/>
      <c r="AC1931" s="74"/>
      <c r="AD1931" s="74"/>
      <c r="AE1931" s="74"/>
      <c r="AF1931" s="74"/>
      <c r="AG1931" s="74"/>
      <c r="AH1931" s="74"/>
    </row>
    <row r="1932" s="73" customFormat="1" spans="1:34">
      <c r="A1932" s="74"/>
      <c r="B1932" s="74"/>
      <c r="C1932" s="74"/>
      <c r="D1932" s="74"/>
      <c r="E1932" s="74"/>
      <c r="F1932" s="74"/>
      <c r="G1932" s="74"/>
      <c r="H1932" s="74"/>
      <c r="I1932" s="74"/>
      <c r="J1932" s="74"/>
      <c r="K1932" s="74"/>
      <c r="L1932" s="74"/>
      <c r="M1932" s="74"/>
      <c r="N1932" s="74"/>
      <c r="O1932" s="75"/>
      <c r="P1932" s="74"/>
      <c r="Q1932" s="75"/>
      <c r="R1932" s="74"/>
      <c r="S1932" s="74"/>
      <c r="T1932" s="74"/>
      <c r="U1932" s="75"/>
      <c r="V1932" s="74"/>
      <c r="W1932" s="75"/>
      <c r="X1932" s="74"/>
      <c r="Y1932" s="74"/>
      <c r="Z1932" s="74"/>
      <c r="AA1932" s="74"/>
      <c r="AB1932" s="74"/>
      <c r="AC1932" s="74"/>
      <c r="AD1932" s="74"/>
      <c r="AE1932" s="74"/>
      <c r="AF1932" s="74"/>
      <c r="AG1932" s="74"/>
      <c r="AH1932" s="74"/>
    </row>
    <row r="1933" s="73" customFormat="1" spans="1:34">
      <c r="A1933" s="74"/>
      <c r="B1933" s="74"/>
      <c r="C1933" s="74"/>
      <c r="D1933" s="74"/>
      <c r="E1933" s="74"/>
      <c r="F1933" s="74"/>
      <c r="G1933" s="74"/>
      <c r="H1933" s="74"/>
      <c r="I1933" s="74"/>
      <c r="J1933" s="74"/>
      <c r="K1933" s="74"/>
      <c r="L1933" s="74"/>
      <c r="M1933" s="74"/>
      <c r="N1933" s="74"/>
      <c r="O1933" s="75"/>
      <c r="P1933" s="74"/>
      <c r="Q1933" s="75"/>
      <c r="R1933" s="74"/>
      <c r="S1933" s="74"/>
      <c r="T1933" s="74"/>
      <c r="U1933" s="75"/>
      <c r="V1933" s="74"/>
      <c r="W1933" s="75"/>
      <c r="X1933" s="74"/>
      <c r="Y1933" s="74"/>
      <c r="Z1933" s="74"/>
      <c r="AA1933" s="74"/>
      <c r="AB1933" s="74"/>
      <c r="AC1933" s="74"/>
      <c r="AD1933" s="74"/>
      <c r="AE1933" s="74"/>
      <c r="AF1933" s="74"/>
      <c r="AG1933" s="74"/>
      <c r="AH1933" s="74"/>
    </row>
    <row r="1934" s="73" customFormat="1" spans="1:34">
      <c r="A1934" s="74"/>
      <c r="B1934" s="74"/>
      <c r="C1934" s="74"/>
      <c r="D1934" s="74"/>
      <c r="E1934" s="74"/>
      <c r="F1934" s="74"/>
      <c r="G1934" s="74"/>
      <c r="H1934" s="74"/>
      <c r="I1934" s="74"/>
      <c r="J1934" s="74"/>
      <c r="K1934" s="74"/>
      <c r="L1934" s="74"/>
      <c r="M1934" s="74"/>
      <c r="N1934" s="74"/>
      <c r="O1934" s="75"/>
      <c r="P1934" s="74"/>
      <c r="Q1934" s="75"/>
      <c r="R1934" s="74"/>
      <c r="S1934" s="74"/>
      <c r="T1934" s="74"/>
      <c r="U1934" s="75"/>
      <c r="V1934" s="74"/>
      <c r="W1934" s="75"/>
      <c r="X1934" s="74"/>
      <c r="Y1934" s="74"/>
      <c r="Z1934" s="74"/>
      <c r="AA1934" s="74"/>
      <c r="AB1934" s="74"/>
      <c r="AC1934" s="74"/>
      <c r="AD1934" s="74"/>
      <c r="AE1934" s="74"/>
      <c r="AF1934" s="74"/>
      <c r="AG1934" s="74"/>
      <c r="AH1934" s="74"/>
    </row>
    <row r="1935" s="73" customFormat="1" spans="1:34">
      <c r="A1935" s="74"/>
      <c r="B1935" s="74"/>
      <c r="C1935" s="74"/>
      <c r="D1935" s="74"/>
      <c r="E1935" s="74"/>
      <c r="F1935" s="74"/>
      <c r="G1935" s="74"/>
      <c r="H1935" s="74"/>
      <c r="I1935" s="74"/>
      <c r="J1935" s="74"/>
      <c r="K1935" s="74"/>
      <c r="L1935" s="74"/>
      <c r="M1935" s="74"/>
      <c r="N1935" s="74"/>
      <c r="O1935" s="75"/>
      <c r="P1935" s="74"/>
      <c r="Q1935" s="75"/>
      <c r="R1935" s="74"/>
      <c r="S1935" s="74"/>
      <c r="T1935" s="74"/>
      <c r="U1935" s="75"/>
      <c r="V1935" s="74"/>
      <c r="W1935" s="75"/>
      <c r="X1935" s="74"/>
      <c r="Y1935" s="74"/>
      <c r="Z1935" s="74"/>
      <c r="AA1935" s="74"/>
      <c r="AB1935" s="74"/>
      <c r="AC1935" s="74"/>
      <c r="AD1935" s="74"/>
      <c r="AE1935" s="74"/>
      <c r="AF1935" s="74"/>
      <c r="AG1935" s="74"/>
      <c r="AH1935" s="74"/>
    </row>
    <row r="1936" s="73" customFormat="1" spans="1:34">
      <c r="A1936" s="74"/>
      <c r="B1936" s="74"/>
      <c r="C1936" s="74"/>
      <c r="D1936" s="74"/>
      <c r="E1936" s="74"/>
      <c r="F1936" s="74"/>
      <c r="G1936" s="74"/>
      <c r="H1936" s="74"/>
      <c r="I1936" s="74"/>
      <c r="J1936" s="74"/>
      <c r="K1936" s="74"/>
      <c r="L1936" s="74"/>
      <c r="M1936" s="74"/>
      <c r="N1936" s="74"/>
      <c r="O1936" s="75"/>
      <c r="P1936" s="74"/>
      <c r="Q1936" s="75"/>
      <c r="R1936" s="74"/>
      <c r="S1936" s="74"/>
      <c r="T1936" s="74"/>
      <c r="U1936" s="75"/>
      <c r="V1936" s="74"/>
      <c r="W1936" s="75"/>
      <c r="X1936" s="74"/>
      <c r="Y1936" s="74"/>
      <c r="Z1936" s="74"/>
      <c r="AA1936" s="74"/>
      <c r="AB1936" s="74"/>
      <c r="AC1936" s="74"/>
      <c r="AD1936" s="74"/>
      <c r="AE1936" s="74"/>
      <c r="AF1936" s="74"/>
      <c r="AG1936" s="74"/>
      <c r="AH1936" s="74"/>
    </row>
    <row r="1937" s="73" customFormat="1" spans="1:34">
      <c r="A1937" s="74"/>
      <c r="B1937" s="74"/>
      <c r="C1937" s="74"/>
      <c r="D1937" s="74"/>
      <c r="E1937" s="74"/>
      <c r="F1937" s="74"/>
      <c r="G1937" s="74"/>
      <c r="H1937" s="74"/>
      <c r="I1937" s="74"/>
      <c r="J1937" s="74"/>
      <c r="K1937" s="74"/>
      <c r="L1937" s="74"/>
      <c r="M1937" s="74"/>
      <c r="N1937" s="74"/>
      <c r="O1937" s="75"/>
      <c r="P1937" s="74"/>
      <c r="Q1937" s="75"/>
      <c r="R1937" s="74"/>
      <c r="S1937" s="74"/>
      <c r="T1937" s="74"/>
      <c r="U1937" s="75"/>
      <c r="V1937" s="74"/>
      <c r="W1937" s="75"/>
      <c r="X1937" s="74"/>
      <c r="Y1937" s="74"/>
      <c r="Z1937" s="74"/>
      <c r="AA1937" s="74"/>
      <c r="AB1937" s="74"/>
      <c r="AC1937" s="74"/>
      <c r="AD1937" s="74"/>
      <c r="AE1937" s="74"/>
      <c r="AF1937" s="74"/>
      <c r="AG1937" s="74"/>
      <c r="AH1937" s="74"/>
    </row>
    <row r="1938" s="73" customFormat="1" spans="1:34">
      <c r="A1938" s="74"/>
      <c r="B1938" s="74"/>
      <c r="C1938" s="74"/>
      <c r="D1938" s="74"/>
      <c r="E1938" s="74"/>
      <c r="F1938" s="74"/>
      <c r="G1938" s="74"/>
      <c r="H1938" s="74"/>
      <c r="I1938" s="74"/>
      <c r="J1938" s="74"/>
      <c r="K1938" s="74"/>
      <c r="L1938" s="74"/>
      <c r="M1938" s="74"/>
      <c r="N1938" s="74"/>
      <c r="O1938" s="75"/>
      <c r="P1938" s="74"/>
      <c r="Q1938" s="75"/>
      <c r="R1938" s="74"/>
      <c r="S1938" s="74"/>
      <c r="T1938" s="74"/>
      <c r="U1938" s="75"/>
      <c r="V1938" s="74"/>
      <c r="W1938" s="75"/>
      <c r="X1938" s="74"/>
      <c r="Y1938" s="74"/>
      <c r="Z1938" s="74"/>
      <c r="AA1938" s="74"/>
      <c r="AB1938" s="74"/>
      <c r="AC1938" s="74"/>
      <c r="AD1938" s="74"/>
      <c r="AE1938" s="74"/>
      <c r="AF1938" s="74"/>
      <c r="AG1938" s="74"/>
      <c r="AH1938" s="74"/>
    </row>
    <row r="1939" s="73" customFormat="1" spans="1:34">
      <c r="A1939" s="74"/>
      <c r="B1939" s="74"/>
      <c r="C1939" s="74"/>
      <c r="D1939" s="74"/>
      <c r="E1939" s="74"/>
      <c r="F1939" s="74"/>
      <c r="G1939" s="74"/>
      <c r="H1939" s="74"/>
      <c r="I1939" s="74"/>
      <c r="J1939" s="74"/>
      <c r="K1939" s="74"/>
      <c r="L1939" s="74"/>
      <c r="M1939" s="74"/>
      <c r="N1939" s="74"/>
      <c r="O1939" s="75"/>
      <c r="P1939" s="74"/>
      <c r="Q1939" s="75"/>
      <c r="R1939" s="74"/>
      <c r="S1939" s="74"/>
      <c r="T1939" s="74"/>
      <c r="U1939" s="75"/>
      <c r="V1939" s="74"/>
      <c r="W1939" s="75"/>
      <c r="X1939" s="74"/>
      <c r="Y1939" s="74"/>
      <c r="Z1939" s="74"/>
      <c r="AA1939" s="74"/>
      <c r="AB1939" s="74"/>
      <c r="AC1939" s="74"/>
      <c r="AD1939" s="74"/>
      <c r="AE1939" s="74"/>
      <c r="AF1939" s="74"/>
      <c r="AG1939" s="74"/>
      <c r="AH1939" s="74"/>
    </row>
    <row r="1940" s="73" customFormat="1" spans="1:34">
      <c r="A1940" s="74"/>
      <c r="B1940" s="74"/>
      <c r="C1940" s="74"/>
      <c r="D1940" s="74"/>
      <c r="E1940" s="74"/>
      <c r="F1940" s="74"/>
      <c r="G1940" s="74"/>
      <c r="H1940" s="74"/>
      <c r="I1940" s="74"/>
      <c r="J1940" s="74"/>
      <c r="K1940" s="74"/>
      <c r="L1940" s="74"/>
      <c r="M1940" s="74"/>
      <c r="N1940" s="74"/>
      <c r="O1940" s="75"/>
      <c r="P1940" s="74"/>
      <c r="Q1940" s="75"/>
      <c r="R1940" s="74"/>
      <c r="S1940" s="74"/>
      <c r="T1940" s="74"/>
      <c r="U1940" s="75"/>
      <c r="V1940" s="74"/>
      <c r="W1940" s="75"/>
      <c r="X1940" s="74"/>
      <c r="Y1940" s="74"/>
      <c r="Z1940" s="74"/>
      <c r="AA1940" s="74"/>
      <c r="AB1940" s="74"/>
      <c r="AC1940" s="74"/>
      <c r="AD1940" s="74"/>
      <c r="AE1940" s="74"/>
      <c r="AF1940" s="74"/>
      <c r="AG1940" s="74"/>
      <c r="AH1940" s="74"/>
    </row>
    <row r="1941" s="73" customFormat="1" spans="1:34">
      <c r="A1941" s="74"/>
      <c r="B1941" s="74"/>
      <c r="C1941" s="74"/>
      <c r="D1941" s="74"/>
      <c r="E1941" s="74"/>
      <c r="F1941" s="74"/>
      <c r="G1941" s="74"/>
      <c r="H1941" s="74"/>
      <c r="I1941" s="74"/>
      <c r="J1941" s="74"/>
      <c r="K1941" s="74"/>
      <c r="L1941" s="74"/>
      <c r="M1941" s="74"/>
      <c r="N1941" s="74"/>
      <c r="O1941" s="75"/>
      <c r="P1941" s="74"/>
      <c r="Q1941" s="75"/>
      <c r="R1941" s="74"/>
      <c r="S1941" s="74"/>
      <c r="T1941" s="74"/>
      <c r="U1941" s="75"/>
      <c r="V1941" s="74"/>
      <c r="W1941" s="75"/>
      <c r="X1941" s="74"/>
      <c r="Y1941" s="74"/>
      <c r="Z1941" s="74"/>
      <c r="AA1941" s="74"/>
      <c r="AB1941" s="74"/>
      <c r="AC1941" s="74"/>
      <c r="AD1941" s="74"/>
      <c r="AE1941" s="74"/>
      <c r="AF1941" s="74"/>
      <c r="AG1941" s="74"/>
      <c r="AH1941" s="74"/>
    </row>
    <row r="1942" s="73" customFormat="1" spans="1:34">
      <c r="A1942" s="74"/>
      <c r="B1942" s="74"/>
      <c r="C1942" s="74"/>
      <c r="D1942" s="74"/>
      <c r="E1942" s="74"/>
      <c r="F1942" s="74"/>
      <c r="G1942" s="74"/>
      <c r="H1942" s="74"/>
      <c r="I1942" s="74"/>
      <c r="J1942" s="74"/>
      <c r="K1942" s="74"/>
      <c r="L1942" s="74"/>
      <c r="M1942" s="74"/>
      <c r="N1942" s="74"/>
      <c r="O1942" s="75"/>
      <c r="P1942" s="74"/>
      <c r="Q1942" s="75"/>
      <c r="R1942" s="74"/>
      <c r="S1942" s="74"/>
      <c r="T1942" s="74"/>
      <c r="U1942" s="75"/>
      <c r="V1942" s="74"/>
      <c r="W1942" s="75"/>
      <c r="X1942" s="74"/>
      <c r="Y1942" s="74"/>
      <c r="Z1942" s="74"/>
      <c r="AA1942" s="74"/>
      <c r="AB1942" s="74"/>
      <c r="AC1942" s="74"/>
      <c r="AD1942" s="74"/>
      <c r="AE1942" s="74"/>
      <c r="AF1942" s="74"/>
      <c r="AG1942" s="74"/>
      <c r="AH1942" s="74"/>
    </row>
    <row r="1943" s="73" customFormat="1" spans="1:34">
      <c r="A1943" s="74"/>
      <c r="B1943" s="74"/>
      <c r="C1943" s="74"/>
      <c r="D1943" s="74"/>
      <c r="E1943" s="74"/>
      <c r="F1943" s="74"/>
      <c r="G1943" s="74"/>
      <c r="H1943" s="74"/>
      <c r="I1943" s="74"/>
      <c r="J1943" s="74"/>
      <c r="K1943" s="74"/>
      <c r="L1943" s="74"/>
      <c r="M1943" s="74"/>
      <c r="N1943" s="74"/>
      <c r="O1943" s="75"/>
      <c r="P1943" s="74"/>
      <c r="Q1943" s="75"/>
      <c r="R1943" s="74"/>
      <c r="S1943" s="74"/>
      <c r="T1943" s="74"/>
      <c r="U1943" s="75"/>
      <c r="V1943" s="74"/>
      <c r="W1943" s="75"/>
      <c r="X1943" s="74"/>
      <c r="Y1943" s="74"/>
      <c r="Z1943" s="74"/>
      <c r="AA1943" s="74"/>
      <c r="AB1943" s="74"/>
      <c r="AC1943" s="74"/>
      <c r="AD1943" s="74"/>
      <c r="AE1943" s="74"/>
      <c r="AF1943" s="74"/>
      <c r="AG1943" s="74"/>
      <c r="AH1943" s="74"/>
    </row>
    <row r="1944" s="73" customFormat="1" spans="1:34">
      <c r="A1944" s="74"/>
      <c r="B1944" s="74"/>
      <c r="C1944" s="74"/>
      <c r="D1944" s="74"/>
      <c r="E1944" s="74"/>
      <c r="F1944" s="74"/>
      <c r="G1944" s="74"/>
      <c r="H1944" s="74"/>
      <c r="I1944" s="74"/>
      <c r="J1944" s="74"/>
      <c r="K1944" s="74"/>
      <c r="L1944" s="74"/>
      <c r="M1944" s="74"/>
      <c r="N1944" s="74"/>
      <c r="O1944" s="75"/>
      <c r="P1944" s="74"/>
      <c r="Q1944" s="75"/>
      <c r="R1944" s="74"/>
      <c r="S1944" s="74"/>
      <c r="T1944" s="74"/>
      <c r="U1944" s="75"/>
      <c r="V1944" s="74"/>
      <c r="W1944" s="75"/>
      <c r="X1944" s="74"/>
      <c r="Y1944" s="74"/>
      <c r="Z1944" s="74"/>
      <c r="AA1944" s="74"/>
      <c r="AB1944" s="74"/>
      <c r="AC1944" s="74"/>
      <c r="AD1944" s="74"/>
      <c r="AE1944" s="74"/>
      <c r="AF1944" s="74"/>
      <c r="AG1944" s="74"/>
      <c r="AH1944" s="74"/>
    </row>
    <row r="1945" s="73" customFormat="1" spans="1:34">
      <c r="A1945" s="74"/>
      <c r="B1945" s="74"/>
      <c r="C1945" s="74"/>
      <c r="D1945" s="74"/>
      <c r="E1945" s="74"/>
      <c r="F1945" s="74"/>
      <c r="G1945" s="74"/>
      <c r="H1945" s="74"/>
      <c r="I1945" s="74"/>
      <c r="J1945" s="74"/>
      <c r="K1945" s="74"/>
      <c r="L1945" s="74"/>
      <c r="M1945" s="74"/>
      <c r="N1945" s="74"/>
      <c r="O1945" s="75"/>
      <c r="P1945" s="74"/>
      <c r="Q1945" s="75"/>
      <c r="R1945" s="74"/>
      <c r="S1945" s="74"/>
      <c r="T1945" s="74"/>
      <c r="U1945" s="75"/>
      <c r="V1945" s="74"/>
      <c r="W1945" s="75"/>
      <c r="X1945" s="74"/>
      <c r="Y1945" s="74"/>
      <c r="Z1945" s="74"/>
      <c r="AA1945" s="74"/>
      <c r="AB1945" s="74"/>
      <c r="AC1945" s="74"/>
      <c r="AD1945" s="74"/>
      <c r="AE1945" s="74"/>
      <c r="AF1945" s="74"/>
      <c r="AG1945" s="74"/>
      <c r="AH1945" s="74"/>
    </row>
    <row r="1946" s="73" customFormat="1" spans="1:34">
      <c r="A1946" s="74"/>
      <c r="B1946" s="74"/>
      <c r="C1946" s="74"/>
      <c r="D1946" s="74"/>
      <c r="E1946" s="74"/>
      <c r="F1946" s="74"/>
      <c r="G1946" s="74"/>
      <c r="H1946" s="74"/>
      <c r="I1946" s="74"/>
      <c r="J1946" s="74"/>
      <c r="K1946" s="74"/>
      <c r="L1946" s="74"/>
      <c r="M1946" s="74"/>
      <c r="N1946" s="74"/>
      <c r="O1946" s="75"/>
      <c r="P1946" s="74"/>
      <c r="Q1946" s="75"/>
      <c r="R1946" s="74"/>
      <c r="S1946" s="74"/>
      <c r="T1946" s="74"/>
      <c r="U1946" s="75"/>
      <c r="V1946" s="74"/>
      <c r="W1946" s="75"/>
      <c r="X1946" s="74"/>
      <c r="Y1946" s="74"/>
      <c r="Z1946" s="74"/>
      <c r="AA1946" s="74"/>
      <c r="AB1946" s="74"/>
      <c r="AC1946" s="74"/>
      <c r="AD1946" s="74"/>
      <c r="AE1946" s="74"/>
      <c r="AF1946" s="74"/>
      <c r="AG1946" s="74"/>
      <c r="AH1946" s="74"/>
    </row>
    <row r="1947" s="73" customFormat="1" spans="1:34">
      <c r="A1947" s="74"/>
      <c r="B1947" s="74"/>
      <c r="C1947" s="74"/>
      <c r="D1947" s="74"/>
      <c r="E1947" s="74"/>
      <c r="F1947" s="74"/>
      <c r="G1947" s="74"/>
      <c r="H1947" s="74"/>
      <c r="I1947" s="74"/>
      <c r="J1947" s="74"/>
      <c r="K1947" s="74"/>
      <c r="L1947" s="74"/>
      <c r="M1947" s="74"/>
      <c r="N1947" s="74"/>
      <c r="O1947" s="75"/>
      <c r="P1947" s="74"/>
      <c r="Q1947" s="75"/>
      <c r="R1947" s="74"/>
      <c r="S1947" s="74"/>
      <c r="T1947" s="74"/>
      <c r="U1947" s="75"/>
      <c r="V1947" s="74"/>
      <c r="W1947" s="75"/>
      <c r="X1947" s="74"/>
      <c r="Y1947" s="74"/>
      <c r="Z1947" s="74"/>
      <c r="AA1947" s="74"/>
      <c r="AB1947" s="74"/>
      <c r="AC1947" s="74"/>
      <c r="AD1947" s="74"/>
      <c r="AE1947" s="74"/>
      <c r="AF1947" s="74"/>
      <c r="AG1947" s="74"/>
      <c r="AH1947" s="74"/>
    </row>
    <row r="1948" s="73" customFormat="1" spans="1:34">
      <c r="A1948" s="74"/>
      <c r="B1948" s="74"/>
      <c r="C1948" s="74"/>
      <c r="D1948" s="74"/>
      <c r="E1948" s="74"/>
      <c r="F1948" s="74"/>
      <c r="G1948" s="74"/>
      <c r="H1948" s="74"/>
      <c r="I1948" s="74"/>
      <c r="J1948" s="74"/>
      <c r="K1948" s="74"/>
      <c r="L1948" s="74"/>
      <c r="M1948" s="74"/>
      <c r="N1948" s="74"/>
      <c r="O1948" s="75"/>
      <c r="P1948" s="74"/>
      <c r="Q1948" s="75"/>
      <c r="R1948" s="74"/>
      <c r="S1948" s="74"/>
      <c r="T1948" s="74"/>
      <c r="U1948" s="75"/>
      <c r="V1948" s="74"/>
      <c r="W1948" s="75"/>
      <c r="X1948" s="74"/>
      <c r="Y1948" s="74"/>
      <c r="Z1948" s="74"/>
      <c r="AA1948" s="74"/>
      <c r="AB1948" s="74"/>
      <c r="AC1948" s="74"/>
      <c r="AD1948" s="74"/>
      <c r="AE1948" s="74"/>
      <c r="AF1948" s="74"/>
      <c r="AG1948" s="74"/>
      <c r="AH1948" s="74"/>
    </row>
    <row r="1949" s="73" customFormat="1" spans="1:34">
      <c r="A1949" s="74"/>
      <c r="B1949" s="74"/>
      <c r="C1949" s="74"/>
      <c r="D1949" s="74"/>
      <c r="E1949" s="74"/>
      <c r="F1949" s="74"/>
      <c r="G1949" s="74"/>
      <c r="H1949" s="74"/>
      <c r="I1949" s="74"/>
      <c r="J1949" s="74"/>
      <c r="K1949" s="74"/>
      <c r="L1949" s="74"/>
      <c r="M1949" s="74"/>
      <c r="N1949" s="74"/>
      <c r="O1949" s="75"/>
      <c r="P1949" s="74"/>
      <c r="Q1949" s="75"/>
      <c r="R1949" s="74"/>
      <c r="S1949" s="74"/>
      <c r="T1949" s="74"/>
      <c r="U1949" s="75"/>
      <c r="V1949" s="74"/>
      <c r="W1949" s="75"/>
      <c r="X1949" s="74"/>
      <c r="Y1949" s="74"/>
      <c r="Z1949" s="74"/>
      <c r="AA1949" s="74"/>
      <c r="AB1949" s="74"/>
      <c r="AC1949" s="74"/>
      <c r="AD1949" s="74"/>
      <c r="AE1949" s="74"/>
      <c r="AF1949" s="74"/>
      <c r="AG1949" s="74"/>
      <c r="AH1949" s="74"/>
    </row>
    <row r="1950" s="73" customFormat="1" spans="1:34">
      <c r="A1950" s="74"/>
      <c r="B1950" s="74"/>
      <c r="C1950" s="74"/>
      <c r="D1950" s="74"/>
      <c r="E1950" s="74"/>
      <c r="F1950" s="74"/>
      <c r="G1950" s="74"/>
      <c r="H1950" s="74"/>
      <c r="I1950" s="74"/>
      <c r="J1950" s="74"/>
      <c r="K1950" s="74"/>
      <c r="L1950" s="74"/>
      <c r="M1950" s="74"/>
      <c r="N1950" s="74"/>
      <c r="O1950" s="75"/>
      <c r="P1950" s="74"/>
      <c r="Q1950" s="75"/>
      <c r="R1950" s="74"/>
      <c r="S1950" s="74"/>
      <c r="T1950" s="74"/>
      <c r="U1950" s="75"/>
      <c r="V1950" s="74"/>
      <c r="W1950" s="75"/>
      <c r="X1950" s="74"/>
      <c r="Y1950" s="74"/>
      <c r="Z1950" s="74"/>
      <c r="AA1950" s="74"/>
      <c r="AB1950" s="74"/>
      <c r="AC1950" s="74"/>
      <c r="AD1950" s="74"/>
      <c r="AE1950" s="74"/>
      <c r="AF1950" s="74"/>
      <c r="AG1950" s="74"/>
      <c r="AH1950" s="74"/>
    </row>
    <row r="1951" s="73" customFormat="1" spans="1:34">
      <c r="A1951" s="74"/>
      <c r="B1951" s="74"/>
      <c r="C1951" s="74"/>
      <c r="D1951" s="74"/>
      <c r="E1951" s="74"/>
      <c r="F1951" s="74"/>
      <c r="G1951" s="74"/>
      <c r="H1951" s="74"/>
      <c r="I1951" s="74"/>
      <c r="J1951" s="74"/>
      <c r="K1951" s="74"/>
      <c r="L1951" s="74"/>
      <c r="M1951" s="74"/>
      <c r="N1951" s="74"/>
      <c r="O1951" s="75"/>
      <c r="P1951" s="74"/>
      <c r="Q1951" s="75"/>
      <c r="R1951" s="74"/>
      <c r="S1951" s="74"/>
      <c r="T1951" s="74"/>
      <c r="U1951" s="75"/>
      <c r="V1951" s="74"/>
      <c r="W1951" s="75"/>
      <c r="X1951" s="74"/>
      <c r="Y1951" s="74"/>
      <c r="Z1951" s="74"/>
      <c r="AA1951" s="74"/>
      <c r="AB1951" s="74"/>
      <c r="AC1951" s="74"/>
      <c r="AD1951" s="74"/>
      <c r="AE1951" s="74"/>
      <c r="AF1951" s="74"/>
      <c r="AG1951" s="74"/>
      <c r="AH1951" s="74"/>
    </row>
    <row r="1952" s="73" customFormat="1" spans="1:34">
      <c r="A1952" s="74"/>
      <c r="B1952" s="74"/>
      <c r="C1952" s="74"/>
      <c r="D1952" s="74"/>
      <c r="E1952" s="74"/>
      <c r="F1952" s="74"/>
      <c r="G1952" s="74"/>
      <c r="H1952" s="74"/>
      <c r="I1952" s="74"/>
      <c r="J1952" s="74"/>
      <c r="K1952" s="74"/>
      <c r="L1952" s="74"/>
      <c r="M1952" s="74"/>
      <c r="N1952" s="74"/>
      <c r="O1952" s="75"/>
      <c r="P1952" s="74"/>
      <c r="Q1952" s="75"/>
      <c r="R1952" s="74"/>
      <c r="S1952" s="74"/>
      <c r="T1952" s="74"/>
      <c r="U1952" s="75"/>
      <c r="V1952" s="74"/>
      <c r="W1952" s="75"/>
      <c r="X1952" s="74"/>
      <c r="Y1952" s="74"/>
      <c r="Z1952" s="74"/>
      <c r="AA1952" s="74"/>
      <c r="AB1952" s="74"/>
      <c r="AC1952" s="74"/>
      <c r="AD1952" s="74"/>
      <c r="AE1952" s="74"/>
      <c r="AF1952" s="74"/>
      <c r="AG1952" s="74"/>
      <c r="AH1952" s="74"/>
    </row>
    <row r="1953" s="73" customFormat="1" spans="1:34">
      <c r="A1953" s="74"/>
      <c r="B1953" s="74"/>
      <c r="C1953" s="74"/>
      <c r="D1953" s="74"/>
      <c r="E1953" s="74"/>
      <c r="F1953" s="74"/>
      <c r="G1953" s="74"/>
      <c r="H1953" s="74"/>
      <c r="I1953" s="74"/>
      <c r="J1953" s="74"/>
      <c r="K1953" s="74"/>
      <c r="L1953" s="74"/>
      <c r="M1953" s="74"/>
      <c r="N1953" s="74"/>
      <c r="O1953" s="75"/>
      <c r="P1953" s="74"/>
      <c r="Q1953" s="75"/>
      <c r="R1953" s="74"/>
      <c r="S1953" s="74"/>
      <c r="T1953" s="74"/>
      <c r="U1953" s="75"/>
      <c r="V1953" s="74"/>
      <c r="W1953" s="75"/>
      <c r="X1953" s="74"/>
      <c r="Y1953" s="74"/>
      <c r="Z1953" s="74"/>
      <c r="AA1953" s="74"/>
      <c r="AB1953" s="74"/>
      <c r="AC1953" s="74"/>
      <c r="AD1953" s="74"/>
      <c r="AE1953" s="74"/>
      <c r="AF1953" s="74"/>
      <c r="AG1953" s="74"/>
      <c r="AH1953" s="74"/>
    </row>
    <row r="1954" s="73" customFormat="1" spans="1:34">
      <c r="A1954" s="74"/>
      <c r="B1954" s="74"/>
      <c r="C1954" s="74"/>
      <c r="D1954" s="74"/>
      <c r="E1954" s="74"/>
      <c r="F1954" s="74"/>
      <c r="G1954" s="74"/>
      <c r="H1954" s="74"/>
      <c r="I1954" s="74"/>
      <c r="J1954" s="74"/>
      <c r="K1954" s="74"/>
      <c r="L1954" s="74"/>
      <c r="M1954" s="74"/>
      <c r="N1954" s="74"/>
      <c r="O1954" s="75"/>
      <c r="P1954" s="74"/>
      <c r="Q1954" s="75"/>
      <c r="R1954" s="74"/>
      <c r="S1954" s="74"/>
      <c r="T1954" s="74"/>
      <c r="U1954" s="75"/>
      <c r="V1954" s="74"/>
      <c r="W1954" s="75"/>
      <c r="X1954" s="74"/>
      <c r="Y1954" s="74"/>
      <c r="Z1954" s="74"/>
      <c r="AA1954" s="74"/>
      <c r="AB1954" s="74"/>
      <c r="AC1954" s="74"/>
      <c r="AD1954" s="74"/>
      <c r="AE1954" s="74"/>
      <c r="AF1954" s="74"/>
      <c r="AG1954" s="74"/>
      <c r="AH1954" s="74"/>
    </row>
    <row r="1955" s="73" customFormat="1" spans="1:34">
      <c r="A1955" s="74"/>
      <c r="B1955" s="74"/>
      <c r="C1955" s="74"/>
      <c r="D1955" s="74"/>
      <c r="E1955" s="74"/>
      <c r="F1955" s="74"/>
      <c r="G1955" s="74"/>
      <c r="H1955" s="74"/>
      <c r="I1955" s="74"/>
      <c r="J1955" s="74"/>
      <c r="K1955" s="74"/>
      <c r="L1955" s="74"/>
      <c r="M1955" s="74"/>
      <c r="N1955" s="74"/>
      <c r="O1955" s="75"/>
      <c r="P1955" s="74"/>
      <c r="Q1955" s="75"/>
      <c r="R1955" s="74"/>
      <c r="S1955" s="74"/>
      <c r="T1955" s="74"/>
      <c r="U1955" s="75"/>
      <c r="V1955" s="74"/>
      <c r="W1955" s="75"/>
      <c r="X1955" s="74"/>
      <c r="Y1955" s="74"/>
      <c r="Z1955" s="74"/>
      <c r="AA1955" s="74"/>
      <c r="AB1955" s="74"/>
      <c r="AC1955" s="74"/>
      <c r="AD1955" s="74"/>
      <c r="AE1955" s="74"/>
      <c r="AF1955" s="74"/>
      <c r="AG1955" s="74"/>
      <c r="AH1955" s="74"/>
    </row>
    <row r="1956" s="73" customFormat="1" spans="1:34">
      <c r="A1956" s="74"/>
      <c r="B1956" s="74"/>
      <c r="C1956" s="74"/>
      <c r="D1956" s="74"/>
      <c r="E1956" s="74"/>
      <c r="F1956" s="74"/>
      <c r="G1956" s="74"/>
      <c r="H1956" s="74"/>
      <c r="I1956" s="74"/>
      <c r="J1956" s="74"/>
      <c r="K1956" s="74"/>
      <c r="L1956" s="74"/>
      <c r="M1956" s="74"/>
      <c r="N1956" s="74"/>
      <c r="O1956" s="75"/>
      <c r="P1956" s="74"/>
      <c r="Q1956" s="75"/>
      <c r="R1956" s="74"/>
      <c r="S1956" s="74"/>
      <c r="T1956" s="74"/>
      <c r="U1956" s="75"/>
      <c r="V1956" s="74"/>
      <c r="W1956" s="75"/>
      <c r="X1956" s="74"/>
      <c r="Y1956" s="74"/>
      <c r="Z1956" s="74"/>
      <c r="AA1956" s="74"/>
      <c r="AB1956" s="74"/>
      <c r="AC1956" s="74"/>
      <c r="AD1956" s="74"/>
      <c r="AE1956" s="74"/>
      <c r="AF1956" s="74"/>
      <c r="AG1956" s="74"/>
      <c r="AH1956" s="74"/>
    </row>
    <row r="1957" s="73" customFormat="1" spans="1:34">
      <c r="A1957" s="74"/>
      <c r="B1957" s="74"/>
      <c r="C1957" s="74"/>
      <c r="D1957" s="74"/>
      <c r="E1957" s="74"/>
      <c r="F1957" s="74"/>
      <c r="G1957" s="74"/>
      <c r="H1957" s="74"/>
      <c r="I1957" s="74"/>
      <c r="J1957" s="74"/>
      <c r="K1957" s="74"/>
      <c r="L1957" s="74"/>
      <c r="M1957" s="74"/>
      <c r="N1957" s="74"/>
      <c r="O1957" s="75"/>
      <c r="P1957" s="74"/>
      <c r="Q1957" s="75"/>
      <c r="R1957" s="74"/>
      <c r="S1957" s="74"/>
      <c r="T1957" s="74"/>
      <c r="U1957" s="75"/>
      <c r="V1957" s="74"/>
      <c r="W1957" s="75"/>
      <c r="X1957" s="74"/>
      <c r="Y1957" s="74"/>
      <c r="Z1957" s="74"/>
      <c r="AA1957" s="74"/>
      <c r="AB1957" s="74"/>
      <c r="AC1957" s="74"/>
      <c r="AD1957" s="74"/>
      <c r="AE1957" s="74"/>
      <c r="AF1957" s="74"/>
      <c r="AG1957" s="74"/>
      <c r="AH1957" s="74"/>
    </row>
    <row r="1958" s="73" customFormat="1" spans="1:34">
      <c r="A1958" s="74"/>
      <c r="B1958" s="74"/>
      <c r="C1958" s="74"/>
      <c r="D1958" s="74"/>
      <c r="E1958" s="74"/>
      <c r="F1958" s="74"/>
      <c r="G1958" s="74"/>
      <c r="H1958" s="74"/>
      <c r="I1958" s="74"/>
      <c r="J1958" s="74"/>
      <c r="K1958" s="74"/>
      <c r="L1958" s="74"/>
      <c r="M1958" s="74"/>
      <c r="N1958" s="74"/>
      <c r="O1958" s="75"/>
      <c r="P1958" s="74"/>
      <c r="Q1958" s="75"/>
      <c r="R1958" s="74"/>
      <c r="S1958" s="74"/>
      <c r="T1958" s="74"/>
      <c r="U1958" s="75"/>
      <c r="V1958" s="74"/>
      <c r="W1958" s="75"/>
      <c r="X1958" s="74"/>
      <c r="Y1958" s="74"/>
      <c r="Z1958" s="74"/>
      <c r="AA1958" s="74"/>
      <c r="AB1958" s="74"/>
      <c r="AC1958" s="74"/>
      <c r="AD1958" s="74"/>
      <c r="AE1958" s="74"/>
      <c r="AF1958" s="74"/>
      <c r="AG1958" s="74"/>
      <c r="AH1958" s="74"/>
    </row>
    <row r="1959" s="73" customFormat="1" spans="1:34">
      <c r="A1959" s="74"/>
      <c r="B1959" s="74"/>
      <c r="C1959" s="74"/>
      <c r="D1959" s="74"/>
      <c r="E1959" s="74"/>
      <c r="F1959" s="74"/>
      <c r="G1959" s="74"/>
      <c r="H1959" s="74"/>
      <c r="I1959" s="74"/>
      <c r="J1959" s="74"/>
      <c r="K1959" s="74"/>
      <c r="L1959" s="74"/>
      <c r="M1959" s="74"/>
      <c r="N1959" s="74"/>
      <c r="O1959" s="75"/>
      <c r="P1959" s="74"/>
      <c r="Q1959" s="75"/>
      <c r="R1959" s="74"/>
      <c r="S1959" s="74"/>
      <c r="T1959" s="74"/>
      <c r="U1959" s="75"/>
      <c r="V1959" s="74"/>
      <c r="W1959" s="75"/>
      <c r="X1959" s="74"/>
      <c r="Y1959" s="74"/>
      <c r="Z1959" s="74"/>
      <c r="AA1959" s="74"/>
      <c r="AB1959" s="74"/>
      <c r="AC1959" s="74"/>
      <c r="AD1959" s="74"/>
      <c r="AE1959" s="74"/>
      <c r="AF1959" s="74"/>
      <c r="AG1959" s="74"/>
      <c r="AH1959" s="74"/>
    </row>
    <row r="1960" s="73" customFormat="1" spans="1:34">
      <c r="A1960" s="74"/>
      <c r="B1960" s="74"/>
      <c r="C1960" s="74"/>
      <c r="D1960" s="74"/>
      <c r="E1960" s="74"/>
      <c r="F1960" s="74"/>
      <c r="G1960" s="74"/>
      <c r="H1960" s="74"/>
      <c r="I1960" s="74"/>
      <c r="J1960" s="74"/>
      <c r="K1960" s="74"/>
      <c r="L1960" s="74"/>
      <c r="M1960" s="74"/>
      <c r="N1960" s="74"/>
      <c r="O1960" s="75"/>
      <c r="P1960" s="74"/>
      <c r="Q1960" s="75"/>
      <c r="R1960" s="74"/>
      <c r="S1960" s="74"/>
      <c r="T1960" s="74"/>
      <c r="U1960" s="75"/>
      <c r="V1960" s="74"/>
      <c r="W1960" s="75"/>
      <c r="X1960" s="74"/>
      <c r="Y1960" s="74"/>
      <c r="Z1960" s="74"/>
      <c r="AA1960" s="74"/>
      <c r="AB1960" s="74"/>
      <c r="AC1960" s="74"/>
      <c r="AD1960" s="74"/>
      <c r="AE1960" s="74"/>
      <c r="AF1960" s="74"/>
      <c r="AG1960" s="74"/>
      <c r="AH1960" s="74"/>
    </row>
    <row r="1961" s="73" customFormat="1" spans="1:34">
      <c r="A1961" s="74"/>
      <c r="B1961" s="74"/>
      <c r="C1961" s="74"/>
      <c r="D1961" s="74"/>
      <c r="E1961" s="74"/>
      <c r="F1961" s="74"/>
      <c r="G1961" s="74"/>
      <c r="H1961" s="74"/>
      <c r="I1961" s="74"/>
      <c r="J1961" s="74"/>
      <c r="K1961" s="74"/>
      <c r="L1961" s="74"/>
      <c r="M1961" s="74"/>
      <c r="N1961" s="74"/>
      <c r="O1961" s="75"/>
      <c r="P1961" s="74"/>
      <c r="Q1961" s="75"/>
      <c r="R1961" s="74"/>
      <c r="S1961" s="74"/>
      <c r="T1961" s="74"/>
      <c r="U1961" s="75"/>
      <c r="V1961" s="74"/>
      <c r="W1961" s="75"/>
      <c r="X1961" s="74"/>
      <c r="Y1961" s="74"/>
      <c r="Z1961" s="74"/>
      <c r="AA1961" s="74"/>
      <c r="AB1961" s="74"/>
      <c r="AC1961" s="74"/>
      <c r="AD1961" s="74"/>
      <c r="AE1961" s="74"/>
      <c r="AF1961" s="74"/>
      <c r="AG1961" s="74"/>
      <c r="AH1961" s="74"/>
    </row>
    <row r="1962" s="73" customFormat="1" spans="1:34">
      <c r="A1962" s="74"/>
      <c r="B1962" s="74"/>
      <c r="C1962" s="74"/>
      <c r="D1962" s="74"/>
      <c r="E1962" s="74"/>
      <c r="F1962" s="74"/>
      <c r="G1962" s="74"/>
      <c r="H1962" s="74"/>
      <c r="I1962" s="74"/>
      <c r="J1962" s="74"/>
      <c r="K1962" s="74"/>
      <c r="L1962" s="74"/>
      <c r="M1962" s="74"/>
      <c r="N1962" s="74"/>
      <c r="O1962" s="75"/>
      <c r="P1962" s="74"/>
      <c r="Q1962" s="75"/>
      <c r="R1962" s="74"/>
      <c r="S1962" s="74"/>
      <c r="T1962" s="74"/>
      <c r="U1962" s="75"/>
      <c r="V1962" s="74"/>
      <c r="W1962" s="75"/>
      <c r="X1962" s="74"/>
      <c r="Y1962" s="74"/>
      <c r="Z1962" s="74"/>
      <c r="AA1962" s="74"/>
      <c r="AB1962" s="74"/>
      <c r="AC1962" s="74"/>
      <c r="AD1962" s="74"/>
      <c r="AE1962" s="74"/>
      <c r="AF1962" s="74"/>
      <c r="AG1962" s="74"/>
      <c r="AH1962" s="74"/>
    </row>
    <row r="1963" s="73" customFormat="1" spans="1:34">
      <c r="A1963" s="74"/>
      <c r="B1963" s="74"/>
      <c r="C1963" s="74"/>
      <c r="D1963" s="74"/>
      <c r="E1963" s="74"/>
      <c r="F1963" s="74"/>
      <c r="G1963" s="74"/>
      <c r="H1963" s="74"/>
      <c r="I1963" s="74"/>
      <c r="J1963" s="74"/>
      <c r="K1963" s="74"/>
      <c r="L1963" s="74"/>
      <c r="M1963" s="74"/>
      <c r="N1963" s="74"/>
      <c r="O1963" s="75"/>
      <c r="P1963" s="74"/>
      <c r="Q1963" s="75"/>
      <c r="R1963" s="74"/>
      <c r="S1963" s="74"/>
      <c r="T1963" s="74"/>
      <c r="U1963" s="75"/>
      <c r="V1963" s="74"/>
      <c r="W1963" s="75"/>
      <c r="X1963" s="74"/>
      <c r="Y1963" s="74"/>
      <c r="Z1963" s="74"/>
      <c r="AA1963" s="74"/>
      <c r="AB1963" s="74"/>
      <c r="AC1963" s="74"/>
      <c r="AD1963" s="74"/>
      <c r="AE1963" s="74"/>
      <c r="AF1963" s="74"/>
      <c r="AG1963" s="74"/>
      <c r="AH1963" s="74"/>
    </row>
    <row r="1964" s="73" customFormat="1" spans="1:34">
      <c r="A1964" s="74"/>
      <c r="B1964" s="74"/>
      <c r="C1964" s="74"/>
      <c r="D1964" s="74"/>
      <c r="E1964" s="74"/>
      <c r="F1964" s="74"/>
      <c r="G1964" s="74"/>
      <c r="H1964" s="74"/>
      <c r="I1964" s="74"/>
      <c r="J1964" s="74"/>
      <c r="K1964" s="74"/>
      <c r="L1964" s="74"/>
      <c r="M1964" s="74"/>
      <c r="N1964" s="74"/>
      <c r="O1964" s="75"/>
      <c r="P1964" s="74"/>
      <c r="Q1964" s="75"/>
      <c r="R1964" s="74"/>
      <c r="S1964" s="74"/>
      <c r="T1964" s="74"/>
      <c r="U1964" s="75"/>
      <c r="V1964" s="74"/>
      <c r="W1964" s="75"/>
      <c r="X1964" s="74"/>
      <c r="Y1964" s="74"/>
      <c r="Z1964" s="74"/>
      <c r="AA1964" s="74"/>
      <c r="AB1964" s="74"/>
      <c r="AC1964" s="74"/>
      <c r="AD1964" s="74"/>
      <c r="AE1964" s="74"/>
      <c r="AF1964" s="74"/>
      <c r="AG1964" s="74"/>
      <c r="AH1964" s="74"/>
    </row>
    <row r="1965" s="73" customFormat="1" spans="1:34">
      <c r="A1965" s="74"/>
      <c r="B1965" s="74"/>
      <c r="C1965" s="74"/>
      <c r="D1965" s="74"/>
      <c r="E1965" s="74"/>
      <c r="F1965" s="74"/>
      <c r="G1965" s="74"/>
      <c r="H1965" s="74"/>
      <c r="I1965" s="74"/>
      <c r="J1965" s="74"/>
      <c r="K1965" s="74"/>
      <c r="L1965" s="74"/>
      <c r="M1965" s="74"/>
      <c r="N1965" s="74"/>
      <c r="O1965" s="75"/>
      <c r="P1965" s="74"/>
      <c r="Q1965" s="75"/>
      <c r="R1965" s="74"/>
      <c r="S1965" s="74"/>
      <c r="T1965" s="74"/>
      <c r="U1965" s="75"/>
      <c r="V1965" s="74"/>
      <c r="W1965" s="75"/>
      <c r="X1965" s="74"/>
      <c r="Y1965" s="74"/>
      <c r="Z1965" s="74"/>
      <c r="AA1965" s="74"/>
      <c r="AB1965" s="74"/>
      <c r="AC1965" s="74"/>
      <c r="AD1965" s="74"/>
      <c r="AE1965" s="74"/>
      <c r="AF1965" s="74"/>
      <c r="AG1965" s="74"/>
      <c r="AH1965" s="74"/>
    </row>
    <row r="1966" s="73" customFormat="1" spans="1:34">
      <c r="A1966" s="74"/>
      <c r="B1966" s="74"/>
      <c r="C1966" s="74"/>
      <c r="D1966" s="74"/>
      <c r="E1966" s="74"/>
      <c r="F1966" s="74"/>
      <c r="G1966" s="74"/>
      <c r="H1966" s="74"/>
      <c r="I1966" s="74"/>
      <c r="J1966" s="74"/>
      <c r="K1966" s="74"/>
      <c r="L1966" s="74"/>
      <c r="M1966" s="74"/>
      <c r="N1966" s="74"/>
      <c r="O1966" s="75"/>
      <c r="P1966" s="74"/>
      <c r="Q1966" s="75"/>
      <c r="R1966" s="74"/>
      <c r="S1966" s="74"/>
      <c r="T1966" s="74"/>
      <c r="U1966" s="75"/>
      <c r="V1966" s="74"/>
      <c r="W1966" s="75"/>
      <c r="X1966" s="74"/>
      <c r="Y1966" s="74"/>
      <c r="Z1966" s="74"/>
      <c r="AA1966" s="74"/>
      <c r="AB1966" s="74"/>
      <c r="AC1966" s="74"/>
      <c r="AD1966" s="74"/>
      <c r="AE1966" s="74"/>
      <c r="AF1966" s="74"/>
      <c r="AG1966" s="74"/>
      <c r="AH1966" s="74"/>
    </row>
    <row r="1967" s="73" customFormat="1" spans="1:34">
      <c r="A1967" s="74"/>
      <c r="B1967" s="74"/>
      <c r="C1967" s="74"/>
      <c r="D1967" s="74"/>
      <c r="E1967" s="74"/>
      <c r="F1967" s="74"/>
      <c r="G1967" s="74"/>
      <c r="H1967" s="74"/>
      <c r="I1967" s="74"/>
      <c r="J1967" s="74"/>
      <c r="K1967" s="74"/>
      <c r="L1967" s="74"/>
      <c r="M1967" s="74"/>
      <c r="N1967" s="74"/>
      <c r="O1967" s="75"/>
      <c r="P1967" s="74"/>
      <c r="Q1967" s="75"/>
      <c r="R1967" s="74"/>
      <c r="S1967" s="74"/>
      <c r="T1967" s="74"/>
      <c r="U1967" s="75"/>
      <c r="V1967" s="74"/>
      <c r="W1967" s="75"/>
      <c r="X1967" s="74"/>
      <c r="Y1967" s="74"/>
      <c r="Z1967" s="74"/>
      <c r="AA1967" s="74"/>
      <c r="AB1967" s="74"/>
      <c r="AC1967" s="74"/>
      <c r="AD1967" s="74"/>
      <c r="AE1967" s="74"/>
      <c r="AF1967" s="74"/>
      <c r="AG1967" s="74"/>
      <c r="AH1967" s="74"/>
    </row>
    <row r="1968" s="73" customFormat="1" spans="1:34">
      <c r="A1968" s="74"/>
      <c r="B1968" s="74"/>
      <c r="C1968" s="74"/>
      <c r="D1968" s="74"/>
      <c r="E1968" s="74"/>
      <c r="F1968" s="74"/>
      <c r="G1968" s="74"/>
      <c r="H1968" s="74"/>
      <c r="I1968" s="74"/>
      <c r="J1968" s="74"/>
      <c r="K1968" s="74"/>
      <c r="L1968" s="74"/>
      <c r="M1968" s="74"/>
      <c r="N1968" s="74"/>
      <c r="O1968" s="75"/>
      <c r="P1968" s="74"/>
      <c r="Q1968" s="75"/>
      <c r="R1968" s="74"/>
      <c r="S1968" s="74"/>
      <c r="T1968" s="74"/>
      <c r="U1968" s="75"/>
      <c r="V1968" s="74"/>
      <c r="W1968" s="75"/>
      <c r="X1968" s="74"/>
      <c r="Y1968" s="74"/>
      <c r="Z1968" s="74"/>
      <c r="AA1968" s="74"/>
      <c r="AB1968" s="74"/>
      <c r="AC1968" s="74"/>
      <c r="AD1968" s="74"/>
      <c r="AE1968" s="74"/>
      <c r="AF1968" s="74"/>
      <c r="AG1968" s="74"/>
      <c r="AH1968" s="74"/>
    </row>
    <row r="1969" s="73" customFormat="1" spans="1:34">
      <c r="A1969" s="74"/>
      <c r="B1969" s="74"/>
      <c r="C1969" s="74"/>
      <c r="D1969" s="74"/>
      <c r="E1969" s="74"/>
      <c r="F1969" s="74"/>
      <c r="G1969" s="74"/>
      <c r="H1969" s="74"/>
      <c r="I1969" s="74"/>
      <c r="J1969" s="74"/>
      <c r="K1969" s="74"/>
      <c r="L1969" s="74"/>
      <c r="M1969" s="74"/>
      <c r="N1969" s="74"/>
      <c r="O1969" s="75"/>
      <c r="P1969" s="74"/>
      <c r="Q1969" s="75"/>
      <c r="R1969" s="74"/>
      <c r="S1969" s="74"/>
      <c r="T1969" s="74"/>
      <c r="U1969" s="75"/>
      <c r="V1969" s="74"/>
      <c r="W1969" s="75"/>
      <c r="X1969" s="74"/>
      <c r="Y1969" s="74"/>
      <c r="Z1969" s="74"/>
      <c r="AA1969" s="74"/>
      <c r="AB1969" s="74"/>
      <c r="AC1969" s="74"/>
      <c r="AD1969" s="74"/>
      <c r="AE1969" s="74"/>
      <c r="AF1969" s="74"/>
      <c r="AG1969" s="74"/>
      <c r="AH1969" s="74"/>
    </row>
    <row r="1970" s="73" customFormat="1" spans="1:34">
      <c r="A1970" s="74"/>
      <c r="B1970" s="74"/>
      <c r="C1970" s="74"/>
      <c r="D1970" s="74"/>
      <c r="E1970" s="74"/>
      <c r="F1970" s="74"/>
      <c r="G1970" s="74"/>
      <c r="H1970" s="74"/>
      <c r="I1970" s="74"/>
      <c r="J1970" s="74"/>
      <c r="K1970" s="74"/>
      <c r="L1970" s="74"/>
      <c r="M1970" s="74"/>
      <c r="N1970" s="74"/>
      <c r="O1970" s="75"/>
      <c r="P1970" s="74"/>
      <c r="Q1970" s="75"/>
      <c r="R1970" s="74"/>
      <c r="S1970" s="74"/>
      <c r="T1970" s="74"/>
      <c r="U1970" s="75"/>
      <c r="V1970" s="74"/>
      <c r="W1970" s="75"/>
      <c r="X1970" s="74"/>
      <c r="Y1970" s="74"/>
      <c r="Z1970" s="74"/>
      <c r="AA1970" s="74"/>
      <c r="AB1970" s="74"/>
      <c r="AC1970" s="74"/>
      <c r="AD1970" s="74"/>
      <c r="AE1970" s="74"/>
      <c r="AF1970" s="74"/>
      <c r="AG1970" s="74"/>
      <c r="AH1970" s="74"/>
    </row>
    <row r="1972" s="73" customFormat="1" spans="1:34">
      <c r="A1972" s="74"/>
      <c r="B1972" s="74"/>
      <c r="C1972" s="74"/>
      <c r="D1972" s="74"/>
      <c r="E1972" s="74"/>
      <c r="F1972" s="74"/>
      <c r="G1972" s="74"/>
      <c r="H1972" s="74"/>
      <c r="I1972" s="74"/>
      <c r="J1972" s="74"/>
      <c r="K1972" s="74"/>
      <c r="L1972" s="74"/>
      <c r="M1972" s="74"/>
      <c r="N1972" s="74"/>
      <c r="O1972" s="75"/>
      <c r="P1972" s="74"/>
      <c r="Q1972" s="75"/>
      <c r="R1972" s="74"/>
      <c r="S1972" s="74"/>
      <c r="T1972" s="74"/>
      <c r="U1972" s="75"/>
      <c r="V1972" s="74"/>
      <c r="W1972" s="75"/>
      <c r="X1972" s="74"/>
      <c r="Y1972" s="74"/>
      <c r="Z1972" s="74"/>
      <c r="AA1972" s="74"/>
      <c r="AB1972" s="74"/>
      <c r="AC1972" s="74"/>
      <c r="AD1972" s="74"/>
      <c r="AE1972" s="74"/>
      <c r="AF1972" s="74"/>
      <c r="AG1972" s="74"/>
      <c r="AH1972" s="74"/>
    </row>
    <row r="1973" s="73" customFormat="1" spans="1:34">
      <c r="A1973" s="74"/>
      <c r="B1973" s="74"/>
      <c r="C1973" s="74"/>
      <c r="D1973" s="74"/>
      <c r="E1973" s="74"/>
      <c r="F1973" s="74"/>
      <c r="G1973" s="74"/>
      <c r="H1973" s="74"/>
      <c r="I1973" s="74"/>
      <c r="J1973" s="74"/>
      <c r="K1973" s="74"/>
      <c r="L1973" s="74"/>
      <c r="M1973" s="74"/>
      <c r="N1973" s="74"/>
      <c r="O1973" s="75"/>
      <c r="P1973" s="74"/>
      <c r="Q1973" s="75"/>
      <c r="R1973" s="74"/>
      <c r="S1973" s="74"/>
      <c r="T1973" s="74"/>
      <c r="U1973" s="75"/>
      <c r="V1973" s="74"/>
      <c r="W1973" s="75"/>
      <c r="X1973" s="74"/>
      <c r="Y1973" s="74"/>
      <c r="Z1973" s="74"/>
      <c r="AA1973" s="74"/>
      <c r="AB1973" s="74"/>
      <c r="AC1973" s="74"/>
      <c r="AD1973" s="74"/>
      <c r="AE1973" s="74"/>
      <c r="AF1973" s="74"/>
      <c r="AG1973" s="74"/>
      <c r="AH1973" s="74"/>
    </row>
    <row r="1974" s="73" customFormat="1" spans="1:34">
      <c r="A1974" s="74"/>
      <c r="B1974" s="74"/>
      <c r="C1974" s="74"/>
      <c r="D1974" s="74"/>
      <c r="E1974" s="74"/>
      <c r="F1974" s="74"/>
      <c r="G1974" s="74"/>
      <c r="H1974" s="74"/>
      <c r="I1974" s="74"/>
      <c r="J1974" s="74"/>
      <c r="K1974" s="74"/>
      <c r="L1974" s="74"/>
      <c r="M1974" s="74"/>
      <c r="N1974" s="74"/>
      <c r="O1974" s="75"/>
      <c r="P1974" s="74"/>
      <c r="Q1974" s="75"/>
      <c r="R1974" s="74"/>
      <c r="S1974" s="74"/>
      <c r="T1974" s="74"/>
      <c r="U1974" s="75"/>
      <c r="V1974" s="74"/>
      <c r="W1974" s="75"/>
      <c r="X1974" s="74"/>
      <c r="Y1974" s="74"/>
      <c r="Z1974" s="74"/>
      <c r="AA1974" s="74"/>
      <c r="AB1974" s="74"/>
      <c r="AC1974" s="74"/>
      <c r="AD1974" s="74"/>
      <c r="AE1974" s="74"/>
      <c r="AF1974" s="74"/>
      <c r="AG1974" s="74"/>
      <c r="AH1974" s="74"/>
    </row>
    <row r="1975" s="73" customFormat="1" spans="1:34">
      <c r="A1975" s="74"/>
      <c r="B1975" s="74"/>
      <c r="C1975" s="74"/>
      <c r="D1975" s="74"/>
      <c r="E1975" s="74"/>
      <c r="F1975" s="74"/>
      <c r="G1975" s="74"/>
      <c r="H1975" s="74"/>
      <c r="I1975" s="74"/>
      <c r="J1975" s="74"/>
      <c r="K1975" s="74"/>
      <c r="L1975" s="74"/>
      <c r="M1975" s="74"/>
      <c r="N1975" s="74"/>
      <c r="O1975" s="75"/>
      <c r="P1975" s="74"/>
      <c r="Q1975" s="75"/>
      <c r="R1975" s="74"/>
      <c r="S1975" s="74"/>
      <c r="T1975" s="74"/>
      <c r="U1975" s="75"/>
      <c r="V1975" s="74"/>
      <c r="W1975" s="75"/>
      <c r="X1975" s="74"/>
      <c r="Y1975" s="74"/>
      <c r="Z1975" s="74"/>
      <c r="AA1975" s="74"/>
      <c r="AB1975" s="74"/>
      <c r="AC1975" s="74"/>
      <c r="AD1975" s="74"/>
      <c r="AE1975" s="74"/>
      <c r="AF1975" s="74"/>
      <c r="AG1975" s="74"/>
      <c r="AH1975" s="74"/>
    </row>
    <row r="1976" s="73" customFormat="1" spans="1:34">
      <c r="A1976" s="74"/>
      <c r="B1976" s="74"/>
      <c r="C1976" s="74"/>
      <c r="D1976" s="74"/>
      <c r="E1976" s="74"/>
      <c r="F1976" s="74"/>
      <c r="G1976" s="74"/>
      <c r="H1976" s="74"/>
      <c r="I1976" s="74"/>
      <c r="J1976" s="74"/>
      <c r="K1976" s="74"/>
      <c r="L1976" s="74"/>
      <c r="M1976" s="74"/>
      <c r="N1976" s="74"/>
      <c r="O1976" s="75"/>
      <c r="P1976" s="74"/>
      <c r="Q1976" s="75"/>
      <c r="R1976" s="74"/>
      <c r="S1976" s="74"/>
      <c r="T1976" s="74"/>
      <c r="U1976" s="75"/>
      <c r="V1976" s="74"/>
      <c r="W1976" s="75"/>
      <c r="X1976" s="74"/>
      <c r="Y1976" s="74"/>
      <c r="Z1976" s="74"/>
      <c r="AA1976" s="74"/>
      <c r="AB1976" s="74"/>
      <c r="AC1976" s="74"/>
      <c r="AD1976" s="74"/>
      <c r="AE1976" s="74"/>
      <c r="AF1976" s="74"/>
      <c r="AG1976" s="74"/>
      <c r="AH1976" s="74"/>
    </row>
    <row r="1977" s="73" customFormat="1" spans="1:34">
      <c r="A1977" s="74"/>
      <c r="B1977" s="74"/>
      <c r="C1977" s="74"/>
      <c r="D1977" s="74"/>
      <c r="E1977" s="74"/>
      <c r="F1977" s="74"/>
      <c r="G1977" s="74"/>
      <c r="H1977" s="74"/>
      <c r="I1977" s="74"/>
      <c r="J1977" s="74"/>
      <c r="K1977" s="74"/>
      <c r="L1977" s="74"/>
      <c r="M1977" s="74"/>
      <c r="N1977" s="74"/>
      <c r="O1977" s="75"/>
      <c r="P1977" s="74"/>
      <c r="Q1977" s="75"/>
      <c r="R1977" s="74"/>
      <c r="S1977" s="74"/>
      <c r="T1977" s="74"/>
      <c r="U1977" s="75"/>
      <c r="V1977" s="74"/>
      <c r="W1977" s="75"/>
      <c r="X1977" s="74"/>
      <c r="Y1977" s="74"/>
      <c r="Z1977" s="74"/>
      <c r="AA1977" s="74"/>
      <c r="AB1977" s="74"/>
      <c r="AC1977" s="74"/>
      <c r="AD1977" s="74"/>
      <c r="AE1977" s="74"/>
      <c r="AF1977" s="74"/>
      <c r="AG1977" s="74"/>
      <c r="AH1977" s="74"/>
    </row>
    <row r="1978" s="73" customFormat="1" spans="1:34">
      <c r="A1978" s="74"/>
      <c r="B1978" s="74"/>
      <c r="C1978" s="74"/>
      <c r="D1978" s="74"/>
      <c r="E1978" s="74"/>
      <c r="F1978" s="74"/>
      <c r="G1978" s="74"/>
      <c r="H1978" s="74"/>
      <c r="I1978" s="74"/>
      <c r="J1978" s="74"/>
      <c r="K1978" s="74"/>
      <c r="L1978" s="74"/>
      <c r="M1978" s="74"/>
      <c r="N1978" s="74"/>
      <c r="O1978" s="75"/>
      <c r="P1978" s="74"/>
      <c r="Q1978" s="75"/>
      <c r="R1978" s="74"/>
      <c r="S1978" s="74"/>
      <c r="T1978" s="74"/>
      <c r="U1978" s="75"/>
      <c r="V1978" s="74"/>
      <c r="W1978" s="75"/>
      <c r="X1978" s="74"/>
      <c r="Y1978" s="74"/>
      <c r="Z1978" s="74"/>
      <c r="AA1978" s="74"/>
      <c r="AB1978" s="74"/>
      <c r="AC1978" s="74"/>
      <c r="AD1978" s="74"/>
      <c r="AE1978" s="74"/>
      <c r="AF1978" s="74"/>
      <c r="AG1978" s="74"/>
      <c r="AH1978" s="74"/>
    </row>
    <row r="1979" s="73" customFormat="1" spans="1:34">
      <c r="A1979" s="74"/>
      <c r="B1979" s="74"/>
      <c r="C1979" s="74"/>
      <c r="D1979" s="74"/>
      <c r="E1979" s="74"/>
      <c r="F1979" s="74"/>
      <c r="G1979" s="74"/>
      <c r="H1979" s="74"/>
      <c r="I1979" s="74"/>
      <c r="J1979" s="74"/>
      <c r="K1979" s="74"/>
      <c r="L1979" s="74"/>
      <c r="M1979" s="74"/>
      <c r="N1979" s="74"/>
      <c r="O1979" s="75"/>
      <c r="P1979" s="74"/>
      <c r="Q1979" s="75"/>
      <c r="R1979" s="74"/>
      <c r="S1979" s="74"/>
      <c r="T1979" s="74"/>
      <c r="U1979" s="75"/>
      <c r="V1979" s="74"/>
      <c r="W1979" s="75"/>
      <c r="X1979" s="74"/>
      <c r="Y1979" s="74"/>
      <c r="Z1979" s="74"/>
      <c r="AA1979" s="74"/>
      <c r="AB1979" s="74"/>
      <c r="AC1979" s="74"/>
      <c r="AD1979" s="74"/>
      <c r="AE1979" s="74"/>
      <c r="AF1979" s="74"/>
      <c r="AG1979" s="74"/>
      <c r="AH1979" s="74"/>
    </row>
    <row r="1980" s="73" customFormat="1" spans="1:34">
      <c r="A1980" s="74"/>
      <c r="B1980" s="74"/>
      <c r="C1980" s="74"/>
      <c r="D1980" s="74"/>
      <c r="E1980" s="74"/>
      <c r="F1980" s="74"/>
      <c r="G1980" s="74"/>
      <c r="H1980" s="74"/>
      <c r="I1980" s="74"/>
      <c r="J1980" s="74"/>
      <c r="K1980" s="74"/>
      <c r="L1980" s="74"/>
      <c r="M1980" s="74"/>
      <c r="N1980" s="74"/>
      <c r="O1980" s="75"/>
      <c r="P1980" s="74"/>
      <c r="Q1980" s="75"/>
      <c r="R1980" s="74"/>
      <c r="S1980" s="74"/>
      <c r="T1980" s="74"/>
      <c r="U1980" s="75"/>
      <c r="V1980" s="74"/>
      <c r="W1980" s="75"/>
      <c r="X1980" s="74"/>
      <c r="Y1980" s="74"/>
      <c r="Z1980" s="74"/>
      <c r="AA1980" s="74"/>
      <c r="AB1980" s="74"/>
      <c r="AC1980" s="74"/>
      <c r="AD1980" s="74"/>
      <c r="AE1980" s="74"/>
      <c r="AF1980" s="74"/>
      <c r="AG1980" s="74"/>
      <c r="AH1980" s="74"/>
    </row>
    <row r="1981" s="73" customFormat="1" spans="1:34">
      <c r="A1981" s="74"/>
      <c r="B1981" s="74"/>
      <c r="C1981" s="74"/>
      <c r="D1981" s="74"/>
      <c r="E1981" s="74"/>
      <c r="F1981" s="74"/>
      <c r="G1981" s="74"/>
      <c r="H1981" s="74"/>
      <c r="I1981" s="74"/>
      <c r="J1981" s="74"/>
      <c r="K1981" s="74"/>
      <c r="L1981" s="74"/>
      <c r="M1981" s="74"/>
      <c r="N1981" s="74"/>
      <c r="O1981" s="75"/>
      <c r="P1981" s="74"/>
      <c r="Q1981" s="75"/>
      <c r="R1981" s="74"/>
      <c r="S1981" s="74"/>
      <c r="T1981" s="74"/>
      <c r="U1981" s="75"/>
      <c r="V1981" s="74"/>
      <c r="W1981" s="75"/>
      <c r="X1981" s="74"/>
      <c r="Y1981" s="74"/>
      <c r="Z1981" s="74"/>
      <c r="AA1981" s="74"/>
      <c r="AB1981" s="74"/>
      <c r="AC1981" s="74"/>
      <c r="AD1981" s="74"/>
      <c r="AE1981" s="74"/>
      <c r="AF1981" s="74"/>
      <c r="AG1981" s="74"/>
      <c r="AH1981" s="74"/>
    </row>
    <row r="1982" s="73" customFormat="1" spans="1:34">
      <c r="A1982" s="74"/>
      <c r="B1982" s="74"/>
      <c r="C1982" s="74"/>
      <c r="D1982" s="74"/>
      <c r="E1982" s="74"/>
      <c r="F1982" s="74"/>
      <c r="G1982" s="74"/>
      <c r="H1982" s="74"/>
      <c r="I1982" s="74"/>
      <c r="J1982" s="74"/>
      <c r="K1982" s="74"/>
      <c r="L1982" s="74"/>
      <c r="M1982" s="74"/>
      <c r="N1982" s="74"/>
      <c r="O1982" s="75"/>
      <c r="P1982" s="74"/>
      <c r="Q1982" s="75"/>
      <c r="R1982" s="74"/>
      <c r="S1982" s="74"/>
      <c r="T1982" s="74"/>
      <c r="U1982" s="75"/>
      <c r="V1982" s="74"/>
      <c r="W1982" s="75"/>
      <c r="X1982" s="74"/>
      <c r="Y1982" s="74"/>
      <c r="Z1982" s="74"/>
      <c r="AA1982" s="74"/>
      <c r="AB1982" s="74"/>
      <c r="AC1982" s="74"/>
      <c r="AD1982" s="74"/>
      <c r="AE1982" s="74"/>
      <c r="AF1982" s="74"/>
      <c r="AG1982" s="74"/>
      <c r="AH1982" s="74"/>
    </row>
    <row r="1983" s="73" customFormat="1" spans="1:34">
      <c r="A1983" s="74"/>
      <c r="B1983" s="74"/>
      <c r="C1983" s="74"/>
      <c r="D1983" s="74"/>
      <c r="E1983" s="74"/>
      <c r="F1983" s="74"/>
      <c r="G1983" s="74"/>
      <c r="H1983" s="74"/>
      <c r="I1983" s="74"/>
      <c r="J1983" s="74"/>
      <c r="K1983" s="74"/>
      <c r="L1983" s="74"/>
      <c r="M1983" s="74"/>
      <c r="N1983" s="74"/>
      <c r="O1983" s="75"/>
      <c r="P1983" s="74"/>
      <c r="Q1983" s="75"/>
      <c r="R1983" s="74"/>
      <c r="S1983" s="74"/>
      <c r="T1983" s="74"/>
      <c r="U1983" s="75"/>
      <c r="V1983" s="74"/>
      <c r="W1983" s="75"/>
      <c r="X1983" s="74"/>
      <c r="Y1983" s="74"/>
      <c r="Z1983" s="74"/>
      <c r="AA1983" s="74"/>
      <c r="AB1983" s="74"/>
      <c r="AC1983" s="74"/>
      <c r="AD1983" s="74"/>
      <c r="AE1983" s="74"/>
      <c r="AF1983" s="74"/>
      <c r="AG1983" s="74"/>
      <c r="AH1983" s="74"/>
    </row>
    <row r="1984" s="73" customFormat="1" spans="1:34">
      <c r="A1984" s="74"/>
      <c r="B1984" s="74"/>
      <c r="C1984" s="74"/>
      <c r="D1984" s="74"/>
      <c r="E1984" s="74"/>
      <c r="F1984" s="74"/>
      <c r="G1984" s="74"/>
      <c r="H1984" s="74"/>
      <c r="I1984" s="74"/>
      <c r="J1984" s="74"/>
      <c r="K1984" s="74"/>
      <c r="L1984" s="74"/>
      <c r="M1984" s="74"/>
      <c r="N1984" s="74"/>
      <c r="O1984" s="75"/>
      <c r="P1984" s="74"/>
      <c r="Q1984" s="75"/>
      <c r="R1984" s="74"/>
      <c r="S1984" s="74"/>
      <c r="T1984" s="74"/>
      <c r="U1984" s="75"/>
      <c r="V1984" s="74"/>
      <c r="W1984" s="75"/>
      <c r="X1984" s="74"/>
      <c r="Y1984" s="74"/>
      <c r="Z1984" s="74"/>
      <c r="AA1984" s="74"/>
      <c r="AB1984" s="74"/>
      <c r="AC1984" s="74"/>
      <c r="AD1984" s="74"/>
      <c r="AE1984" s="74"/>
      <c r="AF1984" s="74"/>
      <c r="AG1984" s="74"/>
      <c r="AH1984" s="74"/>
    </row>
    <row r="1985" s="73" customFormat="1" spans="1:34">
      <c r="A1985" s="74"/>
      <c r="B1985" s="74"/>
      <c r="C1985" s="74"/>
      <c r="D1985" s="74"/>
      <c r="E1985" s="74"/>
      <c r="F1985" s="74"/>
      <c r="G1985" s="74"/>
      <c r="H1985" s="74"/>
      <c r="I1985" s="74"/>
      <c r="J1985" s="74"/>
      <c r="K1985" s="74"/>
      <c r="L1985" s="74"/>
      <c r="M1985" s="74"/>
      <c r="N1985" s="74"/>
      <c r="O1985" s="75"/>
      <c r="P1985" s="74"/>
      <c r="Q1985" s="75"/>
      <c r="R1985" s="74"/>
      <c r="S1985" s="74"/>
      <c r="T1985" s="74"/>
      <c r="U1985" s="75"/>
      <c r="V1985" s="74"/>
      <c r="W1985" s="75"/>
      <c r="X1985" s="74"/>
      <c r="Y1985" s="74"/>
      <c r="Z1985" s="74"/>
      <c r="AA1985" s="74"/>
      <c r="AB1985" s="74"/>
      <c r="AC1985" s="74"/>
      <c r="AD1985" s="74"/>
      <c r="AE1985" s="74"/>
      <c r="AF1985" s="74"/>
      <c r="AG1985" s="74"/>
      <c r="AH1985" s="74"/>
    </row>
    <row r="1986" s="73" customFormat="1" spans="1:34">
      <c r="A1986" s="74"/>
      <c r="B1986" s="74"/>
      <c r="C1986" s="74"/>
      <c r="D1986" s="74"/>
      <c r="E1986" s="74"/>
      <c r="F1986" s="74"/>
      <c r="G1986" s="74"/>
      <c r="H1986" s="74"/>
      <c r="I1986" s="74"/>
      <c r="J1986" s="74"/>
      <c r="K1986" s="74"/>
      <c r="L1986" s="74"/>
      <c r="M1986" s="74"/>
      <c r="N1986" s="74"/>
      <c r="O1986" s="75"/>
      <c r="P1986" s="74"/>
      <c r="Q1986" s="75"/>
      <c r="R1986" s="74"/>
      <c r="S1986" s="74"/>
      <c r="T1986" s="74"/>
      <c r="U1986" s="75"/>
      <c r="V1986" s="74"/>
      <c r="W1986" s="75"/>
      <c r="X1986" s="74"/>
      <c r="Y1986" s="74"/>
      <c r="Z1986" s="74"/>
      <c r="AA1986" s="74"/>
      <c r="AB1986" s="74"/>
      <c r="AC1986" s="74"/>
      <c r="AD1986" s="74"/>
      <c r="AE1986" s="74"/>
      <c r="AF1986" s="74"/>
      <c r="AG1986" s="74"/>
      <c r="AH1986" s="74"/>
    </row>
    <row r="1987" s="73" customFormat="1" spans="1:34">
      <c r="A1987" s="74"/>
      <c r="B1987" s="74"/>
      <c r="C1987" s="74"/>
      <c r="D1987" s="74"/>
      <c r="E1987" s="74"/>
      <c r="F1987" s="74"/>
      <c r="G1987" s="74"/>
      <c r="H1987" s="74"/>
      <c r="I1987" s="74"/>
      <c r="J1987" s="74"/>
      <c r="K1987" s="74"/>
      <c r="L1987" s="74"/>
      <c r="M1987" s="74"/>
      <c r="N1987" s="74"/>
      <c r="O1987" s="75"/>
      <c r="P1987" s="74"/>
      <c r="Q1987" s="75"/>
      <c r="R1987" s="74"/>
      <c r="S1987" s="74"/>
      <c r="T1987" s="74"/>
      <c r="U1987" s="75"/>
      <c r="V1987" s="74"/>
      <c r="W1987" s="75"/>
      <c r="X1987" s="74"/>
      <c r="Y1987" s="74"/>
      <c r="Z1987" s="74"/>
      <c r="AA1987" s="74"/>
      <c r="AB1987" s="74"/>
      <c r="AC1987" s="74"/>
      <c r="AD1987" s="74"/>
      <c r="AE1987" s="74"/>
      <c r="AF1987" s="74"/>
      <c r="AG1987" s="74"/>
      <c r="AH1987" s="74"/>
    </row>
    <row r="1988" s="73" customFormat="1" spans="1:34">
      <c r="A1988" s="74"/>
      <c r="B1988" s="74"/>
      <c r="C1988" s="74"/>
      <c r="D1988" s="74"/>
      <c r="E1988" s="74"/>
      <c r="F1988" s="74"/>
      <c r="G1988" s="74"/>
      <c r="H1988" s="74"/>
      <c r="I1988" s="74"/>
      <c r="J1988" s="74"/>
      <c r="K1988" s="74"/>
      <c r="L1988" s="74"/>
      <c r="M1988" s="74"/>
      <c r="N1988" s="74"/>
      <c r="O1988" s="75"/>
      <c r="P1988" s="74"/>
      <c r="Q1988" s="75"/>
      <c r="R1988" s="74"/>
      <c r="S1988" s="74"/>
      <c r="T1988" s="74"/>
      <c r="U1988" s="75"/>
      <c r="V1988" s="74"/>
      <c r="W1988" s="75"/>
      <c r="X1988" s="74"/>
      <c r="Y1988" s="74"/>
      <c r="Z1988" s="74"/>
      <c r="AA1988" s="74"/>
      <c r="AB1988" s="74"/>
      <c r="AC1988" s="74"/>
      <c r="AD1988" s="74"/>
      <c r="AE1988" s="74"/>
      <c r="AF1988" s="74"/>
      <c r="AG1988" s="74"/>
      <c r="AH1988" s="74"/>
    </row>
    <row r="1989" s="73" customFormat="1" spans="1:34">
      <c r="A1989" s="74"/>
      <c r="B1989" s="74"/>
      <c r="C1989" s="74"/>
      <c r="D1989" s="74"/>
      <c r="E1989" s="74"/>
      <c r="F1989" s="74"/>
      <c r="G1989" s="74"/>
      <c r="H1989" s="74"/>
      <c r="I1989" s="74"/>
      <c r="J1989" s="74"/>
      <c r="K1989" s="74"/>
      <c r="L1989" s="74"/>
      <c r="M1989" s="74"/>
      <c r="N1989" s="74"/>
      <c r="O1989" s="75"/>
      <c r="P1989" s="74"/>
      <c r="Q1989" s="75"/>
      <c r="R1989" s="74"/>
      <c r="S1989" s="74"/>
      <c r="T1989" s="74"/>
      <c r="U1989" s="75"/>
      <c r="V1989" s="74"/>
      <c r="W1989" s="75"/>
      <c r="X1989" s="74"/>
      <c r="Y1989" s="74"/>
      <c r="Z1989" s="74"/>
      <c r="AA1989" s="74"/>
      <c r="AB1989" s="74"/>
      <c r="AC1989" s="74"/>
      <c r="AD1989" s="74"/>
      <c r="AE1989" s="74"/>
      <c r="AF1989" s="74"/>
      <c r="AG1989" s="74"/>
      <c r="AH1989" s="74"/>
    </row>
    <row r="1990" s="73" customFormat="1" spans="1:34">
      <c r="A1990" s="74"/>
      <c r="B1990" s="74"/>
      <c r="C1990" s="74"/>
      <c r="D1990" s="74"/>
      <c r="E1990" s="74"/>
      <c r="F1990" s="74"/>
      <c r="G1990" s="74"/>
      <c r="H1990" s="74"/>
      <c r="I1990" s="74"/>
      <c r="J1990" s="74"/>
      <c r="K1990" s="74"/>
      <c r="L1990" s="74"/>
      <c r="M1990" s="74"/>
      <c r="N1990" s="74"/>
      <c r="O1990" s="75"/>
      <c r="P1990" s="74"/>
      <c r="Q1990" s="75"/>
      <c r="R1990" s="74"/>
      <c r="S1990" s="74"/>
      <c r="T1990" s="74"/>
      <c r="U1990" s="75"/>
      <c r="V1990" s="74"/>
      <c r="W1990" s="75"/>
      <c r="X1990" s="74"/>
      <c r="Y1990" s="74"/>
      <c r="Z1990" s="74"/>
      <c r="AA1990" s="74"/>
      <c r="AB1990" s="74"/>
      <c r="AC1990" s="74"/>
      <c r="AD1990" s="74"/>
      <c r="AE1990" s="74"/>
      <c r="AF1990" s="74"/>
      <c r="AG1990" s="74"/>
      <c r="AH1990" s="74"/>
    </row>
    <row r="1991" s="73" customFormat="1" spans="1:34">
      <c r="A1991" s="74"/>
      <c r="B1991" s="74"/>
      <c r="C1991" s="74"/>
      <c r="D1991" s="74"/>
      <c r="E1991" s="74"/>
      <c r="F1991" s="74"/>
      <c r="G1991" s="74"/>
      <c r="H1991" s="74"/>
      <c r="I1991" s="74"/>
      <c r="J1991" s="74"/>
      <c r="K1991" s="74"/>
      <c r="L1991" s="74"/>
      <c r="M1991" s="74"/>
      <c r="N1991" s="74"/>
      <c r="O1991" s="75"/>
      <c r="P1991" s="74"/>
      <c r="Q1991" s="75"/>
      <c r="R1991" s="74"/>
      <c r="S1991" s="74"/>
      <c r="T1991" s="74"/>
      <c r="U1991" s="75"/>
      <c r="V1991" s="74"/>
      <c r="W1991" s="75"/>
      <c r="X1991" s="74"/>
      <c r="Y1991" s="74"/>
      <c r="Z1991" s="74"/>
      <c r="AA1991" s="74"/>
      <c r="AB1991" s="74"/>
      <c r="AC1991" s="74"/>
      <c r="AD1991" s="74"/>
      <c r="AE1991" s="74"/>
      <c r="AF1991" s="74"/>
      <c r="AG1991" s="74"/>
      <c r="AH1991" s="74"/>
    </row>
    <row r="1992" s="73" customFormat="1" spans="1:34">
      <c r="A1992" s="74"/>
      <c r="B1992" s="74"/>
      <c r="C1992" s="74"/>
      <c r="D1992" s="74"/>
      <c r="E1992" s="74"/>
      <c r="F1992" s="74"/>
      <c r="G1992" s="74"/>
      <c r="H1992" s="74"/>
      <c r="I1992" s="74"/>
      <c r="J1992" s="74"/>
      <c r="K1992" s="74"/>
      <c r="L1992" s="74"/>
      <c r="M1992" s="74"/>
      <c r="N1992" s="74"/>
      <c r="O1992" s="75"/>
      <c r="P1992" s="74"/>
      <c r="Q1992" s="75"/>
      <c r="R1992" s="74"/>
      <c r="S1992" s="74"/>
      <c r="T1992" s="74"/>
      <c r="U1992" s="75"/>
      <c r="V1992" s="74"/>
      <c r="W1992" s="75"/>
      <c r="X1992" s="74"/>
      <c r="Y1992" s="74"/>
      <c r="Z1992" s="74"/>
      <c r="AA1992" s="74"/>
      <c r="AB1992" s="74"/>
      <c r="AC1992" s="74"/>
      <c r="AD1992" s="74"/>
      <c r="AE1992" s="74"/>
      <c r="AF1992" s="74"/>
      <c r="AG1992" s="74"/>
      <c r="AH1992" s="74"/>
    </row>
    <row r="1993" s="73" customFormat="1" spans="1:34">
      <c r="A1993" s="74"/>
      <c r="B1993" s="74"/>
      <c r="C1993" s="74"/>
      <c r="D1993" s="74"/>
      <c r="E1993" s="74"/>
      <c r="F1993" s="74"/>
      <c r="G1993" s="74"/>
      <c r="H1993" s="74"/>
      <c r="I1993" s="74"/>
      <c r="J1993" s="74"/>
      <c r="K1993" s="74"/>
      <c r="L1993" s="74"/>
      <c r="M1993" s="74"/>
      <c r="N1993" s="74"/>
      <c r="O1993" s="75"/>
      <c r="P1993" s="74"/>
      <c r="Q1993" s="75"/>
      <c r="R1993" s="74"/>
      <c r="S1993" s="74"/>
      <c r="T1993" s="74"/>
      <c r="U1993" s="75"/>
      <c r="V1993" s="74"/>
      <c r="W1993" s="75"/>
      <c r="X1993" s="74"/>
      <c r="Y1993" s="74"/>
      <c r="Z1993" s="74"/>
      <c r="AA1993" s="74"/>
      <c r="AB1993" s="74"/>
      <c r="AC1993" s="74"/>
      <c r="AD1993" s="74"/>
      <c r="AE1993" s="74"/>
      <c r="AF1993" s="74"/>
      <c r="AG1993" s="74"/>
      <c r="AH1993" s="74"/>
    </row>
    <row r="1994" s="73" customFormat="1" spans="1:34">
      <c r="A1994" s="74"/>
      <c r="B1994" s="74"/>
      <c r="C1994" s="74"/>
      <c r="D1994" s="74"/>
      <c r="E1994" s="74"/>
      <c r="F1994" s="74"/>
      <c r="G1994" s="74"/>
      <c r="H1994" s="74"/>
      <c r="I1994" s="74"/>
      <c r="J1994" s="74"/>
      <c r="K1994" s="74"/>
      <c r="L1994" s="74"/>
      <c r="M1994" s="74"/>
      <c r="N1994" s="74"/>
      <c r="O1994" s="75"/>
      <c r="P1994" s="74"/>
      <c r="Q1994" s="75"/>
      <c r="R1994" s="74"/>
      <c r="S1994" s="74"/>
      <c r="T1994" s="74"/>
      <c r="U1994" s="75"/>
      <c r="V1994" s="74"/>
      <c r="W1994" s="75"/>
      <c r="X1994" s="74"/>
      <c r="Y1994" s="74"/>
      <c r="Z1994" s="74"/>
      <c r="AA1994" s="74"/>
      <c r="AB1994" s="74"/>
      <c r="AC1994" s="74"/>
      <c r="AD1994" s="74"/>
      <c r="AE1994" s="74"/>
      <c r="AF1994" s="74"/>
      <c r="AG1994" s="74"/>
      <c r="AH1994" s="74"/>
    </row>
    <row r="1995" s="73" customFormat="1" spans="1:34">
      <c r="A1995" s="74"/>
      <c r="B1995" s="74"/>
      <c r="C1995" s="74"/>
      <c r="D1995" s="74"/>
      <c r="E1995" s="74"/>
      <c r="F1995" s="74"/>
      <c r="G1995" s="74"/>
      <c r="H1995" s="74"/>
      <c r="I1995" s="74"/>
      <c r="J1995" s="74"/>
      <c r="K1995" s="74"/>
      <c r="L1995" s="74"/>
      <c r="M1995" s="74"/>
      <c r="N1995" s="74"/>
      <c r="O1995" s="75"/>
      <c r="P1995" s="74"/>
      <c r="Q1995" s="75"/>
      <c r="R1995" s="74"/>
      <c r="S1995" s="74"/>
      <c r="T1995" s="74"/>
      <c r="U1995" s="75"/>
      <c r="V1995" s="74"/>
      <c r="W1995" s="75"/>
      <c r="X1995" s="74"/>
      <c r="Y1995" s="74"/>
      <c r="Z1995" s="74"/>
      <c r="AA1995" s="74"/>
      <c r="AB1995" s="74"/>
      <c r="AC1995" s="74"/>
      <c r="AD1995" s="74"/>
      <c r="AE1995" s="74"/>
      <c r="AF1995" s="74"/>
      <c r="AG1995" s="74"/>
      <c r="AH1995" s="74"/>
    </row>
    <row r="1996" s="73" customFormat="1" spans="1:34">
      <c r="A1996" s="74"/>
      <c r="B1996" s="74"/>
      <c r="C1996" s="74"/>
      <c r="D1996" s="74"/>
      <c r="E1996" s="74"/>
      <c r="F1996" s="74"/>
      <c r="G1996" s="74"/>
      <c r="H1996" s="74"/>
      <c r="I1996" s="74"/>
      <c r="J1996" s="74"/>
      <c r="K1996" s="74"/>
      <c r="L1996" s="74"/>
      <c r="M1996" s="74"/>
      <c r="N1996" s="74"/>
      <c r="O1996" s="75"/>
      <c r="P1996" s="74"/>
      <c r="Q1996" s="75"/>
      <c r="R1996" s="74"/>
      <c r="S1996" s="74"/>
      <c r="T1996" s="74"/>
      <c r="U1996" s="75"/>
      <c r="V1996" s="74"/>
      <c r="W1996" s="75"/>
      <c r="X1996" s="74"/>
      <c r="Y1996" s="74"/>
      <c r="Z1996" s="74"/>
      <c r="AA1996" s="74"/>
      <c r="AB1996" s="74"/>
      <c r="AC1996" s="74"/>
      <c r="AD1996" s="74"/>
      <c r="AE1996" s="74"/>
      <c r="AF1996" s="74"/>
      <c r="AG1996" s="74"/>
      <c r="AH1996" s="74"/>
    </row>
    <row r="1997" s="73" customFormat="1" spans="1:34">
      <c r="A1997" s="74"/>
      <c r="B1997" s="74"/>
      <c r="C1997" s="74"/>
      <c r="D1997" s="74"/>
      <c r="E1997" s="74"/>
      <c r="F1997" s="74"/>
      <c r="G1997" s="74"/>
      <c r="H1997" s="74"/>
      <c r="I1997" s="74"/>
      <c r="J1997" s="74"/>
      <c r="K1997" s="74"/>
      <c r="L1997" s="74"/>
      <c r="M1997" s="74"/>
      <c r="N1997" s="74"/>
      <c r="O1997" s="75"/>
      <c r="P1997" s="74"/>
      <c r="Q1997" s="75"/>
      <c r="R1997" s="74"/>
      <c r="S1997" s="74"/>
      <c r="T1997" s="74"/>
      <c r="U1997" s="75"/>
      <c r="V1997" s="74"/>
      <c r="W1997" s="75"/>
      <c r="X1997" s="74"/>
      <c r="Y1997" s="74"/>
      <c r="Z1997" s="74"/>
      <c r="AA1997" s="74"/>
      <c r="AB1997" s="74"/>
      <c r="AC1997" s="74"/>
      <c r="AD1997" s="74"/>
      <c r="AE1997" s="74"/>
      <c r="AF1997" s="74"/>
      <c r="AG1997" s="74"/>
      <c r="AH1997" s="74"/>
    </row>
    <row r="1998" s="73" customFormat="1" spans="1:34">
      <c r="A1998" s="74"/>
      <c r="B1998" s="74"/>
      <c r="C1998" s="74"/>
      <c r="D1998" s="74"/>
      <c r="E1998" s="74"/>
      <c r="F1998" s="74"/>
      <c r="G1998" s="74"/>
      <c r="H1998" s="74"/>
      <c r="I1998" s="74"/>
      <c r="J1998" s="74"/>
      <c r="K1998" s="74"/>
      <c r="L1998" s="74"/>
      <c r="M1998" s="74"/>
      <c r="N1998" s="74"/>
      <c r="O1998" s="75"/>
      <c r="P1998" s="74"/>
      <c r="Q1998" s="75"/>
      <c r="R1998" s="74"/>
      <c r="S1998" s="74"/>
      <c r="T1998" s="74"/>
      <c r="U1998" s="75"/>
      <c r="V1998" s="74"/>
      <c r="W1998" s="75"/>
      <c r="X1998" s="74"/>
      <c r="Y1998" s="74"/>
      <c r="Z1998" s="74"/>
      <c r="AA1998" s="74"/>
      <c r="AB1998" s="74"/>
      <c r="AC1998" s="74"/>
      <c r="AD1998" s="74"/>
      <c r="AE1998" s="74"/>
      <c r="AF1998" s="74"/>
      <c r="AG1998" s="74"/>
      <c r="AH1998" s="74"/>
    </row>
    <row r="1999" s="73" customFormat="1" spans="1:34">
      <c r="A1999" s="74"/>
      <c r="B1999" s="74"/>
      <c r="C1999" s="74"/>
      <c r="D1999" s="74"/>
      <c r="E1999" s="74"/>
      <c r="F1999" s="74"/>
      <c r="G1999" s="74"/>
      <c r="H1999" s="74"/>
      <c r="I1999" s="74"/>
      <c r="J1999" s="74"/>
      <c r="K1999" s="74"/>
      <c r="L1999" s="74"/>
      <c r="M1999" s="74"/>
      <c r="N1999" s="74"/>
      <c r="O1999" s="75"/>
      <c r="P1999" s="74"/>
      <c r="Q1999" s="75"/>
      <c r="R1999" s="74"/>
      <c r="S1999" s="74"/>
      <c r="T1999" s="74"/>
      <c r="U1999" s="75"/>
      <c r="V1999" s="74"/>
      <c r="W1999" s="75"/>
      <c r="X1999" s="74"/>
      <c r="Y1999" s="74"/>
      <c r="Z1999" s="74"/>
      <c r="AA1999" s="74"/>
      <c r="AB1999" s="74"/>
      <c r="AC1999" s="74"/>
      <c r="AD1999" s="74"/>
      <c r="AE1999" s="74"/>
      <c r="AF1999" s="74"/>
      <c r="AG1999" s="74"/>
      <c r="AH1999" s="74"/>
    </row>
    <row r="2000" s="73" customFormat="1" spans="1:34">
      <c r="A2000" s="74"/>
      <c r="B2000" s="74"/>
      <c r="C2000" s="74"/>
      <c r="D2000" s="74"/>
      <c r="E2000" s="74"/>
      <c r="F2000" s="74"/>
      <c r="G2000" s="74"/>
      <c r="H2000" s="74"/>
      <c r="I2000" s="74"/>
      <c r="J2000" s="74"/>
      <c r="K2000" s="74"/>
      <c r="L2000" s="74"/>
      <c r="M2000" s="74"/>
      <c r="N2000" s="74"/>
      <c r="O2000" s="75"/>
      <c r="P2000" s="74"/>
      <c r="Q2000" s="75"/>
      <c r="R2000" s="74"/>
      <c r="S2000" s="74"/>
      <c r="T2000" s="74"/>
      <c r="U2000" s="75"/>
      <c r="V2000" s="74"/>
      <c r="W2000" s="75"/>
      <c r="X2000" s="74"/>
      <c r="Y2000" s="74"/>
      <c r="Z2000" s="74"/>
      <c r="AA2000" s="74"/>
      <c r="AB2000" s="74"/>
      <c r="AC2000" s="74"/>
      <c r="AD2000" s="74"/>
      <c r="AE2000" s="74"/>
      <c r="AF2000" s="74"/>
      <c r="AG2000" s="74"/>
      <c r="AH2000" s="74"/>
    </row>
    <row r="2001" s="73" customFormat="1" spans="1:34">
      <c r="A2001" s="74"/>
      <c r="B2001" s="74"/>
      <c r="C2001" s="74"/>
      <c r="D2001" s="74"/>
      <c r="E2001" s="74"/>
      <c r="F2001" s="74"/>
      <c r="G2001" s="74"/>
      <c r="H2001" s="74"/>
      <c r="I2001" s="74"/>
      <c r="J2001" s="74"/>
      <c r="K2001" s="74"/>
      <c r="L2001" s="74"/>
      <c r="M2001" s="74"/>
      <c r="N2001" s="74"/>
      <c r="O2001" s="75"/>
      <c r="P2001" s="74"/>
      <c r="Q2001" s="75"/>
      <c r="R2001" s="74"/>
      <c r="S2001" s="74"/>
      <c r="T2001" s="74"/>
      <c r="U2001" s="75"/>
      <c r="V2001" s="74"/>
      <c r="W2001" s="75"/>
      <c r="X2001" s="74"/>
      <c r="Y2001" s="74"/>
      <c r="Z2001" s="74"/>
      <c r="AA2001" s="74"/>
      <c r="AB2001" s="74"/>
      <c r="AC2001" s="74"/>
      <c r="AD2001" s="74"/>
      <c r="AE2001" s="74"/>
      <c r="AF2001" s="74"/>
      <c r="AG2001" s="74"/>
      <c r="AH2001" s="74"/>
    </row>
    <row r="2002" s="73" customFormat="1" spans="1:34">
      <c r="A2002" s="74"/>
      <c r="B2002" s="74"/>
      <c r="C2002" s="74"/>
      <c r="D2002" s="74"/>
      <c r="E2002" s="74"/>
      <c r="F2002" s="74"/>
      <c r="G2002" s="74"/>
      <c r="H2002" s="74"/>
      <c r="I2002" s="74"/>
      <c r="J2002" s="74"/>
      <c r="K2002" s="74"/>
      <c r="L2002" s="74"/>
      <c r="M2002" s="74"/>
      <c r="N2002" s="74"/>
      <c r="O2002" s="75"/>
      <c r="P2002" s="74"/>
      <c r="Q2002" s="75"/>
      <c r="R2002" s="74"/>
      <c r="S2002" s="74"/>
      <c r="T2002" s="74"/>
      <c r="U2002" s="75"/>
      <c r="V2002" s="74"/>
      <c r="W2002" s="75"/>
      <c r="X2002" s="74"/>
      <c r="Y2002" s="74"/>
      <c r="Z2002" s="74"/>
      <c r="AA2002" s="74"/>
      <c r="AB2002" s="74"/>
      <c r="AC2002" s="74"/>
      <c r="AD2002" s="74"/>
      <c r="AE2002" s="74"/>
      <c r="AF2002" s="74"/>
      <c r="AG2002" s="74"/>
      <c r="AH2002" s="74"/>
    </row>
    <row r="2003" s="73" customFormat="1" spans="1:34">
      <c r="A2003" s="74"/>
      <c r="B2003" s="74"/>
      <c r="C2003" s="74"/>
      <c r="D2003" s="74"/>
      <c r="E2003" s="74"/>
      <c r="F2003" s="74"/>
      <c r="G2003" s="74"/>
      <c r="H2003" s="74"/>
      <c r="I2003" s="74"/>
      <c r="J2003" s="74"/>
      <c r="K2003" s="74"/>
      <c r="L2003" s="74"/>
      <c r="M2003" s="74"/>
      <c r="N2003" s="74"/>
      <c r="O2003" s="75"/>
      <c r="P2003" s="74"/>
      <c r="Q2003" s="75"/>
      <c r="R2003" s="74"/>
      <c r="S2003" s="74"/>
      <c r="T2003" s="74"/>
      <c r="U2003" s="75"/>
      <c r="V2003" s="74"/>
      <c r="W2003" s="75"/>
      <c r="X2003" s="74"/>
      <c r="Y2003" s="74"/>
      <c r="Z2003" s="74"/>
      <c r="AA2003" s="74"/>
      <c r="AB2003" s="74"/>
      <c r="AC2003" s="74"/>
      <c r="AD2003" s="74"/>
      <c r="AE2003" s="74"/>
      <c r="AF2003" s="74"/>
      <c r="AG2003" s="74"/>
      <c r="AH2003" s="74"/>
    </row>
    <row r="2004" s="73" customFormat="1" spans="1:34">
      <c r="A2004" s="74"/>
      <c r="B2004" s="74"/>
      <c r="C2004" s="74"/>
      <c r="D2004" s="74"/>
      <c r="E2004" s="74"/>
      <c r="F2004" s="74"/>
      <c r="G2004" s="74"/>
      <c r="H2004" s="74"/>
      <c r="I2004" s="74"/>
      <c r="J2004" s="74"/>
      <c r="K2004" s="74"/>
      <c r="L2004" s="74"/>
      <c r="M2004" s="74"/>
      <c r="N2004" s="74"/>
      <c r="O2004" s="75"/>
      <c r="P2004" s="74"/>
      <c r="Q2004" s="75"/>
      <c r="R2004" s="74"/>
      <c r="S2004" s="74"/>
      <c r="T2004" s="74"/>
      <c r="U2004" s="75"/>
      <c r="V2004" s="74"/>
      <c r="W2004" s="75"/>
      <c r="X2004" s="74"/>
      <c r="Y2004" s="74"/>
      <c r="Z2004" s="74"/>
      <c r="AA2004" s="74"/>
      <c r="AB2004" s="74"/>
      <c r="AC2004" s="74"/>
      <c r="AD2004" s="74"/>
      <c r="AE2004" s="74"/>
      <c r="AF2004" s="74"/>
      <c r="AG2004" s="74"/>
      <c r="AH2004" s="74"/>
    </row>
    <row r="2005" s="73" customFormat="1" spans="1:34">
      <c r="A2005" s="74"/>
      <c r="B2005" s="74"/>
      <c r="C2005" s="74"/>
      <c r="D2005" s="74"/>
      <c r="E2005" s="74"/>
      <c r="F2005" s="74"/>
      <c r="G2005" s="74"/>
      <c r="H2005" s="74"/>
      <c r="I2005" s="74"/>
      <c r="J2005" s="74"/>
      <c r="K2005" s="74"/>
      <c r="L2005" s="74"/>
      <c r="M2005" s="74"/>
      <c r="N2005" s="74"/>
      <c r="O2005" s="75"/>
      <c r="P2005" s="74"/>
      <c r="Q2005" s="75"/>
      <c r="R2005" s="74"/>
      <c r="S2005" s="74"/>
      <c r="T2005" s="74"/>
      <c r="U2005" s="75"/>
      <c r="V2005" s="74"/>
      <c r="W2005" s="75"/>
      <c r="X2005" s="74"/>
      <c r="Y2005" s="74"/>
      <c r="Z2005" s="74"/>
      <c r="AA2005" s="74"/>
      <c r="AB2005" s="74"/>
      <c r="AC2005" s="74"/>
      <c r="AD2005" s="74"/>
      <c r="AE2005" s="74"/>
      <c r="AF2005" s="74"/>
      <c r="AG2005" s="74"/>
      <c r="AH2005" s="74"/>
    </row>
    <row r="2006" s="73" customFormat="1" spans="1:34">
      <c r="A2006" s="74"/>
      <c r="B2006" s="74"/>
      <c r="C2006" s="74"/>
      <c r="D2006" s="74"/>
      <c r="E2006" s="74"/>
      <c r="F2006" s="74"/>
      <c r="G2006" s="74"/>
      <c r="H2006" s="74"/>
      <c r="I2006" s="74"/>
      <c r="J2006" s="74"/>
      <c r="K2006" s="74"/>
      <c r="L2006" s="74"/>
      <c r="M2006" s="74"/>
      <c r="N2006" s="74"/>
      <c r="O2006" s="75"/>
      <c r="P2006" s="74"/>
      <c r="Q2006" s="75"/>
      <c r="R2006" s="74"/>
      <c r="S2006" s="74"/>
      <c r="T2006" s="74"/>
      <c r="U2006" s="75"/>
      <c r="V2006" s="74"/>
      <c r="W2006" s="75"/>
      <c r="X2006" s="74"/>
      <c r="Y2006" s="74"/>
      <c r="Z2006" s="74"/>
      <c r="AA2006" s="74"/>
      <c r="AB2006" s="74"/>
      <c r="AC2006" s="74"/>
      <c r="AD2006" s="74"/>
      <c r="AE2006" s="74"/>
      <c r="AF2006" s="74"/>
      <c r="AG2006" s="74"/>
      <c r="AH2006" s="74"/>
    </row>
    <row r="2007" s="73" customFormat="1" spans="1:34">
      <c r="A2007" s="74"/>
      <c r="B2007" s="74"/>
      <c r="C2007" s="74"/>
      <c r="D2007" s="74"/>
      <c r="E2007" s="74"/>
      <c r="F2007" s="74"/>
      <c r="G2007" s="74"/>
      <c r="H2007" s="74"/>
      <c r="I2007" s="74"/>
      <c r="J2007" s="74"/>
      <c r="K2007" s="74"/>
      <c r="L2007" s="74"/>
      <c r="M2007" s="74"/>
      <c r="N2007" s="74"/>
      <c r="O2007" s="75"/>
      <c r="P2007" s="74"/>
      <c r="Q2007" s="75"/>
      <c r="R2007" s="74"/>
      <c r="S2007" s="74"/>
      <c r="T2007" s="74"/>
      <c r="U2007" s="75"/>
      <c r="V2007" s="74"/>
      <c r="W2007" s="75"/>
      <c r="X2007" s="74"/>
      <c r="Y2007" s="74"/>
      <c r="Z2007" s="74"/>
      <c r="AA2007" s="74"/>
      <c r="AB2007" s="74"/>
      <c r="AC2007" s="74"/>
      <c r="AD2007" s="74"/>
      <c r="AE2007" s="74"/>
      <c r="AF2007" s="74"/>
      <c r="AG2007" s="74"/>
      <c r="AH2007" s="74"/>
    </row>
    <row r="2008" s="73" customFormat="1" spans="1:34">
      <c r="A2008" s="74"/>
      <c r="B2008" s="74"/>
      <c r="C2008" s="74"/>
      <c r="D2008" s="74"/>
      <c r="E2008" s="74"/>
      <c r="F2008" s="74"/>
      <c r="G2008" s="74"/>
      <c r="H2008" s="74"/>
      <c r="I2008" s="74"/>
      <c r="J2008" s="74"/>
      <c r="K2008" s="74"/>
      <c r="L2008" s="74"/>
      <c r="M2008" s="74"/>
      <c r="N2008" s="74"/>
      <c r="O2008" s="75"/>
      <c r="P2008" s="74"/>
      <c r="Q2008" s="75"/>
      <c r="R2008" s="74"/>
      <c r="S2008" s="74"/>
      <c r="T2008" s="74"/>
      <c r="U2008" s="75"/>
      <c r="V2008" s="74"/>
      <c r="W2008" s="75"/>
      <c r="X2008" s="74"/>
      <c r="Y2008" s="74"/>
      <c r="Z2008" s="74"/>
      <c r="AA2008" s="74"/>
      <c r="AB2008" s="74"/>
      <c r="AC2008" s="74"/>
      <c r="AD2008" s="74"/>
      <c r="AE2008" s="74"/>
      <c r="AF2008" s="74"/>
      <c r="AG2008" s="74"/>
      <c r="AH2008" s="74"/>
    </row>
    <row r="2009" s="73" customFormat="1" spans="1:34">
      <c r="A2009" s="74"/>
      <c r="B2009" s="74"/>
      <c r="C2009" s="74"/>
      <c r="D2009" s="74"/>
      <c r="E2009" s="74"/>
      <c r="F2009" s="74"/>
      <c r="G2009" s="74"/>
      <c r="H2009" s="74"/>
      <c r="I2009" s="74"/>
      <c r="J2009" s="74"/>
      <c r="K2009" s="74"/>
      <c r="L2009" s="74"/>
      <c r="M2009" s="74"/>
      <c r="N2009" s="74"/>
      <c r="O2009" s="75"/>
      <c r="P2009" s="74"/>
      <c r="Q2009" s="75"/>
      <c r="R2009" s="74"/>
      <c r="S2009" s="74"/>
      <c r="T2009" s="74"/>
      <c r="U2009" s="75"/>
      <c r="V2009" s="74"/>
      <c r="W2009" s="75"/>
      <c r="X2009" s="74"/>
      <c r="Y2009" s="74"/>
      <c r="Z2009" s="74"/>
      <c r="AA2009" s="74"/>
      <c r="AB2009" s="74"/>
      <c r="AC2009" s="74"/>
      <c r="AD2009" s="74"/>
      <c r="AE2009" s="74"/>
      <c r="AF2009" s="74"/>
      <c r="AG2009" s="74"/>
      <c r="AH2009" s="74"/>
    </row>
    <row r="2010" s="73" customFormat="1" spans="1:34">
      <c r="A2010" s="74"/>
      <c r="B2010" s="74"/>
      <c r="C2010" s="74"/>
      <c r="D2010" s="74"/>
      <c r="E2010" s="74"/>
      <c r="F2010" s="74"/>
      <c r="G2010" s="74"/>
      <c r="H2010" s="74"/>
      <c r="I2010" s="74"/>
      <c r="J2010" s="74"/>
      <c r="K2010" s="74"/>
      <c r="L2010" s="74"/>
      <c r="M2010" s="74"/>
      <c r="N2010" s="74"/>
      <c r="O2010" s="75"/>
      <c r="P2010" s="74"/>
      <c r="Q2010" s="75"/>
      <c r="R2010" s="74"/>
      <c r="S2010" s="74"/>
      <c r="T2010" s="74"/>
      <c r="U2010" s="75"/>
      <c r="V2010" s="74"/>
      <c r="W2010" s="75"/>
      <c r="X2010" s="74"/>
      <c r="Y2010" s="74"/>
      <c r="Z2010" s="74"/>
      <c r="AA2010" s="74"/>
      <c r="AB2010" s="74"/>
      <c r="AC2010" s="74"/>
      <c r="AD2010" s="74"/>
      <c r="AE2010" s="74"/>
      <c r="AF2010" s="74"/>
      <c r="AG2010" s="74"/>
      <c r="AH2010" s="74"/>
    </row>
    <row r="2011" s="73" customFormat="1" spans="1:34">
      <c r="A2011" s="74"/>
      <c r="B2011" s="74"/>
      <c r="C2011" s="74"/>
      <c r="D2011" s="74"/>
      <c r="E2011" s="74"/>
      <c r="F2011" s="74"/>
      <c r="G2011" s="74"/>
      <c r="H2011" s="74"/>
      <c r="I2011" s="74"/>
      <c r="J2011" s="74"/>
      <c r="K2011" s="74"/>
      <c r="L2011" s="74"/>
      <c r="M2011" s="74"/>
      <c r="N2011" s="74"/>
      <c r="O2011" s="75"/>
      <c r="P2011" s="74"/>
      <c r="Q2011" s="75"/>
      <c r="R2011" s="74"/>
      <c r="S2011" s="74"/>
      <c r="T2011" s="74"/>
      <c r="U2011" s="75"/>
      <c r="V2011" s="74"/>
      <c r="W2011" s="75"/>
      <c r="X2011" s="74"/>
      <c r="Y2011" s="74"/>
      <c r="Z2011" s="74"/>
      <c r="AA2011" s="74"/>
      <c r="AB2011" s="74"/>
      <c r="AC2011" s="74"/>
      <c r="AD2011" s="74"/>
      <c r="AE2011" s="74"/>
      <c r="AF2011" s="74"/>
      <c r="AG2011" s="74"/>
      <c r="AH2011" s="74"/>
    </row>
    <row r="2012" s="73" customFormat="1" spans="1:34">
      <c r="A2012" s="74"/>
      <c r="B2012" s="74"/>
      <c r="C2012" s="74"/>
      <c r="D2012" s="74"/>
      <c r="E2012" s="74"/>
      <c r="F2012" s="74"/>
      <c r="G2012" s="74"/>
      <c r="H2012" s="74"/>
      <c r="I2012" s="74"/>
      <c r="J2012" s="74"/>
      <c r="K2012" s="74"/>
      <c r="L2012" s="74"/>
      <c r="M2012" s="74"/>
      <c r="N2012" s="74"/>
      <c r="O2012" s="75"/>
      <c r="P2012" s="74"/>
      <c r="Q2012" s="75"/>
      <c r="R2012" s="74"/>
      <c r="S2012" s="74"/>
      <c r="T2012" s="74"/>
      <c r="U2012" s="75"/>
      <c r="V2012" s="74"/>
      <c r="W2012" s="75"/>
      <c r="X2012" s="74"/>
      <c r="Y2012" s="74"/>
      <c r="Z2012" s="74"/>
      <c r="AA2012" s="74"/>
      <c r="AB2012" s="74"/>
      <c r="AC2012" s="74"/>
      <c r="AD2012" s="74"/>
      <c r="AE2012" s="74"/>
      <c r="AF2012" s="74"/>
      <c r="AG2012" s="74"/>
      <c r="AH2012" s="74"/>
    </row>
    <row r="2013" s="73" customFormat="1" spans="1:34">
      <c r="A2013" s="74"/>
      <c r="B2013" s="74"/>
      <c r="C2013" s="74"/>
      <c r="D2013" s="74"/>
      <c r="E2013" s="74"/>
      <c r="F2013" s="74"/>
      <c r="G2013" s="74"/>
      <c r="H2013" s="74"/>
      <c r="I2013" s="74"/>
      <c r="J2013" s="74"/>
      <c r="K2013" s="74"/>
      <c r="L2013" s="74"/>
      <c r="M2013" s="74"/>
      <c r="N2013" s="74"/>
      <c r="O2013" s="75"/>
      <c r="P2013" s="74"/>
      <c r="Q2013" s="75"/>
      <c r="R2013" s="74"/>
      <c r="S2013" s="74"/>
      <c r="T2013" s="74"/>
      <c r="U2013" s="75"/>
      <c r="V2013" s="74"/>
      <c r="W2013" s="75"/>
      <c r="X2013" s="74"/>
      <c r="Y2013" s="74"/>
      <c r="Z2013" s="74"/>
      <c r="AA2013" s="74"/>
      <c r="AB2013" s="74"/>
      <c r="AC2013" s="74"/>
      <c r="AD2013" s="74"/>
      <c r="AE2013" s="74"/>
      <c r="AF2013" s="74"/>
      <c r="AG2013" s="74"/>
      <c r="AH2013" s="74"/>
    </row>
    <row r="2014" s="73" customFormat="1" spans="1:34">
      <c r="A2014" s="74"/>
      <c r="B2014" s="74"/>
      <c r="C2014" s="74"/>
      <c r="D2014" s="74"/>
      <c r="E2014" s="74"/>
      <c r="F2014" s="74"/>
      <c r="G2014" s="74"/>
      <c r="H2014" s="74"/>
      <c r="I2014" s="74"/>
      <c r="J2014" s="74"/>
      <c r="K2014" s="74"/>
      <c r="L2014" s="74"/>
      <c r="M2014" s="74"/>
      <c r="N2014" s="74"/>
      <c r="O2014" s="75"/>
      <c r="P2014" s="74"/>
      <c r="Q2014" s="75"/>
      <c r="R2014" s="74"/>
      <c r="S2014" s="74"/>
      <c r="T2014" s="74"/>
      <c r="U2014" s="75"/>
      <c r="V2014" s="74"/>
      <c r="W2014" s="75"/>
      <c r="X2014" s="74"/>
      <c r="Y2014" s="74"/>
      <c r="Z2014" s="74"/>
      <c r="AA2014" s="74"/>
      <c r="AB2014" s="74"/>
      <c r="AC2014" s="74"/>
      <c r="AD2014" s="74"/>
      <c r="AE2014" s="74"/>
      <c r="AF2014" s="74"/>
      <c r="AG2014" s="74"/>
      <c r="AH2014" s="74"/>
    </row>
    <row r="2015" s="73" customFormat="1" spans="1:34">
      <c r="A2015" s="74"/>
      <c r="B2015" s="74"/>
      <c r="C2015" s="74"/>
      <c r="D2015" s="74"/>
      <c r="E2015" s="74"/>
      <c r="F2015" s="74"/>
      <c r="G2015" s="74"/>
      <c r="H2015" s="74"/>
      <c r="I2015" s="74"/>
      <c r="J2015" s="74"/>
      <c r="K2015" s="74"/>
      <c r="L2015" s="74"/>
      <c r="M2015" s="74"/>
      <c r="N2015" s="74"/>
      <c r="O2015" s="75"/>
      <c r="P2015" s="74"/>
      <c r="Q2015" s="75"/>
      <c r="R2015" s="74"/>
      <c r="S2015" s="74"/>
      <c r="T2015" s="74"/>
      <c r="U2015" s="75"/>
      <c r="V2015" s="74"/>
      <c r="W2015" s="75"/>
      <c r="X2015" s="74"/>
      <c r="Y2015" s="74"/>
      <c r="Z2015" s="74"/>
      <c r="AA2015" s="74"/>
      <c r="AB2015" s="74"/>
      <c r="AC2015" s="74"/>
      <c r="AD2015" s="74"/>
      <c r="AE2015" s="74"/>
      <c r="AF2015" s="74"/>
      <c r="AG2015" s="74"/>
      <c r="AH2015" s="74"/>
    </row>
    <row r="2016" s="73" customFormat="1" spans="1:34">
      <c r="A2016" s="74"/>
      <c r="B2016" s="74"/>
      <c r="C2016" s="74"/>
      <c r="D2016" s="74"/>
      <c r="E2016" s="74"/>
      <c r="F2016" s="74"/>
      <c r="G2016" s="74"/>
      <c r="H2016" s="74"/>
      <c r="I2016" s="74"/>
      <c r="J2016" s="74"/>
      <c r="K2016" s="74"/>
      <c r="L2016" s="74"/>
      <c r="M2016" s="74"/>
      <c r="N2016" s="74"/>
      <c r="O2016" s="75"/>
      <c r="P2016" s="74"/>
      <c r="Q2016" s="75"/>
      <c r="R2016" s="74"/>
      <c r="S2016" s="74"/>
      <c r="T2016" s="74"/>
      <c r="U2016" s="75"/>
      <c r="V2016" s="74"/>
      <c r="W2016" s="75"/>
      <c r="X2016" s="74"/>
      <c r="Y2016" s="74"/>
      <c r="Z2016" s="74"/>
      <c r="AA2016" s="74"/>
      <c r="AB2016" s="74"/>
      <c r="AC2016" s="74"/>
      <c r="AD2016" s="74"/>
      <c r="AE2016" s="74"/>
      <c r="AF2016" s="74"/>
      <c r="AG2016" s="74"/>
      <c r="AH2016" s="74"/>
    </row>
    <row r="2017" s="73" customFormat="1" spans="1:34">
      <c r="A2017" s="74"/>
      <c r="B2017" s="74"/>
      <c r="C2017" s="74"/>
      <c r="D2017" s="74"/>
      <c r="E2017" s="74"/>
      <c r="F2017" s="74"/>
      <c r="G2017" s="74"/>
      <c r="H2017" s="74"/>
      <c r="I2017" s="74"/>
      <c r="J2017" s="74"/>
      <c r="K2017" s="74"/>
      <c r="L2017" s="74"/>
      <c r="M2017" s="74"/>
      <c r="N2017" s="74"/>
      <c r="O2017" s="75"/>
      <c r="P2017" s="74"/>
      <c r="Q2017" s="75"/>
      <c r="R2017" s="74"/>
      <c r="S2017" s="74"/>
      <c r="T2017" s="74"/>
      <c r="U2017" s="75"/>
      <c r="V2017" s="74"/>
      <c r="W2017" s="75"/>
      <c r="X2017" s="74"/>
      <c r="Y2017" s="74"/>
      <c r="Z2017" s="74"/>
      <c r="AA2017" s="74"/>
      <c r="AB2017" s="74"/>
      <c r="AC2017" s="74"/>
      <c r="AD2017" s="74"/>
      <c r="AE2017" s="74"/>
      <c r="AF2017" s="74"/>
      <c r="AG2017" s="74"/>
      <c r="AH2017" s="74"/>
    </row>
    <row r="2018" s="73" customFormat="1" spans="1:34">
      <c r="A2018" s="74"/>
      <c r="B2018" s="74"/>
      <c r="C2018" s="74"/>
      <c r="D2018" s="74"/>
      <c r="E2018" s="74"/>
      <c r="F2018" s="74"/>
      <c r="G2018" s="74"/>
      <c r="H2018" s="74"/>
      <c r="I2018" s="74"/>
      <c r="J2018" s="74"/>
      <c r="K2018" s="74"/>
      <c r="L2018" s="74"/>
      <c r="M2018" s="74"/>
      <c r="N2018" s="74"/>
      <c r="O2018" s="75"/>
      <c r="P2018" s="74"/>
      <c r="Q2018" s="75"/>
      <c r="R2018" s="74"/>
      <c r="S2018" s="74"/>
      <c r="T2018" s="74"/>
      <c r="U2018" s="75"/>
      <c r="V2018" s="74"/>
      <c r="W2018" s="75"/>
      <c r="X2018" s="74"/>
      <c r="Y2018" s="74"/>
      <c r="Z2018" s="74"/>
      <c r="AA2018" s="74"/>
      <c r="AB2018" s="74"/>
      <c r="AC2018" s="74"/>
      <c r="AD2018" s="74"/>
      <c r="AE2018" s="74"/>
      <c r="AF2018" s="74"/>
      <c r="AG2018" s="74"/>
      <c r="AH2018" s="74"/>
    </row>
    <row r="2019" s="73" customFormat="1" spans="1:34">
      <c r="A2019" s="74"/>
      <c r="B2019" s="74"/>
      <c r="C2019" s="74"/>
      <c r="D2019" s="74"/>
      <c r="E2019" s="74"/>
      <c r="F2019" s="74"/>
      <c r="G2019" s="74"/>
      <c r="H2019" s="74"/>
      <c r="I2019" s="74"/>
      <c r="J2019" s="74"/>
      <c r="K2019" s="74"/>
      <c r="L2019" s="74"/>
      <c r="M2019" s="74"/>
      <c r="N2019" s="74"/>
      <c r="O2019" s="75"/>
      <c r="P2019" s="74"/>
      <c r="Q2019" s="75"/>
      <c r="R2019" s="74"/>
      <c r="S2019" s="74"/>
      <c r="T2019" s="74"/>
      <c r="U2019" s="75"/>
      <c r="V2019" s="74"/>
      <c r="W2019" s="75"/>
      <c r="X2019" s="74"/>
      <c r="Y2019" s="74"/>
      <c r="Z2019" s="74"/>
      <c r="AA2019" s="74"/>
      <c r="AB2019" s="74"/>
      <c r="AC2019" s="74"/>
      <c r="AD2019" s="74"/>
      <c r="AE2019" s="74"/>
      <c r="AF2019" s="74"/>
      <c r="AG2019" s="74"/>
      <c r="AH2019" s="74"/>
    </row>
    <row r="2020" s="73" customFormat="1" spans="1:34">
      <c r="A2020" s="74"/>
      <c r="B2020" s="74"/>
      <c r="C2020" s="74"/>
      <c r="D2020" s="74"/>
      <c r="E2020" s="74"/>
      <c r="F2020" s="74"/>
      <c r="G2020" s="74"/>
      <c r="H2020" s="74"/>
      <c r="I2020" s="74"/>
      <c r="J2020" s="74"/>
      <c r="K2020" s="74"/>
      <c r="L2020" s="74"/>
      <c r="M2020" s="74"/>
      <c r="N2020" s="74"/>
      <c r="O2020" s="75"/>
      <c r="P2020" s="74"/>
      <c r="Q2020" s="75"/>
      <c r="R2020" s="74"/>
      <c r="S2020" s="74"/>
      <c r="T2020" s="74"/>
      <c r="U2020" s="75"/>
      <c r="V2020" s="74"/>
      <c r="W2020" s="75"/>
      <c r="X2020" s="74"/>
      <c r="Y2020" s="74"/>
      <c r="Z2020" s="74"/>
      <c r="AA2020" s="74"/>
      <c r="AB2020" s="74"/>
      <c r="AC2020" s="74"/>
      <c r="AD2020" s="74"/>
      <c r="AE2020" s="74"/>
      <c r="AF2020" s="74"/>
      <c r="AG2020" s="74"/>
      <c r="AH2020" s="74"/>
    </row>
    <row r="2021" s="73" customFormat="1" spans="1:34">
      <c r="A2021" s="74"/>
      <c r="B2021" s="74"/>
      <c r="C2021" s="74"/>
      <c r="D2021" s="74"/>
      <c r="E2021" s="74"/>
      <c r="F2021" s="74"/>
      <c r="G2021" s="74"/>
      <c r="H2021" s="74"/>
      <c r="I2021" s="74"/>
      <c r="J2021" s="74"/>
      <c r="K2021" s="74"/>
      <c r="L2021" s="74"/>
      <c r="M2021" s="74"/>
      <c r="N2021" s="74"/>
      <c r="O2021" s="75"/>
      <c r="P2021" s="74"/>
      <c r="Q2021" s="75"/>
      <c r="R2021" s="74"/>
      <c r="S2021" s="74"/>
      <c r="T2021" s="74"/>
      <c r="U2021" s="75"/>
      <c r="V2021" s="74"/>
      <c r="W2021" s="75"/>
      <c r="X2021" s="74"/>
      <c r="Y2021" s="74"/>
      <c r="Z2021" s="74"/>
      <c r="AA2021" s="74"/>
      <c r="AB2021" s="74"/>
      <c r="AC2021" s="74"/>
      <c r="AD2021" s="74"/>
      <c r="AE2021" s="74"/>
      <c r="AF2021" s="74"/>
      <c r="AG2021" s="74"/>
      <c r="AH2021" s="74"/>
    </row>
    <row r="2022" s="73" customFormat="1" spans="1:34">
      <c r="A2022" s="74"/>
      <c r="B2022" s="74"/>
      <c r="C2022" s="74"/>
      <c r="D2022" s="74"/>
      <c r="E2022" s="74"/>
      <c r="F2022" s="74"/>
      <c r="G2022" s="74"/>
      <c r="H2022" s="74"/>
      <c r="I2022" s="74"/>
      <c r="J2022" s="74"/>
      <c r="K2022" s="74"/>
      <c r="L2022" s="74"/>
      <c r="M2022" s="74"/>
      <c r="N2022" s="74"/>
      <c r="O2022" s="75"/>
      <c r="P2022" s="74"/>
      <c r="Q2022" s="75"/>
      <c r="R2022" s="74"/>
      <c r="S2022" s="74"/>
      <c r="T2022" s="74"/>
      <c r="U2022" s="75"/>
      <c r="V2022" s="74"/>
      <c r="W2022" s="75"/>
      <c r="X2022" s="74"/>
      <c r="Y2022" s="74"/>
      <c r="Z2022" s="74"/>
      <c r="AA2022" s="74"/>
      <c r="AB2022" s="74"/>
      <c r="AC2022" s="74"/>
      <c r="AD2022" s="74"/>
      <c r="AE2022" s="74"/>
      <c r="AF2022" s="74"/>
      <c r="AG2022" s="74"/>
      <c r="AH2022" s="74"/>
    </row>
    <row r="2023" s="73" customFormat="1" spans="1:34">
      <c r="A2023" s="74"/>
      <c r="B2023" s="74"/>
      <c r="C2023" s="74"/>
      <c r="D2023" s="74"/>
      <c r="E2023" s="74"/>
      <c r="F2023" s="74"/>
      <c r="G2023" s="74"/>
      <c r="H2023" s="74"/>
      <c r="I2023" s="74"/>
      <c r="J2023" s="74"/>
      <c r="K2023" s="74"/>
      <c r="L2023" s="74"/>
      <c r="M2023" s="74"/>
      <c r="N2023" s="74"/>
      <c r="O2023" s="75"/>
      <c r="P2023" s="74"/>
      <c r="Q2023" s="75"/>
      <c r="R2023" s="74"/>
      <c r="S2023" s="74"/>
      <c r="T2023" s="74"/>
      <c r="U2023" s="75"/>
      <c r="V2023" s="74"/>
      <c r="W2023" s="75"/>
      <c r="X2023" s="74"/>
      <c r="Y2023" s="74"/>
      <c r="Z2023" s="74"/>
      <c r="AA2023" s="74"/>
      <c r="AB2023" s="74"/>
      <c r="AC2023" s="74"/>
      <c r="AD2023" s="74"/>
      <c r="AE2023" s="74"/>
      <c r="AF2023" s="74"/>
      <c r="AG2023" s="74"/>
      <c r="AH2023" s="74"/>
    </row>
    <row r="2024" s="73" customFormat="1" spans="1:34">
      <c r="A2024" s="74"/>
      <c r="B2024" s="74"/>
      <c r="C2024" s="74"/>
      <c r="D2024" s="74"/>
      <c r="E2024" s="74"/>
      <c r="F2024" s="74"/>
      <c r="G2024" s="74"/>
      <c r="H2024" s="74"/>
      <c r="I2024" s="74"/>
      <c r="J2024" s="74"/>
      <c r="K2024" s="74"/>
      <c r="L2024" s="74"/>
      <c r="M2024" s="74"/>
      <c r="N2024" s="74"/>
      <c r="O2024" s="75"/>
      <c r="P2024" s="74"/>
      <c r="Q2024" s="75"/>
      <c r="R2024" s="74"/>
      <c r="S2024" s="74"/>
      <c r="T2024" s="74"/>
      <c r="U2024" s="75"/>
      <c r="V2024" s="74"/>
      <c r="W2024" s="75"/>
      <c r="X2024" s="74"/>
      <c r="Y2024" s="74"/>
      <c r="Z2024" s="74"/>
      <c r="AA2024" s="74"/>
      <c r="AB2024" s="74"/>
      <c r="AC2024" s="74"/>
      <c r="AD2024" s="74"/>
      <c r="AE2024" s="74"/>
      <c r="AF2024" s="74"/>
      <c r="AG2024" s="74"/>
      <c r="AH2024" s="74"/>
    </row>
    <row r="2025" s="73" customFormat="1" spans="1:34">
      <c r="A2025" s="74"/>
      <c r="B2025" s="74"/>
      <c r="C2025" s="74"/>
      <c r="D2025" s="74"/>
      <c r="E2025" s="74"/>
      <c r="F2025" s="74"/>
      <c r="G2025" s="74"/>
      <c r="H2025" s="74"/>
      <c r="I2025" s="74"/>
      <c r="J2025" s="74"/>
      <c r="K2025" s="74"/>
      <c r="L2025" s="74"/>
      <c r="M2025" s="74"/>
      <c r="N2025" s="74"/>
      <c r="O2025" s="75"/>
      <c r="P2025" s="74"/>
      <c r="Q2025" s="75"/>
      <c r="R2025" s="74"/>
      <c r="S2025" s="74"/>
      <c r="T2025" s="74"/>
      <c r="U2025" s="75"/>
      <c r="V2025" s="74"/>
      <c r="W2025" s="75"/>
      <c r="X2025" s="74"/>
      <c r="Y2025" s="74"/>
      <c r="Z2025" s="74"/>
      <c r="AA2025" s="74"/>
      <c r="AB2025" s="74"/>
      <c r="AC2025" s="74"/>
      <c r="AD2025" s="74"/>
      <c r="AE2025" s="74"/>
      <c r="AF2025" s="74"/>
      <c r="AG2025" s="74"/>
      <c r="AH2025" s="74"/>
    </row>
    <row r="2026" s="73" customFormat="1" spans="1:34">
      <c r="A2026" s="74"/>
      <c r="B2026" s="74"/>
      <c r="C2026" s="74"/>
      <c r="D2026" s="74"/>
      <c r="E2026" s="74"/>
      <c r="F2026" s="74"/>
      <c r="G2026" s="74"/>
      <c r="H2026" s="74"/>
      <c r="I2026" s="74"/>
      <c r="J2026" s="74"/>
      <c r="K2026" s="74"/>
      <c r="L2026" s="74"/>
      <c r="M2026" s="74"/>
      <c r="N2026" s="74"/>
      <c r="O2026" s="75"/>
      <c r="P2026" s="74"/>
      <c r="Q2026" s="75"/>
      <c r="R2026" s="74"/>
      <c r="S2026" s="74"/>
      <c r="T2026" s="74"/>
      <c r="U2026" s="75"/>
      <c r="V2026" s="74"/>
      <c r="W2026" s="75"/>
      <c r="X2026" s="74"/>
      <c r="Y2026" s="74"/>
      <c r="Z2026" s="74"/>
      <c r="AA2026" s="74"/>
      <c r="AB2026" s="74"/>
      <c r="AC2026" s="74"/>
      <c r="AD2026" s="74"/>
      <c r="AE2026" s="74"/>
      <c r="AF2026" s="74"/>
      <c r="AG2026" s="74"/>
      <c r="AH2026" s="74"/>
    </row>
    <row r="2027" s="73" customFormat="1" spans="1:34">
      <c r="A2027" s="74"/>
      <c r="B2027" s="74"/>
      <c r="C2027" s="74"/>
      <c r="D2027" s="74"/>
      <c r="E2027" s="74"/>
      <c r="F2027" s="74"/>
      <c r="G2027" s="74"/>
      <c r="H2027" s="74"/>
      <c r="I2027" s="74"/>
      <c r="J2027" s="74"/>
      <c r="K2027" s="74"/>
      <c r="L2027" s="74"/>
      <c r="M2027" s="74"/>
      <c r="N2027" s="74"/>
      <c r="O2027" s="75"/>
      <c r="P2027" s="74"/>
      <c r="Q2027" s="75"/>
      <c r="R2027" s="74"/>
      <c r="S2027" s="74"/>
      <c r="T2027" s="74"/>
      <c r="U2027" s="75"/>
      <c r="V2027" s="74"/>
      <c r="W2027" s="75"/>
      <c r="X2027" s="74"/>
      <c r="Y2027" s="74"/>
      <c r="Z2027" s="74"/>
      <c r="AA2027" s="74"/>
      <c r="AB2027" s="74"/>
      <c r="AC2027" s="74"/>
      <c r="AD2027" s="74"/>
      <c r="AE2027" s="74"/>
      <c r="AF2027" s="74"/>
      <c r="AG2027" s="74"/>
      <c r="AH2027" s="74"/>
    </row>
    <row r="2028" s="73" customFormat="1" spans="1:34">
      <c r="A2028" s="74"/>
      <c r="B2028" s="74"/>
      <c r="C2028" s="74"/>
      <c r="D2028" s="74"/>
      <c r="E2028" s="74"/>
      <c r="F2028" s="74"/>
      <c r="G2028" s="74"/>
      <c r="H2028" s="74"/>
      <c r="I2028" s="74"/>
      <c r="J2028" s="74"/>
      <c r="K2028" s="74"/>
      <c r="L2028" s="74"/>
      <c r="M2028" s="74"/>
      <c r="N2028" s="74"/>
      <c r="O2028" s="75"/>
      <c r="P2028" s="74"/>
      <c r="Q2028" s="75"/>
      <c r="R2028" s="74"/>
      <c r="S2028" s="74"/>
      <c r="T2028" s="74"/>
      <c r="U2028" s="75"/>
      <c r="V2028" s="74"/>
      <c r="W2028" s="75"/>
      <c r="X2028" s="74"/>
      <c r="Y2028" s="74"/>
      <c r="Z2028" s="74"/>
      <c r="AA2028" s="74"/>
      <c r="AB2028" s="74"/>
      <c r="AC2028" s="74"/>
      <c r="AD2028" s="74"/>
      <c r="AE2028" s="74"/>
      <c r="AF2028" s="74"/>
      <c r="AG2028" s="74"/>
      <c r="AH2028" s="74"/>
    </row>
    <row r="2029" s="73" customFormat="1" spans="1:34">
      <c r="A2029" s="74"/>
      <c r="B2029" s="74"/>
      <c r="C2029" s="74"/>
      <c r="D2029" s="74"/>
      <c r="E2029" s="74"/>
      <c r="F2029" s="74"/>
      <c r="G2029" s="74"/>
      <c r="H2029" s="74"/>
      <c r="I2029" s="74"/>
      <c r="J2029" s="74"/>
      <c r="K2029" s="74"/>
      <c r="L2029" s="74"/>
      <c r="M2029" s="74"/>
      <c r="N2029" s="74"/>
      <c r="O2029" s="75"/>
      <c r="P2029" s="74"/>
      <c r="Q2029" s="75"/>
      <c r="R2029" s="74"/>
      <c r="S2029" s="74"/>
      <c r="T2029" s="74"/>
      <c r="U2029" s="75"/>
      <c r="V2029" s="74"/>
      <c r="W2029" s="75"/>
      <c r="X2029" s="74"/>
      <c r="Y2029" s="74"/>
      <c r="Z2029" s="74"/>
      <c r="AA2029" s="74"/>
      <c r="AB2029" s="74"/>
      <c r="AC2029" s="74"/>
      <c r="AD2029" s="74"/>
      <c r="AE2029" s="74"/>
      <c r="AF2029" s="74"/>
      <c r="AG2029" s="74"/>
      <c r="AH2029" s="74"/>
    </row>
    <row r="2030" s="73" customFormat="1" spans="1:34">
      <c r="A2030" s="74"/>
      <c r="B2030" s="74"/>
      <c r="C2030" s="74"/>
      <c r="D2030" s="74"/>
      <c r="E2030" s="74"/>
      <c r="F2030" s="74"/>
      <c r="G2030" s="74"/>
      <c r="H2030" s="74"/>
      <c r="I2030" s="74"/>
      <c r="J2030" s="74"/>
      <c r="K2030" s="74"/>
      <c r="L2030" s="74"/>
      <c r="M2030" s="74"/>
      <c r="N2030" s="74"/>
      <c r="O2030" s="75"/>
      <c r="P2030" s="74"/>
      <c r="Q2030" s="75"/>
      <c r="R2030" s="74"/>
      <c r="S2030" s="74"/>
      <c r="T2030" s="74"/>
      <c r="U2030" s="75"/>
      <c r="V2030" s="74"/>
      <c r="W2030" s="75"/>
      <c r="X2030" s="74"/>
      <c r="Y2030" s="74"/>
      <c r="Z2030" s="74"/>
      <c r="AA2030" s="74"/>
      <c r="AB2030" s="74"/>
      <c r="AC2030" s="74"/>
      <c r="AD2030" s="74"/>
      <c r="AE2030" s="74"/>
      <c r="AF2030" s="74"/>
      <c r="AG2030" s="74"/>
      <c r="AH2030" s="74"/>
    </row>
    <row r="2031" s="73" customFormat="1" spans="1:34">
      <c r="A2031" s="74"/>
      <c r="B2031" s="74"/>
      <c r="C2031" s="74"/>
      <c r="D2031" s="74"/>
      <c r="E2031" s="74"/>
      <c r="F2031" s="74"/>
      <c r="G2031" s="74"/>
      <c r="H2031" s="74"/>
      <c r="I2031" s="74"/>
      <c r="J2031" s="74"/>
      <c r="K2031" s="74"/>
      <c r="L2031" s="74"/>
      <c r="M2031" s="74"/>
      <c r="N2031" s="74"/>
      <c r="O2031" s="75"/>
      <c r="P2031" s="74"/>
      <c r="Q2031" s="75"/>
      <c r="R2031" s="74"/>
      <c r="S2031" s="74"/>
      <c r="T2031" s="74"/>
      <c r="U2031" s="75"/>
      <c r="V2031" s="74"/>
      <c r="W2031" s="75"/>
      <c r="X2031" s="74"/>
      <c r="Y2031" s="74"/>
      <c r="Z2031" s="74"/>
      <c r="AA2031" s="74"/>
      <c r="AB2031" s="74"/>
      <c r="AC2031" s="74"/>
      <c r="AD2031" s="74"/>
      <c r="AE2031" s="74"/>
      <c r="AF2031" s="74"/>
      <c r="AG2031" s="74"/>
      <c r="AH2031" s="74"/>
    </row>
    <row r="2032" s="73" customFormat="1" spans="1:34">
      <c r="A2032" s="74"/>
      <c r="B2032" s="74"/>
      <c r="C2032" s="74"/>
      <c r="D2032" s="74"/>
      <c r="E2032" s="74"/>
      <c r="F2032" s="74"/>
      <c r="G2032" s="74"/>
      <c r="H2032" s="74"/>
      <c r="I2032" s="74"/>
      <c r="J2032" s="74"/>
      <c r="K2032" s="74"/>
      <c r="L2032" s="74"/>
      <c r="M2032" s="74"/>
      <c r="N2032" s="74"/>
      <c r="O2032" s="75"/>
      <c r="P2032" s="74"/>
      <c r="Q2032" s="75"/>
      <c r="R2032" s="74"/>
      <c r="S2032" s="74"/>
      <c r="T2032" s="74"/>
      <c r="U2032" s="75"/>
      <c r="V2032" s="74"/>
      <c r="W2032" s="75"/>
      <c r="X2032" s="74"/>
      <c r="Y2032" s="74"/>
      <c r="Z2032" s="74"/>
      <c r="AA2032" s="74"/>
      <c r="AB2032" s="74"/>
      <c r="AC2032" s="74"/>
      <c r="AD2032" s="74"/>
      <c r="AE2032" s="74"/>
      <c r="AF2032" s="74"/>
      <c r="AG2032" s="74"/>
      <c r="AH2032" s="74"/>
    </row>
    <row r="2033" s="73" customFormat="1" spans="1:34">
      <c r="A2033" s="74"/>
      <c r="B2033" s="74"/>
      <c r="C2033" s="74"/>
      <c r="D2033" s="74"/>
      <c r="E2033" s="74"/>
      <c r="F2033" s="74"/>
      <c r="G2033" s="74"/>
      <c r="H2033" s="74"/>
      <c r="I2033" s="74"/>
      <c r="J2033" s="74"/>
      <c r="K2033" s="74"/>
      <c r="L2033" s="74"/>
      <c r="M2033" s="74"/>
      <c r="N2033" s="74"/>
      <c r="O2033" s="75"/>
      <c r="P2033" s="74"/>
      <c r="Q2033" s="75"/>
      <c r="R2033" s="74"/>
      <c r="S2033" s="74"/>
      <c r="T2033" s="74"/>
      <c r="U2033" s="75"/>
      <c r="V2033" s="74"/>
      <c r="W2033" s="75"/>
      <c r="X2033" s="74"/>
      <c r="Y2033" s="74"/>
      <c r="Z2033" s="74"/>
      <c r="AA2033" s="74"/>
      <c r="AB2033" s="74"/>
      <c r="AC2033" s="74"/>
      <c r="AD2033" s="74"/>
      <c r="AE2033" s="74"/>
      <c r="AF2033" s="74"/>
      <c r="AG2033" s="74"/>
      <c r="AH2033" s="74"/>
    </row>
    <row r="2034" s="73" customFormat="1" spans="1:34">
      <c r="A2034" s="74"/>
      <c r="B2034" s="74"/>
      <c r="C2034" s="74"/>
      <c r="D2034" s="74"/>
      <c r="E2034" s="74"/>
      <c r="F2034" s="74"/>
      <c r="G2034" s="74"/>
      <c r="H2034" s="74"/>
      <c r="I2034" s="74"/>
      <c r="J2034" s="74"/>
      <c r="K2034" s="74"/>
      <c r="L2034" s="74"/>
      <c r="M2034" s="74"/>
      <c r="N2034" s="74"/>
      <c r="O2034" s="75"/>
      <c r="P2034" s="74"/>
      <c r="Q2034" s="75"/>
      <c r="R2034" s="74"/>
      <c r="S2034" s="74"/>
      <c r="T2034" s="74"/>
      <c r="U2034" s="75"/>
      <c r="V2034" s="74"/>
      <c r="W2034" s="75"/>
      <c r="X2034" s="74"/>
      <c r="Y2034" s="74"/>
      <c r="Z2034" s="74"/>
      <c r="AA2034" s="74"/>
      <c r="AB2034" s="74"/>
      <c r="AC2034" s="74"/>
      <c r="AD2034" s="74"/>
      <c r="AE2034" s="74"/>
      <c r="AF2034" s="74"/>
      <c r="AG2034" s="74"/>
      <c r="AH2034" s="74"/>
    </row>
    <row r="2035" s="73" customFormat="1" spans="1:34">
      <c r="A2035" s="74"/>
      <c r="B2035" s="74"/>
      <c r="C2035" s="74"/>
      <c r="D2035" s="74"/>
      <c r="E2035" s="74"/>
      <c r="F2035" s="74"/>
      <c r="G2035" s="74"/>
      <c r="H2035" s="74"/>
      <c r="I2035" s="74"/>
      <c r="J2035" s="74"/>
      <c r="K2035" s="74"/>
      <c r="L2035" s="74"/>
      <c r="M2035" s="74"/>
      <c r="N2035" s="74"/>
      <c r="O2035" s="75"/>
      <c r="P2035" s="74"/>
      <c r="Q2035" s="75"/>
      <c r="R2035" s="74"/>
      <c r="S2035" s="74"/>
      <c r="T2035" s="74"/>
      <c r="U2035" s="75"/>
      <c r="V2035" s="74"/>
      <c r="W2035" s="75"/>
      <c r="X2035" s="74"/>
      <c r="Y2035" s="74"/>
      <c r="Z2035" s="74"/>
      <c r="AA2035" s="74"/>
      <c r="AB2035" s="74"/>
      <c r="AC2035" s="74"/>
      <c r="AD2035" s="74"/>
      <c r="AE2035" s="74"/>
      <c r="AF2035" s="74"/>
      <c r="AG2035" s="74"/>
      <c r="AH2035" s="74"/>
    </row>
    <row r="2036" s="73" customFormat="1" spans="1:34">
      <c r="A2036" s="74"/>
      <c r="B2036" s="74"/>
      <c r="C2036" s="74"/>
      <c r="D2036" s="74"/>
      <c r="E2036" s="74"/>
      <c r="F2036" s="74"/>
      <c r="G2036" s="74"/>
      <c r="H2036" s="74"/>
      <c r="I2036" s="74"/>
      <c r="J2036" s="74"/>
      <c r="K2036" s="74"/>
      <c r="L2036" s="74"/>
      <c r="M2036" s="74"/>
      <c r="N2036" s="74"/>
      <c r="O2036" s="75"/>
      <c r="P2036" s="74"/>
      <c r="Q2036" s="75"/>
      <c r="R2036" s="74"/>
      <c r="S2036" s="74"/>
      <c r="T2036" s="74"/>
      <c r="U2036" s="75"/>
      <c r="V2036" s="74"/>
      <c r="W2036" s="75"/>
      <c r="X2036" s="74"/>
      <c r="Y2036" s="74"/>
      <c r="Z2036" s="74"/>
      <c r="AA2036" s="74"/>
      <c r="AB2036" s="74"/>
      <c r="AC2036" s="74"/>
      <c r="AD2036" s="74"/>
      <c r="AE2036" s="74"/>
      <c r="AF2036" s="74"/>
      <c r="AG2036" s="74"/>
      <c r="AH2036" s="74"/>
    </row>
    <row r="2037" s="73" customFormat="1" spans="1:34">
      <c r="A2037" s="74"/>
      <c r="B2037" s="74"/>
      <c r="C2037" s="74"/>
      <c r="D2037" s="74"/>
      <c r="E2037" s="74"/>
      <c r="F2037" s="74"/>
      <c r="G2037" s="74"/>
      <c r="H2037" s="74"/>
      <c r="I2037" s="74"/>
      <c r="J2037" s="74"/>
      <c r="K2037" s="74"/>
      <c r="L2037" s="74"/>
      <c r="M2037" s="74"/>
      <c r="N2037" s="74"/>
      <c r="O2037" s="75"/>
      <c r="P2037" s="74"/>
      <c r="Q2037" s="75"/>
      <c r="R2037" s="74"/>
      <c r="S2037" s="74"/>
      <c r="T2037" s="74"/>
      <c r="U2037" s="75"/>
      <c r="V2037" s="74"/>
      <c r="W2037" s="75"/>
      <c r="X2037" s="74"/>
      <c r="Y2037" s="74"/>
      <c r="Z2037" s="74"/>
      <c r="AA2037" s="74"/>
      <c r="AB2037" s="74"/>
      <c r="AC2037" s="74"/>
      <c r="AD2037" s="74"/>
      <c r="AE2037" s="74"/>
      <c r="AF2037" s="74"/>
      <c r="AG2037" s="74"/>
      <c r="AH2037" s="74"/>
    </row>
    <row r="2038" s="73" customFormat="1" spans="1:34">
      <c r="A2038" s="74"/>
      <c r="B2038" s="74"/>
      <c r="C2038" s="74"/>
      <c r="D2038" s="74"/>
      <c r="E2038" s="74"/>
      <c r="F2038" s="74"/>
      <c r="G2038" s="74"/>
      <c r="H2038" s="74"/>
      <c r="I2038" s="74"/>
      <c r="J2038" s="74"/>
      <c r="K2038" s="74"/>
      <c r="L2038" s="74"/>
      <c r="M2038" s="74"/>
      <c r="N2038" s="74"/>
      <c r="O2038" s="75"/>
      <c r="P2038" s="74"/>
      <c r="Q2038" s="75"/>
      <c r="R2038" s="74"/>
      <c r="S2038" s="74"/>
      <c r="T2038" s="74"/>
      <c r="U2038" s="75"/>
      <c r="V2038" s="74"/>
      <c r="W2038" s="75"/>
      <c r="X2038" s="74"/>
      <c r="Y2038" s="74"/>
      <c r="Z2038" s="74"/>
      <c r="AA2038" s="74"/>
      <c r="AB2038" s="74"/>
      <c r="AC2038" s="74"/>
      <c r="AD2038" s="74"/>
      <c r="AE2038" s="74"/>
      <c r="AF2038" s="74"/>
      <c r="AG2038" s="74"/>
      <c r="AH2038" s="74"/>
    </row>
    <row r="2039" s="73" customFormat="1" spans="1:34">
      <c r="A2039" s="74"/>
      <c r="B2039" s="74"/>
      <c r="C2039" s="74"/>
      <c r="D2039" s="74"/>
      <c r="E2039" s="74"/>
      <c r="F2039" s="74"/>
      <c r="G2039" s="74"/>
      <c r="H2039" s="74"/>
      <c r="I2039" s="74"/>
      <c r="J2039" s="74"/>
      <c r="K2039" s="74"/>
      <c r="L2039" s="74"/>
      <c r="M2039" s="74"/>
      <c r="N2039" s="74"/>
      <c r="O2039" s="75"/>
      <c r="P2039" s="74"/>
      <c r="Q2039" s="75"/>
      <c r="R2039" s="74"/>
      <c r="S2039" s="74"/>
      <c r="T2039" s="74"/>
      <c r="U2039" s="75"/>
      <c r="V2039" s="74"/>
      <c r="W2039" s="75"/>
      <c r="X2039" s="74"/>
      <c r="Y2039" s="74"/>
      <c r="Z2039" s="74"/>
      <c r="AA2039" s="74"/>
      <c r="AB2039" s="74"/>
      <c r="AC2039" s="74"/>
      <c r="AD2039" s="74"/>
      <c r="AE2039" s="74"/>
      <c r="AF2039" s="74"/>
      <c r="AG2039" s="74"/>
      <c r="AH2039" s="74"/>
    </row>
    <row r="2040" s="73" customFormat="1" spans="1:34">
      <c r="A2040" s="74"/>
      <c r="B2040" s="74"/>
      <c r="C2040" s="74"/>
      <c r="D2040" s="74"/>
      <c r="E2040" s="74"/>
      <c r="F2040" s="74"/>
      <c r="G2040" s="74"/>
      <c r="H2040" s="74"/>
      <c r="I2040" s="74"/>
      <c r="J2040" s="74"/>
      <c r="K2040" s="74"/>
      <c r="L2040" s="74"/>
      <c r="M2040" s="74"/>
      <c r="N2040" s="74"/>
      <c r="O2040" s="75"/>
      <c r="P2040" s="74"/>
      <c r="Q2040" s="75"/>
      <c r="R2040" s="74"/>
      <c r="S2040" s="74"/>
      <c r="T2040" s="74"/>
      <c r="U2040" s="75"/>
      <c r="V2040" s="74"/>
      <c r="W2040" s="75"/>
      <c r="X2040" s="74"/>
      <c r="Y2040" s="74"/>
      <c r="Z2040" s="74"/>
      <c r="AA2040" s="74"/>
      <c r="AB2040" s="74"/>
      <c r="AC2040" s="74"/>
      <c r="AD2040" s="74"/>
      <c r="AE2040" s="74"/>
      <c r="AF2040" s="74"/>
      <c r="AG2040" s="74"/>
      <c r="AH2040" s="74"/>
    </row>
    <row r="2041" s="73" customFormat="1" spans="1:34">
      <c r="A2041" s="74"/>
      <c r="B2041" s="74"/>
      <c r="C2041" s="74"/>
      <c r="D2041" s="74"/>
      <c r="E2041" s="74"/>
      <c r="F2041" s="74"/>
      <c r="G2041" s="74"/>
      <c r="H2041" s="74"/>
      <c r="I2041" s="74"/>
      <c r="J2041" s="74"/>
      <c r="K2041" s="74"/>
      <c r="L2041" s="74"/>
      <c r="M2041" s="74"/>
      <c r="N2041" s="74"/>
      <c r="O2041" s="75"/>
      <c r="P2041" s="74"/>
      <c r="Q2041" s="75"/>
      <c r="R2041" s="74"/>
      <c r="S2041" s="74"/>
      <c r="T2041" s="74"/>
      <c r="U2041" s="75"/>
      <c r="V2041" s="74"/>
      <c r="W2041" s="75"/>
      <c r="X2041" s="74"/>
      <c r="Y2041" s="74"/>
      <c r="Z2041" s="74"/>
      <c r="AA2041" s="74"/>
      <c r="AB2041" s="74"/>
      <c r="AC2041" s="74"/>
      <c r="AD2041" s="74"/>
      <c r="AE2041" s="74"/>
      <c r="AF2041" s="74"/>
      <c r="AG2041" s="74"/>
      <c r="AH2041" s="74"/>
    </row>
    <row r="2042" s="73" customFormat="1" spans="1:34">
      <c r="A2042" s="74"/>
      <c r="B2042" s="74"/>
      <c r="C2042" s="74"/>
      <c r="D2042" s="74"/>
      <c r="E2042" s="74"/>
      <c r="F2042" s="74"/>
      <c r="G2042" s="74"/>
      <c r="H2042" s="74"/>
      <c r="I2042" s="74"/>
      <c r="J2042" s="74"/>
      <c r="K2042" s="74"/>
      <c r="L2042" s="74"/>
      <c r="M2042" s="74"/>
      <c r="N2042" s="74"/>
      <c r="O2042" s="75"/>
      <c r="P2042" s="74"/>
      <c r="Q2042" s="75"/>
      <c r="R2042" s="74"/>
      <c r="S2042" s="74"/>
      <c r="T2042" s="74"/>
      <c r="U2042" s="75"/>
      <c r="V2042" s="74"/>
      <c r="W2042" s="75"/>
      <c r="X2042" s="74"/>
      <c r="Y2042" s="74"/>
      <c r="Z2042" s="74"/>
      <c r="AA2042" s="74"/>
      <c r="AB2042" s="74"/>
      <c r="AC2042" s="74"/>
      <c r="AD2042" s="74"/>
      <c r="AE2042" s="74"/>
      <c r="AF2042" s="74"/>
      <c r="AG2042" s="74"/>
      <c r="AH2042" s="74"/>
    </row>
    <row r="2043" s="73" customFormat="1" spans="1:34">
      <c r="A2043" s="74"/>
      <c r="B2043" s="74"/>
      <c r="C2043" s="74"/>
      <c r="D2043" s="74"/>
      <c r="E2043" s="74"/>
      <c r="F2043" s="74"/>
      <c r="G2043" s="74"/>
      <c r="H2043" s="74"/>
      <c r="I2043" s="74"/>
      <c r="J2043" s="74"/>
      <c r="K2043" s="74"/>
      <c r="L2043" s="74"/>
      <c r="M2043" s="74"/>
      <c r="N2043" s="74"/>
      <c r="O2043" s="75"/>
      <c r="P2043" s="74"/>
      <c r="Q2043" s="75"/>
      <c r="R2043" s="74"/>
      <c r="S2043" s="74"/>
      <c r="T2043" s="74"/>
      <c r="U2043" s="75"/>
      <c r="V2043" s="74"/>
      <c r="W2043" s="75"/>
      <c r="X2043" s="74"/>
      <c r="Y2043" s="74"/>
      <c r="Z2043" s="74"/>
      <c r="AA2043" s="74"/>
      <c r="AB2043" s="74"/>
      <c r="AC2043" s="74"/>
      <c r="AD2043" s="74"/>
      <c r="AE2043" s="74"/>
      <c r="AF2043" s="74"/>
      <c r="AG2043" s="74"/>
      <c r="AH2043" s="74"/>
    </row>
    <row r="2044" s="73" customFormat="1" spans="1:34">
      <c r="A2044" s="74"/>
      <c r="B2044" s="74"/>
      <c r="C2044" s="74"/>
      <c r="D2044" s="74"/>
      <c r="E2044" s="74"/>
      <c r="F2044" s="74"/>
      <c r="G2044" s="74"/>
      <c r="H2044" s="74"/>
      <c r="I2044" s="74"/>
      <c r="J2044" s="74"/>
      <c r="K2044" s="74"/>
      <c r="L2044" s="74"/>
      <c r="M2044" s="74"/>
      <c r="N2044" s="74"/>
      <c r="O2044" s="75"/>
      <c r="P2044" s="74"/>
      <c r="Q2044" s="75"/>
      <c r="R2044" s="74"/>
      <c r="S2044" s="74"/>
      <c r="T2044" s="74"/>
      <c r="U2044" s="75"/>
      <c r="V2044" s="74"/>
      <c r="W2044" s="75"/>
      <c r="X2044" s="74"/>
      <c r="Y2044" s="74"/>
      <c r="Z2044" s="74"/>
      <c r="AA2044" s="74"/>
      <c r="AB2044" s="74"/>
      <c r="AC2044" s="74"/>
      <c r="AD2044" s="74"/>
      <c r="AE2044" s="74"/>
      <c r="AF2044" s="74"/>
      <c r="AG2044" s="74"/>
      <c r="AH2044" s="74"/>
    </row>
    <row r="2045" s="73" customFormat="1" spans="1:34">
      <c r="A2045" s="74"/>
      <c r="B2045" s="74"/>
      <c r="C2045" s="74"/>
      <c r="D2045" s="74"/>
      <c r="E2045" s="74"/>
      <c r="F2045" s="74"/>
      <c r="G2045" s="74"/>
      <c r="H2045" s="74"/>
      <c r="I2045" s="74"/>
      <c r="J2045" s="74"/>
      <c r="K2045" s="74"/>
      <c r="L2045" s="74"/>
      <c r="M2045" s="74"/>
      <c r="N2045" s="74"/>
      <c r="O2045" s="75"/>
      <c r="P2045" s="74"/>
      <c r="Q2045" s="75"/>
      <c r="R2045" s="74"/>
      <c r="S2045" s="74"/>
      <c r="T2045" s="74"/>
      <c r="U2045" s="75"/>
      <c r="V2045" s="74"/>
      <c r="W2045" s="75"/>
      <c r="X2045" s="74"/>
      <c r="Y2045" s="74"/>
      <c r="Z2045" s="74"/>
      <c r="AA2045" s="74"/>
      <c r="AB2045" s="74"/>
      <c r="AC2045" s="74"/>
      <c r="AD2045" s="74"/>
      <c r="AE2045" s="74"/>
      <c r="AF2045" s="74"/>
      <c r="AG2045" s="74"/>
      <c r="AH2045" s="74"/>
    </row>
    <row r="2046" s="73" customFormat="1" spans="1:34">
      <c r="A2046" s="74"/>
      <c r="B2046" s="74"/>
      <c r="C2046" s="74"/>
      <c r="D2046" s="74"/>
      <c r="E2046" s="74"/>
      <c r="F2046" s="74"/>
      <c r="G2046" s="74"/>
      <c r="H2046" s="74"/>
      <c r="I2046" s="74"/>
      <c r="J2046" s="74"/>
      <c r="K2046" s="74"/>
      <c r="L2046" s="74"/>
      <c r="M2046" s="74"/>
      <c r="N2046" s="74"/>
      <c r="O2046" s="75"/>
      <c r="P2046" s="74"/>
      <c r="Q2046" s="75"/>
      <c r="R2046" s="74"/>
      <c r="S2046" s="74"/>
      <c r="T2046" s="74"/>
      <c r="U2046" s="75"/>
      <c r="V2046" s="74"/>
      <c r="W2046" s="75"/>
      <c r="X2046" s="74"/>
      <c r="Y2046" s="74"/>
      <c r="Z2046" s="74"/>
      <c r="AA2046" s="74"/>
      <c r="AB2046" s="74"/>
      <c r="AC2046" s="74"/>
      <c r="AD2046" s="74"/>
      <c r="AE2046" s="74"/>
      <c r="AF2046" s="74"/>
      <c r="AG2046" s="74"/>
      <c r="AH2046" s="74"/>
    </row>
    <row r="2047" s="73" customFormat="1" spans="1:34">
      <c r="A2047" s="74"/>
      <c r="B2047" s="74"/>
      <c r="C2047" s="74"/>
      <c r="D2047" s="74"/>
      <c r="E2047" s="74"/>
      <c r="F2047" s="74"/>
      <c r="G2047" s="74"/>
      <c r="H2047" s="74"/>
      <c r="I2047" s="74"/>
      <c r="J2047" s="74"/>
      <c r="K2047" s="74"/>
      <c r="L2047" s="74"/>
      <c r="M2047" s="74"/>
      <c r="N2047" s="74"/>
      <c r="O2047" s="75"/>
      <c r="P2047" s="74"/>
      <c r="Q2047" s="75"/>
      <c r="R2047" s="74"/>
      <c r="S2047" s="74"/>
      <c r="T2047" s="74"/>
      <c r="U2047" s="75"/>
      <c r="V2047" s="74"/>
      <c r="W2047" s="75"/>
      <c r="X2047" s="74"/>
      <c r="Y2047" s="74"/>
      <c r="Z2047" s="74"/>
      <c r="AA2047" s="74"/>
      <c r="AB2047" s="74"/>
      <c r="AC2047" s="74"/>
      <c r="AD2047" s="74"/>
      <c r="AE2047" s="74"/>
      <c r="AF2047" s="74"/>
      <c r="AG2047" s="74"/>
      <c r="AH2047" s="74"/>
    </row>
    <row r="2048" s="73" customFormat="1" spans="1:34">
      <c r="A2048" s="74"/>
      <c r="B2048" s="74"/>
      <c r="C2048" s="74"/>
      <c r="D2048" s="74"/>
      <c r="E2048" s="74"/>
      <c r="F2048" s="74"/>
      <c r="G2048" s="74"/>
      <c r="H2048" s="74"/>
      <c r="I2048" s="74"/>
      <c r="J2048" s="74"/>
      <c r="K2048" s="74"/>
      <c r="L2048" s="74"/>
      <c r="M2048" s="74"/>
      <c r="N2048" s="74"/>
      <c r="O2048" s="75"/>
      <c r="P2048" s="74"/>
      <c r="Q2048" s="75"/>
      <c r="R2048" s="74"/>
      <c r="S2048" s="74"/>
      <c r="T2048" s="74"/>
      <c r="U2048" s="75"/>
      <c r="V2048" s="74"/>
      <c r="W2048" s="75"/>
      <c r="X2048" s="74"/>
      <c r="Y2048" s="74"/>
      <c r="Z2048" s="74"/>
      <c r="AA2048" s="74"/>
      <c r="AB2048" s="74"/>
      <c r="AC2048" s="74"/>
      <c r="AD2048" s="74"/>
      <c r="AE2048" s="74"/>
      <c r="AF2048" s="74"/>
      <c r="AG2048" s="74"/>
      <c r="AH2048" s="74"/>
    </row>
    <row r="2049" s="73" customFormat="1" spans="1:34">
      <c r="A2049" s="74"/>
      <c r="B2049" s="74"/>
      <c r="C2049" s="74"/>
      <c r="D2049" s="74"/>
      <c r="E2049" s="74"/>
      <c r="F2049" s="74"/>
      <c r="G2049" s="74"/>
      <c r="H2049" s="74"/>
      <c r="I2049" s="74"/>
      <c r="J2049" s="74"/>
      <c r="K2049" s="74"/>
      <c r="L2049" s="74"/>
      <c r="M2049" s="74"/>
      <c r="N2049" s="74"/>
      <c r="O2049" s="75"/>
      <c r="P2049" s="74"/>
      <c r="Q2049" s="75"/>
      <c r="R2049" s="74"/>
      <c r="S2049" s="74"/>
      <c r="T2049" s="74"/>
      <c r="U2049" s="75"/>
      <c r="V2049" s="74"/>
      <c r="W2049" s="75"/>
      <c r="X2049" s="74"/>
      <c r="Y2049" s="74"/>
      <c r="Z2049" s="74"/>
      <c r="AA2049" s="74"/>
      <c r="AB2049" s="74"/>
      <c r="AC2049" s="74"/>
      <c r="AD2049" s="74"/>
      <c r="AE2049" s="74"/>
      <c r="AF2049" s="74"/>
      <c r="AG2049" s="74"/>
      <c r="AH2049" s="74"/>
    </row>
    <row r="2050" s="73" customFormat="1" spans="1:34">
      <c r="A2050" s="74"/>
      <c r="B2050" s="74"/>
      <c r="C2050" s="74"/>
      <c r="D2050" s="74"/>
      <c r="E2050" s="74"/>
      <c r="F2050" s="74"/>
      <c r="G2050" s="74"/>
      <c r="H2050" s="74"/>
      <c r="I2050" s="74"/>
      <c r="J2050" s="74"/>
      <c r="K2050" s="74"/>
      <c r="L2050" s="74"/>
      <c r="M2050" s="74"/>
      <c r="N2050" s="74"/>
      <c r="O2050" s="75"/>
      <c r="P2050" s="74"/>
      <c r="Q2050" s="75"/>
      <c r="R2050" s="74"/>
      <c r="S2050" s="74"/>
      <c r="T2050" s="74"/>
      <c r="U2050" s="75"/>
      <c r="V2050" s="74"/>
      <c r="W2050" s="75"/>
      <c r="X2050" s="74"/>
      <c r="Y2050" s="74"/>
      <c r="Z2050" s="74"/>
      <c r="AA2050" s="74"/>
      <c r="AB2050" s="74"/>
      <c r="AC2050" s="74"/>
      <c r="AD2050" s="74"/>
      <c r="AE2050" s="74"/>
      <c r="AF2050" s="74"/>
      <c r="AG2050" s="74"/>
      <c r="AH2050" s="74"/>
    </row>
    <row r="2051" s="73" customFormat="1" spans="1:34">
      <c r="A2051" s="74"/>
      <c r="B2051" s="74"/>
      <c r="C2051" s="74"/>
      <c r="D2051" s="74"/>
      <c r="E2051" s="74"/>
      <c r="F2051" s="74"/>
      <c r="G2051" s="74"/>
      <c r="H2051" s="74"/>
      <c r="I2051" s="74"/>
      <c r="J2051" s="74"/>
      <c r="K2051" s="74"/>
      <c r="L2051" s="74"/>
      <c r="M2051" s="74"/>
      <c r="N2051" s="74"/>
      <c r="O2051" s="75"/>
      <c r="P2051" s="74"/>
      <c r="Q2051" s="75"/>
      <c r="R2051" s="74"/>
      <c r="S2051" s="74"/>
      <c r="T2051" s="74"/>
      <c r="U2051" s="75"/>
      <c r="V2051" s="74"/>
      <c r="W2051" s="75"/>
      <c r="X2051" s="74"/>
      <c r="Y2051" s="74"/>
      <c r="Z2051" s="74"/>
      <c r="AA2051" s="74"/>
      <c r="AB2051" s="74"/>
      <c r="AC2051" s="74"/>
      <c r="AD2051" s="74"/>
      <c r="AE2051" s="74"/>
      <c r="AF2051" s="74"/>
      <c r="AG2051" s="74"/>
      <c r="AH2051" s="74"/>
    </row>
    <row r="2052" s="73" customFormat="1" spans="1:34">
      <c r="A2052" s="74"/>
      <c r="B2052" s="74"/>
      <c r="C2052" s="74"/>
      <c r="D2052" s="74"/>
      <c r="E2052" s="74"/>
      <c r="F2052" s="74"/>
      <c r="G2052" s="74"/>
      <c r="H2052" s="74"/>
      <c r="I2052" s="74"/>
      <c r="J2052" s="74"/>
      <c r="K2052" s="74"/>
      <c r="L2052" s="74"/>
      <c r="M2052" s="74"/>
      <c r="N2052" s="74"/>
      <c r="O2052" s="75"/>
      <c r="P2052" s="74"/>
      <c r="Q2052" s="75"/>
      <c r="R2052" s="74"/>
      <c r="S2052" s="74"/>
      <c r="T2052" s="74"/>
      <c r="U2052" s="75"/>
      <c r="V2052" s="74"/>
      <c r="W2052" s="75"/>
      <c r="X2052" s="74"/>
      <c r="Y2052" s="74"/>
      <c r="Z2052" s="74"/>
      <c r="AA2052" s="74"/>
      <c r="AB2052" s="74"/>
      <c r="AC2052" s="74"/>
      <c r="AD2052" s="74"/>
      <c r="AE2052" s="74"/>
      <c r="AF2052" s="74"/>
      <c r="AG2052" s="74"/>
      <c r="AH2052" s="74"/>
    </row>
    <row r="2053" s="73" customFormat="1" spans="1:34">
      <c r="A2053" s="74"/>
      <c r="B2053" s="74"/>
      <c r="C2053" s="74"/>
      <c r="D2053" s="74"/>
      <c r="E2053" s="74"/>
      <c r="F2053" s="74"/>
      <c r="G2053" s="74"/>
      <c r="H2053" s="74"/>
      <c r="I2053" s="74"/>
      <c r="J2053" s="74"/>
      <c r="K2053" s="74"/>
      <c r="L2053" s="74"/>
      <c r="M2053" s="74"/>
      <c r="N2053" s="74"/>
      <c r="O2053" s="75"/>
      <c r="P2053" s="74"/>
      <c r="Q2053" s="75"/>
      <c r="R2053" s="74"/>
      <c r="S2053" s="74"/>
      <c r="T2053" s="74"/>
      <c r="U2053" s="75"/>
      <c r="V2053" s="74"/>
      <c r="W2053" s="75"/>
      <c r="X2053" s="74"/>
      <c r="Y2053" s="74"/>
      <c r="Z2053" s="74"/>
      <c r="AA2053" s="74"/>
      <c r="AB2053" s="74"/>
      <c r="AC2053" s="74"/>
      <c r="AD2053" s="74"/>
      <c r="AE2053" s="74"/>
      <c r="AF2053" s="74"/>
      <c r="AG2053" s="74"/>
      <c r="AH2053" s="74"/>
    </row>
    <row r="2054" s="73" customFormat="1" spans="1:34">
      <c r="A2054" s="74"/>
      <c r="B2054" s="74"/>
      <c r="C2054" s="74"/>
      <c r="D2054" s="74"/>
      <c r="E2054" s="74"/>
      <c r="F2054" s="74"/>
      <c r="G2054" s="74"/>
      <c r="H2054" s="74"/>
      <c r="I2054" s="74"/>
      <c r="J2054" s="74"/>
      <c r="K2054" s="74"/>
      <c r="L2054" s="74"/>
      <c r="M2054" s="74"/>
      <c r="N2054" s="74"/>
      <c r="O2054" s="75"/>
      <c r="P2054" s="74"/>
      <c r="Q2054" s="75"/>
      <c r="R2054" s="74"/>
      <c r="S2054" s="74"/>
      <c r="T2054" s="74"/>
      <c r="U2054" s="75"/>
      <c r="V2054" s="74"/>
      <c r="W2054" s="75"/>
      <c r="X2054" s="74"/>
      <c r="Y2054" s="74"/>
      <c r="Z2054" s="74"/>
      <c r="AA2054" s="74"/>
      <c r="AB2054" s="74"/>
      <c r="AC2054" s="74"/>
      <c r="AD2054" s="74"/>
      <c r="AE2054" s="74"/>
      <c r="AF2054" s="74"/>
      <c r="AG2054" s="74"/>
      <c r="AH2054" s="74"/>
    </row>
    <row r="2055" s="73" customFormat="1" spans="1:34">
      <c r="A2055" s="74"/>
      <c r="B2055" s="74"/>
      <c r="C2055" s="74"/>
      <c r="D2055" s="74"/>
      <c r="E2055" s="74"/>
      <c r="F2055" s="74"/>
      <c r="G2055" s="74"/>
      <c r="H2055" s="74"/>
      <c r="I2055" s="74"/>
      <c r="J2055" s="74"/>
      <c r="K2055" s="74"/>
      <c r="L2055" s="74"/>
      <c r="M2055" s="74"/>
      <c r="N2055" s="74"/>
      <c r="O2055" s="75"/>
      <c r="P2055" s="74"/>
      <c r="Q2055" s="75"/>
      <c r="R2055" s="74"/>
      <c r="S2055" s="74"/>
      <c r="T2055" s="74"/>
      <c r="U2055" s="75"/>
      <c r="V2055" s="74"/>
      <c r="W2055" s="75"/>
      <c r="X2055" s="74"/>
      <c r="Y2055" s="74"/>
      <c r="Z2055" s="74"/>
      <c r="AA2055" s="74"/>
      <c r="AB2055" s="74"/>
      <c r="AC2055" s="74"/>
      <c r="AD2055" s="74"/>
      <c r="AE2055" s="74"/>
      <c r="AF2055" s="74"/>
      <c r="AG2055" s="74"/>
      <c r="AH2055" s="74"/>
    </row>
    <row r="2056" s="73" customFormat="1" spans="1:34">
      <c r="A2056" s="74"/>
      <c r="B2056" s="74"/>
      <c r="C2056" s="74"/>
      <c r="D2056" s="74"/>
      <c r="E2056" s="74"/>
      <c r="F2056" s="74"/>
      <c r="G2056" s="74"/>
      <c r="H2056" s="74"/>
      <c r="I2056" s="74"/>
      <c r="J2056" s="74"/>
      <c r="K2056" s="74"/>
      <c r="L2056" s="74"/>
      <c r="M2056" s="74"/>
      <c r="N2056" s="74"/>
      <c r="O2056" s="75"/>
      <c r="P2056" s="74"/>
      <c r="Q2056" s="75"/>
      <c r="R2056" s="74"/>
      <c r="S2056" s="74"/>
      <c r="T2056" s="74"/>
      <c r="U2056" s="75"/>
      <c r="V2056" s="74"/>
      <c r="W2056" s="75"/>
      <c r="X2056" s="74"/>
      <c r="Y2056" s="74"/>
      <c r="Z2056" s="74"/>
      <c r="AA2056" s="74"/>
      <c r="AB2056" s="74"/>
      <c r="AC2056" s="74"/>
      <c r="AD2056" s="74"/>
      <c r="AE2056" s="74"/>
      <c r="AF2056" s="74"/>
      <c r="AG2056" s="74"/>
      <c r="AH2056" s="74"/>
    </row>
    <row r="2057" s="73" customFormat="1" spans="1:34">
      <c r="A2057" s="74"/>
      <c r="B2057" s="74"/>
      <c r="C2057" s="74"/>
      <c r="D2057" s="74"/>
      <c r="E2057" s="74"/>
      <c r="F2057" s="74"/>
      <c r="G2057" s="74"/>
      <c r="H2057" s="74"/>
      <c r="I2057" s="74"/>
      <c r="J2057" s="74"/>
      <c r="K2057" s="74"/>
      <c r="L2057" s="74"/>
      <c r="M2057" s="74"/>
      <c r="N2057" s="74"/>
      <c r="O2057" s="75"/>
      <c r="P2057" s="74"/>
      <c r="Q2057" s="75"/>
      <c r="R2057" s="74"/>
      <c r="S2057" s="74"/>
      <c r="T2057" s="74"/>
      <c r="U2057" s="75"/>
      <c r="V2057" s="74"/>
      <c r="W2057" s="75"/>
      <c r="X2057" s="74"/>
      <c r="Y2057" s="74"/>
      <c r="Z2057" s="74"/>
      <c r="AA2057" s="74"/>
      <c r="AB2057" s="74"/>
      <c r="AC2057" s="74"/>
      <c r="AD2057" s="74"/>
      <c r="AE2057" s="74"/>
      <c r="AF2057" s="74"/>
      <c r="AG2057" s="74"/>
      <c r="AH2057" s="74"/>
    </row>
    <row r="2058" s="73" customFormat="1" spans="1:34">
      <c r="A2058" s="74"/>
      <c r="B2058" s="74"/>
      <c r="C2058" s="74"/>
      <c r="D2058" s="74"/>
      <c r="E2058" s="74"/>
      <c r="F2058" s="74"/>
      <c r="G2058" s="74"/>
      <c r="H2058" s="74"/>
      <c r="I2058" s="74"/>
      <c r="J2058" s="74"/>
      <c r="K2058" s="74"/>
      <c r="L2058" s="74"/>
      <c r="M2058" s="74"/>
      <c r="N2058" s="74"/>
      <c r="O2058" s="75"/>
      <c r="P2058" s="74"/>
      <c r="Q2058" s="75"/>
      <c r="R2058" s="74"/>
      <c r="S2058" s="74"/>
      <c r="T2058" s="74"/>
      <c r="U2058" s="75"/>
      <c r="V2058" s="74"/>
      <c r="W2058" s="75"/>
      <c r="X2058" s="74"/>
      <c r="Y2058" s="74"/>
      <c r="Z2058" s="74"/>
      <c r="AA2058" s="74"/>
      <c r="AB2058" s="74"/>
      <c r="AC2058" s="74"/>
      <c r="AD2058" s="74"/>
      <c r="AE2058" s="74"/>
      <c r="AF2058" s="74"/>
      <c r="AG2058" s="74"/>
      <c r="AH2058" s="74"/>
    </row>
    <row r="2059" s="73" customFormat="1" spans="1:34">
      <c r="A2059" s="74"/>
      <c r="B2059" s="74"/>
      <c r="C2059" s="74"/>
      <c r="D2059" s="74"/>
      <c r="E2059" s="74"/>
      <c r="F2059" s="74"/>
      <c r="G2059" s="74"/>
      <c r="H2059" s="74"/>
      <c r="I2059" s="74"/>
      <c r="J2059" s="74"/>
      <c r="K2059" s="74"/>
      <c r="L2059" s="74"/>
      <c r="M2059" s="74"/>
      <c r="N2059" s="74"/>
      <c r="O2059" s="75"/>
      <c r="P2059" s="74"/>
      <c r="Q2059" s="75"/>
      <c r="R2059" s="74"/>
      <c r="S2059" s="74"/>
      <c r="T2059" s="74"/>
      <c r="U2059" s="75"/>
      <c r="V2059" s="74"/>
      <c r="W2059" s="75"/>
      <c r="X2059" s="74"/>
      <c r="Y2059" s="74"/>
      <c r="Z2059" s="74"/>
      <c r="AA2059" s="74"/>
      <c r="AB2059" s="74"/>
      <c r="AC2059" s="74"/>
      <c r="AD2059" s="74"/>
      <c r="AE2059" s="74"/>
      <c r="AF2059" s="74"/>
      <c r="AG2059" s="74"/>
      <c r="AH2059" s="74"/>
    </row>
    <row r="2060" s="73" customFormat="1" spans="1:34">
      <c r="A2060" s="74"/>
      <c r="B2060" s="74"/>
      <c r="C2060" s="74"/>
      <c r="D2060" s="74"/>
      <c r="E2060" s="74"/>
      <c r="F2060" s="74"/>
      <c r="G2060" s="74"/>
      <c r="H2060" s="74"/>
      <c r="I2060" s="74"/>
      <c r="J2060" s="74"/>
      <c r="K2060" s="74"/>
      <c r="L2060" s="74"/>
      <c r="M2060" s="74"/>
      <c r="N2060" s="74"/>
      <c r="O2060" s="75"/>
      <c r="P2060" s="74"/>
      <c r="Q2060" s="75"/>
      <c r="R2060" s="74"/>
      <c r="S2060" s="74"/>
      <c r="T2060" s="74"/>
      <c r="U2060" s="75"/>
      <c r="V2060" s="74"/>
      <c r="W2060" s="75"/>
      <c r="X2060" s="74"/>
      <c r="Y2060" s="74"/>
      <c r="Z2060" s="74"/>
      <c r="AA2060" s="74"/>
      <c r="AB2060" s="74"/>
      <c r="AC2060" s="74"/>
      <c r="AD2060" s="74"/>
      <c r="AE2060" s="74"/>
      <c r="AF2060" s="74"/>
      <c r="AG2060" s="74"/>
      <c r="AH2060" s="74"/>
    </row>
    <row r="2061" s="73" customFormat="1" spans="1:34">
      <c r="A2061" s="74"/>
      <c r="B2061" s="74"/>
      <c r="C2061" s="74"/>
      <c r="D2061" s="74"/>
      <c r="E2061" s="74"/>
      <c r="F2061" s="74"/>
      <c r="G2061" s="74"/>
      <c r="H2061" s="74"/>
      <c r="I2061" s="74"/>
      <c r="J2061" s="74"/>
      <c r="K2061" s="74"/>
      <c r="L2061" s="74"/>
      <c r="M2061" s="74"/>
      <c r="N2061" s="74"/>
      <c r="O2061" s="75"/>
      <c r="P2061" s="74"/>
      <c r="Q2061" s="75"/>
      <c r="R2061" s="74"/>
      <c r="S2061" s="74"/>
      <c r="T2061" s="74"/>
      <c r="U2061" s="75"/>
      <c r="V2061" s="74"/>
      <c r="W2061" s="75"/>
      <c r="X2061" s="74"/>
      <c r="Y2061" s="74"/>
      <c r="Z2061" s="74"/>
      <c r="AA2061" s="74"/>
      <c r="AB2061" s="74"/>
      <c r="AC2061" s="74"/>
      <c r="AD2061" s="74"/>
      <c r="AE2061" s="74"/>
      <c r="AF2061" s="74"/>
      <c r="AG2061" s="74"/>
      <c r="AH2061" s="74"/>
    </row>
    <row r="2062" s="73" customFormat="1" spans="1:34">
      <c r="A2062" s="74"/>
      <c r="B2062" s="74"/>
      <c r="C2062" s="74"/>
      <c r="D2062" s="74"/>
      <c r="E2062" s="74"/>
      <c r="F2062" s="74"/>
      <c r="G2062" s="74"/>
      <c r="H2062" s="74"/>
      <c r="I2062" s="74"/>
      <c r="J2062" s="74"/>
      <c r="K2062" s="74"/>
      <c r="L2062" s="74"/>
      <c r="M2062" s="74"/>
      <c r="N2062" s="74"/>
      <c r="O2062" s="75"/>
      <c r="P2062" s="74"/>
      <c r="Q2062" s="75"/>
      <c r="R2062" s="74"/>
      <c r="S2062" s="74"/>
      <c r="T2062" s="74"/>
      <c r="U2062" s="75"/>
      <c r="V2062" s="74"/>
      <c r="W2062" s="75"/>
      <c r="X2062" s="74"/>
      <c r="Y2062" s="74"/>
      <c r="Z2062" s="74"/>
      <c r="AA2062" s="74"/>
      <c r="AB2062" s="74"/>
      <c r="AC2062" s="74"/>
      <c r="AD2062" s="74"/>
      <c r="AE2062" s="74"/>
      <c r="AF2062" s="74"/>
      <c r="AG2062" s="74"/>
      <c r="AH2062" s="74"/>
    </row>
    <row r="2063" s="73" customFormat="1" spans="1:34">
      <c r="A2063" s="74"/>
      <c r="B2063" s="74"/>
      <c r="C2063" s="74"/>
      <c r="D2063" s="74"/>
      <c r="E2063" s="74"/>
      <c r="F2063" s="74"/>
      <c r="G2063" s="74"/>
      <c r="H2063" s="74"/>
      <c r="I2063" s="74"/>
      <c r="J2063" s="74"/>
      <c r="K2063" s="74"/>
      <c r="L2063" s="74"/>
      <c r="M2063" s="74"/>
      <c r="N2063" s="74"/>
      <c r="O2063" s="75"/>
      <c r="P2063" s="74"/>
      <c r="Q2063" s="75"/>
      <c r="R2063" s="74"/>
      <c r="S2063" s="74"/>
      <c r="T2063" s="74"/>
      <c r="U2063" s="75"/>
      <c r="V2063" s="74"/>
      <c r="W2063" s="75"/>
      <c r="X2063" s="74"/>
      <c r="Y2063" s="74"/>
      <c r="Z2063" s="74"/>
      <c r="AA2063" s="74"/>
      <c r="AB2063" s="74"/>
      <c r="AC2063" s="74"/>
      <c r="AD2063" s="74"/>
      <c r="AE2063" s="74"/>
      <c r="AF2063" s="74"/>
      <c r="AG2063" s="74"/>
      <c r="AH2063" s="74"/>
    </row>
    <row r="2064" s="73" customFormat="1" spans="1:34">
      <c r="A2064" s="74"/>
      <c r="B2064" s="74"/>
      <c r="C2064" s="74"/>
      <c r="D2064" s="74"/>
      <c r="E2064" s="74"/>
      <c r="F2064" s="74"/>
      <c r="G2064" s="74"/>
      <c r="H2064" s="74"/>
      <c r="I2064" s="74"/>
      <c r="J2064" s="74"/>
      <c r="K2064" s="74"/>
      <c r="L2064" s="74"/>
      <c r="M2064" s="74"/>
      <c r="N2064" s="74"/>
      <c r="O2064" s="75"/>
      <c r="P2064" s="74"/>
      <c r="Q2064" s="75"/>
      <c r="R2064" s="74"/>
      <c r="S2064" s="74"/>
      <c r="T2064" s="74"/>
      <c r="U2064" s="75"/>
      <c r="V2064" s="74"/>
      <c r="W2064" s="75"/>
      <c r="X2064" s="74"/>
      <c r="Y2064" s="74"/>
      <c r="Z2064" s="74"/>
      <c r="AA2064" s="74"/>
      <c r="AB2064" s="74"/>
      <c r="AC2064" s="74"/>
      <c r="AD2064" s="74"/>
      <c r="AE2064" s="74"/>
      <c r="AF2064" s="74"/>
      <c r="AG2064" s="74"/>
      <c r="AH2064" s="74"/>
    </row>
    <row r="2065" s="73" customFormat="1" spans="1:34">
      <c r="A2065" s="74"/>
      <c r="B2065" s="74"/>
      <c r="C2065" s="74"/>
      <c r="D2065" s="74"/>
      <c r="E2065" s="74"/>
      <c r="F2065" s="74"/>
      <c r="G2065" s="74"/>
      <c r="H2065" s="74"/>
      <c r="I2065" s="74"/>
      <c r="J2065" s="74"/>
      <c r="K2065" s="74"/>
      <c r="L2065" s="74"/>
      <c r="M2065" s="74"/>
      <c r="N2065" s="74"/>
      <c r="O2065" s="75"/>
      <c r="P2065" s="74"/>
      <c r="Q2065" s="75"/>
      <c r="R2065" s="74"/>
      <c r="S2065" s="74"/>
      <c r="T2065" s="74"/>
      <c r="U2065" s="75"/>
      <c r="V2065" s="74"/>
      <c r="W2065" s="75"/>
      <c r="X2065" s="74"/>
      <c r="Y2065" s="74"/>
      <c r="Z2065" s="74"/>
      <c r="AA2065" s="74"/>
      <c r="AB2065" s="74"/>
      <c r="AC2065" s="74"/>
      <c r="AD2065" s="74"/>
      <c r="AE2065" s="74"/>
      <c r="AF2065" s="74"/>
      <c r="AG2065" s="74"/>
      <c r="AH2065" s="74"/>
    </row>
    <row r="2066" s="73" customFormat="1" spans="1:34">
      <c r="A2066" s="74"/>
      <c r="B2066" s="74"/>
      <c r="C2066" s="74"/>
      <c r="D2066" s="74"/>
      <c r="E2066" s="74"/>
      <c r="F2066" s="74"/>
      <c r="G2066" s="74"/>
      <c r="H2066" s="74"/>
      <c r="I2066" s="74"/>
      <c r="J2066" s="74"/>
      <c r="K2066" s="74"/>
      <c r="L2066" s="74"/>
      <c r="M2066" s="74"/>
      <c r="N2066" s="74"/>
      <c r="O2066" s="75"/>
      <c r="P2066" s="74"/>
      <c r="Q2066" s="75"/>
      <c r="R2066" s="74"/>
      <c r="S2066" s="74"/>
      <c r="T2066" s="74"/>
      <c r="U2066" s="75"/>
      <c r="V2066" s="74"/>
      <c r="W2066" s="75"/>
      <c r="X2066" s="74"/>
      <c r="Y2066" s="74"/>
      <c r="Z2066" s="74"/>
      <c r="AA2066" s="74"/>
      <c r="AB2066" s="74"/>
      <c r="AC2066" s="74"/>
      <c r="AD2066" s="74"/>
      <c r="AE2066" s="74"/>
      <c r="AF2066" s="74"/>
      <c r="AG2066" s="74"/>
      <c r="AH2066" s="74"/>
    </row>
    <row r="2067" s="73" customFormat="1" spans="1:34">
      <c r="A2067" s="74"/>
      <c r="B2067" s="74"/>
      <c r="C2067" s="74"/>
      <c r="D2067" s="74"/>
      <c r="E2067" s="74"/>
      <c r="F2067" s="74"/>
      <c r="G2067" s="74"/>
      <c r="H2067" s="74"/>
      <c r="I2067" s="74"/>
      <c r="J2067" s="74"/>
      <c r="K2067" s="74"/>
      <c r="L2067" s="74"/>
      <c r="M2067" s="74"/>
      <c r="N2067" s="74"/>
      <c r="O2067" s="75"/>
      <c r="P2067" s="74"/>
      <c r="Q2067" s="75"/>
      <c r="R2067" s="74"/>
      <c r="S2067" s="74"/>
      <c r="T2067" s="74"/>
      <c r="U2067" s="75"/>
      <c r="V2067" s="74"/>
      <c r="W2067" s="75"/>
      <c r="X2067" s="74"/>
      <c r="Y2067" s="74"/>
      <c r="Z2067" s="74"/>
      <c r="AA2067" s="74"/>
      <c r="AB2067" s="74"/>
      <c r="AC2067" s="74"/>
      <c r="AD2067" s="74"/>
      <c r="AE2067" s="74"/>
      <c r="AF2067" s="74"/>
      <c r="AG2067" s="74"/>
      <c r="AH2067" s="74"/>
    </row>
    <row r="2068" s="73" customFormat="1" spans="1:34">
      <c r="A2068" s="74"/>
      <c r="B2068" s="74"/>
      <c r="C2068" s="74"/>
      <c r="D2068" s="74"/>
      <c r="E2068" s="74"/>
      <c r="F2068" s="74"/>
      <c r="G2068" s="74"/>
      <c r="H2068" s="74"/>
      <c r="I2068" s="74"/>
      <c r="J2068" s="74"/>
      <c r="K2068" s="74"/>
      <c r="L2068" s="74"/>
      <c r="M2068" s="74"/>
      <c r="N2068" s="74"/>
      <c r="O2068" s="75"/>
      <c r="P2068" s="74"/>
      <c r="Q2068" s="75"/>
      <c r="R2068" s="74"/>
      <c r="S2068" s="74"/>
      <c r="T2068" s="74"/>
      <c r="U2068" s="75"/>
      <c r="V2068" s="74"/>
      <c r="W2068" s="75"/>
      <c r="X2068" s="74"/>
      <c r="Y2068" s="74"/>
      <c r="Z2068" s="74"/>
      <c r="AA2068" s="74"/>
      <c r="AB2068" s="74"/>
      <c r="AC2068" s="74"/>
      <c r="AD2068" s="74"/>
      <c r="AE2068" s="74"/>
      <c r="AF2068" s="74"/>
      <c r="AG2068" s="74"/>
      <c r="AH2068" s="74"/>
    </row>
    <row r="2069" s="73" customFormat="1" spans="1:34">
      <c r="A2069" s="74"/>
      <c r="B2069" s="74"/>
      <c r="C2069" s="74"/>
      <c r="D2069" s="74"/>
      <c r="E2069" s="74"/>
      <c r="F2069" s="74"/>
      <c r="G2069" s="74"/>
      <c r="H2069" s="74"/>
      <c r="I2069" s="74"/>
      <c r="J2069" s="74"/>
      <c r="K2069" s="74"/>
      <c r="L2069" s="74"/>
      <c r="M2069" s="74"/>
      <c r="N2069" s="74"/>
      <c r="O2069" s="75"/>
      <c r="P2069" s="74"/>
      <c r="Q2069" s="75"/>
      <c r="R2069" s="74"/>
      <c r="S2069" s="74"/>
      <c r="T2069" s="74"/>
      <c r="U2069" s="75"/>
      <c r="V2069" s="74"/>
      <c r="W2069" s="75"/>
      <c r="X2069" s="74"/>
      <c r="Y2069" s="74"/>
      <c r="Z2069" s="74"/>
      <c r="AA2069" s="74"/>
      <c r="AB2069" s="74"/>
      <c r="AC2069" s="74"/>
      <c r="AD2069" s="74"/>
      <c r="AE2069" s="74"/>
      <c r="AF2069" s="74"/>
      <c r="AG2069" s="74"/>
      <c r="AH2069" s="74"/>
    </row>
    <row r="2070" s="73" customFormat="1" spans="1:34">
      <c r="A2070" s="74"/>
      <c r="B2070" s="74"/>
      <c r="C2070" s="74"/>
      <c r="D2070" s="74"/>
      <c r="E2070" s="74"/>
      <c r="F2070" s="74"/>
      <c r="G2070" s="74"/>
      <c r="H2070" s="74"/>
      <c r="I2070" s="74"/>
      <c r="J2070" s="74"/>
      <c r="K2070" s="74"/>
      <c r="L2070" s="74"/>
      <c r="M2070" s="74"/>
      <c r="N2070" s="74"/>
      <c r="O2070" s="75"/>
      <c r="P2070" s="74"/>
      <c r="Q2070" s="75"/>
      <c r="R2070" s="74"/>
      <c r="S2070" s="74"/>
      <c r="T2070" s="74"/>
      <c r="U2070" s="75"/>
      <c r="V2070" s="74"/>
      <c r="W2070" s="75"/>
      <c r="X2070" s="74"/>
      <c r="Y2070" s="74"/>
      <c r="Z2070" s="74"/>
      <c r="AA2070" s="74"/>
      <c r="AB2070" s="74"/>
      <c r="AC2070" s="74"/>
      <c r="AD2070" s="74"/>
      <c r="AE2070" s="74"/>
      <c r="AF2070" s="74"/>
      <c r="AG2070" s="74"/>
      <c r="AH2070" s="74"/>
    </row>
    <row r="2071" s="73" customFormat="1" spans="1:34">
      <c r="A2071" s="74"/>
      <c r="B2071" s="74"/>
      <c r="C2071" s="74"/>
      <c r="D2071" s="74"/>
      <c r="E2071" s="74"/>
      <c r="F2071" s="74"/>
      <c r="G2071" s="74"/>
      <c r="H2071" s="74"/>
      <c r="I2071" s="74"/>
      <c r="J2071" s="74"/>
      <c r="K2071" s="74"/>
      <c r="L2071" s="74"/>
      <c r="M2071" s="74"/>
      <c r="N2071" s="74"/>
      <c r="O2071" s="75"/>
      <c r="P2071" s="74"/>
      <c r="Q2071" s="75"/>
      <c r="R2071" s="74"/>
      <c r="S2071" s="74"/>
      <c r="T2071" s="74"/>
      <c r="U2071" s="75"/>
      <c r="V2071" s="74"/>
      <c r="W2071" s="75"/>
      <c r="X2071" s="74"/>
      <c r="Y2071" s="74"/>
      <c r="Z2071" s="74"/>
      <c r="AA2071" s="74"/>
      <c r="AB2071" s="74"/>
      <c r="AC2071" s="74"/>
      <c r="AD2071" s="74"/>
      <c r="AE2071" s="74"/>
      <c r="AF2071" s="74"/>
      <c r="AG2071" s="74"/>
      <c r="AH2071" s="74"/>
    </row>
    <row r="2072" s="73" customFormat="1" spans="1:34">
      <c r="A2072" s="74"/>
      <c r="B2072" s="74"/>
      <c r="C2072" s="74"/>
      <c r="D2072" s="74"/>
      <c r="E2072" s="74"/>
      <c r="F2072" s="74"/>
      <c r="G2072" s="74"/>
      <c r="H2072" s="74"/>
      <c r="I2072" s="74"/>
      <c r="J2072" s="74"/>
      <c r="K2072" s="74"/>
      <c r="L2072" s="74"/>
      <c r="M2072" s="74"/>
      <c r="N2072" s="74"/>
      <c r="O2072" s="75"/>
      <c r="P2072" s="74"/>
      <c r="Q2072" s="75"/>
      <c r="R2072" s="74"/>
      <c r="S2072" s="74"/>
      <c r="T2072" s="74"/>
      <c r="U2072" s="75"/>
      <c r="V2072" s="74"/>
      <c r="W2072" s="75"/>
      <c r="X2072" s="74"/>
      <c r="Y2072" s="74"/>
      <c r="Z2072" s="74"/>
      <c r="AA2072" s="74"/>
      <c r="AB2072" s="74"/>
      <c r="AC2072" s="74"/>
      <c r="AD2072" s="74"/>
      <c r="AE2072" s="74"/>
      <c r="AF2072" s="74"/>
      <c r="AG2072" s="74"/>
      <c r="AH2072" s="74"/>
    </row>
    <row r="2073" s="73" customFormat="1" spans="1:34">
      <c r="A2073" s="74"/>
      <c r="B2073" s="74"/>
      <c r="C2073" s="74"/>
      <c r="D2073" s="74"/>
      <c r="E2073" s="74"/>
      <c r="F2073" s="74"/>
      <c r="G2073" s="74"/>
      <c r="H2073" s="74"/>
      <c r="I2073" s="74"/>
      <c r="J2073" s="74"/>
      <c r="K2073" s="74"/>
      <c r="L2073" s="74"/>
      <c r="M2073" s="74"/>
      <c r="N2073" s="74"/>
      <c r="O2073" s="75"/>
      <c r="P2073" s="74"/>
      <c r="Q2073" s="75"/>
      <c r="R2073" s="74"/>
      <c r="S2073" s="74"/>
      <c r="T2073" s="74"/>
      <c r="U2073" s="75"/>
      <c r="V2073" s="74"/>
      <c r="W2073" s="75"/>
      <c r="X2073" s="74"/>
      <c r="Y2073" s="74"/>
      <c r="Z2073" s="74"/>
      <c r="AA2073" s="74"/>
      <c r="AB2073" s="74"/>
      <c r="AC2073" s="74"/>
      <c r="AD2073" s="74"/>
      <c r="AE2073" s="74"/>
      <c r="AF2073" s="74"/>
      <c r="AG2073" s="74"/>
      <c r="AH2073" s="74"/>
    </row>
    <row r="2074" s="73" customFormat="1" spans="1:34">
      <c r="A2074" s="74"/>
      <c r="B2074" s="74"/>
      <c r="C2074" s="74"/>
      <c r="D2074" s="74"/>
      <c r="E2074" s="74"/>
      <c r="F2074" s="74"/>
      <c r="G2074" s="74"/>
      <c r="H2074" s="74"/>
      <c r="I2074" s="74"/>
      <c r="J2074" s="74"/>
      <c r="K2074" s="74"/>
      <c r="L2074" s="74"/>
      <c r="M2074" s="74"/>
      <c r="N2074" s="74"/>
      <c r="O2074" s="75"/>
      <c r="P2074" s="74"/>
      <c r="Q2074" s="75"/>
      <c r="R2074" s="74"/>
      <c r="S2074" s="74"/>
      <c r="T2074" s="74"/>
      <c r="U2074" s="75"/>
      <c r="V2074" s="74"/>
      <c r="W2074" s="75"/>
      <c r="X2074" s="74"/>
      <c r="Y2074" s="74"/>
      <c r="Z2074" s="74"/>
      <c r="AA2074" s="74"/>
      <c r="AB2074" s="74"/>
      <c r="AC2074" s="74"/>
      <c r="AD2074" s="74"/>
      <c r="AE2074" s="74"/>
      <c r="AF2074" s="74"/>
      <c r="AG2074" s="74"/>
      <c r="AH2074" s="74"/>
    </row>
    <row r="2075" s="73" customFormat="1" spans="1:34">
      <c r="A2075" s="74"/>
      <c r="B2075" s="74"/>
      <c r="C2075" s="74"/>
      <c r="D2075" s="74"/>
      <c r="E2075" s="74"/>
      <c r="F2075" s="74"/>
      <c r="G2075" s="74"/>
      <c r="H2075" s="74"/>
      <c r="I2075" s="74"/>
      <c r="J2075" s="74"/>
      <c r="K2075" s="74"/>
      <c r="L2075" s="74"/>
      <c r="M2075" s="74"/>
      <c r="N2075" s="74"/>
      <c r="O2075" s="75"/>
      <c r="P2075" s="74"/>
      <c r="Q2075" s="75"/>
      <c r="R2075" s="74"/>
      <c r="S2075" s="74"/>
      <c r="T2075" s="74"/>
      <c r="U2075" s="75"/>
      <c r="V2075" s="74"/>
      <c r="W2075" s="75"/>
      <c r="X2075" s="74"/>
      <c r="Y2075" s="74"/>
      <c r="Z2075" s="74"/>
      <c r="AA2075" s="74"/>
      <c r="AB2075" s="74"/>
      <c r="AC2075" s="74"/>
      <c r="AD2075" s="74"/>
      <c r="AE2075" s="74"/>
      <c r="AF2075" s="74"/>
      <c r="AG2075" s="74"/>
      <c r="AH2075" s="74"/>
    </row>
    <row r="2076" s="73" customFormat="1" spans="1:34">
      <c r="A2076" s="74"/>
      <c r="B2076" s="74"/>
      <c r="C2076" s="74"/>
      <c r="D2076" s="74"/>
      <c r="E2076" s="74"/>
      <c r="F2076" s="74"/>
      <c r="G2076" s="74"/>
      <c r="H2076" s="74"/>
      <c r="I2076" s="74"/>
      <c r="J2076" s="74"/>
      <c r="K2076" s="74"/>
      <c r="L2076" s="74"/>
      <c r="M2076" s="74"/>
      <c r="N2076" s="74"/>
      <c r="O2076" s="75"/>
      <c r="P2076" s="74"/>
      <c r="Q2076" s="75"/>
      <c r="R2076" s="74"/>
      <c r="S2076" s="74"/>
      <c r="T2076" s="74"/>
      <c r="U2076" s="75"/>
      <c r="V2076" s="74"/>
      <c r="W2076" s="75"/>
      <c r="X2076" s="74"/>
      <c r="Y2076" s="74"/>
      <c r="Z2076" s="74"/>
      <c r="AA2076" s="74"/>
      <c r="AB2076" s="74"/>
      <c r="AC2076" s="74"/>
      <c r="AD2076" s="74"/>
      <c r="AE2076" s="74"/>
      <c r="AF2076" s="74"/>
      <c r="AG2076" s="74"/>
      <c r="AH2076" s="74"/>
    </row>
    <row r="2077" s="73" customFormat="1" spans="1:34">
      <c r="A2077" s="74"/>
      <c r="B2077" s="74"/>
      <c r="C2077" s="74"/>
      <c r="D2077" s="74"/>
      <c r="E2077" s="74"/>
      <c r="F2077" s="74"/>
      <c r="G2077" s="74"/>
      <c r="H2077" s="74"/>
      <c r="I2077" s="74"/>
      <c r="J2077" s="74"/>
      <c r="K2077" s="74"/>
      <c r="L2077" s="74"/>
      <c r="M2077" s="74"/>
      <c r="N2077" s="74"/>
      <c r="O2077" s="75"/>
      <c r="P2077" s="74"/>
      <c r="Q2077" s="75"/>
      <c r="R2077" s="74"/>
      <c r="S2077" s="74"/>
      <c r="T2077" s="74"/>
      <c r="U2077" s="75"/>
      <c r="V2077" s="74"/>
      <c r="W2077" s="75"/>
      <c r="X2077" s="74"/>
      <c r="Y2077" s="74"/>
      <c r="Z2077" s="74"/>
      <c r="AA2077" s="74"/>
      <c r="AB2077" s="74"/>
      <c r="AC2077" s="74"/>
      <c r="AD2077" s="74"/>
      <c r="AE2077" s="74"/>
      <c r="AF2077" s="74"/>
      <c r="AG2077" s="74"/>
      <c r="AH2077" s="74"/>
    </row>
    <row r="2078" s="73" customFormat="1" spans="1:34">
      <c r="A2078" s="74"/>
      <c r="B2078" s="74"/>
      <c r="C2078" s="74"/>
      <c r="D2078" s="74"/>
      <c r="E2078" s="74"/>
      <c r="F2078" s="74"/>
      <c r="G2078" s="74"/>
      <c r="H2078" s="74"/>
      <c r="I2078" s="74"/>
      <c r="J2078" s="74"/>
      <c r="K2078" s="74"/>
      <c r="L2078" s="74"/>
      <c r="M2078" s="74"/>
      <c r="N2078" s="74"/>
      <c r="O2078" s="75"/>
      <c r="P2078" s="74"/>
      <c r="Q2078" s="75"/>
      <c r="R2078" s="74"/>
      <c r="S2078" s="74"/>
      <c r="T2078" s="74"/>
      <c r="U2078" s="75"/>
      <c r="V2078" s="74"/>
      <c r="W2078" s="75"/>
      <c r="X2078" s="74"/>
      <c r="Y2078" s="74"/>
      <c r="Z2078" s="74"/>
      <c r="AA2078" s="74"/>
      <c r="AB2078" s="74"/>
      <c r="AC2078" s="74"/>
      <c r="AD2078" s="74"/>
      <c r="AE2078" s="74"/>
      <c r="AF2078" s="74"/>
      <c r="AG2078" s="74"/>
      <c r="AH2078" s="74"/>
    </row>
    <row r="2079" s="73" customFormat="1" spans="1:34">
      <c r="A2079" s="74"/>
      <c r="B2079" s="74"/>
      <c r="C2079" s="74"/>
      <c r="D2079" s="74"/>
      <c r="E2079" s="74"/>
      <c r="F2079" s="74"/>
      <c r="G2079" s="74"/>
      <c r="H2079" s="74"/>
      <c r="I2079" s="74"/>
      <c r="J2079" s="74"/>
      <c r="K2079" s="74"/>
      <c r="L2079" s="74"/>
      <c r="M2079" s="74"/>
      <c r="N2079" s="74"/>
      <c r="O2079" s="75"/>
      <c r="P2079" s="74"/>
      <c r="Q2079" s="75"/>
      <c r="R2079" s="74"/>
      <c r="S2079" s="74"/>
      <c r="T2079" s="74"/>
      <c r="U2079" s="75"/>
      <c r="V2079" s="74"/>
      <c r="W2079" s="75"/>
      <c r="X2079" s="74"/>
      <c r="Y2079" s="74"/>
      <c r="Z2079" s="74"/>
      <c r="AA2079" s="74"/>
      <c r="AB2079" s="74"/>
      <c r="AC2079" s="74"/>
      <c r="AD2079" s="74"/>
      <c r="AE2079" s="74"/>
      <c r="AF2079" s="74"/>
      <c r="AG2079" s="74"/>
      <c r="AH2079" s="74"/>
    </row>
    <row r="2080" s="73" customFormat="1" spans="1:34">
      <c r="A2080" s="74"/>
      <c r="B2080" s="74"/>
      <c r="C2080" s="74"/>
      <c r="D2080" s="74"/>
      <c r="E2080" s="74"/>
      <c r="F2080" s="74"/>
      <c r="G2080" s="74"/>
      <c r="H2080" s="74"/>
      <c r="I2080" s="74"/>
      <c r="J2080" s="74"/>
      <c r="K2080" s="74"/>
      <c r="L2080" s="74"/>
      <c r="M2080" s="74"/>
      <c r="N2080" s="74"/>
      <c r="O2080" s="75"/>
      <c r="P2080" s="74"/>
      <c r="Q2080" s="75"/>
      <c r="R2080" s="74"/>
      <c r="S2080" s="74"/>
      <c r="T2080" s="74"/>
      <c r="U2080" s="75"/>
      <c r="V2080" s="74"/>
      <c r="W2080" s="75"/>
      <c r="X2080" s="74"/>
      <c r="Y2080" s="74"/>
      <c r="Z2080" s="74"/>
      <c r="AA2080" s="74"/>
      <c r="AB2080" s="74"/>
      <c r="AC2080" s="74"/>
      <c r="AD2080" s="74"/>
      <c r="AE2080" s="74"/>
      <c r="AF2080" s="74"/>
      <c r="AG2080" s="74"/>
      <c r="AH2080" s="74"/>
    </row>
    <row r="2081" s="73" customFormat="1" spans="1:34">
      <c r="A2081" s="74"/>
      <c r="B2081" s="74"/>
      <c r="C2081" s="74"/>
      <c r="D2081" s="74"/>
      <c r="E2081" s="74"/>
      <c r="F2081" s="74"/>
      <c r="G2081" s="74"/>
      <c r="H2081" s="74"/>
      <c r="I2081" s="74"/>
      <c r="J2081" s="74"/>
      <c r="K2081" s="74"/>
      <c r="L2081" s="74"/>
      <c r="M2081" s="74"/>
      <c r="N2081" s="74"/>
      <c r="O2081" s="75"/>
      <c r="P2081" s="74"/>
      <c r="Q2081" s="75"/>
      <c r="R2081" s="74"/>
      <c r="S2081" s="74"/>
      <c r="T2081" s="74"/>
      <c r="U2081" s="75"/>
      <c r="V2081" s="74"/>
      <c r="W2081" s="75"/>
      <c r="X2081" s="74"/>
      <c r="Y2081" s="74"/>
      <c r="Z2081" s="74"/>
      <c r="AA2081" s="74"/>
      <c r="AB2081" s="74"/>
      <c r="AC2081" s="74"/>
      <c r="AD2081" s="74"/>
      <c r="AE2081" s="74"/>
      <c r="AF2081" s="74"/>
      <c r="AG2081" s="74"/>
      <c r="AH2081" s="74"/>
    </row>
    <row r="2082" s="73" customFormat="1" spans="1:34">
      <c r="A2082" s="74"/>
      <c r="B2082" s="74"/>
      <c r="C2082" s="74"/>
      <c r="D2082" s="74"/>
      <c r="E2082" s="74"/>
      <c r="F2082" s="74"/>
      <c r="G2082" s="74"/>
      <c r="H2082" s="74"/>
      <c r="I2082" s="74"/>
      <c r="J2082" s="74"/>
      <c r="K2082" s="74"/>
      <c r="L2082" s="74"/>
      <c r="M2082" s="74"/>
      <c r="N2082" s="74"/>
      <c r="O2082" s="75"/>
      <c r="P2082" s="74"/>
      <c r="Q2082" s="75"/>
      <c r="R2082" s="74"/>
      <c r="S2082" s="74"/>
      <c r="T2082" s="74"/>
      <c r="U2082" s="75"/>
      <c r="V2082" s="74"/>
      <c r="W2082" s="75"/>
      <c r="X2082" s="74"/>
      <c r="Y2082" s="74"/>
      <c r="Z2082" s="74"/>
      <c r="AA2082" s="74"/>
      <c r="AB2082" s="74"/>
      <c r="AC2082" s="74"/>
      <c r="AD2082" s="74"/>
      <c r="AE2082" s="74"/>
      <c r="AF2082" s="74"/>
      <c r="AG2082" s="74"/>
      <c r="AH2082" s="74"/>
    </row>
    <row r="2083" s="73" customFormat="1" spans="1:34">
      <c r="A2083" s="74"/>
      <c r="B2083" s="74"/>
      <c r="C2083" s="74"/>
      <c r="D2083" s="74"/>
      <c r="E2083" s="74"/>
      <c r="F2083" s="74"/>
      <c r="G2083" s="74"/>
      <c r="H2083" s="74"/>
      <c r="I2083" s="74"/>
      <c r="J2083" s="74"/>
      <c r="K2083" s="74"/>
      <c r="L2083" s="74"/>
      <c r="M2083" s="74"/>
      <c r="N2083" s="74"/>
      <c r="O2083" s="75"/>
      <c r="P2083" s="74"/>
      <c r="Q2083" s="75"/>
      <c r="R2083" s="74"/>
      <c r="S2083" s="74"/>
      <c r="T2083" s="74"/>
      <c r="U2083" s="75"/>
      <c r="V2083" s="74"/>
      <c r="W2083" s="75"/>
      <c r="X2083" s="74"/>
      <c r="Y2083" s="74"/>
      <c r="Z2083" s="74"/>
      <c r="AA2083" s="74"/>
      <c r="AB2083" s="74"/>
      <c r="AC2083" s="74"/>
      <c r="AD2083" s="74"/>
      <c r="AE2083" s="74"/>
      <c r="AF2083" s="74"/>
      <c r="AG2083" s="74"/>
      <c r="AH2083" s="74"/>
    </row>
    <row r="2084" s="73" customFormat="1" spans="1:34">
      <c r="A2084" s="74"/>
      <c r="B2084" s="74"/>
      <c r="C2084" s="74"/>
      <c r="D2084" s="74"/>
      <c r="E2084" s="74"/>
      <c r="F2084" s="74"/>
      <c r="G2084" s="74"/>
      <c r="H2084" s="74"/>
      <c r="I2084" s="74"/>
      <c r="J2084" s="74"/>
      <c r="K2084" s="74"/>
      <c r="L2084" s="74"/>
      <c r="M2084" s="74"/>
      <c r="N2084" s="74"/>
      <c r="O2084" s="75"/>
      <c r="P2084" s="74"/>
      <c r="Q2084" s="75"/>
      <c r="R2084" s="74"/>
      <c r="S2084" s="74"/>
      <c r="T2084" s="74"/>
      <c r="U2084" s="75"/>
      <c r="V2084" s="74"/>
      <c r="W2084" s="75"/>
      <c r="X2084" s="74"/>
      <c r="Y2084" s="74"/>
      <c r="Z2084" s="74"/>
      <c r="AA2084" s="74"/>
      <c r="AB2084" s="74"/>
      <c r="AC2084" s="74"/>
      <c r="AD2084" s="74"/>
      <c r="AE2084" s="74"/>
      <c r="AF2084" s="74"/>
      <c r="AG2084" s="74"/>
      <c r="AH2084" s="74"/>
    </row>
    <row r="2085" s="73" customFormat="1" spans="1:34">
      <c r="A2085" s="74"/>
      <c r="B2085" s="74"/>
      <c r="C2085" s="74"/>
      <c r="D2085" s="74"/>
      <c r="E2085" s="74"/>
      <c r="F2085" s="74"/>
      <c r="G2085" s="74"/>
      <c r="H2085" s="74"/>
      <c r="I2085" s="74"/>
      <c r="J2085" s="74"/>
      <c r="K2085" s="74"/>
      <c r="L2085" s="74"/>
      <c r="M2085" s="74"/>
      <c r="N2085" s="74"/>
      <c r="O2085" s="75"/>
      <c r="P2085" s="74"/>
      <c r="Q2085" s="75"/>
      <c r="R2085" s="74"/>
      <c r="S2085" s="74"/>
      <c r="T2085" s="74"/>
      <c r="U2085" s="75"/>
      <c r="V2085" s="74"/>
      <c r="W2085" s="75"/>
      <c r="X2085" s="74"/>
      <c r="Y2085" s="74"/>
      <c r="Z2085" s="74"/>
      <c r="AA2085" s="74"/>
      <c r="AB2085" s="74"/>
      <c r="AC2085" s="74"/>
      <c r="AD2085" s="74"/>
      <c r="AE2085" s="74"/>
      <c r="AF2085" s="74"/>
      <c r="AG2085" s="74"/>
      <c r="AH2085" s="74"/>
    </row>
    <row r="2086" s="73" customFormat="1" spans="1:34">
      <c r="A2086" s="74"/>
      <c r="B2086" s="74"/>
      <c r="C2086" s="74"/>
      <c r="D2086" s="74"/>
      <c r="E2086" s="74"/>
      <c r="F2086" s="74"/>
      <c r="G2086" s="74"/>
      <c r="H2086" s="74"/>
      <c r="I2086" s="74"/>
      <c r="J2086" s="74"/>
      <c r="K2086" s="74"/>
      <c r="L2086" s="74"/>
      <c r="M2086" s="74"/>
      <c r="N2086" s="74"/>
      <c r="O2086" s="75"/>
      <c r="P2086" s="74"/>
      <c r="Q2086" s="75"/>
      <c r="R2086" s="74"/>
      <c r="S2086" s="74"/>
      <c r="T2086" s="74"/>
      <c r="U2086" s="75"/>
      <c r="V2086" s="74"/>
      <c r="W2086" s="75"/>
      <c r="X2086" s="74"/>
      <c r="Y2086" s="74"/>
      <c r="Z2086" s="74"/>
      <c r="AA2086" s="74"/>
      <c r="AB2086" s="74"/>
      <c r="AC2086" s="74"/>
      <c r="AD2086" s="74"/>
      <c r="AE2086" s="74"/>
      <c r="AF2086" s="74"/>
      <c r="AG2086" s="74"/>
      <c r="AH2086" s="74"/>
    </row>
    <row r="2087" s="73" customFormat="1" spans="1:34">
      <c r="A2087" s="74"/>
      <c r="B2087" s="74"/>
      <c r="C2087" s="74"/>
      <c r="D2087" s="74"/>
      <c r="E2087" s="74"/>
      <c r="F2087" s="74"/>
      <c r="G2087" s="74"/>
      <c r="H2087" s="74"/>
      <c r="I2087" s="74"/>
      <c r="J2087" s="74"/>
      <c r="K2087" s="74"/>
      <c r="L2087" s="74"/>
      <c r="M2087" s="74"/>
      <c r="N2087" s="74"/>
      <c r="O2087" s="75"/>
      <c r="P2087" s="74"/>
      <c r="Q2087" s="75"/>
      <c r="R2087" s="74"/>
      <c r="S2087" s="74"/>
      <c r="T2087" s="74"/>
      <c r="U2087" s="75"/>
      <c r="V2087" s="74"/>
      <c r="W2087" s="75"/>
      <c r="X2087" s="74"/>
      <c r="Y2087" s="74"/>
      <c r="Z2087" s="74"/>
      <c r="AA2087" s="74"/>
      <c r="AB2087" s="74"/>
      <c r="AC2087" s="74"/>
      <c r="AD2087" s="74"/>
      <c r="AE2087" s="74"/>
      <c r="AF2087" s="74"/>
      <c r="AG2087" s="74"/>
      <c r="AH2087" s="74"/>
    </row>
    <row r="2088" s="73" customFormat="1" spans="1:34">
      <c r="A2088" s="74"/>
      <c r="B2088" s="74"/>
      <c r="C2088" s="74"/>
      <c r="D2088" s="74"/>
      <c r="E2088" s="74"/>
      <c r="F2088" s="74"/>
      <c r="G2088" s="74"/>
      <c r="H2088" s="74"/>
      <c r="I2088" s="74"/>
      <c r="J2088" s="74"/>
      <c r="K2088" s="74"/>
      <c r="L2088" s="74"/>
      <c r="M2088" s="74"/>
      <c r="N2088" s="74"/>
      <c r="O2088" s="75"/>
      <c r="P2088" s="74"/>
      <c r="Q2088" s="75"/>
      <c r="R2088" s="74"/>
      <c r="S2088" s="74"/>
      <c r="T2088" s="74"/>
      <c r="U2088" s="75"/>
      <c r="V2088" s="74"/>
      <c r="W2088" s="75"/>
      <c r="X2088" s="74"/>
      <c r="Y2088" s="74"/>
      <c r="Z2088" s="74"/>
      <c r="AA2088" s="74"/>
      <c r="AB2088" s="74"/>
      <c r="AC2088" s="74"/>
      <c r="AD2088" s="74"/>
      <c r="AE2088" s="74"/>
      <c r="AF2088" s="74"/>
      <c r="AG2088" s="74"/>
      <c r="AH2088" s="74"/>
    </row>
    <row r="2089" s="73" customFormat="1" spans="1:34">
      <c r="A2089" s="74"/>
      <c r="B2089" s="74"/>
      <c r="C2089" s="74"/>
      <c r="D2089" s="74"/>
      <c r="E2089" s="74"/>
      <c r="F2089" s="74"/>
      <c r="G2089" s="74"/>
      <c r="H2089" s="74"/>
      <c r="I2089" s="74"/>
      <c r="J2089" s="74"/>
      <c r="K2089" s="74"/>
      <c r="L2089" s="74"/>
      <c r="M2089" s="74"/>
      <c r="N2089" s="74"/>
      <c r="O2089" s="75"/>
      <c r="P2089" s="74"/>
      <c r="Q2089" s="75"/>
      <c r="R2089" s="74"/>
      <c r="S2089" s="74"/>
      <c r="T2089" s="74"/>
      <c r="U2089" s="75"/>
      <c r="V2089" s="74"/>
      <c r="W2089" s="75"/>
      <c r="X2089" s="74"/>
      <c r="Y2089" s="74"/>
      <c r="Z2089" s="74"/>
      <c r="AA2089" s="74"/>
      <c r="AB2089" s="74"/>
      <c r="AC2089" s="74"/>
      <c r="AD2089" s="74"/>
      <c r="AE2089" s="74"/>
      <c r="AF2089" s="74"/>
      <c r="AG2089" s="74"/>
      <c r="AH2089" s="74"/>
    </row>
    <row r="2090" s="73" customFormat="1" spans="1:34">
      <c r="A2090" s="74"/>
      <c r="B2090" s="74"/>
      <c r="C2090" s="74"/>
      <c r="D2090" s="74"/>
      <c r="E2090" s="74"/>
      <c r="F2090" s="74"/>
      <c r="G2090" s="74"/>
      <c r="H2090" s="74"/>
      <c r="I2090" s="74"/>
      <c r="J2090" s="74"/>
      <c r="K2090" s="74"/>
      <c r="L2090" s="74"/>
      <c r="M2090" s="74"/>
      <c r="N2090" s="74"/>
      <c r="O2090" s="75"/>
      <c r="P2090" s="74"/>
      <c r="Q2090" s="75"/>
      <c r="R2090" s="74"/>
      <c r="S2090" s="74"/>
      <c r="T2090" s="74"/>
      <c r="U2090" s="75"/>
      <c r="V2090" s="74"/>
      <c r="W2090" s="75"/>
      <c r="X2090" s="74"/>
      <c r="Y2090" s="74"/>
      <c r="Z2090" s="74"/>
      <c r="AA2090" s="74"/>
      <c r="AB2090" s="74"/>
      <c r="AC2090" s="74"/>
      <c r="AD2090" s="74"/>
      <c r="AE2090" s="74"/>
      <c r="AF2090" s="74"/>
      <c r="AG2090" s="74"/>
      <c r="AH2090" s="74"/>
    </row>
    <row r="2091" s="73" customFormat="1" spans="1:34">
      <c r="A2091" s="74"/>
      <c r="B2091" s="74"/>
      <c r="C2091" s="74"/>
      <c r="D2091" s="74"/>
      <c r="E2091" s="74"/>
      <c r="F2091" s="74"/>
      <c r="G2091" s="74"/>
      <c r="H2091" s="74"/>
      <c r="I2091" s="74"/>
      <c r="J2091" s="74"/>
      <c r="K2091" s="74"/>
      <c r="L2091" s="74"/>
      <c r="M2091" s="74"/>
      <c r="N2091" s="74"/>
      <c r="O2091" s="75"/>
      <c r="P2091" s="74"/>
      <c r="Q2091" s="75"/>
      <c r="R2091" s="74"/>
      <c r="S2091" s="74"/>
      <c r="T2091" s="74"/>
      <c r="U2091" s="75"/>
      <c r="V2091" s="74"/>
      <c r="W2091" s="75"/>
      <c r="X2091" s="74"/>
      <c r="Y2091" s="74"/>
      <c r="Z2091" s="74"/>
      <c r="AA2091" s="74"/>
      <c r="AB2091" s="74"/>
      <c r="AC2091" s="74"/>
      <c r="AD2091" s="74"/>
      <c r="AE2091" s="74"/>
      <c r="AF2091" s="74"/>
      <c r="AG2091" s="74"/>
      <c r="AH2091" s="74"/>
    </row>
    <row r="2092" s="73" customFormat="1" spans="1:34">
      <c r="A2092" s="74"/>
      <c r="B2092" s="74"/>
      <c r="C2092" s="74"/>
      <c r="D2092" s="74"/>
      <c r="E2092" s="74"/>
      <c r="F2092" s="74"/>
      <c r="G2092" s="74"/>
      <c r="H2092" s="74"/>
      <c r="I2092" s="74"/>
      <c r="J2092" s="74"/>
      <c r="K2092" s="74"/>
      <c r="L2092" s="74"/>
      <c r="M2092" s="74"/>
      <c r="N2092" s="74"/>
      <c r="O2092" s="75"/>
      <c r="P2092" s="74"/>
      <c r="Q2092" s="75"/>
      <c r="R2092" s="74"/>
      <c r="S2092" s="74"/>
      <c r="T2092" s="74"/>
      <c r="U2092" s="75"/>
      <c r="V2092" s="74"/>
      <c r="W2092" s="75"/>
      <c r="X2092" s="74"/>
      <c r="Y2092" s="74"/>
      <c r="Z2092" s="74"/>
      <c r="AA2092" s="74"/>
      <c r="AB2092" s="74"/>
      <c r="AC2092" s="74"/>
      <c r="AD2092" s="74"/>
      <c r="AE2092" s="74"/>
      <c r="AF2092" s="74"/>
      <c r="AG2092" s="74"/>
      <c r="AH2092" s="74"/>
    </row>
    <row r="2093" s="73" customFormat="1" spans="1:34">
      <c r="A2093" s="74"/>
      <c r="B2093" s="74"/>
      <c r="C2093" s="74"/>
      <c r="D2093" s="74"/>
      <c r="E2093" s="74"/>
      <c r="F2093" s="74"/>
      <c r="G2093" s="74"/>
      <c r="H2093" s="74"/>
      <c r="I2093" s="74"/>
      <c r="J2093" s="74"/>
      <c r="K2093" s="74"/>
      <c r="L2093" s="74"/>
      <c r="M2093" s="74"/>
      <c r="N2093" s="74"/>
      <c r="O2093" s="75"/>
      <c r="P2093" s="74"/>
      <c r="Q2093" s="75"/>
      <c r="R2093" s="74"/>
      <c r="S2093" s="74"/>
      <c r="T2093" s="74"/>
      <c r="U2093" s="75"/>
      <c r="V2093" s="74"/>
      <c r="W2093" s="75"/>
      <c r="X2093" s="74"/>
      <c r="Y2093" s="74"/>
      <c r="Z2093" s="74"/>
      <c r="AA2093" s="74"/>
      <c r="AB2093" s="74"/>
      <c r="AC2093" s="74"/>
      <c r="AD2093" s="74"/>
      <c r="AE2093" s="74"/>
      <c r="AF2093" s="74"/>
      <c r="AG2093" s="74"/>
      <c r="AH2093" s="74"/>
    </row>
    <row r="2094" s="73" customFormat="1" spans="1:34">
      <c r="A2094" s="74"/>
      <c r="B2094" s="74"/>
      <c r="C2094" s="74"/>
      <c r="D2094" s="74"/>
      <c r="E2094" s="74"/>
      <c r="F2094" s="74"/>
      <c r="G2094" s="74"/>
      <c r="H2094" s="74"/>
      <c r="I2094" s="74"/>
      <c r="J2094" s="74"/>
      <c r="K2094" s="74"/>
      <c r="L2094" s="74"/>
      <c r="M2094" s="74"/>
      <c r="N2094" s="74"/>
      <c r="O2094" s="75"/>
      <c r="P2094" s="74"/>
      <c r="Q2094" s="75"/>
      <c r="R2094" s="74"/>
      <c r="S2094" s="74"/>
      <c r="T2094" s="74"/>
      <c r="U2094" s="75"/>
      <c r="V2094" s="74"/>
      <c r="W2094" s="75"/>
      <c r="X2094" s="74"/>
      <c r="Y2094" s="74"/>
      <c r="Z2094" s="74"/>
      <c r="AA2094" s="74"/>
      <c r="AB2094" s="74"/>
      <c r="AC2094" s="74"/>
      <c r="AD2094" s="74"/>
      <c r="AE2094" s="74"/>
      <c r="AF2094" s="74"/>
      <c r="AG2094" s="74"/>
      <c r="AH2094" s="74"/>
    </row>
    <row r="2095" s="73" customFormat="1" spans="1:34">
      <c r="A2095" s="74"/>
      <c r="B2095" s="74"/>
      <c r="C2095" s="74"/>
      <c r="D2095" s="74"/>
      <c r="E2095" s="74"/>
      <c r="F2095" s="74"/>
      <c r="G2095" s="74"/>
      <c r="H2095" s="74"/>
      <c r="I2095" s="74"/>
      <c r="J2095" s="74"/>
      <c r="K2095" s="74"/>
      <c r="L2095" s="74"/>
      <c r="M2095" s="74"/>
      <c r="N2095" s="74"/>
      <c r="O2095" s="75"/>
      <c r="P2095" s="74"/>
      <c r="Q2095" s="75"/>
      <c r="R2095" s="74"/>
      <c r="S2095" s="74"/>
      <c r="T2095" s="74"/>
      <c r="U2095" s="75"/>
      <c r="V2095" s="74"/>
      <c r="W2095" s="75"/>
      <c r="X2095" s="74"/>
      <c r="Y2095" s="74"/>
      <c r="Z2095" s="74"/>
      <c r="AA2095" s="74"/>
      <c r="AB2095" s="74"/>
      <c r="AC2095" s="74"/>
      <c r="AD2095" s="74"/>
      <c r="AE2095" s="74"/>
      <c r="AF2095" s="74"/>
      <c r="AG2095" s="74"/>
      <c r="AH2095" s="74"/>
    </row>
    <row r="2096" s="73" customFormat="1" spans="1:34">
      <c r="A2096" s="74"/>
      <c r="B2096" s="74"/>
      <c r="C2096" s="74"/>
      <c r="D2096" s="74"/>
      <c r="E2096" s="74"/>
      <c r="F2096" s="74"/>
      <c r="G2096" s="74"/>
      <c r="H2096" s="74"/>
      <c r="I2096" s="74"/>
      <c r="J2096" s="74"/>
      <c r="K2096" s="74"/>
      <c r="L2096" s="74"/>
      <c r="M2096" s="74"/>
      <c r="N2096" s="74"/>
      <c r="O2096" s="75"/>
      <c r="P2096" s="74"/>
      <c r="Q2096" s="75"/>
      <c r="R2096" s="74"/>
      <c r="S2096" s="74"/>
      <c r="T2096" s="74"/>
      <c r="U2096" s="75"/>
      <c r="V2096" s="74"/>
      <c r="W2096" s="75"/>
      <c r="X2096" s="74"/>
      <c r="Y2096" s="74"/>
      <c r="Z2096" s="74"/>
      <c r="AA2096" s="74"/>
      <c r="AB2096" s="74"/>
      <c r="AC2096" s="74"/>
      <c r="AD2096" s="74"/>
      <c r="AE2096" s="74"/>
      <c r="AF2096" s="74"/>
      <c r="AG2096" s="74"/>
      <c r="AH2096" s="74"/>
    </row>
    <row r="2097" s="73" customFormat="1" spans="1:34">
      <c r="A2097" s="74"/>
      <c r="B2097" s="74"/>
      <c r="C2097" s="74"/>
      <c r="D2097" s="74"/>
      <c r="E2097" s="74"/>
      <c r="F2097" s="74"/>
      <c r="G2097" s="74"/>
      <c r="H2097" s="74"/>
      <c r="I2097" s="74"/>
      <c r="J2097" s="74"/>
      <c r="K2097" s="74"/>
      <c r="L2097" s="74"/>
      <c r="M2097" s="74"/>
      <c r="N2097" s="74"/>
      <c r="O2097" s="75"/>
      <c r="P2097" s="74"/>
      <c r="Q2097" s="75"/>
      <c r="R2097" s="74"/>
      <c r="S2097" s="74"/>
      <c r="T2097" s="74"/>
      <c r="U2097" s="75"/>
      <c r="V2097" s="74"/>
      <c r="W2097" s="75"/>
      <c r="X2097" s="74"/>
      <c r="Y2097" s="74"/>
      <c r="Z2097" s="74"/>
      <c r="AA2097" s="74"/>
      <c r="AB2097" s="74"/>
      <c r="AC2097" s="74"/>
      <c r="AD2097" s="74"/>
      <c r="AE2097" s="74"/>
      <c r="AF2097" s="74"/>
      <c r="AG2097" s="74"/>
      <c r="AH2097" s="74"/>
    </row>
    <row r="2098" s="73" customFormat="1" spans="1:34">
      <c r="A2098" s="74"/>
      <c r="B2098" s="74"/>
      <c r="C2098" s="74"/>
      <c r="D2098" s="74"/>
      <c r="E2098" s="74"/>
      <c r="F2098" s="74"/>
      <c r="G2098" s="74"/>
      <c r="H2098" s="74"/>
      <c r="I2098" s="74"/>
      <c r="J2098" s="74"/>
      <c r="K2098" s="74"/>
      <c r="L2098" s="74"/>
      <c r="M2098" s="74"/>
      <c r="N2098" s="74"/>
      <c r="O2098" s="75"/>
      <c r="P2098" s="74"/>
      <c r="Q2098" s="75"/>
      <c r="R2098" s="74"/>
      <c r="S2098" s="74"/>
      <c r="T2098" s="74"/>
      <c r="U2098" s="75"/>
      <c r="V2098" s="74"/>
      <c r="W2098" s="75"/>
      <c r="X2098" s="74"/>
      <c r="Y2098" s="74"/>
      <c r="Z2098" s="74"/>
      <c r="AA2098" s="74"/>
      <c r="AB2098" s="74"/>
      <c r="AC2098" s="74"/>
      <c r="AD2098" s="74"/>
      <c r="AE2098" s="74"/>
      <c r="AF2098" s="74"/>
      <c r="AG2098" s="74"/>
      <c r="AH2098" s="74"/>
    </row>
    <row r="2099" s="73" customFormat="1" spans="1:34">
      <c r="A2099" s="74"/>
      <c r="B2099" s="74"/>
      <c r="C2099" s="74"/>
      <c r="D2099" s="74"/>
      <c r="E2099" s="74"/>
      <c r="F2099" s="74"/>
      <c r="G2099" s="74"/>
      <c r="H2099" s="74"/>
      <c r="I2099" s="74"/>
      <c r="J2099" s="74"/>
      <c r="K2099" s="74"/>
      <c r="L2099" s="74"/>
      <c r="M2099" s="74"/>
      <c r="N2099" s="74"/>
      <c r="O2099" s="75"/>
      <c r="P2099" s="74"/>
      <c r="Q2099" s="75"/>
      <c r="R2099" s="74"/>
      <c r="S2099" s="74"/>
      <c r="T2099" s="74"/>
      <c r="U2099" s="75"/>
      <c r="V2099" s="74"/>
      <c r="W2099" s="75"/>
      <c r="X2099" s="74"/>
      <c r="Y2099" s="74"/>
      <c r="Z2099" s="74"/>
      <c r="AA2099" s="74"/>
      <c r="AB2099" s="74"/>
      <c r="AC2099" s="74"/>
      <c r="AD2099" s="74"/>
      <c r="AE2099" s="74"/>
      <c r="AF2099" s="74"/>
      <c r="AG2099" s="74"/>
      <c r="AH2099" s="74"/>
    </row>
    <row r="2100" s="73" customFormat="1" spans="1:34">
      <c r="A2100" s="74"/>
      <c r="B2100" s="74"/>
      <c r="C2100" s="74"/>
      <c r="D2100" s="74"/>
      <c r="E2100" s="74"/>
      <c r="F2100" s="74"/>
      <c r="G2100" s="74"/>
      <c r="H2100" s="74"/>
      <c r="I2100" s="74"/>
      <c r="J2100" s="74"/>
      <c r="K2100" s="74"/>
      <c r="L2100" s="74"/>
      <c r="M2100" s="74"/>
      <c r="N2100" s="74"/>
      <c r="O2100" s="75"/>
      <c r="P2100" s="74"/>
      <c r="Q2100" s="75"/>
      <c r="R2100" s="74"/>
      <c r="S2100" s="74"/>
      <c r="T2100" s="74"/>
      <c r="U2100" s="75"/>
      <c r="V2100" s="74"/>
      <c r="W2100" s="75"/>
      <c r="X2100" s="74"/>
      <c r="Y2100" s="74"/>
      <c r="Z2100" s="74"/>
      <c r="AA2100" s="74"/>
      <c r="AB2100" s="74"/>
      <c r="AC2100" s="74"/>
      <c r="AD2100" s="74"/>
      <c r="AE2100" s="74"/>
      <c r="AF2100" s="74"/>
      <c r="AG2100" s="74"/>
      <c r="AH2100" s="74"/>
    </row>
    <row r="2101" s="73" customFormat="1" spans="1:34">
      <c r="A2101" s="74"/>
      <c r="B2101" s="74"/>
      <c r="C2101" s="74"/>
      <c r="D2101" s="74"/>
      <c r="E2101" s="74"/>
      <c r="F2101" s="74"/>
      <c r="G2101" s="74"/>
      <c r="H2101" s="74"/>
      <c r="I2101" s="74"/>
      <c r="J2101" s="74"/>
      <c r="K2101" s="74"/>
      <c r="L2101" s="74"/>
      <c r="M2101" s="74"/>
      <c r="N2101" s="74"/>
      <c r="O2101" s="75"/>
      <c r="P2101" s="74"/>
      <c r="Q2101" s="75"/>
      <c r="R2101" s="74"/>
      <c r="S2101" s="74"/>
      <c r="T2101" s="74"/>
      <c r="U2101" s="75"/>
      <c r="V2101" s="74"/>
      <c r="W2101" s="75"/>
      <c r="X2101" s="74"/>
      <c r="Y2101" s="74"/>
      <c r="Z2101" s="74"/>
      <c r="AA2101" s="74"/>
      <c r="AB2101" s="74"/>
      <c r="AC2101" s="74"/>
      <c r="AD2101" s="74"/>
      <c r="AE2101" s="74"/>
      <c r="AF2101" s="74"/>
      <c r="AG2101" s="74"/>
      <c r="AH2101" s="74"/>
    </row>
    <row r="2102" s="73" customFormat="1" spans="1:34">
      <c r="A2102" s="74"/>
      <c r="B2102" s="74"/>
      <c r="C2102" s="74"/>
      <c r="D2102" s="74"/>
      <c r="E2102" s="74"/>
      <c r="F2102" s="74"/>
      <c r="G2102" s="74"/>
      <c r="H2102" s="74"/>
      <c r="I2102" s="74"/>
      <c r="J2102" s="74"/>
      <c r="K2102" s="74"/>
      <c r="L2102" s="74"/>
      <c r="M2102" s="74"/>
      <c r="N2102" s="74"/>
      <c r="O2102" s="75"/>
      <c r="P2102" s="74"/>
      <c r="Q2102" s="75"/>
      <c r="R2102" s="74"/>
      <c r="S2102" s="74"/>
      <c r="T2102" s="74"/>
      <c r="U2102" s="75"/>
      <c r="V2102" s="74"/>
      <c r="W2102" s="75"/>
      <c r="X2102" s="74"/>
      <c r="Y2102" s="74"/>
      <c r="Z2102" s="74"/>
      <c r="AA2102" s="74"/>
      <c r="AB2102" s="74"/>
      <c r="AC2102" s="74"/>
      <c r="AD2102" s="74"/>
      <c r="AE2102" s="74"/>
      <c r="AF2102" s="74"/>
      <c r="AG2102" s="74"/>
      <c r="AH2102" s="74"/>
    </row>
    <row r="2103" s="73" customFormat="1" spans="1:34">
      <c r="A2103" s="74"/>
      <c r="B2103" s="74"/>
      <c r="C2103" s="74"/>
      <c r="D2103" s="74"/>
      <c r="E2103" s="74"/>
      <c r="F2103" s="74"/>
      <c r="G2103" s="74"/>
      <c r="H2103" s="74"/>
      <c r="I2103" s="74"/>
      <c r="J2103" s="74"/>
      <c r="K2103" s="74"/>
      <c r="L2103" s="74"/>
      <c r="M2103" s="74"/>
      <c r="N2103" s="74"/>
      <c r="O2103" s="75"/>
      <c r="P2103" s="74"/>
      <c r="Q2103" s="75"/>
      <c r="R2103" s="74"/>
      <c r="S2103" s="74"/>
      <c r="T2103" s="74"/>
      <c r="U2103" s="75"/>
      <c r="V2103" s="74"/>
      <c r="W2103" s="75"/>
      <c r="X2103" s="74"/>
      <c r="Y2103" s="74"/>
      <c r="Z2103" s="74"/>
      <c r="AA2103" s="74"/>
      <c r="AB2103" s="74"/>
      <c r="AC2103" s="74"/>
      <c r="AD2103" s="74"/>
      <c r="AE2103" s="74"/>
      <c r="AF2103" s="74"/>
      <c r="AG2103" s="74"/>
      <c r="AH2103" s="74"/>
    </row>
    <row r="2104" s="73" customFormat="1" spans="1:34">
      <c r="A2104" s="74"/>
      <c r="B2104" s="74"/>
      <c r="C2104" s="74"/>
      <c r="D2104" s="74"/>
      <c r="E2104" s="74"/>
      <c r="F2104" s="74"/>
      <c r="G2104" s="74"/>
      <c r="H2104" s="74"/>
      <c r="I2104" s="74"/>
      <c r="J2104" s="74"/>
      <c r="K2104" s="74"/>
      <c r="L2104" s="74"/>
      <c r="M2104" s="74"/>
      <c r="N2104" s="74"/>
      <c r="O2104" s="75"/>
      <c r="P2104" s="74"/>
      <c r="Q2104" s="75"/>
      <c r="R2104" s="74"/>
      <c r="S2104" s="74"/>
      <c r="T2104" s="74"/>
      <c r="U2104" s="75"/>
      <c r="V2104" s="74"/>
      <c r="W2104" s="75"/>
      <c r="X2104" s="74"/>
      <c r="Y2104" s="74"/>
      <c r="Z2104" s="74"/>
      <c r="AA2104" s="74"/>
      <c r="AB2104" s="74"/>
      <c r="AC2104" s="74"/>
      <c r="AD2104" s="74"/>
      <c r="AE2104" s="74"/>
      <c r="AF2104" s="74"/>
      <c r="AG2104" s="74"/>
      <c r="AH2104" s="74"/>
    </row>
    <row r="2105" s="73" customFormat="1" spans="1:34">
      <c r="A2105" s="74"/>
      <c r="B2105" s="74"/>
      <c r="C2105" s="74"/>
      <c r="D2105" s="74"/>
      <c r="E2105" s="74"/>
      <c r="F2105" s="74"/>
      <c r="G2105" s="74"/>
      <c r="H2105" s="74"/>
      <c r="I2105" s="74"/>
      <c r="J2105" s="74"/>
      <c r="K2105" s="74"/>
      <c r="L2105" s="74"/>
      <c r="M2105" s="74"/>
      <c r="N2105" s="74"/>
      <c r="O2105" s="75"/>
      <c r="P2105" s="74"/>
      <c r="Q2105" s="75"/>
      <c r="R2105" s="74"/>
      <c r="S2105" s="74"/>
      <c r="T2105" s="74"/>
      <c r="U2105" s="75"/>
      <c r="V2105" s="74"/>
      <c r="W2105" s="75"/>
      <c r="X2105" s="74"/>
      <c r="Y2105" s="74"/>
      <c r="Z2105" s="74"/>
      <c r="AA2105" s="74"/>
      <c r="AB2105" s="74"/>
      <c r="AC2105" s="74"/>
      <c r="AD2105" s="74"/>
      <c r="AE2105" s="74"/>
      <c r="AF2105" s="74"/>
      <c r="AG2105" s="74"/>
      <c r="AH2105" s="74"/>
    </row>
    <row r="2106" s="73" customFormat="1" spans="1:34">
      <c r="A2106" s="74"/>
      <c r="B2106" s="74"/>
      <c r="C2106" s="74"/>
      <c r="D2106" s="74"/>
      <c r="E2106" s="74"/>
      <c r="F2106" s="74"/>
      <c r="G2106" s="74"/>
      <c r="H2106" s="74"/>
      <c r="I2106" s="74"/>
      <c r="J2106" s="74"/>
      <c r="K2106" s="74"/>
      <c r="L2106" s="74"/>
      <c r="M2106" s="74"/>
      <c r="N2106" s="74"/>
      <c r="O2106" s="75"/>
      <c r="P2106" s="74"/>
      <c r="Q2106" s="75"/>
      <c r="R2106" s="74"/>
      <c r="S2106" s="74"/>
      <c r="T2106" s="74"/>
      <c r="U2106" s="75"/>
      <c r="V2106" s="74"/>
      <c r="W2106" s="75"/>
      <c r="X2106" s="74"/>
      <c r="Y2106" s="74"/>
      <c r="Z2106" s="74"/>
      <c r="AA2106" s="74"/>
      <c r="AB2106" s="74"/>
      <c r="AC2106" s="74"/>
      <c r="AD2106" s="74"/>
      <c r="AE2106" s="74"/>
      <c r="AF2106" s="74"/>
      <c r="AG2106" s="74"/>
      <c r="AH2106" s="74"/>
    </row>
    <row r="2107" s="73" customFormat="1" spans="1:34">
      <c r="A2107" s="74"/>
      <c r="B2107" s="74"/>
      <c r="C2107" s="74"/>
      <c r="D2107" s="74"/>
      <c r="E2107" s="74"/>
      <c r="F2107" s="74"/>
      <c r="G2107" s="74"/>
      <c r="H2107" s="74"/>
      <c r="I2107" s="74"/>
      <c r="J2107" s="74"/>
      <c r="K2107" s="74"/>
      <c r="L2107" s="74"/>
      <c r="M2107" s="74"/>
      <c r="N2107" s="74"/>
      <c r="O2107" s="75"/>
      <c r="P2107" s="74"/>
      <c r="Q2107" s="75"/>
      <c r="R2107" s="74"/>
      <c r="S2107" s="74"/>
      <c r="T2107" s="74"/>
      <c r="U2107" s="75"/>
      <c r="V2107" s="74"/>
      <c r="W2107" s="75"/>
      <c r="X2107" s="74"/>
      <c r="Y2107" s="74"/>
      <c r="Z2107" s="74"/>
      <c r="AA2107" s="74"/>
      <c r="AB2107" s="74"/>
      <c r="AC2107" s="74"/>
      <c r="AD2107" s="74"/>
      <c r="AE2107" s="74"/>
      <c r="AF2107" s="74"/>
      <c r="AG2107" s="74"/>
      <c r="AH2107" s="74"/>
    </row>
    <row r="2108" s="73" customFormat="1" spans="1:34">
      <c r="A2108" s="74"/>
      <c r="B2108" s="74"/>
      <c r="C2108" s="74"/>
      <c r="D2108" s="74"/>
      <c r="E2108" s="74"/>
      <c r="F2108" s="74"/>
      <c r="G2108" s="74"/>
      <c r="H2108" s="74"/>
      <c r="I2108" s="74"/>
      <c r="J2108" s="74"/>
      <c r="K2108" s="74"/>
      <c r="L2108" s="74"/>
      <c r="M2108" s="74"/>
      <c r="N2108" s="74"/>
      <c r="O2108" s="75"/>
      <c r="P2108" s="74"/>
      <c r="Q2108" s="75"/>
      <c r="R2108" s="74"/>
      <c r="S2108" s="74"/>
      <c r="T2108" s="74"/>
      <c r="U2108" s="75"/>
      <c r="V2108" s="74"/>
      <c r="W2108" s="75"/>
      <c r="X2108" s="74"/>
      <c r="Y2108" s="74"/>
      <c r="Z2108" s="74"/>
      <c r="AA2108" s="74"/>
      <c r="AB2108" s="74"/>
      <c r="AC2108" s="74"/>
      <c r="AD2108" s="74"/>
      <c r="AE2108" s="74"/>
      <c r="AF2108" s="74"/>
      <c r="AG2108" s="74"/>
      <c r="AH2108" s="74"/>
    </row>
    <row r="2109" s="73" customFormat="1" spans="1:34">
      <c r="A2109" s="74"/>
      <c r="B2109" s="74"/>
      <c r="C2109" s="74"/>
      <c r="D2109" s="74"/>
      <c r="E2109" s="74"/>
      <c r="F2109" s="74"/>
      <c r="G2109" s="74"/>
      <c r="H2109" s="74"/>
      <c r="I2109" s="74"/>
      <c r="J2109" s="74"/>
      <c r="K2109" s="74"/>
      <c r="L2109" s="74"/>
      <c r="M2109" s="74"/>
      <c r="N2109" s="74"/>
      <c r="O2109" s="75"/>
      <c r="P2109" s="74"/>
      <c r="Q2109" s="75"/>
      <c r="R2109" s="74"/>
      <c r="S2109" s="74"/>
      <c r="T2109" s="74"/>
      <c r="U2109" s="75"/>
      <c r="V2109" s="74"/>
      <c r="W2109" s="75"/>
      <c r="X2109" s="74"/>
      <c r="Y2109" s="74"/>
      <c r="Z2109" s="74"/>
      <c r="AA2109" s="74"/>
      <c r="AB2109" s="74"/>
      <c r="AC2109" s="74"/>
      <c r="AD2109" s="74"/>
      <c r="AE2109" s="74"/>
      <c r="AF2109" s="74"/>
      <c r="AG2109" s="74"/>
      <c r="AH2109" s="74"/>
    </row>
    <row r="2110" s="73" customFormat="1" spans="1:34">
      <c r="A2110" s="74"/>
      <c r="B2110" s="74"/>
      <c r="C2110" s="74"/>
      <c r="D2110" s="74"/>
      <c r="E2110" s="74"/>
      <c r="F2110" s="74"/>
      <c r="G2110" s="74"/>
      <c r="H2110" s="74"/>
      <c r="I2110" s="74"/>
      <c r="J2110" s="74"/>
      <c r="K2110" s="74"/>
      <c r="L2110" s="74"/>
      <c r="M2110" s="74"/>
      <c r="N2110" s="74"/>
      <c r="O2110" s="75"/>
      <c r="P2110" s="74"/>
      <c r="Q2110" s="75"/>
      <c r="R2110" s="74"/>
      <c r="S2110" s="74"/>
      <c r="T2110" s="74"/>
      <c r="U2110" s="75"/>
      <c r="V2110" s="74"/>
      <c r="W2110" s="75"/>
      <c r="X2110" s="74"/>
      <c r="Y2110" s="74"/>
      <c r="Z2110" s="74"/>
      <c r="AA2110" s="74"/>
      <c r="AB2110" s="74"/>
      <c r="AC2110" s="74"/>
      <c r="AD2110" s="74"/>
      <c r="AE2110" s="74"/>
      <c r="AF2110" s="74"/>
      <c r="AG2110" s="74"/>
      <c r="AH2110" s="74"/>
    </row>
    <row r="2111" s="73" customFormat="1" spans="1:34">
      <c r="A2111" s="74"/>
      <c r="B2111" s="74"/>
      <c r="C2111" s="74"/>
      <c r="D2111" s="74"/>
      <c r="E2111" s="74"/>
      <c r="F2111" s="74"/>
      <c r="G2111" s="74"/>
      <c r="H2111" s="74"/>
      <c r="I2111" s="74"/>
      <c r="J2111" s="74"/>
      <c r="K2111" s="74"/>
      <c r="L2111" s="74"/>
      <c r="M2111" s="74"/>
      <c r="N2111" s="74"/>
      <c r="O2111" s="75"/>
      <c r="P2111" s="74"/>
      <c r="Q2111" s="75"/>
      <c r="R2111" s="74"/>
      <c r="S2111" s="74"/>
      <c r="T2111" s="74"/>
      <c r="U2111" s="75"/>
      <c r="V2111" s="74"/>
      <c r="W2111" s="75"/>
      <c r="X2111" s="74"/>
      <c r="Y2111" s="74"/>
      <c r="Z2111" s="74"/>
      <c r="AA2111" s="74"/>
      <c r="AB2111" s="74"/>
      <c r="AC2111" s="74"/>
      <c r="AD2111" s="74"/>
      <c r="AE2111" s="74"/>
      <c r="AF2111" s="74"/>
      <c r="AG2111" s="74"/>
      <c r="AH2111" s="74"/>
    </row>
    <row r="2112" s="73" customFormat="1" spans="1:34">
      <c r="A2112" s="74"/>
      <c r="B2112" s="74"/>
      <c r="C2112" s="74"/>
      <c r="D2112" s="74"/>
      <c r="E2112" s="74"/>
      <c r="F2112" s="74"/>
      <c r="G2112" s="74"/>
      <c r="H2112" s="74"/>
      <c r="I2112" s="74"/>
      <c r="J2112" s="74"/>
      <c r="K2112" s="74"/>
      <c r="L2112" s="74"/>
      <c r="M2112" s="74"/>
      <c r="N2112" s="74"/>
      <c r="O2112" s="75"/>
      <c r="P2112" s="74"/>
      <c r="Q2112" s="75"/>
      <c r="R2112" s="74"/>
      <c r="S2112" s="74"/>
      <c r="T2112" s="74"/>
      <c r="U2112" s="75"/>
      <c r="V2112" s="74"/>
      <c r="W2112" s="75"/>
      <c r="X2112" s="74"/>
      <c r="Y2112" s="74"/>
      <c r="Z2112" s="74"/>
      <c r="AA2112" s="74"/>
      <c r="AB2112" s="74"/>
      <c r="AC2112" s="74"/>
      <c r="AD2112" s="74"/>
      <c r="AE2112" s="74"/>
      <c r="AF2112" s="74"/>
      <c r="AG2112" s="74"/>
      <c r="AH2112" s="74"/>
    </row>
    <row r="2113" s="73" customFormat="1" spans="1:34">
      <c r="A2113" s="74"/>
      <c r="B2113" s="74"/>
      <c r="C2113" s="74"/>
      <c r="D2113" s="74"/>
      <c r="E2113" s="74"/>
      <c r="F2113" s="74"/>
      <c r="G2113" s="74"/>
      <c r="H2113" s="74"/>
      <c r="I2113" s="74"/>
      <c r="J2113" s="74"/>
      <c r="K2113" s="74"/>
      <c r="L2113" s="74"/>
      <c r="M2113" s="74"/>
      <c r="N2113" s="74"/>
      <c r="O2113" s="75"/>
      <c r="P2113" s="74"/>
      <c r="Q2113" s="75"/>
      <c r="R2113" s="74"/>
      <c r="S2113" s="74"/>
      <c r="T2113" s="74"/>
      <c r="U2113" s="75"/>
      <c r="V2113" s="74"/>
      <c r="W2113" s="75"/>
      <c r="X2113" s="74"/>
      <c r="Y2113" s="74"/>
      <c r="Z2113" s="74"/>
      <c r="AA2113" s="74"/>
      <c r="AB2113" s="74"/>
      <c r="AC2113" s="74"/>
      <c r="AD2113" s="74"/>
      <c r="AE2113" s="74"/>
      <c r="AF2113" s="74"/>
      <c r="AG2113" s="74"/>
      <c r="AH2113" s="74"/>
    </row>
    <row r="2114" s="73" customFormat="1" spans="1:34">
      <c r="A2114" s="74"/>
      <c r="B2114" s="74"/>
      <c r="C2114" s="74"/>
      <c r="D2114" s="74"/>
      <c r="E2114" s="74"/>
      <c r="F2114" s="74"/>
      <c r="G2114" s="74"/>
      <c r="H2114" s="74"/>
      <c r="I2114" s="74"/>
      <c r="J2114" s="74"/>
      <c r="K2114" s="74"/>
      <c r="L2114" s="74"/>
      <c r="M2114" s="74"/>
      <c r="N2114" s="74"/>
      <c r="O2114" s="75"/>
      <c r="P2114" s="74"/>
      <c r="Q2114" s="75"/>
      <c r="R2114" s="74"/>
      <c r="S2114" s="74"/>
      <c r="T2114" s="74"/>
      <c r="U2114" s="75"/>
      <c r="V2114" s="74"/>
      <c r="W2114" s="75"/>
      <c r="X2114" s="74"/>
      <c r="Y2114" s="74"/>
      <c r="Z2114" s="74"/>
      <c r="AA2114" s="74"/>
      <c r="AB2114" s="74"/>
      <c r="AC2114" s="74"/>
      <c r="AD2114" s="74"/>
      <c r="AE2114" s="74"/>
      <c r="AF2114" s="74"/>
      <c r="AG2114" s="74"/>
      <c r="AH2114" s="74"/>
    </row>
    <row r="2115" s="73" customFormat="1" spans="1:34">
      <c r="A2115" s="74"/>
      <c r="B2115" s="74"/>
      <c r="C2115" s="74"/>
      <c r="D2115" s="74"/>
      <c r="E2115" s="74"/>
      <c r="F2115" s="74"/>
      <c r="G2115" s="74"/>
      <c r="H2115" s="74"/>
      <c r="I2115" s="74"/>
      <c r="J2115" s="74"/>
      <c r="K2115" s="74"/>
      <c r="L2115" s="74"/>
      <c r="M2115" s="74"/>
      <c r="N2115" s="74"/>
      <c r="O2115" s="75"/>
      <c r="P2115" s="74"/>
      <c r="Q2115" s="75"/>
      <c r="R2115" s="74"/>
      <c r="S2115" s="74"/>
      <c r="T2115" s="74"/>
      <c r="U2115" s="75"/>
      <c r="V2115" s="74"/>
      <c r="W2115" s="75"/>
      <c r="X2115" s="74"/>
      <c r="Y2115" s="74"/>
      <c r="Z2115" s="74"/>
      <c r="AA2115" s="74"/>
      <c r="AB2115" s="74"/>
      <c r="AC2115" s="74"/>
      <c r="AD2115" s="74"/>
      <c r="AE2115" s="74"/>
      <c r="AF2115" s="74"/>
      <c r="AG2115" s="74"/>
      <c r="AH2115" s="74"/>
    </row>
    <row r="2116" s="73" customFormat="1" spans="1:34">
      <c r="A2116" s="74"/>
      <c r="B2116" s="74"/>
      <c r="C2116" s="74"/>
      <c r="D2116" s="74"/>
      <c r="E2116" s="74"/>
      <c r="F2116" s="74"/>
      <c r="G2116" s="74"/>
      <c r="H2116" s="74"/>
      <c r="I2116" s="74"/>
      <c r="J2116" s="74"/>
      <c r="K2116" s="74"/>
      <c r="L2116" s="74"/>
      <c r="M2116" s="74"/>
      <c r="N2116" s="74"/>
      <c r="O2116" s="75"/>
      <c r="P2116" s="74"/>
      <c r="Q2116" s="75"/>
      <c r="R2116" s="74"/>
      <c r="S2116" s="74"/>
      <c r="T2116" s="74"/>
      <c r="U2116" s="75"/>
      <c r="V2116" s="74"/>
      <c r="W2116" s="75"/>
      <c r="X2116" s="74"/>
      <c r="Y2116" s="74"/>
      <c r="Z2116" s="74"/>
      <c r="AA2116" s="74"/>
      <c r="AB2116" s="74"/>
      <c r="AC2116" s="74"/>
      <c r="AD2116" s="74"/>
      <c r="AE2116" s="74"/>
      <c r="AF2116" s="74"/>
      <c r="AG2116" s="74"/>
      <c r="AH2116" s="74"/>
    </row>
    <row r="2117" s="73" customFormat="1" spans="1:34">
      <c r="A2117" s="74"/>
      <c r="B2117" s="74"/>
      <c r="C2117" s="74"/>
      <c r="D2117" s="74"/>
      <c r="E2117" s="74"/>
      <c r="F2117" s="74"/>
      <c r="G2117" s="74"/>
      <c r="H2117" s="74"/>
      <c r="I2117" s="74"/>
      <c r="J2117" s="74"/>
      <c r="K2117" s="74"/>
      <c r="L2117" s="74"/>
      <c r="M2117" s="74"/>
      <c r="N2117" s="74"/>
      <c r="O2117" s="75"/>
      <c r="P2117" s="74"/>
      <c r="Q2117" s="75"/>
      <c r="R2117" s="74"/>
      <c r="S2117" s="74"/>
      <c r="T2117" s="74"/>
      <c r="U2117" s="75"/>
      <c r="V2117" s="74"/>
      <c r="W2117" s="75"/>
      <c r="X2117" s="74"/>
      <c r="Y2117" s="74"/>
      <c r="Z2117" s="74"/>
      <c r="AA2117" s="74"/>
      <c r="AB2117" s="74"/>
      <c r="AC2117" s="74"/>
      <c r="AD2117" s="74"/>
      <c r="AE2117" s="74"/>
      <c r="AF2117" s="74"/>
      <c r="AG2117" s="74"/>
      <c r="AH2117" s="74"/>
    </row>
    <row r="2118" s="73" customFormat="1" spans="1:34">
      <c r="A2118" s="74"/>
      <c r="B2118" s="74"/>
      <c r="C2118" s="74"/>
      <c r="D2118" s="74"/>
      <c r="E2118" s="74"/>
      <c r="F2118" s="74"/>
      <c r="G2118" s="74"/>
      <c r="H2118" s="74"/>
      <c r="I2118" s="74"/>
      <c r="J2118" s="74"/>
      <c r="K2118" s="74"/>
      <c r="L2118" s="74"/>
      <c r="M2118" s="74"/>
      <c r="N2118" s="74"/>
      <c r="O2118" s="75"/>
      <c r="P2118" s="74"/>
      <c r="Q2118" s="75"/>
      <c r="R2118" s="74"/>
      <c r="S2118" s="74"/>
      <c r="T2118" s="74"/>
      <c r="U2118" s="75"/>
      <c r="V2118" s="74"/>
      <c r="W2118" s="75"/>
      <c r="X2118" s="74"/>
      <c r="Y2118" s="74"/>
      <c r="Z2118" s="74"/>
      <c r="AA2118" s="74"/>
      <c r="AB2118" s="74"/>
      <c r="AC2118" s="74"/>
      <c r="AD2118" s="74"/>
      <c r="AE2118" s="74"/>
      <c r="AF2118" s="74"/>
      <c r="AG2118" s="74"/>
      <c r="AH2118" s="74"/>
    </row>
    <row r="2119" s="73" customFormat="1" spans="1:34">
      <c r="A2119" s="74"/>
      <c r="B2119" s="74"/>
      <c r="C2119" s="74"/>
      <c r="D2119" s="74"/>
      <c r="E2119" s="74"/>
      <c r="F2119" s="74"/>
      <c r="G2119" s="74"/>
      <c r="H2119" s="74"/>
      <c r="I2119" s="74"/>
      <c r="J2119" s="74"/>
      <c r="K2119" s="74"/>
      <c r="L2119" s="74"/>
      <c r="M2119" s="74"/>
      <c r="N2119" s="74"/>
      <c r="O2119" s="75"/>
      <c r="P2119" s="74"/>
      <c r="Q2119" s="75"/>
      <c r="R2119" s="74"/>
      <c r="S2119" s="74"/>
      <c r="T2119" s="74"/>
      <c r="U2119" s="75"/>
      <c r="V2119" s="74"/>
      <c r="W2119" s="75"/>
      <c r="X2119" s="74"/>
      <c r="Y2119" s="74"/>
      <c r="Z2119" s="74"/>
      <c r="AA2119" s="74"/>
      <c r="AB2119" s="74"/>
      <c r="AC2119" s="74"/>
      <c r="AD2119" s="74"/>
      <c r="AE2119" s="74"/>
      <c r="AF2119" s="74"/>
      <c r="AG2119" s="74"/>
      <c r="AH2119" s="74"/>
    </row>
    <row r="2120" s="73" customFormat="1" spans="1:34">
      <c r="A2120" s="74"/>
      <c r="B2120" s="74"/>
      <c r="C2120" s="74"/>
      <c r="D2120" s="74"/>
      <c r="E2120" s="74"/>
      <c r="F2120" s="74"/>
      <c r="G2120" s="74"/>
      <c r="H2120" s="74"/>
      <c r="I2120" s="74"/>
      <c r="J2120" s="74"/>
      <c r="K2120" s="74"/>
      <c r="L2120" s="74"/>
      <c r="M2120" s="74"/>
      <c r="N2120" s="74"/>
      <c r="O2120" s="75"/>
      <c r="P2120" s="74"/>
      <c r="Q2120" s="75"/>
      <c r="R2120" s="74"/>
      <c r="S2120" s="74"/>
      <c r="T2120" s="74"/>
      <c r="U2120" s="75"/>
      <c r="V2120" s="74"/>
      <c r="W2120" s="75"/>
      <c r="X2120" s="74"/>
      <c r="Y2120" s="74"/>
      <c r="Z2120" s="74"/>
      <c r="AA2120" s="74"/>
      <c r="AB2120" s="74"/>
      <c r="AC2120" s="74"/>
      <c r="AD2120" s="74"/>
      <c r="AE2120" s="74"/>
      <c r="AF2120" s="74"/>
      <c r="AG2120" s="74"/>
      <c r="AH2120" s="74"/>
    </row>
    <row r="2121" s="73" customFormat="1" spans="1:34">
      <c r="A2121" s="74"/>
      <c r="B2121" s="74"/>
      <c r="C2121" s="74"/>
      <c r="D2121" s="74"/>
      <c r="E2121" s="74"/>
      <c r="F2121" s="74"/>
      <c r="G2121" s="74"/>
      <c r="H2121" s="74"/>
      <c r="I2121" s="74"/>
      <c r="J2121" s="74"/>
      <c r="K2121" s="74"/>
      <c r="L2121" s="74"/>
      <c r="M2121" s="74"/>
      <c r="N2121" s="74"/>
      <c r="O2121" s="75"/>
      <c r="P2121" s="74"/>
      <c r="Q2121" s="75"/>
      <c r="R2121" s="74"/>
      <c r="S2121" s="74"/>
      <c r="T2121" s="74"/>
      <c r="U2121" s="75"/>
      <c r="V2121" s="74"/>
      <c r="W2121" s="75"/>
      <c r="X2121" s="74"/>
      <c r="Y2121" s="74"/>
      <c r="Z2121" s="74"/>
      <c r="AA2121" s="74"/>
      <c r="AB2121" s="74"/>
      <c r="AC2121" s="74"/>
      <c r="AD2121" s="74"/>
      <c r="AE2121" s="74"/>
      <c r="AF2121" s="74"/>
      <c r="AG2121" s="74"/>
      <c r="AH2121" s="74"/>
    </row>
    <row r="2122" s="73" customFormat="1" spans="1:34">
      <c r="A2122" s="74"/>
      <c r="B2122" s="74"/>
      <c r="C2122" s="74"/>
      <c r="D2122" s="74"/>
      <c r="E2122" s="74"/>
      <c r="F2122" s="74"/>
      <c r="G2122" s="74"/>
      <c r="H2122" s="74"/>
      <c r="I2122" s="74"/>
      <c r="J2122" s="74"/>
      <c r="K2122" s="74"/>
      <c r="L2122" s="74"/>
      <c r="M2122" s="74"/>
      <c r="N2122" s="74"/>
      <c r="O2122" s="75"/>
      <c r="P2122" s="74"/>
      <c r="Q2122" s="75"/>
      <c r="R2122" s="74"/>
      <c r="S2122" s="74"/>
      <c r="T2122" s="74"/>
      <c r="U2122" s="75"/>
      <c r="V2122" s="74"/>
      <c r="W2122" s="75"/>
      <c r="X2122" s="74"/>
      <c r="Y2122" s="74"/>
      <c r="Z2122" s="74"/>
      <c r="AA2122" s="74"/>
      <c r="AB2122" s="74"/>
      <c r="AC2122" s="74"/>
      <c r="AD2122" s="74"/>
      <c r="AE2122" s="74"/>
      <c r="AF2122" s="74"/>
      <c r="AG2122" s="74"/>
      <c r="AH2122" s="74"/>
    </row>
    <row r="2123" s="73" customFormat="1" spans="1:34">
      <c r="A2123" s="74"/>
      <c r="B2123" s="74"/>
      <c r="C2123" s="74"/>
      <c r="D2123" s="74"/>
      <c r="E2123" s="74"/>
      <c r="F2123" s="74"/>
      <c r="G2123" s="74"/>
      <c r="H2123" s="74"/>
      <c r="I2123" s="74"/>
      <c r="J2123" s="74"/>
      <c r="K2123" s="74"/>
      <c r="L2123" s="74"/>
      <c r="M2123" s="74"/>
      <c r="N2123" s="74"/>
      <c r="O2123" s="75"/>
      <c r="P2123" s="74"/>
      <c r="Q2123" s="75"/>
      <c r="R2123" s="74"/>
      <c r="S2123" s="74"/>
      <c r="T2123" s="74"/>
      <c r="U2123" s="75"/>
      <c r="V2123" s="74"/>
      <c r="W2123" s="75"/>
      <c r="X2123" s="74"/>
      <c r="Y2123" s="74"/>
      <c r="Z2123" s="74"/>
      <c r="AA2123" s="74"/>
      <c r="AB2123" s="74"/>
      <c r="AC2123" s="74"/>
      <c r="AD2123" s="74"/>
      <c r="AE2123" s="74"/>
      <c r="AF2123" s="74"/>
      <c r="AG2123" s="74"/>
      <c r="AH2123" s="74"/>
    </row>
    <row r="2124" s="73" customFormat="1" spans="1:34">
      <c r="A2124" s="74"/>
      <c r="B2124" s="74"/>
      <c r="C2124" s="74"/>
      <c r="D2124" s="74"/>
      <c r="E2124" s="74"/>
      <c r="F2124" s="74"/>
      <c r="G2124" s="74"/>
      <c r="H2124" s="74"/>
      <c r="I2124" s="74"/>
      <c r="J2124" s="74"/>
      <c r="K2124" s="74"/>
      <c r="L2124" s="74"/>
      <c r="M2124" s="74"/>
      <c r="N2124" s="74"/>
      <c r="O2124" s="75"/>
      <c r="P2124" s="74"/>
      <c r="Q2124" s="75"/>
      <c r="R2124" s="74"/>
      <c r="S2124" s="74"/>
      <c r="T2124" s="74"/>
      <c r="U2124" s="75"/>
      <c r="V2124" s="74"/>
      <c r="W2124" s="75"/>
      <c r="X2124" s="74"/>
      <c r="Y2124" s="74"/>
      <c r="Z2124" s="74"/>
      <c r="AA2124" s="74"/>
      <c r="AB2124" s="74"/>
      <c r="AC2124" s="74"/>
      <c r="AD2124" s="74"/>
      <c r="AE2124" s="74"/>
      <c r="AF2124" s="74"/>
      <c r="AG2124" s="74"/>
      <c r="AH2124" s="74"/>
    </row>
    <row r="2125" s="73" customFormat="1" spans="1:34">
      <c r="A2125" s="74"/>
      <c r="B2125" s="74"/>
      <c r="C2125" s="74"/>
      <c r="D2125" s="74"/>
      <c r="E2125" s="74"/>
      <c r="F2125" s="74"/>
      <c r="G2125" s="74"/>
      <c r="H2125" s="74"/>
      <c r="I2125" s="74"/>
      <c r="J2125" s="74"/>
      <c r="K2125" s="74"/>
      <c r="L2125" s="74"/>
      <c r="M2125" s="74"/>
      <c r="N2125" s="74"/>
      <c r="O2125" s="75"/>
      <c r="P2125" s="74"/>
      <c r="Q2125" s="75"/>
      <c r="R2125" s="74"/>
      <c r="S2125" s="74"/>
      <c r="T2125" s="74"/>
      <c r="U2125" s="75"/>
      <c r="V2125" s="74"/>
      <c r="W2125" s="75"/>
      <c r="X2125" s="74"/>
      <c r="Y2125" s="74"/>
      <c r="Z2125" s="74"/>
      <c r="AA2125" s="74"/>
      <c r="AB2125" s="74"/>
      <c r="AC2125" s="74"/>
      <c r="AD2125" s="74"/>
      <c r="AE2125" s="74"/>
      <c r="AF2125" s="74"/>
      <c r="AG2125" s="74"/>
      <c r="AH2125" s="74"/>
    </row>
    <row r="2126" s="73" customFormat="1" spans="1:34">
      <c r="A2126" s="74"/>
      <c r="B2126" s="74"/>
      <c r="C2126" s="74"/>
      <c r="D2126" s="74"/>
      <c r="E2126" s="74"/>
      <c r="F2126" s="74"/>
      <c r="G2126" s="74"/>
      <c r="H2126" s="74"/>
      <c r="I2126" s="74"/>
      <c r="J2126" s="74"/>
      <c r="K2126" s="74"/>
      <c r="L2126" s="74"/>
      <c r="M2126" s="74"/>
      <c r="N2126" s="74"/>
      <c r="O2126" s="75"/>
      <c r="P2126" s="74"/>
      <c r="Q2126" s="75"/>
      <c r="R2126" s="74"/>
      <c r="S2126" s="74"/>
      <c r="T2126" s="74"/>
      <c r="U2126" s="75"/>
      <c r="V2126" s="74"/>
      <c r="W2126" s="75"/>
      <c r="X2126" s="74"/>
      <c r="Y2126" s="74"/>
      <c r="Z2126" s="74"/>
      <c r="AA2126" s="74"/>
      <c r="AB2126" s="74"/>
      <c r="AC2126" s="74"/>
      <c r="AD2126" s="74"/>
      <c r="AE2126" s="74"/>
      <c r="AF2126" s="74"/>
      <c r="AG2126" s="74"/>
      <c r="AH2126" s="74"/>
    </row>
    <row r="2127" s="73" customFormat="1" spans="1:34">
      <c r="A2127" s="74"/>
      <c r="B2127" s="74"/>
      <c r="C2127" s="74"/>
      <c r="D2127" s="74"/>
      <c r="E2127" s="74"/>
      <c r="F2127" s="74"/>
      <c r="G2127" s="74"/>
      <c r="H2127" s="74"/>
      <c r="I2127" s="74"/>
      <c r="J2127" s="74"/>
      <c r="K2127" s="74"/>
      <c r="L2127" s="74"/>
      <c r="M2127" s="74"/>
      <c r="N2127" s="74"/>
      <c r="O2127" s="75"/>
      <c r="P2127" s="74"/>
      <c r="Q2127" s="75"/>
      <c r="R2127" s="74"/>
      <c r="S2127" s="74"/>
      <c r="T2127" s="74"/>
      <c r="U2127" s="75"/>
      <c r="V2127" s="74"/>
      <c r="W2127" s="75"/>
      <c r="X2127" s="74"/>
      <c r="Y2127" s="74"/>
      <c r="Z2127" s="74"/>
      <c r="AA2127" s="74"/>
      <c r="AB2127" s="74"/>
      <c r="AC2127" s="74"/>
      <c r="AD2127" s="74"/>
      <c r="AE2127" s="74"/>
      <c r="AF2127" s="74"/>
      <c r="AG2127" s="74"/>
      <c r="AH2127" s="74"/>
    </row>
    <row r="2128" s="73" customFormat="1" spans="1:34">
      <c r="A2128" s="74"/>
      <c r="B2128" s="74"/>
      <c r="C2128" s="74"/>
      <c r="D2128" s="74"/>
      <c r="E2128" s="74"/>
      <c r="F2128" s="74"/>
      <c r="G2128" s="74"/>
      <c r="H2128" s="74"/>
      <c r="I2128" s="74"/>
      <c r="J2128" s="74"/>
      <c r="K2128" s="74"/>
      <c r="L2128" s="74"/>
      <c r="M2128" s="74"/>
      <c r="N2128" s="74"/>
      <c r="O2128" s="75"/>
      <c r="P2128" s="74"/>
      <c r="Q2128" s="75"/>
      <c r="R2128" s="74"/>
      <c r="S2128" s="74"/>
      <c r="T2128" s="74"/>
      <c r="U2128" s="75"/>
      <c r="V2128" s="74"/>
      <c r="W2128" s="75"/>
      <c r="X2128" s="74"/>
      <c r="Y2128" s="74"/>
      <c r="Z2128" s="74"/>
      <c r="AA2128" s="74"/>
      <c r="AB2128" s="74"/>
      <c r="AC2128" s="74"/>
      <c r="AD2128" s="74"/>
      <c r="AE2128" s="74"/>
      <c r="AF2128" s="74"/>
      <c r="AG2128" s="74"/>
      <c r="AH2128" s="74"/>
    </row>
    <row r="2129" s="73" customFormat="1" spans="1:34">
      <c r="A2129" s="74"/>
      <c r="B2129" s="74"/>
      <c r="C2129" s="74"/>
      <c r="D2129" s="74"/>
      <c r="E2129" s="74"/>
      <c r="F2129" s="74"/>
      <c r="G2129" s="74"/>
      <c r="H2129" s="74"/>
      <c r="I2129" s="74"/>
      <c r="J2129" s="74"/>
      <c r="K2129" s="74"/>
      <c r="L2129" s="74"/>
      <c r="M2129" s="74"/>
      <c r="N2129" s="74"/>
      <c r="O2129" s="75"/>
      <c r="P2129" s="74"/>
      <c r="Q2129" s="75"/>
      <c r="R2129" s="74"/>
      <c r="S2129" s="74"/>
      <c r="T2129" s="74"/>
      <c r="U2129" s="75"/>
      <c r="V2129" s="74"/>
      <c r="W2129" s="75"/>
      <c r="X2129" s="74"/>
      <c r="Y2129" s="74"/>
      <c r="Z2129" s="74"/>
      <c r="AA2129" s="74"/>
      <c r="AB2129" s="74"/>
      <c r="AC2129" s="74"/>
      <c r="AD2129" s="74"/>
      <c r="AE2129" s="74"/>
      <c r="AF2129" s="74"/>
      <c r="AG2129" s="74"/>
      <c r="AH2129" s="74"/>
    </row>
    <row r="2130" s="73" customFormat="1" spans="1:34">
      <c r="A2130" s="74"/>
      <c r="B2130" s="74"/>
      <c r="C2130" s="74"/>
      <c r="D2130" s="74"/>
      <c r="E2130" s="74"/>
      <c r="F2130" s="74"/>
      <c r="G2130" s="74"/>
      <c r="H2130" s="74"/>
      <c r="I2130" s="74"/>
      <c r="J2130" s="74"/>
      <c r="K2130" s="74"/>
      <c r="L2130" s="74"/>
      <c r="M2130" s="74"/>
      <c r="N2130" s="74"/>
      <c r="O2130" s="75"/>
      <c r="P2130" s="74"/>
      <c r="Q2130" s="75"/>
      <c r="R2130" s="74"/>
      <c r="S2130" s="74"/>
      <c r="T2130" s="74"/>
      <c r="U2130" s="75"/>
      <c r="V2130" s="74"/>
      <c r="W2130" s="75"/>
      <c r="X2130" s="74"/>
      <c r="Y2130" s="74"/>
      <c r="Z2130" s="74"/>
      <c r="AA2130" s="74"/>
      <c r="AB2130" s="74"/>
      <c r="AC2130" s="74"/>
      <c r="AD2130" s="74"/>
      <c r="AE2130" s="74"/>
      <c r="AF2130" s="74"/>
      <c r="AG2130" s="74"/>
      <c r="AH2130" s="74"/>
    </row>
    <row r="2131" s="73" customFormat="1" spans="1:34">
      <c r="A2131" s="74"/>
      <c r="B2131" s="74"/>
      <c r="C2131" s="74"/>
      <c r="D2131" s="74"/>
      <c r="E2131" s="74"/>
      <c r="F2131" s="74"/>
      <c r="G2131" s="74"/>
      <c r="H2131" s="74"/>
      <c r="I2131" s="74"/>
      <c r="J2131" s="74"/>
      <c r="K2131" s="74"/>
      <c r="L2131" s="74"/>
      <c r="M2131" s="74"/>
      <c r="N2131" s="74"/>
      <c r="O2131" s="75"/>
      <c r="P2131" s="74"/>
      <c r="Q2131" s="75"/>
      <c r="R2131" s="74"/>
      <c r="S2131" s="74"/>
      <c r="T2131" s="74"/>
      <c r="U2131" s="75"/>
      <c r="V2131" s="74"/>
      <c r="W2131" s="75"/>
      <c r="X2131" s="74"/>
      <c r="Y2131" s="74"/>
      <c r="Z2131" s="74"/>
      <c r="AA2131" s="74"/>
      <c r="AB2131" s="74"/>
      <c r="AC2131" s="74"/>
      <c r="AD2131" s="74"/>
      <c r="AE2131" s="74"/>
      <c r="AF2131" s="74"/>
      <c r="AG2131" s="74"/>
      <c r="AH2131" s="74"/>
    </row>
    <row r="2132" s="73" customFormat="1" spans="1:34">
      <c r="A2132" s="74"/>
      <c r="B2132" s="74"/>
      <c r="C2132" s="74"/>
      <c r="D2132" s="74"/>
      <c r="E2132" s="74"/>
      <c r="F2132" s="74"/>
      <c r="G2132" s="74"/>
      <c r="H2132" s="74"/>
      <c r="I2132" s="74"/>
      <c r="J2132" s="74"/>
      <c r="K2132" s="74"/>
      <c r="L2132" s="74"/>
      <c r="M2132" s="74"/>
      <c r="N2132" s="74"/>
      <c r="O2132" s="75"/>
      <c r="P2132" s="74"/>
      <c r="Q2132" s="75"/>
      <c r="R2132" s="74"/>
      <c r="S2132" s="74"/>
      <c r="T2132" s="74"/>
      <c r="U2132" s="75"/>
      <c r="V2132" s="74"/>
      <c r="W2132" s="75"/>
      <c r="X2132" s="74"/>
      <c r="Y2132" s="74"/>
      <c r="Z2132" s="74"/>
      <c r="AA2132" s="74"/>
      <c r="AB2132" s="74"/>
      <c r="AC2132" s="74"/>
      <c r="AD2132" s="74"/>
      <c r="AE2132" s="74"/>
      <c r="AF2132" s="74"/>
      <c r="AG2132" s="74"/>
      <c r="AH2132" s="74"/>
    </row>
    <row r="2133" s="73" customFormat="1" spans="1:34">
      <c r="A2133" s="74"/>
      <c r="B2133" s="74"/>
      <c r="C2133" s="74"/>
      <c r="D2133" s="74"/>
      <c r="E2133" s="74"/>
      <c r="F2133" s="74"/>
      <c r="G2133" s="74"/>
      <c r="H2133" s="74"/>
      <c r="I2133" s="74"/>
      <c r="J2133" s="74"/>
      <c r="K2133" s="74"/>
      <c r="L2133" s="74"/>
      <c r="M2133" s="74"/>
      <c r="N2133" s="74"/>
      <c r="O2133" s="75"/>
      <c r="P2133" s="74"/>
      <c r="Q2133" s="75"/>
      <c r="R2133" s="74"/>
      <c r="S2133" s="74"/>
      <c r="T2133" s="74"/>
      <c r="U2133" s="75"/>
      <c r="V2133" s="74"/>
      <c r="W2133" s="75"/>
      <c r="X2133" s="74"/>
      <c r="Y2133" s="74"/>
      <c r="Z2133" s="74"/>
      <c r="AA2133" s="74"/>
      <c r="AB2133" s="74"/>
      <c r="AC2133" s="74"/>
      <c r="AD2133" s="74"/>
      <c r="AE2133" s="74"/>
      <c r="AF2133" s="74"/>
      <c r="AG2133" s="74"/>
      <c r="AH2133" s="74"/>
    </row>
    <row r="2134" s="73" customFormat="1" spans="1:34">
      <c r="A2134" s="74"/>
      <c r="B2134" s="74"/>
      <c r="C2134" s="74"/>
      <c r="D2134" s="74"/>
      <c r="E2134" s="74"/>
      <c r="F2134" s="74"/>
      <c r="G2134" s="74"/>
      <c r="H2134" s="74"/>
      <c r="I2134" s="74"/>
      <c r="J2134" s="74"/>
      <c r="K2134" s="74"/>
      <c r="L2134" s="74"/>
      <c r="M2134" s="74"/>
      <c r="N2134" s="74"/>
      <c r="O2134" s="75"/>
      <c r="P2134" s="74"/>
      <c r="Q2134" s="75"/>
      <c r="R2134" s="74"/>
      <c r="S2134" s="74"/>
      <c r="T2134" s="74"/>
      <c r="U2134" s="75"/>
      <c r="V2134" s="74"/>
      <c r="W2134" s="75"/>
      <c r="X2134" s="74"/>
      <c r="Y2134" s="74"/>
      <c r="Z2134" s="74"/>
      <c r="AA2134" s="74"/>
      <c r="AB2134" s="74"/>
      <c r="AC2134" s="74"/>
      <c r="AD2134" s="74"/>
      <c r="AE2134" s="74"/>
      <c r="AF2134" s="74"/>
      <c r="AG2134" s="74"/>
      <c r="AH2134" s="74"/>
    </row>
    <row r="2135" s="73" customFormat="1" spans="1:34">
      <c r="A2135" s="74"/>
      <c r="B2135" s="74"/>
      <c r="C2135" s="74"/>
      <c r="D2135" s="74"/>
      <c r="E2135" s="74"/>
      <c r="F2135" s="74"/>
      <c r="G2135" s="74"/>
      <c r="H2135" s="74"/>
      <c r="I2135" s="74"/>
      <c r="J2135" s="74"/>
      <c r="K2135" s="74"/>
      <c r="L2135" s="74"/>
      <c r="M2135" s="74"/>
      <c r="N2135" s="74"/>
      <c r="O2135" s="75"/>
      <c r="P2135" s="74"/>
      <c r="Q2135" s="75"/>
      <c r="R2135" s="74"/>
      <c r="S2135" s="74"/>
      <c r="T2135" s="74"/>
      <c r="U2135" s="75"/>
      <c r="V2135" s="74"/>
      <c r="W2135" s="75"/>
      <c r="X2135" s="74"/>
      <c r="Y2135" s="74"/>
      <c r="Z2135" s="74"/>
      <c r="AA2135" s="74"/>
      <c r="AB2135" s="74"/>
      <c r="AC2135" s="74"/>
      <c r="AD2135" s="74"/>
      <c r="AE2135" s="74"/>
      <c r="AF2135" s="74"/>
      <c r="AG2135" s="74"/>
      <c r="AH2135" s="74"/>
    </row>
    <row r="2136" s="73" customFormat="1" spans="1:34">
      <c r="A2136" s="74"/>
      <c r="B2136" s="74"/>
      <c r="C2136" s="74"/>
      <c r="D2136" s="74"/>
      <c r="E2136" s="74"/>
      <c r="F2136" s="74"/>
      <c r="G2136" s="74"/>
      <c r="H2136" s="74"/>
      <c r="I2136" s="74"/>
      <c r="J2136" s="74"/>
      <c r="K2136" s="74"/>
      <c r="L2136" s="74"/>
      <c r="M2136" s="74"/>
      <c r="N2136" s="74"/>
      <c r="O2136" s="75"/>
      <c r="P2136" s="74"/>
      <c r="Q2136" s="75"/>
      <c r="R2136" s="74"/>
      <c r="S2136" s="74"/>
      <c r="T2136" s="74"/>
      <c r="U2136" s="75"/>
      <c r="V2136" s="74"/>
      <c r="W2136" s="75"/>
      <c r="X2136" s="74"/>
      <c r="Y2136" s="74"/>
      <c r="Z2136" s="74"/>
      <c r="AA2136" s="74"/>
      <c r="AB2136" s="74"/>
      <c r="AC2136" s="74"/>
      <c r="AD2136" s="74"/>
      <c r="AE2136" s="74"/>
      <c r="AF2136" s="74"/>
      <c r="AG2136" s="74"/>
      <c r="AH2136" s="74"/>
    </row>
    <row r="2137" s="73" customFormat="1" spans="1:34">
      <c r="A2137" s="74"/>
      <c r="B2137" s="74"/>
      <c r="C2137" s="74"/>
      <c r="D2137" s="74"/>
      <c r="E2137" s="74"/>
      <c r="F2137" s="74"/>
      <c r="G2137" s="74"/>
      <c r="H2137" s="74"/>
      <c r="I2137" s="74"/>
      <c r="J2137" s="74"/>
      <c r="K2137" s="74"/>
      <c r="L2137" s="74"/>
      <c r="M2137" s="74"/>
      <c r="N2137" s="74"/>
      <c r="O2137" s="75"/>
      <c r="P2137" s="74"/>
      <c r="Q2137" s="75"/>
      <c r="R2137" s="74"/>
      <c r="S2137" s="74"/>
      <c r="T2137" s="74"/>
      <c r="U2137" s="75"/>
      <c r="V2137" s="74"/>
      <c r="W2137" s="75"/>
      <c r="X2137" s="74"/>
      <c r="Y2137" s="74"/>
      <c r="Z2137" s="74"/>
      <c r="AA2137" s="74"/>
      <c r="AB2137" s="74"/>
      <c r="AC2137" s="74"/>
      <c r="AD2137" s="74"/>
      <c r="AE2137" s="74"/>
      <c r="AF2137" s="74"/>
      <c r="AG2137" s="74"/>
      <c r="AH2137" s="74"/>
    </row>
    <row r="2138" s="73" customFormat="1" spans="1:34">
      <c r="A2138" s="74"/>
      <c r="B2138" s="74"/>
      <c r="C2138" s="74"/>
      <c r="D2138" s="74"/>
      <c r="E2138" s="74"/>
      <c r="F2138" s="74"/>
      <c r="G2138" s="74"/>
      <c r="H2138" s="74"/>
      <c r="I2138" s="74"/>
      <c r="J2138" s="74"/>
      <c r="K2138" s="74"/>
      <c r="L2138" s="74"/>
      <c r="M2138" s="74"/>
      <c r="N2138" s="74"/>
      <c r="O2138" s="75"/>
      <c r="P2138" s="74"/>
      <c r="Q2138" s="75"/>
      <c r="R2138" s="74"/>
      <c r="S2138" s="74"/>
      <c r="T2138" s="74"/>
      <c r="U2138" s="75"/>
      <c r="V2138" s="74"/>
      <c r="W2138" s="75"/>
      <c r="X2138" s="74"/>
      <c r="Y2138" s="74"/>
      <c r="Z2138" s="74"/>
      <c r="AA2138" s="74"/>
      <c r="AB2138" s="74"/>
      <c r="AC2138" s="74"/>
      <c r="AD2138" s="74"/>
      <c r="AE2138" s="74"/>
      <c r="AF2138" s="74"/>
      <c r="AG2138" s="74"/>
      <c r="AH2138" s="74"/>
    </row>
    <row r="2139" s="73" customFormat="1" spans="1:34">
      <c r="A2139" s="74"/>
      <c r="B2139" s="74"/>
      <c r="C2139" s="74"/>
      <c r="D2139" s="74"/>
      <c r="E2139" s="74"/>
      <c r="F2139" s="74"/>
      <c r="G2139" s="74"/>
      <c r="H2139" s="74"/>
      <c r="I2139" s="74"/>
      <c r="J2139" s="74"/>
      <c r="K2139" s="74"/>
      <c r="L2139" s="74"/>
      <c r="M2139" s="74"/>
      <c r="N2139" s="74"/>
      <c r="O2139" s="75"/>
      <c r="P2139" s="74"/>
      <c r="Q2139" s="75"/>
      <c r="R2139" s="74"/>
      <c r="S2139" s="74"/>
      <c r="T2139" s="74"/>
      <c r="U2139" s="75"/>
      <c r="V2139" s="74"/>
      <c r="W2139" s="75"/>
      <c r="X2139" s="74"/>
      <c r="Y2139" s="74"/>
      <c r="Z2139" s="74"/>
      <c r="AA2139" s="74"/>
      <c r="AB2139" s="74"/>
      <c r="AC2139" s="74"/>
      <c r="AD2139" s="74"/>
      <c r="AE2139" s="74"/>
      <c r="AF2139" s="74"/>
      <c r="AG2139" s="74"/>
      <c r="AH2139" s="74"/>
    </row>
    <row r="2140" s="73" customFormat="1" spans="1:34">
      <c r="A2140" s="74"/>
      <c r="B2140" s="74"/>
      <c r="C2140" s="74"/>
      <c r="D2140" s="74"/>
      <c r="E2140" s="74"/>
      <c r="F2140" s="74"/>
      <c r="G2140" s="74"/>
      <c r="H2140" s="74"/>
      <c r="I2140" s="74"/>
      <c r="J2140" s="74"/>
      <c r="K2140" s="74"/>
      <c r="L2140" s="74"/>
      <c r="M2140" s="74"/>
      <c r="N2140" s="74"/>
      <c r="O2140" s="75"/>
      <c r="P2140" s="74"/>
      <c r="Q2140" s="75"/>
      <c r="R2140" s="74"/>
      <c r="S2140" s="74"/>
      <c r="T2140" s="74"/>
      <c r="U2140" s="75"/>
      <c r="V2140" s="74"/>
      <c r="W2140" s="75"/>
      <c r="X2140" s="74"/>
      <c r="Y2140" s="74"/>
      <c r="Z2140" s="74"/>
      <c r="AA2140" s="74"/>
      <c r="AB2140" s="74"/>
      <c r="AC2140" s="74"/>
      <c r="AD2140" s="74"/>
      <c r="AE2140" s="74"/>
      <c r="AF2140" s="74"/>
      <c r="AG2140" s="74"/>
      <c r="AH2140" s="74"/>
    </row>
    <row r="2141" s="73" customFormat="1" spans="1:34">
      <c r="A2141" s="74"/>
      <c r="B2141" s="74"/>
      <c r="C2141" s="74"/>
      <c r="D2141" s="74"/>
      <c r="E2141" s="74"/>
      <c r="F2141" s="74"/>
      <c r="G2141" s="74"/>
      <c r="H2141" s="74"/>
      <c r="I2141" s="74"/>
      <c r="J2141" s="74"/>
      <c r="K2141" s="74"/>
      <c r="L2141" s="74"/>
      <c r="M2141" s="74"/>
      <c r="N2141" s="74"/>
      <c r="O2141" s="75"/>
      <c r="P2141" s="74"/>
      <c r="Q2141" s="75"/>
      <c r="R2141" s="74"/>
      <c r="S2141" s="74"/>
      <c r="T2141" s="74"/>
      <c r="U2141" s="75"/>
      <c r="V2141" s="74"/>
      <c r="W2141" s="75"/>
      <c r="X2141" s="74"/>
      <c r="Y2141" s="74"/>
      <c r="Z2141" s="74"/>
      <c r="AA2141" s="74"/>
      <c r="AB2141" s="74"/>
      <c r="AC2141" s="74"/>
      <c r="AD2141" s="74"/>
      <c r="AE2141" s="74"/>
      <c r="AF2141" s="74"/>
      <c r="AG2141" s="74"/>
      <c r="AH2141" s="74"/>
    </row>
    <row r="2142" s="73" customFormat="1" spans="1:34">
      <c r="A2142" s="74"/>
      <c r="B2142" s="74"/>
      <c r="C2142" s="74"/>
      <c r="D2142" s="74"/>
      <c r="E2142" s="74"/>
      <c r="F2142" s="74"/>
      <c r="G2142" s="74"/>
      <c r="H2142" s="74"/>
      <c r="I2142" s="74"/>
      <c r="J2142" s="74"/>
      <c r="K2142" s="74"/>
      <c r="L2142" s="74"/>
      <c r="M2142" s="74"/>
      <c r="N2142" s="74"/>
      <c r="O2142" s="75"/>
      <c r="P2142" s="74"/>
      <c r="Q2142" s="75"/>
      <c r="R2142" s="74"/>
      <c r="S2142" s="74"/>
      <c r="T2142" s="74"/>
      <c r="U2142" s="75"/>
      <c r="V2142" s="74"/>
      <c r="W2142" s="75"/>
      <c r="X2142" s="74"/>
      <c r="Y2142" s="74"/>
      <c r="Z2142" s="74"/>
      <c r="AA2142" s="74"/>
      <c r="AB2142" s="74"/>
      <c r="AC2142" s="74"/>
      <c r="AD2142" s="74"/>
      <c r="AE2142" s="74"/>
      <c r="AF2142" s="74"/>
      <c r="AG2142" s="74"/>
      <c r="AH2142" s="74"/>
    </row>
    <row r="2143" s="73" customFormat="1" spans="1:34">
      <c r="A2143" s="74"/>
      <c r="B2143" s="74"/>
      <c r="C2143" s="74"/>
      <c r="D2143" s="74"/>
      <c r="E2143" s="74"/>
      <c r="F2143" s="74"/>
      <c r="G2143" s="74"/>
      <c r="H2143" s="74"/>
      <c r="I2143" s="74"/>
      <c r="J2143" s="74"/>
      <c r="K2143" s="74"/>
      <c r="L2143" s="74"/>
      <c r="M2143" s="74"/>
      <c r="N2143" s="74"/>
      <c r="O2143" s="75"/>
      <c r="P2143" s="74"/>
      <c r="Q2143" s="75"/>
      <c r="R2143" s="74"/>
      <c r="S2143" s="74"/>
      <c r="T2143" s="74"/>
      <c r="U2143" s="75"/>
      <c r="V2143" s="74"/>
      <c r="W2143" s="75"/>
      <c r="X2143" s="74"/>
      <c r="Y2143" s="74"/>
      <c r="Z2143" s="74"/>
      <c r="AA2143" s="74"/>
      <c r="AB2143" s="74"/>
      <c r="AC2143" s="74"/>
      <c r="AD2143" s="74"/>
      <c r="AE2143" s="74"/>
      <c r="AF2143" s="74"/>
      <c r="AG2143" s="74"/>
      <c r="AH2143" s="74"/>
    </row>
    <row r="2144" s="73" customFormat="1" spans="1:34">
      <c r="A2144" s="74"/>
      <c r="B2144" s="74"/>
      <c r="C2144" s="74"/>
      <c r="D2144" s="74"/>
      <c r="E2144" s="74"/>
      <c r="F2144" s="74"/>
      <c r="G2144" s="74"/>
      <c r="H2144" s="74"/>
      <c r="I2144" s="74"/>
      <c r="J2144" s="74"/>
      <c r="K2144" s="74"/>
      <c r="L2144" s="74"/>
      <c r="M2144" s="74"/>
      <c r="N2144" s="74"/>
      <c r="O2144" s="75"/>
      <c r="P2144" s="74"/>
      <c r="Q2144" s="75"/>
      <c r="R2144" s="74"/>
      <c r="S2144" s="74"/>
      <c r="T2144" s="74"/>
      <c r="U2144" s="75"/>
      <c r="V2144" s="74"/>
      <c r="W2144" s="75"/>
      <c r="X2144" s="74"/>
      <c r="Y2144" s="74"/>
      <c r="Z2144" s="74"/>
      <c r="AA2144" s="74"/>
      <c r="AB2144" s="74"/>
      <c r="AC2144" s="74"/>
      <c r="AD2144" s="74"/>
      <c r="AE2144" s="74"/>
      <c r="AF2144" s="74"/>
      <c r="AG2144" s="74"/>
      <c r="AH2144" s="74"/>
    </row>
    <row r="2145" s="73" customFormat="1" spans="1:34">
      <c r="A2145" s="74"/>
      <c r="B2145" s="74"/>
      <c r="C2145" s="74"/>
      <c r="D2145" s="74"/>
      <c r="E2145" s="74"/>
      <c r="F2145" s="74"/>
      <c r="G2145" s="74"/>
      <c r="H2145" s="74"/>
      <c r="I2145" s="74"/>
      <c r="J2145" s="74"/>
      <c r="K2145" s="74"/>
      <c r="L2145" s="74"/>
      <c r="M2145" s="74"/>
      <c r="N2145" s="74"/>
      <c r="O2145" s="75"/>
      <c r="P2145" s="74"/>
      <c r="Q2145" s="75"/>
      <c r="R2145" s="74"/>
      <c r="S2145" s="74"/>
      <c r="T2145" s="74"/>
      <c r="U2145" s="75"/>
      <c r="V2145" s="74"/>
      <c r="W2145" s="75"/>
      <c r="X2145" s="74"/>
      <c r="Y2145" s="74"/>
      <c r="Z2145" s="74"/>
      <c r="AA2145" s="74"/>
      <c r="AB2145" s="74"/>
      <c r="AC2145" s="74"/>
      <c r="AD2145" s="74"/>
      <c r="AE2145" s="74"/>
      <c r="AF2145" s="74"/>
      <c r="AG2145" s="74"/>
      <c r="AH2145" s="74"/>
    </row>
    <row r="2146" s="73" customFormat="1" spans="1:34">
      <c r="A2146" s="74"/>
      <c r="B2146" s="74"/>
      <c r="C2146" s="74"/>
      <c r="D2146" s="74"/>
      <c r="E2146" s="74"/>
      <c r="F2146" s="74"/>
      <c r="G2146" s="74"/>
      <c r="H2146" s="74"/>
      <c r="I2146" s="74"/>
      <c r="J2146" s="74"/>
      <c r="K2146" s="74"/>
      <c r="L2146" s="74"/>
      <c r="M2146" s="74"/>
      <c r="N2146" s="74"/>
      <c r="O2146" s="75"/>
      <c r="P2146" s="74"/>
      <c r="Q2146" s="75"/>
      <c r="R2146" s="74"/>
      <c r="S2146" s="74"/>
      <c r="T2146" s="74"/>
      <c r="U2146" s="75"/>
      <c r="V2146" s="74"/>
      <c r="W2146" s="75"/>
      <c r="X2146" s="74"/>
      <c r="Y2146" s="74"/>
      <c r="Z2146" s="74"/>
      <c r="AA2146" s="74"/>
      <c r="AB2146" s="74"/>
      <c r="AC2146" s="74"/>
      <c r="AD2146" s="74"/>
      <c r="AE2146" s="74"/>
      <c r="AF2146" s="74"/>
      <c r="AG2146" s="74"/>
      <c r="AH2146" s="74"/>
    </row>
    <row r="2147" s="73" customFormat="1" spans="1:34">
      <c r="A2147" s="74"/>
      <c r="B2147" s="74"/>
      <c r="C2147" s="74"/>
      <c r="D2147" s="74"/>
      <c r="E2147" s="74"/>
      <c r="F2147" s="74"/>
      <c r="G2147" s="74"/>
      <c r="H2147" s="74"/>
      <c r="I2147" s="74"/>
      <c r="J2147" s="74"/>
      <c r="K2147" s="74"/>
      <c r="L2147" s="74"/>
      <c r="M2147" s="74"/>
      <c r="N2147" s="74"/>
      <c r="O2147" s="75"/>
      <c r="P2147" s="74"/>
      <c r="Q2147" s="75"/>
      <c r="R2147" s="74"/>
      <c r="S2147" s="74"/>
      <c r="T2147" s="74"/>
      <c r="U2147" s="75"/>
      <c r="V2147" s="74"/>
      <c r="W2147" s="75"/>
      <c r="X2147" s="74"/>
      <c r="Y2147" s="74"/>
      <c r="Z2147" s="74"/>
      <c r="AA2147" s="74"/>
      <c r="AB2147" s="74"/>
      <c r="AC2147" s="74"/>
      <c r="AD2147" s="74"/>
      <c r="AE2147" s="74"/>
      <c r="AF2147" s="74"/>
      <c r="AG2147" s="74"/>
      <c r="AH2147" s="74"/>
    </row>
    <row r="2148" s="73" customFormat="1" spans="1:34">
      <c r="A2148" s="74"/>
      <c r="B2148" s="74"/>
      <c r="C2148" s="74"/>
      <c r="D2148" s="74"/>
      <c r="E2148" s="74"/>
      <c r="F2148" s="74"/>
      <c r="G2148" s="74"/>
      <c r="H2148" s="74"/>
      <c r="I2148" s="74"/>
      <c r="J2148" s="74"/>
      <c r="K2148" s="74"/>
      <c r="L2148" s="74"/>
      <c r="M2148" s="74"/>
      <c r="N2148" s="74"/>
      <c r="O2148" s="75"/>
      <c r="P2148" s="74"/>
      <c r="Q2148" s="75"/>
      <c r="R2148" s="74"/>
      <c r="S2148" s="74"/>
      <c r="T2148" s="74"/>
      <c r="U2148" s="75"/>
      <c r="V2148" s="74"/>
      <c r="W2148" s="75"/>
      <c r="X2148" s="74"/>
      <c r="Y2148" s="74"/>
      <c r="Z2148" s="74"/>
      <c r="AA2148" s="74"/>
      <c r="AB2148" s="74"/>
      <c r="AC2148" s="74"/>
      <c r="AD2148" s="74"/>
      <c r="AE2148" s="74"/>
      <c r="AF2148" s="74"/>
      <c r="AG2148" s="74"/>
      <c r="AH2148" s="74"/>
    </row>
    <row r="2149" s="73" customFormat="1" spans="1:34">
      <c r="A2149" s="74"/>
      <c r="B2149" s="74"/>
      <c r="C2149" s="74"/>
      <c r="D2149" s="74"/>
      <c r="E2149" s="74"/>
      <c r="F2149" s="74"/>
      <c r="G2149" s="74"/>
      <c r="H2149" s="74"/>
      <c r="I2149" s="74"/>
      <c r="J2149" s="74"/>
      <c r="K2149" s="74"/>
      <c r="L2149" s="74"/>
      <c r="M2149" s="74"/>
      <c r="N2149" s="74"/>
      <c r="O2149" s="75"/>
      <c r="P2149" s="74"/>
      <c r="Q2149" s="75"/>
      <c r="R2149" s="74"/>
      <c r="S2149" s="74"/>
      <c r="T2149" s="74"/>
      <c r="U2149" s="75"/>
      <c r="V2149" s="74"/>
      <c r="W2149" s="75"/>
      <c r="X2149" s="74"/>
      <c r="Y2149" s="74"/>
      <c r="Z2149" s="74"/>
      <c r="AA2149" s="74"/>
      <c r="AB2149" s="74"/>
      <c r="AC2149" s="74"/>
      <c r="AD2149" s="74"/>
      <c r="AE2149" s="74"/>
      <c r="AF2149" s="74"/>
      <c r="AG2149" s="74"/>
      <c r="AH2149" s="74"/>
    </row>
    <row r="2150" s="73" customFormat="1" spans="1:34">
      <c r="A2150" s="74"/>
      <c r="B2150" s="74"/>
      <c r="C2150" s="74"/>
      <c r="D2150" s="74"/>
      <c r="E2150" s="74"/>
      <c r="F2150" s="74"/>
      <c r="G2150" s="74"/>
      <c r="H2150" s="74"/>
      <c r="I2150" s="74"/>
      <c r="J2150" s="74"/>
      <c r="K2150" s="74"/>
      <c r="L2150" s="74"/>
      <c r="M2150" s="74"/>
      <c r="N2150" s="74"/>
      <c r="O2150" s="75"/>
      <c r="P2150" s="74"/>
      <c r="Q2150" s="75"/>
      <c r="R2150" s="74"/>
      <c r="S2150" s="74"/>
      <c r="T2150" s="74"/>
      <c r="U2150" s="75"/>
      <c r="V2150" s="74"/>
      <c r="W2150" s="75"/>
      <c r="X2150" s="74"/>
      <c r="Y2150" s="74"/>
      <c r="Z2150" s="74"/>
      <c r="AA2150" s="74"/>
      <c r="AB2150" s="74"/>
      <c r="AC2150" s="74"/>
      <c r="AD2150" s="74"/>
      <c r="AE2150" s="74"/>
      <c r="AF2150" s="74"/>
      <c r="AG2150" s="74"/>
      <c r="AH2150" s="74"/>
    </row>
    <row r="2151" s="73" customFormat="1" spans="1:34">
      <c r="A2151" s="74"/>
      <c r="B2151" s="74"/>
      <c r="C2151" s="74"/>
      <c r="D2151" s="74"/>
      <c r="E2151" s="74"/>
      <c r="F2151" s="74"/>
      <c r="G2151" s="74"/>
      <c r="H2151" s="74"/>
      <c r="I2151" s="74"/>
      <c r="J2151" s="74"/>
      <c r="K2151" s="74"/>
      <c r="L2151" s="74"/>
      <c r="M2151" s="74"/>
      <c r="N2151" s="74"/>
      <c r="O2151" s="75"/>
      <c r="P2151" s="74"/>
      <c r="Q2151" s="75"/>
      <c r="R2151" s="74"/>
      <c r="S2151" s="74"/>
      <c r="T2151" s="74"/>
      <c r="U2151" s="75"/>
      <c r="V2151" s="74"/>
      <c r="W2151" s="75"/>
      <c r="X2151" s="74"/>
      <c r="Y2151" s="74"/>
      <c r="Z2151" s="74"/>
      <c r="AA2151" s="74"/>
      <c r="AB2151" s="74"/>
      <c r="AC2151" s="74"/>
      <c r="AD2151" s="74"/>
      <c r="AE2151" s="74"/>
      <c r="AF2151" s="74"/>
      <c r="AG2151" s="74"/>
      <c r="AH2151" s="74"/>
    </row>
    <row r="2152" s="73" customFormat="1" spans="1:34">
      <c r="A2152" s="74"/>
      <c r="B2152" s="74"/>
      <c r="C2152" s="74"/>
      <c r="D2152" s="74"/>
      <c r="E2152" s="74"/>
      <c r="F2152" s="74"/>
      <c r="G2152" s="74"/>
      <c r="H2152" s="74"/>
      <c r="I2152" s="74"/>
      <c r="J2152" s="74"/>
      <c r="K2152" s="74"/>
      <c r="L2152" s="74"/>
      <c r="M2152" s="74"/>
      <c r="N2152" s="74"/>
      <c r="O2152" s="75"/>
      <c r="P2152" s="74"/>
      <c r="Q2152" s="75"/>
      <c r="R2152" s="74"/>
      <c r="S2152" s="74"/>
      <c r="T2152" s="74"/>
      <c r="U2152" s="75"/>
      <c r="V2152" s="74"/>
      <c r="W2152" s="75"/>
      <c r="X2152" s="74"/>
      <c r="Y2152" s="74"/>
      <c r="Z2152" s="74"/>
      <c r="AA2152" s="74"/>
      <c r="AB2152" s="74"/>
      <c r="AC2152" s="74"/>
      <c r="AD2152" s="74"/>
      <c r="AE2152" s="74"/>
      <c r="AF2152" s="74"/>
      <c r="AG2152" s="74"/>
      <c r="AH2152" s="74"/>
    </row>
    <row r="2153" s="73" customFormat="1" spans="1:34">
      <c r="A2153" s="74"/>
      <c r="B2153" s="74"/>
      <c r="C2153" s="74"/>
      <c r="D2153" s="74"/>
      <c r="E2153" s="74"/>
      <c r="F2153" s="74"/>
      <c r="G2153" s="74"/>
      <c r="H2153" s="74"/>
      <c r="I2153" s="74"/>
      <c r="J2153" s="74"/>
      <c r="K2153" s="74"/>
      <c r="L2153" s="74"/>
      <c r="M2153" s="74"/>
      <c r="N2153" s="74"/>
      <c r="O2153" s="75"/>
      <c r="P2153" s="74"/>
      <c r="Q2153" s="75"/>
      <c r="R2153" s="74"/>
      <c r="S2153" s="74"/>
      <c r="T2153" s="74"/>
      <c r="U2153" s="75"/>
      <c r="V2153" s="74"/>
      <c r="W2153" s="75"/>
      <c r="X2153" s="74"/>
      <c r="Y2153" s="74"/>
      <c r="Z2153" s="74"/>
      <c r="AA2153" s="74"/>
      <c r="AB2153" s="74"/>
      <c r="AC2153" s="74"/>
      <c r="AD2153" s="74"/>
      <c r="AE2153" s="74"/>
      <c r="AF2153" s="74"/>
      <c r="AG2153" s="74"/>
      <c r="AH2153" s="74"/>
    </row>
    <row r="2154" s="73" customFormat="1" spans="1:34">
      <c r="A2154" s="74"/>
      <c r="B2154" s="74"/>
      <c r="C2154" s="74"/>
      <c r="D2154" s="74"/>
      <c r="E2154" s="74"/>
      <c r="F2154" s="74"/>
      <c r="G2154" s="74"/>
      <c r="H2154" s="74"/>
      <c r="I2154" s="74"/>
      <c r="J2154" s="74"/>
      <c r="K2154" s="74"/>
      <c r="L2154" s="74"/>
      <c r="M2154" s="74"/>
      <c r="N2154" s="74"/>
      <c r="O2154" s="75"/>
      <c r="P2154" s="74"/>
      <c r="Q2154" s="75"/>
      <c r="R2154" s="74"/>
      <c r="S2154" s="74"/>
      <c r="T2154" s="74"/>
      <c r="U2154" s="75"/>
      <c r="V2154" s="74"/>
      <c r="W2154" s="75"/>
      <c r="X2154" s="74"/>
      <c r="Y2154" s="74"/>
      <c r="Z2154" s="74"/>
      <c r="AA2154" s="74"/>
      <c r="AB2154" s="74"/>
      <c r="AC2154" s="74"/>
      <c r="AD2154" s="74"/>
      <c r="AE2154" s="74"/>
      <c r="AF2154" s="74"/>
      <c r="AG2154" s="74"/>
      <c r="AH2154" s="74"/>
    </row>
    <row r="2155" s="73" customFormat="1" spans="1:34">
      <c r="A2155" s="74"/>
      <c r="B2155" s="74"/>
      <c r="C2155" s="74"/>
      <c r="D2155" s="74"/>
      <c r="E2155" s="74"/>
      <c r="F2155" s="74"/>
      <c r="G2155" s="74"/>
      <c r="H2155" s="74"/>
      <c r="I2155" s="74"/>
      <c r="J2155" s="74"/>
      <c r="K2155" s="74"/>
      <c r="L2155" s="74"/>
      <c r="M2155" s="74"/>
      <c r="N2155" s="74"/>
      <c r="O2155" s="75"/>
      <c r="P2155" s="74"/>
      <c r="Q2155" s="75"/>
      <c r="R2155" s="74"/>
      <c r="S2155" s="74"/>
      <c r="T2155" s="74"/>
      <c r="U2155" s="75"/>
      <c r="V2155" s="74"/>
      <c r="W2155" s="75"/>
      <c r="X2155" s="74"/>
      <c r="Y2155" s="74"/>
      <c r="Z2155" s="74"/>
      <c r="AA2155" s="74"/>
      <c r="AB2155" s="74"/>
      <c r="AC2155" s="74"/>
      <c r="AD2155" s="74"/>
      <c r="AE2155" s="74"/>
      <c r="AF2155" s="74"/>
      <c r="AG2155" s="74"/>
      <c r="AH2155" s="74"/>
    </row>
    <row r="2156" s="73" customFormat="1" spans="1:34">
      <c r="A2156" s="74"/>
      <c r="B2156" s="74"/>
      <c r="C2156" s="74"/>
      <c r="D2156" s="74"/>
      <c r="E2156" s="74"/>
      <c r="F2156" s="74"/>
      <c r="G2156" s="74"/>
      <c r="H2156" s="74"/>
      <c r="I2156" s="74"/>
      <c r="J2156" s="74"/>
      <c r="K2156" s="74"/>
      <c r="L2156" s="74"/>
      <c r="M2156" s="74"/>
      <c r="N2156" s="74"/>
      <c r="O2156" s="75"/>
      <c r="P2156" s="74"/>
      <c r="Q2156" s="75"/>
      <c r="R2156" s="74"/>
      <c r="S2156" s="74"/>
      <c r="T2156" s="74"/>
      <c r="U2156" s="75"/>
      <c r="V2156" s="74"/>
      <c r="W2156" s="75"/>
      <c r="X2156" s="74"/>
      <c r="Y2156" s="74"/>
      <c r="Z2156" s="74"/>
      <c r="AA2156" s="74"/>
      <c r="AB2156" s="74"/>
      <c r="AC2156" s="74"/>
      <c r="AD2156" s="74"/>
      <c r="AE2156" s="74"/>
      <c r="AF2156" s="74"/>
      <c r="AG2156" s="74"/>
      <c r="AH2156" s="74"/>
    </row>
    <row r="2157" s="73" customFormat="1" spans="1:34">
      <c r="A2157" s="74"/>
      <c r="B2157" s="74"/>
      <c r="C2157" s="74"/>
      <c r="D2157" s="74"/>
      <c r="E2157" s="74"/>
      <c r="F2157" s="74"/>
      <c r="G2157" s="74"/>
      <c r="H2157" s="74"/>
      <c r="I2157" s="74"/>
      <c r="J2157" s="74"/>
      <c r="K2157" s="74"/>
      <c r="L2157" s="74"/>
      <c r="M2157" s="74"/>
      <c r="N2157" s="74"/>
      <c r="O2157" s="75"/>
      <c r="P2157" s="74"/>
      <c r="Q2157" s="75"/>
      <c r="R2157" s="74"/>
      <c r="S2157" s="74"/>
      <c r="T2157" s="74"/>
      <c r="U2157" s="75"/>
      <c r="V2157" s="74"/>
      <c r="W2157" s="75"/>
      <c r="X2157" s="74"/>
      <c r="Y2157" s="74"/>
      <c r="Z2157" s="74"/>
      <c r="AA2157" s="74"/>
      <c r="AB2157" s="74"/>
      <c r="AC2157" s="74"/>
      <c r="AD2157" s="74"/>
      <c r="AE2157" s="74"/>
      <c r="AF2157" s="74"/>
      <c r="AG2157" s="74"/>
      <c r="AH2157" s="74"/>
    </row>
    <row r="2158" s="73" customFormat="1" spans="1:34">
      <c r="A2158" s="74"/>
      <c r="B2158" s="74"/>
      <c r="C2158" s="74"/>
      <c r="D2158" s="74"/>
      <c r="E2158" s="74"/>
      <c r="F2158" s="74"/>
      <c r="G2158" s="74"/>
      <c r="H2158" s="74"/>
      <c r="I2158" s="74"/>
      <c r="J2158" s="74"/>
      <c r="K2158" s="74"/>
      <c r="L2158" s="74"/>
      <c r="M2158" s="74"/>
      <c r="N2158" s="74"/>
      <c r="O2158" s="75"/>
      <c r="P2158" s="74"/>
      <c r="Q2158" s="75"/>
      <c r="R2158" s="74"/>
      <c r="S2158" s="74"/>
      <c r="T2158" s="74"/>
      <c r="U2158" s="75"/>
      <c r="V2158" s="74"/>
      <c r="W2158" s="75"/>
      <c r="X2158" s="74"/>
      <c r="Y2158" s="74"/>
      <c r="Z2158" s="74"/>
      <c r="AA2158" s="74"/>
      <c r="AB2158" s="74"/>
      <c r="AC2158" s="74"/>
      <c r="AD2158" s="74"/>
      <c r="AE2158" s="74"/>
      <c r="AF2158" s="74"/>
      <c r="AG2158" s="74"/>
      <c r="AH2158" s="74"/>
    </row>
    <row r="2159" s="73" customFormat="1" spans="1:34">
      <c r="A2159" s="74"/>
      <c r="B2159" s="74"/>
      <c r="C2159" s="74"/>
      <c r="D2159" s="74"/>
      <c r="E2159" s="74"/>
      <c r="F2159" s="74"/>
      <c r="G2159" s="74"/>
      <c r="H2159" s="74"/>
      <c r="I2159" s="74"/>
      <c r="J2159" s="74"/>
      <c r="K2159" s="74"/>
      <c r="L2159" s="74"/>
      <c r="M2159" s="74"/>
      <c r="N2159" s="74"/>
      <c r="O2159" s="75"/>
      <c r="P2159" s="74"/>
      <c r="Q2159" s="75"/>
      <c r="R2159" s="74"/>
      <c r="S2159" s="74"/>
      <c r="T2159" s="74"/>
      <c r="U2159" s="75"/>
      <c r="V2159" s="74"/>
      <c r="W2159" s="75"/>
      <c r="X2159" s="74"/>
      <c r="Y2159" s="74"/>
      <c r="Z2159" s="74"/>
      <c r="AA2159" s="74"/>
      <c r="AB2159" s="74"/>
      <c r="AC2159" s="74"/>
      <c r="AD2159" s="74"/>
      <c r="AE2159" s="74"/>
      <c r="AF2159" s="74"/>
      <c r="AG2159" s="74"/>
      <c r="AH2159" s="74"/>
    </row>
    <row r="2160" s="73" customFormat="1" spans="1:34">
      <c r="A2160" s="74"/>
      <c r="B2160" s="74"/>
      <c r="C2160" s="74"/>
      <c r="D2160" s="74"/>
      <c r="E2160" s="74"/>
      <c r="F2160" s="74"/>
      <c r="G2160" s="74"/>
      <c r="H2160" s="74"/>
      <c r="I2160" s="74"/>
      <c r="J2160" s="74"/>
      <c r="K2160" s="74"/>
      <c r="L2160" s="74"/>
      <c r="M2160" s="74"/>
      <c r="N2160" s="74"/>
      <c r="O2160" s="75"/>
      <c r="P2160" s="74"/>
      <c r="Q2160" s="75"/>
      <c r="R2160" s="74"/>
      <c r="S2160" s="74"/>
      <c r="T2160" s="74"/>
      <c r="U2160" s="75"/>
      <c r="V2160" s="74"/>
      <c r="W2160" s="75"/>
      <c r="X2160" s="74"/>
      <c r="Y2160" s="74"/>
      <c r="Z2160" s="74"/>
      <c r="AA2160" s="74"/>
      <c r="AB2160" s="74"/>
      <c r="AC2160" s="74"/>
      <c r="AD2160" s="74"/>
      <c r="AE2160" s="74"/>
      <c r="AF2160" s="74"/>
      <c r="AG2160" s="74"/>
      <c r="AH2160" s="74"/>
    </row>
    <row r="2161" s="73" customFormat="1" spans="1:34">
      <c r="A2161" s="74"/>
      <c r="B2161" s="74"/>
      <c r="C2161" s="74"/>
      <c r="D2161" s="74"/>
      <c r="E2161" s="74"/>
      <c r="F2161" s="74"/>
      <c r="G2161" s="74"/>
      <c r="H2161" s="74"/>
      <c r="I2161" s="74"/>
      <c r="J2161" s="74"/>
      <c r="K2161" s="74"/>
      <c r="L2161" s="74"/>
      <c r="M2161" s="74"/>
      <c r="N2161" s="74"/>
      <c r="O2161" s="75"/>
      <c r="P2161" s="74"/>
      <c r="Q2161" s="75"/>
      <c r="R2161" s="74"/>
      <c r="S2161" s="74"/>
      <c r="T2161" s="74"/>
      <c r="U2161" s="75"/>
      <c r="V2161" s="74"/>
      <c r="W2161" s="75"/>
      <c r="X2161" s="74"/>
      <c r="Y2161" s="74"/>
      <c r="Z2161" s="74"/>
      <c r="AA2161" s="74"/>
      <c r="AB2161" s="74"/>
      <c r="AC2161" s="74"/>
      <c r="AD2161" s="74"/>
      <c r="AE2161" s="74"/>
      <c r="AF2161" s="74"/>
      <c r="AG2161" s="74"/>
      <c r="AH2161" s="74"/>
    </row>
    <row r="2162" s="73" customFormat="1" spans="1:34">
      <c r="A2162" s="74"/>
      <c r="B2162" s="74"/>
      <c r="C2162" s="74"/>
      <c r="D2162" s="74"/>
      <c r="E2162" s="74"/>
      <c r="F2162" s="74"/>
      <c r="G2162" s="74"/>
      <c r="H2162" s="74"/>
      <c r="I2162" s="74"/>
      <c r="J2162" s="74"/>
      <c r="K2162" s="74"/>
      <c r="L2162" s="74"/>
      <c r="M2162" s="74"/>
      <c r="N2162" s="74"/>
      <c r="O2162" s="75"/>
      <c r="P2162" s="74"/>
      <c r="Q2162" s="75"/>
      <c r="R2162" s="74"/>
      <c r="S2162" s="74"/>
      <c r="T2162" s="74"/>
      <c r="U2162" s="75"/>
      <c r="V2162" s="74"/>
      <c r="W2162" s="75"/>
      <c r="X2162" s="74"/>
      <c r="Y2162" s="74"/>
      <c r="Z2162" s="74"/>
      <c r="AA2162" s="74"/>
      <c r="AB2162" s="74"/>
      <c r="AC2162" s="74"/>
      <c r="AD2162" s="74"/>
      <c r="AE2162" s="74"/>
      <c r="AF2162" s="74"/>
      <c r="AG2162" s="74"/>
      <c r="AH2162" s="74"/>
    </row>
    <row r="2163" s="73" customFormat="1" spans="1:34">
      <c r="A2163" s="74"/>
      <c r="B2163" s="74"/>
      <c r="C2163" s="74"/>
      <c r="D2163" s="74"/>
      <c r="E2163" s="74"/>
      <c r="F2163" s="74"/>
      <c r="G2163" s="74"/>
      <c r="H2163" s="74"/>
      <c r="I2163" s="74"/>
      <c r="J2163" s="74"/>
      <c r="K2163" s="74"/>
      <c r="L2163" s="74"/>
      <c r="M2163" s="74"/>
      <c r="N2163" s="74"/>
      <c r="O2163" s="75"/>
      <c r="P2163" s="74"/>
      <c r="Q2163" s="75"/>
      <c r="R2163" s="74"/>
      <c r="S2163" s="74"/>
      <c r="T2163" s="74"/>
      <c r="U2163" s="75"/>
      <c r="V2163" s="74"/>
      <c r="W2163" s="75"/>
      <c r="X2163" s="74"/>
      <c r="Y2163" s="74"/>
      <c r="Z2163" s="74"/>
      <c r="AA2163" s="74"/>
      <c r="AB2163" s="74"/>
      <c r="AC2163" s="74"/>
      <c r="AD2163" s="74"/>
      <c r="AE2163" s="74"/>
      <c r="AF2163" s="74"/>
      <c r="AG2163" s="74"/>
      <c r="AH2163" s="74"/>
    </row>
    <row r="2164" s="73" customFormat="1" spans="1:34">
      <c r="A2164" s="74"/>
      <c r="B2164" s="74"/>
      <c r="C2164" s="74"/>
      <c r="D2164" s="74"/>
      <c r="E2164" s="74"/>
      <c r="F2164" s="74"/>
      <c r="G2164" s="74"/>
      <c r="H2164" s="74"/>
      <c r="I2164" s="74"/>
      <c r="J2164" s="74"/>
      <c r="K2164" s="74"/>
      <c r="L2164" s="74"/>
      <c r="M2164" s="74"/>
      <c r="N2164" s="74"/>
      <c r="O2164" s="75"/>
      <c r="P2164" s="74"/>
      <c r="Q2164" s="75"/>
      <c r="R2164" s="74"/>
      <c r="S2164" s="74"/>
      <c r="T2164" s="74"/>
      <c r="U2164" s="75"/>
      <c r="V2164" s="74"/>
      <c r="W2164" s="75"/>
      <c r="X2164" s="74"/>
      <c r="Y2164" s="74"/>
      <c r="Z2164" s="74"/>
      <c r="AA2164" s="74"/>
      <c r="AB2164" s="74"/>
      <c r="AC2164" s="74"/>
      <c r="AD2164" s="74"/>
      <c r="AE2164" s="74"/>
      <c r="AF2164" s="74"/>
      <c r="AG2164" s="74"/>
      <c r="AH2164" s="74"/>
    </row>
    <row r="2165" s="73" customFormat="1" spans="1:34">
      <c r="A2165" s="74"/>
      <c r="B2165" s="74"/>
      <c r="C2165" s="74"/>
      <c r="D2165" s="74"/>
      <c r="E2165" s="74"/>
      <c r="F2165" s="74"/>
      <c r="G2165" s="74"/>
      <c r="H2165" s="74"/>
      <c r="I2165" s="74"/>
      <c r="J2165" s="74"/>
      <c r="K2165" s="74"/>
      <c r="L2165" s="74"/>
      <c r="M2165" s="74"/>
      <c r="N2165" s="74"/>
      <c r="O2165" s="75"/>
      <c r="P2165" s="74"/>
      <c r="Q2165" s="75"/>
      <c r="R2165" s="74"/>
      <c r="S2165" s="74"/>
      <c r="T2165" s="74"/>
      <c r="U2165" s="75"/>
      <c r="V2165" s="74"/>
      <c r="W2165" s="75"/>
      <c r="X2165" s="74"/>
      <c r="Y2165" s="74"/>
      <c r="Z2165" s="74"/>
      <c r="AA2165" s="74"/>
      <c r="AB2165" s="74"/>
      <c r="AC2165" s="74"/>
      <c r="AD2165" s="74"/>
      <c r="AE2165" s="74"/>
      <c r="AF2165" s="74"/>
      <c r="AG2165" s="74"/>
      <c r="AH2165" s="74"/>
    </row>
    <row r="2166" s="73" customFormat="1" spans="1:34">
      <c r="A2166" s="74"/>
      <c r="B2166" s="74"/>
      <c r="C2166" s="74"/>
      <c r="D2166" s="74"/>
      <c r="E2166" s="74"/>
      <c r="F2166" s="74"/>
      <c r="G2166" s="74"/>
      <c r="H2166" s="74"/>
      <c r="I2166" s="74"/>
      <c r="J2166" s="74"/>
      <c r="K2166" s="74"/>
      <c r="L2166" s="74"/>
      <c r="M2166" s="74"/>
      <c r="N2166" s="74"/>
      <c r="O2166" s="75"/>
      <c r="P2166" s="74"/>
      <c r="Q2166" s="75"/>
      <c r="R2166" s="74"/>
      <c r="S2166" s="74"/>
      <c r="T2166" s="74"/>
      <c r="U2166" s="75"/>
      <c r="V2166" s="74"/>
      <c r="W2166" s="75"/>
      <c r="X2166" s="74"/>
      <c r="Y2166" s="74"/>
      <c r="Z2166" s="74"/>
      <c r="AA2166" s="74"/>
      <c r="AB2166" s="74"/>
      <c r="AC2166" s="74"/>
      <c r="AD2166" s="74"/>
      <c r="AE2166" s="74"/>
      <c r="AF2166" s="74"/>
      <c r="AG2166" s="74"/>
      <c r="AH2166" s="74"/>
    </row>
    <row r="2167" s="73" customFormat="1" spans="1:34">
      <c r="A2167" s="74"/>
      <c r="B2167" s="74"/>
      <c r="C2167" s="74"/>
      <c r="D2167" s="74"/>
      <c r="E2167" s="74"/>
      <c r="F2167" s="74"/>
      <c r="G2167" s="74"/>
      <c r="H2167" s="74"/>
      <c r="I2167" s="74"/>
      <c r="J2167" s="74"/>
      <c r="K2167" s="74"/>
      <c r="L2167" s="74"/>
      <c r="M2167" s="74"/>
      <c r="N2167" s="74"/>
      <c r="O2167" s="75"/>
      <c r="P2167" s="74"/>
      <c r="Q2167" s="75"/>
      <c r="R2167" s="74"/>
      <c r="S2167" s="74"/>
      <c r="T2167" s="74"/>
      <c r="U2167" s="75"/>
      <c r="V2167" s="74"/>
      <c r="W2167" s="75"/>
      <c r="X2167" s="74"/>
      <c r="Y2167" s="74"/>
      <c r="Z2167" s="74"/>
      <c r="AA2167" s="74"/>
      <c r="AB2167" s="74"/>
      <c r="AC2167" s="74"/>
      <c r="AD2167" s="74"/>
      <c r="AE2167" s="74"/>
      <c r="AF2167" s="74"/>
      <c r="AG2167" s="74"/>
      <c r="AH2167" s="74"/>
    </row>
    <row r="2169" s="73" customFormat="1" spans="1:34">
      <c r="A2169" s="74"/>
      <c r="B2169" s="74"/>
      <c r="C2169" s="74"/>
      <c r="D2169" s="74"/>
      <c r="E2169" s="74"/>
      <c r="F2169" s="74"/>
      <c r="G2169" s="74"/>
      <c r="H2169" s="74"/>
      <c r="I2169" s="74"/>
      <c r="J2169" s="74"/>
      <c r="K2169" s="74"/>
      <c r="L2169" s="74"/>
      <c r="M2169" s="74"/>
      <c r="N2169" s="74"/>
      <c r="O2169" s="75"/>
      <c r="P2169" s="74"/>
      <c r="Q2169" s="75"/>
      <c r="R2169" s="74"/>
      <c r="S2169" s="74"/>
      <c r="T2169" s="74"/>
      <c r="U2169" s="75"/>
      <c r="V2169" s="74"/>
      <c r="W2169" s="75"/>
      <c r="X2169" s="74"/>
      <c r="Y2169" s="74"/>
      <c r="Z2169" s="74"/>
      <c r="AA2169" s="74"/>
      <c r="AB2169" s="74"/>
      <c r="AC2169" s="74"/>
      <c r="AD2169" s="74"/>
      <c r="AE2169" s="74"/>
      <c r="AF2169" s="74"/>
      <c r="AG2169" s="74"/>
      <c r="AH2169" s="74"/>
    </row>
    <row r="2170" s="73" customFormat="1" spans="1:34">
      <c r="A2170" s="74"/>
      <c r="B2170" s="74"/>
      <c r="C2170" s="74"/>
      <c r="D2170" s="74"/>
      <c r="E2170" s="74"/>
      <c r="F2170" s="74"/>
      <c r="G2170" s="74"/>
      <c r="H2170" s="74"/>
      <c r="I2170" s="74"/>
      <c r="J2170" s="74"/>
      <c r="K2170" s="74"/>
      <c r="L2170" s="74"/>
      <c r="M2170" s="74"/>
      <c r="N2170" s="74"/>
      <c r="O2170" s="75"/>
      <c r="P2170" s="74"/>
      <c r="Q2170" s="75"/>
      <c r="R2170" s="74"/>
      <c r="S2170" s="74"/>
      <c r="T2170" s="74"/>
      <c r="U2170" s="75"/>
      <c r="V2170" s="74"/>
      <c r="W2170" s="75"/>
      <c r="X2170" s="74"/>
      <c r="Y2170" s="74"/>
      <c r="Z2170" s="74"/>
      <c r="AA2170" s="74"/>
      <c r="AB2170" s="74"/>
      <c r="AC2170" s="74"/>
      <c r="AD2170" s="74"/>
      <c r="AE2170" s="74"/>
      <c r="AF2170" s="74"/>
      <c r="AG2170" s="74"/>
      <c r="AH2170" s="74"/>
    </row>
    <row r="2171" s="73" customFormat="1" spans="1:34">
      <c r="A2171" s="74"/>
      <c r="B2171" s="74"/>
      <c r="C2171" s="74"/>
      <c r="D2171" s="74"/>
      <c r="E2171" s="74"/>
      <c r="F2171" s="74"/>
      <c r="G2171" s="74"/>
      <c r="H2171" s="74"/>
      <c r="I2171" s="74"/>
      <c r="J2171" s="74"/>
      <c r="K2171" s="74"/>
      <c r="L2171" s="74"/>
      <c r="M2171" s="74"/>
      <c r="N2171" s="74"/>
      <c r="O2171" s="75"/>
      <c r="P2171" s="74"/>
      <c r="Q2171" s="75"/>
      <c r="R2171" s="74"/>
      <c r="S2171" s="74"/>
      <c r="T2171" s="74"/>
      <c r="U2171" s="75"/>
      <c r="V2171" s="74"/>
      <c r="W2171" s="75"/>
      <c r="X2171" s="74"/>
      <c r="Y2171" s="74"/>
      <c r="Z2171" s="74"/>
      <c r="AA2171" s="74"/>
      <c r="AB2171" s="74"/>
      <c r="AC2171" s="74"/>
      <c r="AD2171" s="74"/>
      <c r="AE2171" s="74"/>
      <c r="AF2171" s="74"/>
      <c r="AG2171" s="74"/>
      <c r="AH2171" s="74"/>
    </row>
    <row r="2172" s="73" customFormat="1" spans="1:34">
      <c r="A2172" s="74"/>
      <c r="B2172" s="74"/>
      <c r="C2172" s="74"/>
      <c r="D2172" s="74"/>
      <c r="E2172" s="74"/>
      <c r="F2172" s="74"/>
      <c r="G2172" s="74"/>
      <c r="H2172" s="74"/>
      <c r="I2172" s="74"/>
      <c r="J2172" s="74"/>
      <c r="K2172" s="74"/>
      <c r="L2172" s="74"/>
      <c r="M2172" s="74"/>
      <c r="N2172" s="74"/>
      <c r="O2172" s="75"/>
      <c r="P2172" s="74"/>
      <c r="Q2172" s="75"/>
      <c r="R2172" s="74"/>
      <c r="S2172" s="74"/>
      <c r="T2172" s="74"/>
      <c r="U2172" s="75"/>
      <c r="V2172" s="74"/>
      <c r="W2172" s="75"/>
      <c r="X2172" s="74"/>
      <c r="Y2172" s="74"/>
      <c r="Z2172" s="74"/>
      <c r="AA2172" s="74"/>
      <c r="AB2172" s="74"/>
      <c r="AC2172" s="74"/>
      <c r="AD2172" s="74"/>
      <c r="AE2172" s="74"/>
      <c r="AF2172" s="74"/>
      <c r="AG2172" s="74"/>
      <c r="AH2172" s="74"/>
    </row>
    <row r="2173" s="73" customFormat="1" spans="1:34">
      <c r="A2173" s="74"/>
      <c r="B2173" s="74"/>
      <c r="C2173" s="74"/>
      <c r="D2173" s="74"/>
      <c r="E2173" s="74"/>
      <c r="F2173" s="74"/>
      <c r="G2173" s="74"/>
      <c r="H2173" s="74"/>
      <c r="I2173" s="74"/>
      <c r="J2173" s="74"/>
      <c r="K2173" s="74"/>
      <c r="L2173" s="74"/>
      <c r="M2173" s="74"/>
      <c r="N2173" s="74"/>
      <c r="O2173" s="75"/>
      <c r="P2173" s="74"/>
      <c r="Q2173" s="75"/>
      <c r="R2173" s="74"/>
      <c r="S2173" s="74"/>
      <c r="T2173" s="74"/>
      <c r="U2173" s="75"/>
      <c r="V2173" s="74"/>
      <c r="W2173" s="75"/>
      <c r="X2173" s="74"/>
      <c r="Y2173" s="74"/>
      <c r="Z2173" s="74"/>
      <c r="AA2173" s="74"/>
      <c r="AB2173" s="74"/>
      <c r="AC2173" s="74"/>
      <c r="AD2173" s="74"/>
      <c r="AE2173" s="74"/>
      <c r="AF2173" s="74"/>
      <c r="AG2173" s="74"/>
      <c r="AH2173" s="74"/>
    </row>
    <row r="2174" s="73" customFormat="1" spans="1:34">
      <c r="A2174" s="74"/>
      <c r="B2174" s="74"/>
      <c r="C2174" s="74"/>
      <c r="D2174" s="74"/>
      <c r="E2174" s="74"/>
      <c r="F2174" s="74"/>
      <c r="G2174" s="74"/>
      <c r="H2174" s="74"/>
      <c r="I2174" s="74"/>
      <c r="J2174" s="74"/>
      <c r="K2174" s="74"/>
      <c r="L2174" s="74"/>
      <c r="M2174" s="74"/>
      <c r="N2174" s="74"/>
      <c r="O2174" s="75"/>
      <c r="P2174" s="74"/>
      <c r="Q2174" s="75"/>
      <c r="R2174" s="74"/>
      <c r="S2174" s="74"/>
      <c r="T2174" s="74"/>
      <c r="U2174" s="75"/>
      <c r="V2174" s="74"/>
      <c r="W2174" s="75"/>
      <c r="X2174" s="74"/>
      <c r="Y2174" s="74"/>
      <c r="Z2174" s="74"/>
      <c r="AA2174" s="74"/>
      <c r="AB2174" s="74"/>
      <c r="AC2174" s="74"/>
      <c r="AD2174" s="74"/>
      <c r="AE2174" s="74"/>
      <c r="AF2174" s="74"/>
      <c r="AG2174" s="74"/>
      <c r="AH2174" s="74"/>
    </row>
    <row r="2175" s="73" customFormat="1" spans="1:34">
      <c r="A2175" s="74"/>
      <c r="B2175" s="74"/>
      <c r="C2175" s="74"/>
      <c r="D2175" s="74"/>
      <c r="E2175" s="74"/>
      <c r="F2175" s="74"/>
      <c r="G2175" s="74"/>
      <c r="H2175" s="74"/>
      <c r="I2175" s="74"/>
      <c r="J2175" s="74"/>
      <c r="K2175" s="74"/>
      <c r="L2175" s="74"/>
      <c r="M2175" s="74"/>
      <c r="N2175" s="74"/>
      <c r="O2175" s="75"/>
      <c r="P2175" s="74"/>
      <c r="Q2175" s="75"/>
      <c r="R2175" s="74"/>
      <c r="S2175" s="74"/>
      <c r="T2175" s="74"/>
      <c r="U2175" s="75"/>
      <c r="V2175" s="74"/>
      <c r="W2175" s="75"/>
      <c r="X2175" s="74"/>
      <c r="Y2175" s="74"/>
      <c r="Z2175" s="74"/>
      <c r="AA2175" s="74"/>
      <c r="AB2175" s="74"/>
      <c r="AC2175" s="74"/>
      <c r="AD2175" s="74"/>
      <c r="AE2175" s="74"/>
      <c r="AF2175" s="74"/>
      <c r="AG2175" s="74"/>
      <c r="AH2175" s="74"/>
    </row>
    <row r="2176" s="73" customFormat="1" spans="1:34">
      <c r="A2176" s="74"/>
      <c r="B2176" s="74"/>
      <c r="C2176" s="74"/>
      <c r="D2176" s="74"/>
      <c r="E2176" s="74"/>
      <c r="F2176" s="74"/>
      <c r="G2176" s="74"/>
      <c r="H2176" s="74"/>
      <c r="I2176" s="74"/>
      <c r="J2176" s="74"/>
      <c r="K2176" s="74"/>
      <c r="L2176" s="74"/>
      <c r="M2176" s="74"/>
      <c r="N2176" s="74"/>
      <c r="O2176" s="75"/>
      <c r="P2176" s="74"/>
      <c r="Q2176" s="75"/>
      <c r="R2176" s="74"/>
      <c r="S2176" s="74"/>
      <c r="T2176" s="74"/>
      <c r="U2176" s="75"/>
      <c r="V2176" s="74"/>
      <c r="W2176" s="75"/>
      <c r="X2176" s="74"/>
      <c r="Y2176" s="74"/>
      <c r="Z2176" s="74"/>
      <c r="AA2176" s="74"/>
      <c r="AB2176" s="74"/>
      <c r="AC2176" s="74"/>
      <c r="AD2176" s="74"/>
      <c r="AE2176" s="74"/>
      <c r="AF2176" s="74"/>
      <c r="AG2176" s="74"/>
      <c r="AH2176" s="74"/>
    </row>
    <row r="2177" s="73" customFormat="1" spans="1:34">
      <c r="A2177" s="74"/>
      <c r="B2177" s="74"/>
      <c r="C2177" s="74"/>
      <c r="D2177" s="74"/>
      <c r="E2177" s="74"/>
      <c r="F2177" s="74"/>
      <c r="G2177" s="74"/>
      <c r="H2177" s="74"/>
      <c r="I2177" s="74"/>
      <c r="J2177" s="74"/>
      <c r="K2177" s="74"/>
      <c r="L2177" s="74"/>
      <c r="M2177" s="74"/>
      <c r="N2177" s="74"/>
      <c r="O2177" s="75"/>
      <c r="P2177" s="74"/>
      <c r="Q2177" s="75"/>
      <c r="R2177" s="74"/>
      <c r="S2177" s="74"/>
      <c r="T2177" s="74"/>
      <c r="U2177" s="75"/>
      <c r="V2177" s="74"/>
      <c r="W2177" s="75"/>
      <c r="X2177" s="74"/>
      <c r="Y2177" s="74"/>
      <c r="Z2177" s="74"/>
      <c r="AA2177" s="74"/>
      <c r="AB2177" s="74"/>
      <c r="AC2177" s="74"/>
      <c r="AD2177" s="74"/>
      <c r="AE2177" s="74"/>
      <c r="AF2177" s="74"/>
      <c r="AG2177" s="74"/>
      <c r="AH2177" s="74"/>
    </row>
    <row r="2178" s="73" customFormat="1" spans="1:34">
      <c r="A2178" s="74"/>
      <c r="B2178" s="74"/>
      <c r="C2178" s="74"/>
      <c r="D2178" s="74"/>
      <c r="E2178" s="74"/>
      <c r="F2178" s="74"/>
      <c r="G2178" s="74"/>
      <c r="H2178" s="74"/>
      <c r="I2178" s="74"/>
      <c r="J2178" s="74"/>
      <c r="K2178" s="74"/>
      <c r="L2178" s="74"/>
      <c r="M2178" s="74"/>
      <c r="N2178" s="74"/>
      <c r="O2178" s="75"/>
      <c r="P2178" s="74"/>
      <c r="Q2178" s="75"/>
      <c r="R2178" s="74"/>
      <c r="S2178" s="74"/>
      <c r="T2178" s="74"/>
      <c r="U2178" s="75"/>
      <c r="V2178" s="74"/>
      <c r="W2178" s="75"/>
      <c r="X2178" s="74"/>
      <c r="Y2178" s="74"/>
      <c r="Z2178" s="74"/>
      <c r="AA2178" s="74"/>
      <c r="AB2178" s="74"/>
      <c r="AC2178" s="74"/>
      <c r="AD2178" s="74"/>
      <c r="AE2178" s="74"/>
      <c r="AF2178" s="74"/>
      <c r="AG2178" s="74"/>
      <c r="AH2178" s="74"/>
    </row>
    <row r="2179" s="73" customFormat="1" spans="1:34">
      <c r="A2179" s="74"/>
      <c r="B2179" s="74"/>
      <c r="C2179" s="74"/>
      <c r="D2179" s="74"/>
      <c r="E2179" s="74"/>
      <c r="F2179" s="74"/>
      <c r="G2179" s="74"/>
      <c r="H2179" s="74"/>
      <c r="I2179" s="74"/>
      <c r="J2179" s="74"/>
      <c r="K2179" s="74"/>
      <c r="L2179" s="74"/>
      <c r="M2179" s="74"/>
      <c r="N2179" s="74"/>
      <c r="O2179" s="75"/>
      <c r="P2179" s="74"/>
      <c r="Q2179" s="75"/>
      <c r="R2179" s="74"/>
      <c r="S2179" s="74"/>
      <c r="T2179" s="74"/>
      <c r="U2179" s="75"/>
      <c r="V2179" s="74"/>
      <c r="W2179" s="75"/>
      <c r="X2179" s="74"/>
      <c r="Y2179" s="74"/>
      <c r="Z2179" s="74"/>
      <c r="AA2179" s="74"/>
      <c r="AB2179" s="74"/>
      <c r="AC2179" s="74"/>
      <c r="AD2179" s="74"/>
      <c r="AE2179" s="74"/>
      <c r="AF2179" s="74"/>
      <c r="AG2179" s="74"/>
      <c r="AH2179" s="74"/>
    </row>
    <row r="2180" s="73" customFormat="1" spans="1:34">
      <c r="A2180" s="74"/>
      <c r="B2180" s="74"/>
      <c r="C2180" s="74"/>
      <c r="D2180" s="74"/>
      <c r="E2180" s="74"/>
      <c r="F2180" s="74"/>
      <c r="G2180" s="74"/>
      <c r="H2180" s="74"/>
      <c r="I2180" s="74"/>
      <c r="J2180" s="74"/>
      <c r="K2180" s="74"/>
      <c r="L2180" s="74"/>
      <c r="M2180" s="74"/>
      <c r="N2180" s="74"/>
      <c r="O2180" s="75"/>
      <c r="P2180" s="74"/>
      <c r="Q2180" s="75"/>
      <c r="R2180" s="74"/>
      <c r="S2180" s="74"/>
      <c r="T2180" s="74"/>
      <c r="U2180" s="75"/>
      <c r="V2180" s="74"/>
      <c r="W2180" s="75"/>
      <c r="X2180" s="74"/>
      <c r="Y2180" s="74"/>
      <c r="Z2180" s="74"/>
      <c r="AA2180" s="74"/>
      <c r="AB2180" s="74"/>
      <c r="AC2180" s="74"/>
      <c r="AD2180" s="74"/>
      <c r="AE2180" s="74"/>
      <c r="AF2180" s="74"/>
      <c r="AG2180" s="74"/>
      <c r="AH2180" s="74"/>
    </row>
    <row r="2181" s="73" customFormat="1" spans="1:34">
      <c r="A2181" s="74"/>
      <c r="B2181" s="74"/>
      <c r="C2181" s="74"/>
      <c r="D2181" s="74"/>
      <c r="E2181" s="74"/>
      <c r="F2181" s="74"/>
      <c r="G2181" s="74"/>
      <c r="H2181" s="74"/>
      <c r="I2181" s="74"/>
      <c r="J2181" s="74"/>
      <c r="K2181" s="74"/>
      <c r="L2181" s="74"/>
      <c r="M2181" s="74"/>
      <c r="N2181" s="74"/>
      <c r="O2181" s="75"/>
      <c r="P2181" s="74"/>
      <c r="Q2181" s="75"/>
      <c r="R2181" s="74"/>
      <c r="S2181" s="74"/>
      <c r="T2181" s="74"/>
      <c r="U2181" s="75"/>
      <c r="V2181" s="74"/>
      <c r="W2181" s="75"/>
      <c r="X2181" s="74"/>
      <c r="Y2181" s="74"/>
      <c r="Z2181" s="74"/>
      <c r="AA2181" s="74"/>
      <c r="AB2181" s="74"/>
      <c r="AC2181" s="74"/>
      <c r="AD2181" s="74"/>
      <c r="AE2181" s="74"/>
      <c r="AF2181" s="74"/>
      <c r="AG2181" s="74"/>
      <c r="AH2181" s="74"/>
    </row>
    <row r="2182" s="73" customFormat="1" spans="1:34">
      <c r="A2182" s="74"/>
      <c r="B2182" s="74"/>
      <c r="C2182" s="74"/>
      <c r="D2182" s="74"/>
      <c r="E2182" s="74"/>
      <c r="F2182" s="74"/>
      <c r="G2182" s="74"/>
      <c r="H2182" s="74"/>
      <c r="I2182" s="74"/>
      <c r="J2182" s="74"/>
      <c r="K2182" s="74"/>
      <c r="L2182" s="74"/>
      <c r="M2182" s="74"/>
      <c r="N2182" s="74"/>
      <c r="O2182" s="75"/>
      <c r="P2182" s="74"/>
      <c r="Q2182" s="75"/>
      <c r="R2182" s="74"/>
      <c r="S2182" s="74"/>
      <c r="T2182" s="74"/>
      <c r="U2182" s="75"/>
      <c r="V2182" s="74"/>
      <c r="W2182" s="75"/>
      <c r="X2182" s="74"/>
      <c r="Y2182" s="74"/>
      <c r="Z2182" s="74"/>
      <c r="AA2182" s="74"/>
      <c r="AB2182" s="74"/>
      <c r="AC2182" s="74"/>
      <c r="AD2182" s="74"/>
      <c r="AE2182" s="74"/>
      <c r="AF2182" s="74"/>
      <c r="AG2182" s="74"/>
      <c r="AH2182" s="74"/>
    </row>
    <row r="2183" s="73" customFormat="1" spans="1:34">
      <c r="A2183" s="74"/>
      <c r="B2183" s="74"/>
      <c r="C2183" s="74"/>
      <c r="D2183" s="74"/>
      <c r="E2183" s="74"/>
      <c r="F2183" s="74"/>
      <c r="G2183" s="74"/>
      <c r="H2183" s="74"/>
      <c r="I2183" s="74"/>
      <c r="J2183" s="74"/>
      <c r="K2183" s="74"/>
      <c r="L2183" s="74"/>
      <c r="M2183" s="74"/>
      <c r="N2183" s="74"/>
      <c r="O2183" s="75"/>
      <c r="P2183" s="74"/>
      <c r="Q2183" s="75"/>
      <c r="R2183" s="74"/>
      <c r="S2183" s="74"/>
      <c r="T2183" s="74"/>
      <c r="U2183" s="75"/>
      <c r="V2183" s="74"/>
      <c r="W2183" s="75"/>
      <c r="X2183" s="74"/>
      <c r="Y2183" s="74"/>
      <c r="Z2183" s="74"/>
      <c r="AA2183" s="74"/>
      <c r="AB2183" s="74"/>
      <c r="AC2183" s="74"/>
      <c r="AD2183" s="74"/>
      <c r="AE2183" s="74"/>
      <c r="AF2183" s="74"/>
      <c r="AG2183" s="74"/>
      <c r="AH2183" s="74"/>
    </row>
    <row r="2184" s="73" customFormat="1" spans="1:34">
      <c r="A2184" s="74"/>
      <c r="B2184" s="74"/>
      <c r="C2184" s="74"/>
      <c r="D2184" s="74"/>
      <c r="E2184" s="74"/>
      <c r="F2184" s="74"/>
      <c r="G2184" s="74"/>
      <c r="H2184" s="74"/>
      <c r="I2184" s="74"/>
      <c r="J2184" s="74"/>
      <c r="K2184" s="74"/>
      <c r="L2184" s="74"/>
      <c r="M2184" s="74"/>
      <c r="N2184" s="74"/>
      <c r="O2184" s="75"/>
      <c r="P2184" s="74"/>
      <c r="Q2184" s="75"/>
      <c r="R2184" s="74"/>
      <c r="S2184" s="74"/>
      <c r="T2184" s="74"/>
      <c r="U2184" s="75"/>
      <c r="V2184" s="74"/>
      <c r="W2184" s="75"/>
      <c r="X2184" s="74"/>
      <c r="Y2184" s="74"/>
      <c r="Z2184" s="74"/>
      <c r="AA2184" s="74"/>
      <c r="AB2184" s="74"/>
      <c r="AC2184" s="74"/>
      <c r="AD2184" s="74"/>
      <c r="AE2184" s="74"/>
      <c r="AF2184" s="74"/>
      <c r="AG2184" s="74"/>
      <c r="AH2184" s="74"/>
    </row>
    <row r="2185" s="73" customFormat="1" spans="1:34">
      <c r="A2185" s="74"/>
      <c r="B2185" s="74"/>
      <c r="C2185" s="74"/>
      <c r="D2185" s="74"/>
      <c r="E2185" s="74"/>
      <c r="F2185" s="74"/>
      <c r="G2185" s="74"/>
      <c r="H2185" s="74"/>
      <c r="I2185" s="74"/>
      <c r="J2185" s="74"/>
      <c r="K2185" s="74"/>
      <c r="L2185" s="74"/>
      <c r="M2185" s="74"/>
      <c r="N2185" s="74"/>
      <c r="O2185" s="75"/>
      <c r="P2185" s="74"/>
      <c r="Q2185" s="75"/>
      <c r="R2185" s="74"/>
      <c r="S2185" s="74"/>
      <c r="T2185" s="74"/>
      <c r="U2185" s="75"/>
      <c r="V2185" s="74"/>
      <c r="W2185" s="75"/>
      <c r="X2185" s="74"/>
      <c r="Y2185" s="74"/>
      <c r="Z2185" s="74"/>
      <c r="AA2185" s="74"/>
      <c r="AB2185" s="74"/>
      <c r="AC2185" s="74"/>
      <c r="AD2185" s="74"/>
      <c r="AE2185" s="74"/>
      <c r="AF2185" s="74"/>
      <c r="AG2185" s="74"/>
      <c r="AH2185" s="74"/>
    </row>
    <row r="2186" s="73" customFormat="1" spans="1:34">
      <c r="A2186" s="74"/>
      <c r="B2186" s="74"/>
      <c r="C2186" s="74"/>
      <c r="D2186" s="74"/>
      <c r="E2186" s="74"/>
      <c r="F2186" s="74"/>
      <c r="G2186" s="74"/>
      <c r="H2186" s="74"/>
      <c r="I2186" s="74"/>
      <c r="J2186" s="74"/>
      <c r="K2186" s="74"/>
      <c r="L2186" s="74"/>
      <c r="M2186" s="74"/>
      <c r="N2186" s="74"/>
      <c r="O2186" s="75"/>
      <c r="P2186" s="74"/>
      <c r="Q2186" s="75"/>
      <c r="R2186" s="74"/>
      <c r="S2186" s="74"/>
      <c r="T2186" s="74"/>
      <c r="U2186" s="75"/>
      <c r="V2186" s="74"/>
      <c r="W2186" s="75"/>
      <c r="X2186" s="74"/>
      <c r="Y2186" s="74"/>
      <c r="Z2186" s="74"/>
      <c r="AA2186" s="74"/>
      <c r="AB2186" s="74"/>
      <c r="AC2186" s="74"/>
      <c r="AD2186" s="74"/>
      <c r="AE2186" s="74"/>
      <c r="AF2186" s="74"/>
      <c r="AG2186" s="74"/>
      <c r="AH2186" s="74"/>
    </row>
    <row r="2187" s="73" customFormat="1" spans="1:34">
      <c r="A2187" s="74"/>
      <c r="B2187" s="74"/>
      <c r="C2187" s="74"/>
      <c r="D2187" s="74"/>
      <c r="E2187" s="74"/>
      <c r="F2187" s="74"/>
      <c r="G2187" s="74"/>
      <c r="H2187" s="74"/>
      <c r="I2187" s="74"/>
      <c r="J2187" s="74"/>
      <c r="K2187" s="74"/>
      <c r="L2187" s="74"/>
      <c r="M2187" s="74"/>
      <c r="N2187" s="74"/>
      <c r="O2187" s="75"/>
      <c r="P2187" s="74"/>
      <c r="Q2187" s="75"/>
      <c r="R2187" s="74"/>
      <c r="S2187" s="74"/>
      <c r="T2187" s="74"/>
      <c r="U2187" s="75"/>
      <c r="V2187" s="74"/>
      <c r="W2187" s="75"/>
      <c r="X2187" s="74"/>
      <c r="Y2187" s="74"/>
      <c r="Z2187" s="74"/>
      <c r="AA2187" s="74"/>
      <c r="AB2187" s="74"/>
      <c r="AC2187" s="74"/>
      <c r="AD2187" s="74"/>
      <c r="AE2187" s="74"/>
      <c r="AF2187" s="74"/>
      <c r="AG2187" s="74"/>
      <c r="AH2187" s="74"/>
    </row>
    <row r="2188" s="73" customFormat="1" spans="1:34">
      <c r="A2188" s="74"/>
      <c r="B2188" s="74"/>
      <c r="C2188" s="74"/>
      <c r="D2188" s="74"/>
      <c r="E2188" s="74"/>
      <c r="F2188" s="74"/>
      <c r="G2188" s="74"/>
      <c r="H2188" s="74"/>
      <c r="I2188" s="74"/>
      <c r="J2188" s="74"/>
      <c r="K2188" s="74"/>
      <c r="L2188" s="74"/>
      <c r="M2188" s="74"/>
      <c r="N2188" s="74"/>
      <c r="O2188" s="75"/>
      <c r="P2188" s="74"/>
      <c r="Q2188" s="75"/>
      <c r="R2188" s="74"/>
      <c r="S2188" s="74"/>
      <c r="T2188" s="74"/>
      <c r="U2188" s="75"/>
      <c r="V2188" s="74"/>
      <c r="W2188" s="75"/>
      <c r="X2188" s="74"/>
      <c r="Y2188" s="74"/>
      <c r="Z2188" s="74"/>
      <c r="AA2188" s="74"/>
      <c r="AB2188" s="74"/>
      <c r="AC2188" s="74"/>
      <c r="AD2188" s="74"/>
      <c r="AE2188" s="74"/>
      <c r="AF2188" s="74"/>
      <c r="AG2188" s="74"/>
      <c r="AH2188" s="74"/>
    </row>
    <row r="2189" s="73" customFormat="1" spans="1:34">
      <c r="A2189" s="74"/>
      <c r="B2189" s="74"/>
      <c r="C2189" s="74"/>
      <c r="D2189" s="74"/>
      <c r="E2189" s="74"/>
      <c r="F2189" s="74"/>
      <c r="G2189" s="74"/>
      <c r="H2189" s="74"/>
      <c r="I2189" s="74"/>
      <c r="J2189" s="74"/>
      <c r="K2189" s="74"/>
      <c r="L2189" s="74"/>
      <c r="M2189" s="74"/>
      <c r="N2189" s="74"/>
      <c r="O2189" s="75"/>
      <c r="P2189" s="74"/>
      <c r="Q2189" s="75"/>
      <c r="R2189" s="74"/>
      <c r="S2189" s="74"/>
      <c r="T2189" s="74"/>
      <c r="U2189" s="75"/>
      <c r="V2189" s="74"/>
      <c r="W2189" s="75"/>
      <c r="X2189" s="74"/>
      <c r="Y2189" s="74"/>
      <c r="Z2189" s="74"/>
      <c r="AA2189" s="74"/>
      <c r="AB2189" s="74"/>
      <c r="AC2189" s="74"/>
      <c r="AD2189" s="74"/>
      <c r="AE2189" s="74"/>
      <c r="AF2189" s="74"/>
      <c r="AG2189" s="74"/>
      <c r="AH2189" s="74"/>
    </row>
    <row r="2190" s="73" customFormat="1" spans="1:34">
      <c r="A2190" s="74"/>
      <c r="B2190" s="74"/>
      <c r="C2190" s="74"/>
      <c r="D2190" s="74"/>
      <c r="E2190" s="74"/>
      <c r="F2190" s="74"/>
      <c r="G2190" s="74"/>
      <c r="H2190" s="74"/>
      <c r="I2190" s="74"/>
      <c r="J2190" s="74"/>
      <c r="K2190" s="74"/>
      <c r="L2190" s="74"/>
      <c r="M2190" s="74"/>
      <c r="N2190" s="74"/>
      <c r="O2190" s="75"/>
      <c r="P2190" s="74"/>
      <c r="Q2190" s="75"/>
      <c r="R2190" s="74"/>
      <c r="S2190" s="74"/>
      <c r="T2190" s="74"/>
      <c r="U2190" s="75"/>
      <c r="V2190" s="74"/>
      <c r="W2190" s="75"/>
      <c r="X2190" s="74"/>
      <c r="Y2190" s="74"/>
      <c r="Z2190" s="74"/>
      <c r="AA2190" s="74"/>
      <c r="AB2190" s="74"/>
      <c r="AC2190" s="74"/>
      <c r="AD2190" s="74"/>
      <c r="AE2190" s="74"/>
      <c r="AF2190" s="74"/>
      <c r="AG2190" s="74"/>
      <c r="AH2190" s="74"/>
    </row>
    <row r="2191" s="73" customFormat="1" spans="1:34">
      <c r="A2191" s="74"/>
      <c r="B2191" s="74"/>
      <c r="C2191" s="74"/>
      <c r="D2191" s="74"/>
      <c r="E2191" s="74"/>
      <c r="F2191" s="74"/>
      <c r="G2191" s="74"/>
      <c r="H2191" s="74"/>
      <c r="I2191" s="74"/>
      <c r="J2191" s="74"/>
      <c r="K2191" s="74"/>
      <c r="L2191" s="74"/>
      <c r="M2191" s="74"/>
      <c r="N2191" s="74"/>
      <c r="O2191" s="75"/>
      <c r="P2191" s="74"/>
      <c r="Q2191" s="75"/>
      <c r="R2191" s="74"/>
      <c r="S2191" s="74"/>
      <c r="T2191" s="74"/>
      <c r="U2191" s="75"/>
      <c r="V2191" s="74"/>
      <c r="W2191" s="75"/>
      <c r="X2191" s="74"/>
      <c r="Y2191" s="74"/>
      <c r="Z2191" s="74"/>
      <c r="AA2191" s="74"/>
      <c r="AB2191" s="74"/>
      <c r="AC2191" s="74"/>
      <c r="AD2191" s="74"/>
      <c r="AE2191" s="74"/>
      <c r="AF2191" s="74"/>
      <c r="AG2191" s="74"/>
      <c r="AH2191" s="74"/>
    </row>
    <row r="2192" s="73" customFormat="1" spans="1:34">
      <c r="A2192" s="74"/>
      <c r="B2192" s="74"/>
      <c r="C2192" s="74"/>
      <c r="D2192" s="74"/>
      <c r="E2192" s="74"/>
      <c r="F2192" s="74"/>
      <c r="G2192" s="74"/>
      <c r="H2192" s="74"/>
      <c r="I2192" s="74"/>
      <c r="J2192" s="74"/>
      <c r="K2192" s="74"/>
      <c r="L2192" s="74"/>
      <c r="M2192" s="74"/>
      <c r="N2192" s="74"/>
      <c r="O2192" s="75"/>
      <c r="P2192" s="74"/>
      <c r="Q2192" s="75"/>
      <c r="R2192" s="74"/>
      <c r="S2192" s="74"/>
      <c r="T2192" s="74"/>
      <c r="U2192" s="75"/>
      <c r="V2192" s="74"/>
      <c r="W2192" s="75"/>
      <c r="X2192" s="74"/>
      <c r="Y2192" s="74"/>
      <c r="Z2192" s="74"/>
      <c r="AA2192" s="74"/>
      <c r="AB2192" s="74"/>
      <c r="AC2192" s="74"/>
      <c r="AD2192" s="74"/>
      <c r="AE2192" s="74"/>
      <c r="AF2192" s="74"/>
      <c r="AG2192" s="74"/>
      <c r="AH2192" s="74"/>
    </row>
    <row r="2193" s="73" customFormat="1" spans="1:34">
      <c r="A2193" s="74"/>
      <c r="B2193" s="74"/>
      <c r="C2193" s="74"/>
      <c r="D2193" s="74"/>
      <c r="E2193" s="74"/>
      <c r="F2193" s="74"/>
      <c r="G2193" s="74"/>
      <c r="H2193" s="74"/>
      <c r="I2193" s="74"/>
      <c r="J2193" s="74"/>
      <c r="K2193" s="74"/>
      <c r="L2193" s="74"/>
      <c r="M2193" s="74"/>
      <c r="N2193" s="74"/>
      <c r="O2193" s="75"/>
      <c r="P2193" s="74"/>
      <c r="Q2193" s="75"/>
      <c r="R2193" s="74"/>
      <c r="S2193" s="74"/>
      <c r="T2193" s="74"/>
      <c r="U2193" s="75"/>
      <c r="V2193" s="74"/>
      <c r="W2193" s="75"/>
      <c r="X2193" s="74"/>
      <c r="Y2193" s="74"/>
      <c r="Z2193" s="74"/>
      <c r="AA2193" s="74"/>
      <c r="AB2193" s="74"/>
      <c r="AC2193" s="74"/>
      <c r="AD2193" s="74"/>
      <c r="AE2193" s="74"/>
      <c r="AF2193" s="74"/>
      <c r="AG2193" s="74"/>
      <c r="AH2193" s="74"/>
    </row>
    <row r="2194" s="73" customFormat="1" spans="1:34">
      <c r="A2194" s="74"/>
      <c r="B2194" s="74"/>
      <c r="C2194" s="74"/>
      <c r="D2194" s="74"/>
      <c r="E2194" s="74"/>
      <c r="F2194" s="74"/>
      <c r="G2194" s="74"/>
      <c r="H2194" s="74"/>
      <c r="I2194" s="74"/>
      <c r="J2194" s="74"/>
      <c r="K2194" s="74"/>
      <c r="L2194" s="74"/>
      <c r="M2194" s="74"/>
      <c r="N2194" s="74"/>
      <c r="O2194" s="75"/>
      <c r="P2194" s="74"/>
      <c r="Q2194" s="75"/>
      <c r="R2194" s="74"/>
      <c r="S2194" s="74"/>
      <c r="T2194" s="74"/>
      <c r="U2194" s="75"/>
      <c r="V2194" s="74"/>
      <c r="W2194" s="75"/>
      <c r="X2194" s="74"/>
      <c r="Y2194" s="74"/>
      <c r="Z2194" s="74"/>
      <c r="AA2194" s="74"/>
      <c r="AB2194" s="74"/>
      <c r="AC2194" s="74"/>
      <c r="AD2194" s="74"/>
      <c r="AE2194" s="74"/>
      <c r="AF2194" s="74"/>
      <c r="AG2194" s="74"/>
      <c r="AH2194" s="74"/>
    </row>
    <row r="2195" s="73" customFormat="1" spans="1:34">
      <c r="A2195" s="74"/>
      <c r="B2195" s="74"/>
      <c r="C2195" s="74"/>
      <c r="D2195" s="74"/>
      <c r="E2195" s="74"/>
      <c r="F2195" s="74"/>
      <c r="G2195" s="74"/>
      <c r="H2195" s="74"/>
      <c r="I2195" s="74"/>
      <c r="J2195" s="74"/>
      <c r="K2195" s="74"/>
      <c r="L2195" s="74"/>
      <c r="M2195" s="74"/>
      <c r="N2195" s="74"/>
      <c r="O2195" s="75"/>
      <c r="P2195" s="74"/>
      <c r="Q2195" s="75"/>
      <c r="R2195" s="74"/>
      <c r="S2195" s="74"/>
      <c r="T2195" s="74"/>
      <c r="U2195" s="75"/>
      <c r="V2195" s="74"/>
      <c r="W2195" s="75"/>
      <c r="X2195" s="74"/>
      <c r="Y2195" s="74"/>
      <c r="Z2195" s="74"/>
      <c r="AA2195" s="74"/>
      <c r="AB2195" s="74"/>
      <c r="AC2195" s="74"/>
      <c r="AD2195" s="74"/>
      <c r="AE2195" s="74"/>
      <c r="AF2195" s="74"/>
      <c r="AG2195" s="74"/>
      <c r="AH2195" s="74"/>
    </row>
    <row r="2196" s="73" customFormat="1" spans="1:34">
      <c r="A2196" s="74"/>
      <c r="B2196" s="74"/>
      <c r="C2196" s="74"/>
      <c r="D2196" s="74"/>
      <c r="E2196" s="74"/>
      <c r="F2196" s="74"/>
      <c r="G2196" s="74"/>
      <c r="H2196" s="74"/>
      <c r="I2196" s="74"/>
      <c r="J2196" s="74"/>
      <c r="K2196" s="74"/>
      <c r="L2196" s="74"/>
      <c r="M2196" s="74"/>
      <c r="N2196" s="74"/>
      <c r="O2196" s="75"/>
      <c r="P2196" s="74"/>
      <c r="Q2196" s="75"/>
      <c r="R2196" s="74"/>
      <c r="S2196" s="74"/>
      <c r="T2196" s="74"/>
      <c r="U2196" s="75"/>
      <c r="V2196" s="74"/>
      <c r="W2196" s="75"/>
      <c r="X2196" s="74"/>
      <c r="Y2196" s="74"/>
      <c r="Z2196" s="74"/>
      <c r="AA2196" s="74"/>
      <c r="AB2196" s="74"/>
      <c r="AC2196" s="74"/>
      <c r="AD2196" s="74"/>
      <c r="AE2196" s="74"/>
      <c r="AF2196" s="74"/>
      <c r="AG2196" s="74"/>
      <c r="AH2196" s="74"/>
    </row>
    <row r="2197" s="73" customFormat="1" spans="1:34">
      <c r="A2197" s="74"/>
      <c r="B2197" s="74"/>
      <c r="C2197" s="74"/>
      <c r="D2197" s="74"/>
      <c r="E2197" s="74"/>
      <c r="F2197" s="74"/>
      <c r="G2197" s="74"/>
      <c r="H2197" s="74"/>
      <c r="I2197" s="74"/>
      <c r="J2197" s="74"/>
      <c r="K2197" s="74"/>
      <c r="L2197" s="74"/>
      <c r="M2197" s="74"/>
      <c r="N2197" s="74"/>
      <c r="O2197" s="75"/>
      <c r="P2197" s="74"/>
      <c r="Q2197" s="75"/>
      <c r="R2197" s="74"/>
      <c r="S2197" s="74"/>
      <c r="T2197" s="74"/>
      <c r="U2197" s="75"/>
      <c r="V2197" s="74"/>
      <c r="W2197" s="75"/>
      <c r="X2197" s="74"/>
      <c r="Y2197" s="74"/>
      <c r="Z2197" s="74"/>
      <c r="AA2197" s="74"/>
      <c r="AB2197" s="74"/>
      <c r="AC2197" s="74"/>
      <c r="AD2197" s="74"/>
      <c r="AE2197" s="74"/>
      <c r="AF2197" s="74"/>
      <c r="AG2197" s="74"/>
      <c r="AH2197" s="74"/>
    </row>
    <row r="2198" s="73" customFormat="1" spans="1:34">
      <c r="A2198" s="74"/>
      <c r="B2198" s="74"/>
      <c r="C2198" s="74"/>
      <c r="D2198" s="74"/>
      <c r="E2198" s="74"/>
      <c r="F2198" s="74"/>
      <c r="G2198" s="74"/>
      <c r="H2198" s="74"/>
      <c r="I2198" s="74"/>
      <c r="J2198" s="74"/>
      <c r="K2198" s="74"/>
      <c r="L2198" s="74"/>
      <c r="M2198" s="74"/>
      <c r="N2198" s="74"/>
      <c r="O2198" s="75"/>
      <c r="P2198" s="74"/>
      <c r="Q2198" s="75"/>
      <c r="R2198" s="74"/>
      <c r="S2198" s="74"/>
      <c r="T2198" s="74"/>
      <c r="U2198" s="75"/>
      <c r="V2198" s="74"/>
      <c r="W2198" s="74"/>
      <c r="X2198" s="74"/>
      <c r="Y2198" s="74"/>
      <c r="Z2198" s="74"/>
      <c r="AA2198" s="74"/>
      <c r="AB2198" s="74"/>
      <c r="AC2198" s="74"/>
      <c r="AD2198" s="74"/>
      <c r="AE2198" s="74"/>
      <c r="AF2198" s="74"/>
      <c r="AG2198" s="74"/>
      <c r="AH2198" s="74"/>
    </row>
    <row r="2199" s="73" customFormat="1" spans="1:34">
      <c r="A2199" s="74"/>
      <c r="B2199" s="74"/>
      <c r="C2199" s="74"/>
      <c r="D2199" s="74"/>
      <c r="E2199" s="74"/>
      <c r="F2199" s="74"/>
      <c r="G2199" s="74"/>
      <c r="H2199" s="74"/>
      <c r="I2199" s="74"/>
      <c r="J2199" s="74"/>
      <c r="K2199" s="74"/>
      <c r="L2199" s="74"/>
      <c r="M2199" s="74"/>
      <c r="N2199" s="74"/>
      <c r="O2199" s="75"/>
      <c r="P2199" s="74"/>
      <c r="Q2199" s="75"/>
      <c r="R2199" s="74"/>
      <c r="S2199" s="74"/>
      <c r="T2199" s="74"/>
      <c r="U2199" s="75"/>
      <c r="V2199" s="74"/>
      <c r="W2199" s="75"/>
      <c r="X2199" s="74"/>
      <c r="Y2199" s="74"/>
      <c r="Z2199" s="74"/>
      <c r="AA2199" s="74"/>
      <c r="AB2199" s="74"/>
      <c r="AC2199" s="74"/>
      <c r="AD2199" s="74"/>
      <c r="AE2199" s="74"/>
      <c r="AF2199" s="74"/>
      <c r="AG2199" s="74"/>
      <c r="AH2199" s="74"/>
    </row>
    <row r="2200" s="73" customFormat="1" spans="1:34">
      <c r="A2200" s="74"/>
      <c r="B2200" s="74"/>
      <c r="C2200" s="74"/>
      <c r="D2200" s="74"/>
      <c r="E2200" s="74"/>
      <c r="F2200" s="74"/>
      <c r="G2200" s="74"/>
      <c r="H2200" s="74"/>
      <c r="I2200" s="74"/>
      <c r="J2200" s="74"/>
      <c r="K2200" s="74"/>
      <c r="L2200" s="74"/>
      <c r="M2200" s="74"/>
      <c r="N2200" s="74"/>
      <c r="O2200" s="75"/>
      <c r="P2200" s="74"/>
      <c r="Q2200" s="75"/>
      <c r="R2200" s="74"/>
      <c r="S2200" s="74"/>
      <c r="T2200" s="74"/>
      <c r="U2200" s="75"/>
      <c r="V2200" s="74"/>
      <c r="W2200" s="75"/>
      <c r="X2200" s="74"/>
      <c r="Y2200" s="74"/>
      <c r="Z2200" s="74"/>
      <c r="AA2200" s="74"/>
      <c r="AB2200" s="74"/>
      <c r="AC2200" s="74"/>
      <c r="AD2200" s="74"/>
      <c r="AE2200" s="74"/>
      <c r="AF2200" s="74"/>
      <c r="AG2200" s="74"/>
      <c r="AH2200" s="74"/>
    </row>
    <row r="2201" s="73" customFormat="1" spans="1:34">
      <c r="A2201" s="74"/>
      <c r="B2201" s="74"/>
      <c r="C2201" s="74"/>
      <c r="D2201" s="74"/>
      <c r="E2201" s="74"/>
      <c r="F2201" s="74"/>
      <c r="G2201" s="74"/>
      <c r="H2201" s="74"/>
      <c r="I2201" s="74"/>
      <c r="J2201" s="74"/>
      <c r="K2201" s="74"/>
      <c r="L2201" s="74"/>
      <c r="M2201" s="74"/>
      <c r="N2201" s="74"/>
      <c r="O2201" s="75"/>
      <c r="P2201" s="74"/>
      <c r="Q2201" s="75"/>
      <c r="R2201" s="74"/>
      <c r="S2201" s="74"/>
      <c r="T2201" s="74"/>
      <c r="U2201" s="75"/>
      <c r="V2201" s="74"/>
      <c r="W2201" s="75"/>
      <c r="X2201" s="74"/>
      <c r="Y2201" s="74"/>
      <c r="Z2201" s="74"/>
      <c r="AA2201" s="74"/>
      <c r="AB2201" s="74"/>
      <c r="AC2201" s="74"/>
      <c r="AD2201" s="74"/>
      <c r="AE2201" s="74"/>
      <c r="AF2201" s="74"/>
      <c r="AG2201" s="74"/>
      <c r="AH2201" s="74"/>
    </row>
    <row r="2202" s="73" customFormat="1" spans="1:34">
      <c r="A2202" s="74"/>
      <c r="B2202" s="74"/>
      <c r="C2202" s="74"/>
      <c r="D2202" s="74"/>
      <c r="E2202" s="74"/>
      <c r="F2202" s="74"/>
      <c r="G2202" s="74"/>
      <c r="H2202" s="74"/>
      <c r="I2202" s="74"/>
      <c r="J2202" s="74"/>
      <c r="K2202" s="74"/>
      <c r="L2202" s="74"/>
      <c r="M2202" s="74"/>
      <c r="N2202" s="74"/>
      <c r="O2202" s="75"/>
      <c r="P2202" s="74"/>
      <c r="Q2202" s="75"/>
      <c r="R2202" s="74"/>
      <c r="S2202" s="74"/>
      <c r="T2202" s="74"/>
      <c r="U2202" s="75"/>
      <c r="V2202" s="74"/>
      <c r="W2202" s="75"/>
      <c r="X2202" s="74"/>
      <c r="Y2202" s="74"/>
      <c r="Z2202" s="74"/>
      <c r="AA2202" s="74"/>
      <c r="AB2202" s="74"/>
      <c r="AC2202" s="74"/>
      <c r="AD2202" s="74"/>
      <c r="AE2202" s="74"/>
      <c r="AF2202" s="74"/>
      <c r="AG2202" s="74"/>
      <c r="AH2202" s="74"/>
    </row>
    <row r="2203" s="73" customFormat="1" spans="1:34">
      <c r="A2203" s="74"/>
      <c r="B2203" s="74"/>
      <c r="C2203" s="74"/>
      <c r="D2203" s="74"/>
      <c r="E2203" s="74"/>
      <c r="F2203" s="74"/>
      <c r="G2203" s="74"/>
      <c r="H2203" s="74"/>
      <c r="I2203" s="74"/>
      <c r="J2203" s="74"/>
      <c r="K2203" s="74"/>
      <c r="L2203" s="74"/>
      <c r="M2203" s="74"/>
      <c r="N2203" s="74"/>
      <c r="O2203" s="75"/>
      <c r="P2203" s="74"/>
      <c r="Q2203" s="75"/>
      <c r="R2203" s="74"/>
      <c r="S2203" s="74"/>
      <c r="T2203" s="74"/>
      <c r="U2203" s="75"/>
      <c r="V2203" s="74"/>
      <c r="W2203" s="75"/>
      <c r="X2203" s="74"/>
      <c r="Y2203" s="74"/>
      <c r="Z2203" s="74"/>
      <c r="AA2203" s="74"/>
      <c r="AB2203" s="74"/>
      <c r="AC2203" s="74"/>
      <c r="AD2203" s="74"/>
      <c r="AE2203" s="74"/>
      <c r="AF2203" s="74"/>
      <c r="AG2203" s="74"/>
      <c r="AH2203" s="74"/>
    </row>
    <row r="2204" s="73" customFormat="1" spans="1:34">
      <c r="A2204" s="74"/>
      <c r="B2204" s="74"/>
      <c r="C2204" s="74"/>
      <c r="D2204" s="74"/>
      <c r="E2204" s="74"/>
      <c r="F2204" s="74"/>
      <c r="G2204" s="74"/>
      <c r="H2204" s="74"/>
      <c r="I2204" s="74"/>
      <c r="J2204" s="74"/>
      <c r="K2204" s="74"/>
      <c r="L2204" s="74"/>
      <c r="M2204" s="74"/>
      <c r="N2204" s="74"/>
      <c r="O2204" s="75"/>
      <c r="P2204" s="74"/>
      <c r="Q2204" s="75"/>
      <c r="R2204" s="74"/>
      <c r="S2204" s="74"/>
      <c r="T2204" s="74"/>
      <c r="U2204" s="75"/>
      <c r="V2204" s="74"/>
      <c r="W2204" s="75"/>
      <c r="X2204" s="74"/>
      <c r="Y2204" s="74"/>
      <c r="Z2204" s="74"/>
      <c r="AA2204" s="74"/>
      <c r="AB2204" s="74"/>
      <c r="AC2204" s="74"/>
      <c r="AD2204" s="74"/>
      <c r="AE2204" s="74"/>
      <c r="AF2204" s="74"/>
      <c r="AG2204" s="74"/>
      <c r="AH2204" s="74"/>
    </row>
    <row r="2205" s="73" customFormat="1" spans="1:34">
      <c r="A2205" s="74"/>
      <c r="B2205" s="74"/>
      <c r="C2205" s="74"/>
      <c r="D2205" s="74"/>
      <c r="E2205" s="74"/>
      <c r="F2205" s="74"/>
      <c r="G2205" s="74"/>
      <c r="H2205" s="74"/>
      <c r="I2205" s="74"/>
      <c r="J2205" s="74"/>
      <c r="K2205" s="74"/>
      <c r="L2205" s="74"/>
      <c r="M2205" s="74"/>
      <c r="N2205" s="74"/>
      <c r="O2205" s="75"/>
      <c r="P2205" s="74"/>
      <c r="Q2205" s="75"/>
      <c r="R2205" s="74"/>
      <c r="S2205" s="74"/>
      <c r="T2205" s="74"/>
      <c r="U2205" s="75"/>
      <c r="V2205" s="74"/>
      <c r="W2205" s="75"/>
      <c r="X2205" s="74"/>
      <c r="Y2205" s="74"/>
      <c r="Z2205" s="74"/>
      <c r="AA2205" s="74"/>
      <c r="AB2205" s="74"/>
      <c r="AC2205" s="74"/>
      <c r="AD2205" s="74"/>
      <c r="AE2205" s="74"/>
      <c r="AF2205" s="74"/>
      <c r="AG2205" s="74"/>
      <c r="AH2205" s="74"/>
    </row>
    <row r="2206" s="73" customFormat="1" spans="1:34">
      <c r="A2206" s="74"/>
      <c r="B2206" s="74"/>
      <c r="C2206" s="74"/>
      <c r="D2206" s="74"/>
      <c r="E2206" s="74"/>
      <c r="F2206" s="74"/>
      <c r="G2206" s="74"/>
      <c r="H2206" s="74"/>
      <c r="I2206" s="74"/>
      <c r="J2206" s="74"/>
      <c r="K2206" s="74"/>
      <c r="L2206" s="74"/>
      <c r="M2206" s="74"/>
      <c r="N2206" s="74"/>
      <c r="O2206" s="75"/>
      <c r="P2206" s="74"/>
      <c r="Q2206" s="75"/>
      <c r="R2206" s="74"/>
      <c r="S2206" s="74"/>
      <c r="T2206" s="74"/>
      <c r="U2206" s="75"/>
      <c r="V2206" s="74"/>
      <c r="W2206" s="75"/>
      <c r="X2206" s="74"/>
      <c r="Y2206" s="74"/>
      <c r="Z2206" s="74"/>
      <c r="AA2206" s="74"/>
      <c r="AB2206" s="74"/>
      <c r="AC2206" s="74"/>
      <c r="AD2206" s="74"/>
      <c r="AE2206" s="74"/>
      <c r="AF2206" s="74"/>
      <c r="AG2206" s="74"/>
      <c r="AH2206" s="74"/>
    </row>
    <row r="2207" s="73" customFormat="1" spans="1:34">
      <c r="A2207" s="74"/>
      <c r="B2207" s="74"/>
      <c r="C2207" s="74"/>
      <c r="D2207" s="74"/>
      <c r="E2207" s="74"/>
      <c r="F2207" s="74"/>
      <c r="G2207" s="74"/>
      <c r="H2207" s="74"/>
      <c r="I2207" s="74"/>
      <c r="J2207" s="74"/>
      <c r="K2207" s="74"/>
      <c r="L2207" s="74"/>
      <c r="M2207" s="74"/>
      <c r="N2207" s="74"/>
      <c r="O2207" s="75"/>
      <c r="P2207" s="74"/>
      <c r="Q2207" s="75"/>
      <c r="R2207" s="74"/>
      <c r="S2207" s="74"/>
      <c r="T2207" s="74"/>
      <c r="U2207" s="75"/>
      <c r="V2207" s="74"/>
      <c r="W2207" s="75"/>
      <c r="X2207" s="74"/>
      <c r="Y2207" s="74"/>
      <c r="Z2207" s="74"/>
      <c r="AA2207" s="74"/>
      <c r="AB2207" s="74"/>
      <c r="AC2207" s="74"/>
      <c r="AD2207" s="74"/>
      <c r="AE2207" s="74"/>
      <c r="AF2207" s="74"/>
      <c r="AG2207" s="74"/>
      <c r="AH2207" s="74"/>
    </row>
    <row r="2208" s="73" customFormat="1" spans="1:34">
      <c r="A2208" s="74"/>
      <c r="B2208" s="74"/>
      <c r="C2208" s="74"/>
      <c r="D2208" s="74"/>
      <c r="E2208" s="74"/>
      <c r="F2208" s="74"/>
      <c r="G2208" s="74"/>
      <c r="H2208" s="74"/>
      <c r="I2208" s="74"/>
      <c r="J2208" s="74"/>
      <c r="K2208" s="74"/>
      <c r="L2208" s="74"/>
      <c r="M2208" s="74"/>
      <c r="N2208" s="74"/>
      <c r="O2208" s="75"/>
      <c r="P2208" s="74"/>
      <c r="Q2208" s="75"/>
      <c r="R2208" s="74"/>
      <c r="S2208" s="74"/>
      <c r="T2208" s="74"/>
      <c r="U2208" s="75"/>
      <c r="V2208" s="74"/>
      <c r="W2208" s="75"/>
      <c r="X2208" s="74"/>
      <c r="Y2208" s="74"/>
      <c r="Z2208" s="74"/>
      <c r="AA2208" s="74"/>
      <c r="AB2208" s="74"/>
      <c r="AC2208" s="74"/>
      <c r="AD2208" s="74"/>
      <c r="AE2208" s="74"/>
      <c r="AF2208" s="74"/>
      <c r="AG2208" s="74"/>
      <c r="AH2208" s="74"/>
    </row>
    <row r="2209" s="73" customFormat="1" spans="1:34">
      <c r="A2209" s="74"/>
      <c r="B2209" s="74"/>
      <c r="C2209" s="74"/>
      <c r="D2209" s="74"/>
      <c r="E2209" s="74"/>
      <c r="F2209" s="74"/>
      <c r="G2209" s="74"/>
      <c r="H2209" s="74"/>
      <c r="I2209" s="74"/>
      <c r="J2209" s="74"/>
      <c r="K2209" s="74"/>
      <c r="L2209" s="74"/>
      <c r="M2209" s="74"/>
      <c r="N2209" s="74"/>
      <c r="O2209" s="75"/>
      <c r="P2209" s="74"/>
      <c r="Q2209" s="75"/>
      <c r="R2209" s="74"/>
      <c r="S2209" s="74"/>
      <c r="T2209" s="74"/>
      <c r="U2209" s="75"/>
      <c r="V2209" s="74"/>
      <c r="W2209" s="75"/>
      <c r="X2209" s="74"/>
      <c r="Y2209" s="74"/>
      <c r="Z2209" s="74"/>
      <c r="AA2209" s="74"/>
      <c r="AB2209" s="74"/>
      <c r="AC2209" s="74"/>
      <c r="AD2209" s="74"/>
      <c r="AE2209" s="74"/>
      <c r="AF2209" s="74"/>
      <c r="AG2209" s="74"/>
      <c r="AH2209" s="74"/>
    </row>
    <row r="2210" s="73" customFormat="1" spans="1:34">
      <c r="A2210" s="74"/>
      <c r="B2210" s="74"/>
      <c r="C2210" s="74"/>
      <c r="D2210" s="74"/>
      <c r="E2210" s="74"/>
      <c r="F2210" s="74"/>
      <c r="G2210" s="74"/>
      <c r="H2210" s="74"/>
      <c r="I2210" s="74"/>
      <c r="J2210" s="74"/>
      <c r="K2210" s="74"/>
      <c r="L2210" s="74"/>
      <c r="M2210" s="74"/>
      <c r="N2210" s="74"/>
      <c r="O2210" s="75"/>
      <c r="P2210" s="74"/>
      <c r="Q2210" s="75"/>
      <c r="R2210" s="74"/>
      <c r="S2210" s="74"/>
      <c r="T2210" s="74"/>
      <c r="U2210" s="75"/>
      <c r="V2210" s="74"/>
      <c r="W2210" s="75"/>
      <c r="X2210" s="74"/>
      <c r="Y2210" s="74"/>
      <c r="Z2210" s="74"/>
      <c r="AA2210" s="74"/>
      <c r="AB2210" s="74"/>
      <c r="AC2210" s="74"/>
      <c r="AD2210" s="74"/>
      <c r="AE2210" s="74"/>
      <c r="AF2210" s="74"/>
      <c r="AG2210" s="74"/>
      <c r="AH2210" s="74"/>
    </row>
    <row r="2211" s="73" customFormat="1" spans="1:34">
      <c r="A2211" s="74"/>
      <c r="B2211" s="74"/>
      <c r="C2211" s="74"/>
      <c r="D2211" s="74"/>
      <c r="E2211" s="74"/>
      <c r="F2211" s="74"/>
      <c r="G2211" s="74"/>
      <c r="H2211" s="74"/>
      <c r="I2211" s="74"/>
      <c r="J2211" s="74"/>
      <c r="K2211" s="74"/>
      <c r="L2211" s="74"/>
      <c r="M2211" s="74"/>
      <c r="N2211" s="74"/>
      <c r="O2211" s="75"/>
      <c r="P2211" s="74"/>
      <c r="Q2211" s="75"/>
      <c r="R2211" s="74"/>
      <c r="S2211" s="74"/>
      <c r="T2211" s="74"/>
      <c r="U2211" s="75"/>
      <c r="V2211" s="74"/>
      <c r="W2211" s="75"/>
      <c r="X2211" s="74"/>
      <c r="Y2211" s="74"/>
      <c r="Z2211" s="74"/>
      <c r="AA2211" s="74"/>
      <c r="AB2211" s="74"/>
      <c r="AC2211" s="74"/>
      <c r="AD2211" s="74"/>
      <c r="AE2211" s="74"/>
      <c r="AF2211" s="74"/>
      <c r="AG2211" s="74"/>
      <c r="AH2211" s="74"/>
    </row>
    <row r="2212" s="73" customFormat="1" spans="1:34">
      <c r="A2212" s="74"/>
      <c r="B2212" s="74"/>
      <c r="C2212" s="74"/>
      <c r="D2212" s="74"/>
      <c r="E2212" s="74"/>
      <c r="F2212" s="74"/>
      <c r="G2212" s="74"/>
      <c r="H2212" s="74"/>
      <c r="I2212" s="74"/>
      <c r="J2212" s="74"/>
      <c r="K2212" s="74"/>
      <c r="L2212" s="74"/>
      <c r="M2212" s="74"/>
      <c r="N2212" s="74"/>
      <c r="O2212" s="75"/>
      <c r="P2212" s="74"/>
      <c r="Q2212" s="75"/>
      <c r="R2212" s="74"/>
      <c r="S2212" s="74"/>
      <c r="T2212" s="74"/>
      <c r="U2212" s="75"/>
      <c r="V2212" s="74"/>
      <c r="W2212" s="75"/>
      <c r="X2212" s="74"/>
      <c r="Y2212" s="74"/>
      <c r="Z2212" s="74"/>
      <c r="AA2212" s="74"/>
      <c r="AB2212" s="74"/>
      <c r="AC2212" s="74"/>
      <c r="AD2212" s="74"/>
      <c r="AE2212" s="74"/>
      <c r="AF2212" s="74"/>
      <c r="AG2212" s="74"/>
      <c r="AH2212" s="74"/>
    </row>
    <row r="2213" s="73" customFormat="1" spans="1:34">
      <c r="A2213" s="74"/>
      <c r="B2213" s="74"/>
      <c r="C2213" s="74"/>
      <c r="D2213" s="74"/>
      <c r="E2213" s="74"/>
      <c r="F2213" s="74"/>
      <c r="G2213" s="74"/>
      <c r="H2213" s="74"/>
      <c r="I2213" s="74"/>
      <c r="J2213" s="74"/>
      <c r="K2213" s="74"/>
      <c r="L2213" s="74"/>
      <c r="M2213" s="74"/>
      <c r="N2213" s="74"/>
      <c r="O2213" s="75"/>
      <c r="P2213" s="74"/>
      <c r="Q2213" s="75"/>
      <c r="R2213" s="74"/>
      <c r="S2213" s="74"/>
      <c r="T2213" s="74"/>
      <c r="U2213" s="75"/>
      <c r="V2213" s="74"/>
      <c r="W2213" s="75"/>
      <c r="X2213" s="74"/>
      <c r="Y2213" s="74"/>
      <c r="Z2213" s="74"/>
      <c r="AA2213" s="74"/>
      <c r="AB2213" s="74"/>
      <c r="AC2213" s="74"/>
      <c r="AD2213" s="74"/>
      <c r="AE2213" s="74"/>
      <c r="AF2213" s="74"/>
      <c r="AG2213" s="74"/>
      <c r="AH2213" s="74"/>
    </row>
    <row r="2214" s="73" customFormat="1" spans="1:34">
      <c r="A2214" s="74"/>
      <c r="B2214" s="74"/>
      <c r="C2214" s="74"/>
      <c r="D2214" s="74"/>
      <c r="E2214" s="74"/>
      <c r="F2214" s="74"/>
      <c r="G2214" s="74"/>
      <c r="H2214" s="74"/>
      <c r="I2214" s="74"/>
      <c r="J2214" s="74"/>
      <c r="K2214" s="74"/>
      <c r="L2214" s="74"/>
      <c r="M2214" s="74"/>
      <c r="N2214" s="74"/>
      <c r="O2214" s="75"/>
      <c r="P2214" s="74"/>
      <c r="Q2214" s="75"/>
      <c r="R2214" s="74"/>
      <c r="S2214" s="74"/>
      <c r="T2214" s="74"/>
      <c r="U2214" s="75"/>
      <c r="V2214" s="74"/>
      <c r="W2214" s="75"/>
      <c r="X2214" s="74"/>
      <c r="Y2214" s="74"/>
      <c r="Z2214" s="74"/>
      <c r="AA2214" s="74"/>
      <c r="AB2214" s="74"/>
      <c r="AC2214" s="74"/>
      <c r="AD2214" s="74"/>
      <c r="AE2214" s="74"/>
      <c r="AF2214" s="74"/>
      <c r="AG2214" s="74"/>
      <c r="AH2214" s="74"/>
    </row>
    <row r="2215" s="73" customFormat="1" spans="1:34">
      <c r="A2215" s="74"/>
      <c r="B2215" s="74"/>
      <c r="C2215" s="74"/>
      <c r="D2215" s="74"/>
      <c r="E2215" s="74"/>
      <c r="F2215" s="74"/>
      <c r="G2215" s="74"/>
      <c r="H2215" s="74"/>
      <c r="I2215" s="74"/>
      <c r="J2215" s="74"/>
      <c r="K2215" s="74"/>
      <c r="L2215" s="74"/>
      <c r="M2215" s="74"/>
      <c r="N2215" s="74"/>
      <c r="O2215" s="75"/>
      <c r="P2215" s="74"/>
      <c r="Q2215" s="75"/>
      <c r="R2215" s="74"/>
      <c r="S2215" s="74"/>
      <c r="T2215" s="74"/>
      <c r="U2215" s="75"/>
      <c r="V2215" s="74"/>
      <c r="W2215" s="75"/>
      <c r="X2215" s="74"/>
      <c r="Y2215" s="74"/>
      <c r="Z2215" s="74"/>
      <c r="AA2215" s="74"/>
      <c r="AB2215" s="74"/>
      <c r="AC2215" s="74"/>
      <c r="AD2215" s="74"/>
      <c r="AE2215" s="74"/>
      <c r="AF2215" s="74"/>
      <c r="AG2215" s="74"/>
      <c r="AH2215" s="74"/>
    </row>
    <row r="2216" s="73" customFormat="1" spans="1:34">
      <c r="A2216" s="74"/>
      <c r="B2216" s="74"/>
      <c r="C2216" s="74"/>
      <c r="D2216" s="74"/>
      <c r="E2216" s="74"/>
      <c r="F2216" s="74"/>
      <c r="G2216" s="74"/>
      <c r="H2216" s="74"/>
      <c r="I2216" s="74"/>
      <c r="J2216" s="74"/>
      <c r="K2216" s="74"/>
      <c r="L2216" s="74"/>
      <c r="M2216" s="74"/>
      <c r="N2216" s="74"/>
      <c r="O2216" s="75"/>
      <c r="P2216" s="74"/>
      <c r="Q2216" s="75"/>
      <c r="R2216" s="74"/>
      <c r="S2216" s="74"/>
      <c r="T2216" s="74"/>
      <c r="U2216" s="75"/>
      <c r="V2216" s="74"/>
      <c r="W2216" s="75"/>
      <c r="X2216" s="74"/>
      <c r="Y2216" s="74"/>
      <c r="Z2216" s="74"/>
      <c r="AA2216" s="74"/>
      <c r="AB2216" s="74"/>
      <c r="AC2216" s="74"/>
      <c r="AD2216" s="74"/>
      <c r="AE2216" s="74"/>
      <c r="AF2216" s="74"/>
      <c r="AG2216" s="74"/>
      <c r="AH2216" s="74"/>
    </row>
    <row r="2217" s="73" customFormat="1" spans="1:34">
      <c r="A2217" s="74"/>
      <c r="B2217" s="74"/>
      <c r="C2217" s="74"/>
      <c r="D2217" s="74"/>
      <c r="E2217" s="74"/>
      <c r="F2217" s="74"/>
      <c r="G2217" s="74"/>
      <c r="H2217" s="74"/>
      <c r="I2217" s="74"/>
      <c r="J2217" s="74"/>
      <c r="K2217" s="74"/>
      <c r="L2217" s="74"/>
      <c r="M2217" s="74"/>
      <c r="N2217" s="74"/>
      <c r="O2217" s="75"/>
      <c r="P2217" s="74"/>
      <c r="Q2217" s="75"/>
      <c r="R2217" s="74"/>
      <c r="S2217" s="74"/>
      <c r="T2217" s="74"/>
      <c r="U2217" s="75"/>
      <c r="V2217" s="74"/>
      <c r="W2217" s="75"/>
      <c r="X2217" s="74"/>
      <c r="Y2217" s="74"/>
      <c r="Z2217" s="74"/>
      <c r="AA2217" s="74"/>
      <c r="AB2217" s="74"/>
      <c r="AC2217" s="74"/>
      <c r="AD2217" s="74"/>
      <c r="AE2217" s="74"/>
      <c r="AF2217" s="74"/>
      <c r="AG2217" s="74"/>
      <c r="AH2217" s="74"/>
    </row>
    <row r="2218" s="73" customFormat="1" spans="1:34">
      <c r="A2218" s="74"/>
      <c r="B2218" s="74"/>
      <c r="C2218" s="74"/>
      <c r="D2218" s="74"/>
      <c r="E2218" s="74"/>
      <c r="F2218" s="74"/>
      <c r="G2218" s="74"/>
      <c r="H2218" s="74"/>
      <c r="I2218" s="74"/>
      <c r="J2218" s="74"/>
      <c r="K2218" s="74"/>
      <c r="L2218" s="74"/>
      <c r="M2218" s="74"/>
      <c r="N2218" s="74"/>
      <c r="O2218" s="75"/>
      <c r="P2218" s="74"/>
      <c r="Q2218" s="75"/>
      <c r="R2218" s="74"/>
      <c r="S2218" s="74"/>
      <c r="T2218" s="74"/>
      <c r="U2218" s="75"/>
      <c r="V2218" s="74"/>
      <c r="W2218" s="75"/>
      <c r="X2218" s="74"/>
      <c r="Y2218" s="74"/>
      <c r="Z2218" s="74"/>
      <c r="AA2218" s="74"/>
      <c r="AB2218" s="74"/>
      <c r="AC2218" s="74"/>
      <c r="AD2218" s="74"/>
      <c r="AE2218" s="74"/>
      <c r="AF2218" s="74"/>
      <c r="AG2218" s="74"/>
      <c r="AH2218" s="74"/>
    </row>
    <row r="2219" s="73" customFormat="1" spans="1:34">
      <c r="A2219" s="74"/>
      <c r="B2219" s="74"/>
      <c r="C2219" s="74"/>
      <c r="D2219" s="74"/>
      <c r="E2219" s="74"/>
      <c r="F2219" s="74"/>
      <c r="G2219" s="74"/>
      <c r="H2219" s="74"/>
      <c r="I2219" s="74"/>
      <c r="J2219" s="74"/>
      <c r="K2219" s="74"/>
      <c r="L2219" s="74"/>
      <c r="M2219" s="74"/>
      <c r="N2219" s="74"/>
      <c r="O2219" s="75"/>
      <c r="P2219" s="74"/>
      <c r="Q2219" s="75"/>
      <c r="R2219" s="74"/>
      <c r="S2219" s="74"/>
      <c r="T2219" s="74"/>
      <c r="U2219" s="75"/>
      <c r="V2219" s="74"/>
      <c r="W2219" s="75"/>
      <c r="X2219" s="74"/>
      <c r="Y2219" s="74"/>
      <c r="Z2219" s="74"/>
      <c r="AA2219" s="74"/>
      <c r="AB2219" s="74"/>
      <c r="AC2219" s="74"/>
      <c r="AD2219" s="74"/>
      <c r="AE2219" s="74"/>
      <c r="AF2219" s="74"/>
      <c r="AG2219" s="74"/>
      <c r="AH2219" s="74"/>
    </row>
    <row r="2220" s="73" customFormat="1" spans="1:34">
      <c r="A2220" s="74"/>
      <c r="B2220" s="74"/>
      <c r="C2220" s="74"/>
      <c r="D2220" s="74"/>
      <c r="E2220" s="74"/>
      <c r="F2220" s="74"/>
      <c r="G2220" s="74"/>
      <c r="H2220" s="74"/>
      <c r="I2220" s="74"/>
      <c r="J2220" s="74"/>
      <c r="K2220" s="74"/>
      <c r="L2220" s="74"/>
      <c r="M2220" s="74"/>
      <c r="N2220" s="74"/>
      <c r="O2220" s="75"/>
      <c r="P2220" s="74"/>
      <c r="Q2220" s="75"/>
      <c r="R2220" s="74"/>
      <c r="S2220" s="74"/>
      <c r="T2220" s="74"/>
      <c r="U2220" s="75"/>
      <c r="V2220" s="74"/>
      <c r="W2220" s="75"/>
      <c r="X2220" s="74"/>
      <c r="Y2220" s="74"/>
      <c r="Z2220" s="74"/>
      <c r="AA2220" s="74"/>
      <c r="AB2220" s="74"/>
      <c r="AC2220" s="74"/>
      <c r="AD2220" s="74"/>
      <c r="AE2220" s="74"/>
      <c r="AF2220" s="74"/>
      <c r="AG2220" s="74"/>
      <c r="AH2220" s="74"/>
    </row>
    <row r="2221" s="73" customFormat="1" spans="1:34">
      <c r="A2221" s="74"/>
      <c r="B2221" s="74"/>
      <c r="C2221" s="74"/>
      <c r="D2221" s="74"/>
      <c r="E2221" s="74"/>
      <c r="F2221" s="74"/>
      <c r="G2221" s="74"/>
      <c r="H2221" s="74"/>
      <c r="I2221" s="74"/>
      <c r="J2221" s="74"/>
      <c r="K2221" s="74"/>
      <c r="L2221" s="74"/>
      <c r="M2221" s="74"/>
      <c r="N2221" s="74"/>
      <c r="O2221" s="75"/>
      <c r="P2221" s="74"/>
      <c r="Q2221" s="75"/>
      <c r="R2221" s="74"/>
      <c r="S2221" s="74"/>
      <c r="T2221" s="74"/>
      <c r="U2221" s="75"/>
      <c r="V2221" s="74"/>
      <c r="W2221" s="75"/>
      <c r="X2221" s="74"/>
      <c r="Y2221" s="74"/>
      <c r="Z2221" s="74"/>
      <c r="AA2221" s="74"/>
      <c r="AB2221" s="74"/>
      <c r="AC2221" s="74"/>
      <c r="AD2221" s="74"/>
      <c r="AE2221" s="74"/>
      <c r="AF2221" s="74"/>
      <c r="AG2221" s="74"/>
      <c r="AH2221" s="74"/>
    </row>
    <row r="2222" s="73" customFormat="1" spans="1:34">
      <c r="A2222" s="74"/>
      <c r="B2222" s="74"/>
      <c r="C2222" s="74"/>
      <c r="D2222" s="74"/>
      <c r="E2222" s="74"/>
      <c r="F2222" s="74"/>
      <c r="G2222" s="74"/>
      <c r="H2222" s="74"/>
      <c r="I2222" s="74"/>
      <c r="J2222" s="74"/>
      <c r="K2222" s="74"/>
      <c r="L2222" s="74"/>
      <c r="M2222" s="74"/>
      <c r="N2222" s="74"/>
      <c r="O2222" s="75"/>
      <c r="P2222" s="74"/>
      <c r="Q2222" s="75"/>
      <c r="R2222" s="74"/>
      <c r="S2222" s="74"/>
      <c r="T2222" s="74"/>
      <c r="U2222" s="75"/>
      <c r="V2222" s="74"/>
      <c r="W2222" s="75"/>
      <c r="X2222" s="74"/>
      <c r="Y2222" s="74"/>
      <c r="Z2222" s="74"/>
      <c r="AA2222" s="74"/>
      <c r="AB2222" s="74"/>
      <c r="AC2222" s="74"/>
      <c r="AD2222" s="74"/>
      <c r="AE2222" s="74"/>
      <c r="AF2222" s="74"/>
      <c r="AG2222" s="74"/>
      <c r="AH2222" s="74"/>
    </row>
    <row r="2223" s="73" customFormat="1" spans="1:34">
      <c r="A2223" s="74"/>
      <c r="B2223" s="74"/>
      <c r="C2223" s="74"/>
      <c r="D2223" s="74"/>
      <c r="E2223" s="74"/>
      <c r="F2223" s="74"/>
      <c r="G2223" s="74"/>
      <c r="H2223" s="74"/>
      <c r="I2223" s="74"/>
      <c r="J2223" s="74"/>
      <c r="K2223" s="74"/>
      <c r="L2223" s="74"/>
      <c r="M2223" s="74"/>
      <c r="N2223" s="74"/>
      <c r="O2223" s="75"/>
      <c r="P2223" s="74"/>
      <c r="Q2223" s="75"/>
      <c r="R2223" s="74"/>
      <c r="S2223" s="74"/>
      <c r="T2223" s="74"/>
      <c r="U2223" s="75"/>
      <c r="V2223" s="74"/>
      <c r="W2223" s="75"/>
      <c r="X2223" s="74"/>
      <c r="Y2223" s="74"/>
      <c r="Z2223" s="74"/>
      <c r="AA2223" s="74"/>
      <c r="AB2223" s="74"/>
      <c r="AC2223" s="74"/>
      <c r="AD2223" s="74"/>
      <c r="AE2223" s="74"/>
      <c r="AF2223" s="74"/>
      <c r="AG2223" s="74"/>
      <c r="AH2223" s="74"/>
    </row>
    <row r="2224" s="73" customFormat="1" spans="1:34">
      <c r="A2224" s="74"/>
      <c r="B2224" s="74"/>
      <c r="C2224" s="74"/>
      <c r="D2224" s="74"/>
      <c r="E2224" s="74"/>
      <c r="F2224" s="74"/>
      <c r="G2224" s="74"/>
      <c r="H2224" s="74"/>
      <c r="I2224" s="74"/>
      <c r="J2224" s="74"/>
      <c r="K2224" s="74"/>
      <c r="L2224" s="74"/>
      <c r="M2224" s="74"/>
      <c r="N2224" s="74"/>
      <c r="O2224" s="75"/>
      <c r="P2224" s="74"/>
      <c r="Q2224" s="75"/>
      <c r="R2224" s="74"/>
      <c r="S2224" s="74"/>
      <c r="T2224" s="74"/>
      <c r="U2224" s="75"/>
      <c r="V2224" s="74"/>
      <c r="W2224" s="75"/>
      <c r="X2224" s="74"/>
      <c r="Y2224" s="74"/>
      <c r="Z2224" s="74"/>
      <c r="AA2224" s="74"/>
      <c r="AB2224" s="74"/>
      <c r="AC2224" s="74"/>
      <c r="AD2224" s="74"/>
      <c r="AE2224" s="74"/>
      <c r="AF2224" s="74"/>
      <c r="AG2224" s="74"/>
      <c r="AH2224" s="74"/>
    </row>
    <row r="2225" s="73" customFormat="1" spans="1:34">
      <c r="A2225" s="74"/>
      <c r="B2225" s="74"/>
      <c r="C2225" s="74"/>
      <c r="D2225" s="74"/>
      <c r="E2225" s="74"/>
      <c r="F2225" s="74"/>
      <c r="G2225" s="74"/>
      <c r="H2225" s="74"/>
      <c r="I2225" s="74"/>
      <c r="J2225" s="74"/>
      <c r="K2225" s="74"/>
      <c r="L2225" s="74"/>
      <c r="M2225" s="74"/>
      <c r="N2225" s="74"/>
      <c r="O2225" s="75"/>
      <c r="P2225" s="74"/>
      <c r="Q2225" s="75"/>
      <c r="R2225" s="74"/>
      <c r="S2225" s="74"/>
      <c r="T2225" s="74"/>
      <c r="U2225" s="75"/>
      <c r="V2225" s="74"/>
      <c r="W2225" s="75"/>
      <c r="X2225" s="74"/>
      <c r="Y2225" s="74"/>
      <c r="Z2225" s="74"/>
      <c r="AA2225" s="74"/>
      <c r="AB2225" s="74"/>
      <c r="AC2225" s="74"/>
      <c r="AD2225" s="74"/>
      <c r="AE2225" s="74"/>
      <c r="AF2225" s="74"/>
      <c r="AG2225" s="74"/>
      <c r="AH2225" s="74"/>
    </row>
    <row r="2226" s="73" customFormat="1" spans="1:34">
      <c r="A2226" s="74"/>
      <c r="B2226" s="74"/>
      <c r="C2226" s="74"/>
      <c r="D2226" s="74"/>
      <c r="E2226" s="74"/>
      <c r="F2226" s="74"/>
      <c r="G2226" s="74"/>
      <c r="H2226" s="74"/>
      <c r="I2226" s="74"/>
      <c r="J2226" s="74"/>
      <c r="K2226" s="74"/>
      <c r="L2226" s="74"/>
      <c r="M2226" s="74"/>
      <c r="N2226" s="74"/>
      <c r="O2226" s="75"/>
      <c r="P2226" s="74"/>
      <c r="Q2226" s="75"/>
      <c r="R2226" s="74"/>
      <c r="S2226" s="74"/>
      <c r="T2226" s="74"/>
      <c r="U2226" s="75"/>
      <c r="V2226" s="74"/>
      <c r="W2226" s="75"/>
      <c r="X2226" s="74"/>
      <c r="Y2226" s="74"/>
      <c r="Z2226" s="74"/>
      <c r="AA2226" s="74"/>
      <c r="AB2226" s="74"/>
      <c r="AC2226" s="74"/>
      <c r="AD2226" s="74"/>
      <c r="AE2226" s="74"/>
      <c r="AF2226" s="74"/>
      <c r="AG2226" s="74"/>
      <c r="AH2226" s="74"/>
    </row>
    <row r="2227" s="73" customFormat="1" spans="1:34">
      <c r="A2227" s="74"/>
      <c r="B2227" s="74"/>
      <c r="C2227" s="74"/>
      <c r="D2227" s="74"/>
      <c r="E2227" s="74"/>
      <c r="F2227" s="74"/>
      <c r="G2227" s="74"/>
      <c r="H2227" s="74"/>
      <c r="I2227" s="74"/>
      <c r="J2227" s="74"/>
      <c r="K2227" s="74"/>
      <c r="L2227" s="74"/>
      <c r="M2227" s="74"/>
      <c r="N2227" s="74"/>
      <c r="O2227" s="75"/>
      <c r="P2227" s="74"/>
      <c r="Q2227" s="75"/>
      <c r="R2227" s="74"/>
      <c r="S2227" s="74"/>
      <c r="T2227" s="74"/>
      <c r="U2227" s="75"/>
      <c r="V2227" s="74"/>
      <c r="W2227" s="75"/>
      <c r="X2227" s="74"/>
      <c r="Y2227" s="74"/>
      <c r="Z2227" s="74"/>
      <c r="AA2227" s="74"/>
      <c r="AB2227" s="74"/>
      <c r="AC2227" s="74"/>
      <c r="AD2227" s="74"/>
      <c r="AE2227" s="74"/>
      <c r="AF2227" s="74"/>
      <c r="AG2227" s="74"/>
      <c r="AH2227" s="74"/>
    </row>
    <row r="2228" s="73" customFormat="1" spans="1:34">
      <c r="A2228" s="74"/>
      <c r="B2228" s="74"/>
      <c r="C2228" s="74"/>
      <c r="D2228" s="74"/>
      <c r="E2228" s="74"/>
      <c r="F2228" s="74"/>
      <c r="G2228" s="74"/>
      <c r="H2228" s="74"/>
      <c r="I2228" s="74"/>
      <c r="J2228" s="74"/>
      <c r="K2228" s="74"/>
      <c r="L2228" s="74"/>
      <c r="M2228" s="74"/>
      <c r="N2228" s="74"/>
      <c r="O2228" s="75"/>
      <c r="P2228" s="74"/>
      <c r="Q2228" s="75"/>
      <c r="R2228" s="74"/>
      <c r="S2228" s="74"/>
      <c r="T2228" s="74"/>
      <c r="U2228" s="75"/>
      <c r="V2228" s="74"/>
      <c r="W2228" s="75"/>
      <c r="X2228" s="74"/>
      <c r="Y2228" s="74"/>
      <c r="Z2228" s="74"/>
      <c r="AA2228" s="74"/>
      <c r="AB2228" s="74"/>
      <c r="AC2228" s="74"/>
      <c r="AD2228" s="74"/>
      <c r="AE2228" s="74"/>
      <c r="AF2228" s="74"/>
      <c r="AG2228" s="74"/>
      <c r="AH2228" s="74"/>
    </row>
    <row r="2229" s="73" customFormat="1" spans="1:34">
      <c r="A2229" s="74"/>
      <c r="B2229" s="74"/>
      <c r="C2229" s="74"/>
      <c r="D2229" s="74"/>
      <c r="E2229" s="74"/>
      <c r="F2229" s="74"/>
      <c r="G2229" s="74"/>
      <c r="H2229" s="74"/>
      <c r="I2229" s="74"/>
      <c r="J2229" s="74"/>
      <c r="K2229" s="74"/>
      <c r="L2229" s="74"/>
      <c r="M2229" s="74"/>
      <c r="N2229" s="74"/>
      <c r="O2229" s="75"/>
      <c r="P2229" s="74"/>
      <c r="Q2229" s="75"/>
      <c r="R2229" s="74"/>
      <c r="S2229" s="74"/>
      <c r="T2229" s="74"/>
      <c r="U2229" s="75"/>
      <c r="V2229" s="74"/>
      <c r="W2229" s="75"/>
      <c r="X2229" s="74"/>
      <c r="Y2229" s="74"/>
      <c r="Z2229" s="74"/>
      <c r="AA2229" s="74"/>
      <c r="AB2229" s="74"/>
      <c r="AC2229" s="74"/>
      <c r="AD2229" s="74"/>
      <c r="AE2229" s="74"/>
      <c r="AF2229" s="74"/>
      <c r="AG2229" s="74"/>
      <c r="AH2229" s="74"/>
    </row>
    <row r="2230" s="73" customFormat="1" spans="1:34">
      <c r="A2230" s="74"/>
      <c r="B2230" s="74"/>
      <c r="C2230" s="74"/>
      <c r="D2230" s="74"/>
      <c r="E2230" s="74"/>
      <c r="F2230" s="74"/>
      <c r="G2230" s="74"/>
      <c r="H2230" s="74"/>
      <c r="I2230" s="74"/>
      <c r="J2230" s="74"/>
      <c r="K2230" s="74"/>
      <c r="L2230" s="74"/>
      <c r="M2230" s="74"/>
      <c r="N2230" s="74"/>
      <c r="O2230" s="75"/>
      <c r="P2230" s="74"/>
      <c r="Q2230" s="75"/>
      <c r="R2230" s="74"/>
      <c r="S2230" s="74"/>
      <c r="T2230" s="74"/>
      <c r="U2230" s="75"/>
      <c r="V2230" s="74"/>
      <c r="W2230" s="75"/>
      <c r="X2230" s="74"/>
      <c r="Y2230" s="74"/>
      <c r="Z2230" s="74"/>
      <c r="AA2230" s="74"/>
      <c r="AB2230" s="74"/>
      <c r="AC2230" s="74"/>
      <c r="AD2230" s="74"/>
      <c r="AE2230" s="74"/>
      <c r="AF2230" s="74"/>
      <c r="AG2230" s="74"/>
      <c r="AH2230" s="74"/>
    </row>
    <row r="2231" s="73" customFormat="1" spans="1:34">
      <c r="A2231" s="74"/>
      <c r="B2231" s="74"/>
      <c r="C2231" s="74"/>
      <c r="D2231" s="74"/>
      <c r="E2231" s="74"/>
      <c r="F2231" s="74"/>
      <c r="G2231" s="74"/>
      <c r="H2231" s="74"/>
      <c r="I2231" s="74"/>
      <c r="J2231" s="74"/>
      <c r="K2231" s="74"/>
      <c r="L2231" s="74"/>
      <c r="M2231" s="74"/>
      <c r="N2231" s="74"/>
      <c r="O2231" s="75"/>
      <c r="P2231" s="74"/>
      <c r="Q2231" s="75"/>
      <c r="R2231" s="74"/>
      <c r="S2231" s="74"/>
      <c r="T2231" s="74"/>
      <c r="U2231" s="75"/>
      <c r="V2231" s="74"/>
      <c r="W2231" s="75"/>
      <c r="X2231" s="74"/>
      <c r="Y2231" s="74"/>
      <c r="Z2231" s="74"/>
      <c r="AA2231" s="74"/>
      <c r="AB2231" s="74"/>
      <c r="AC2231" s="74"/>
      <c r="AD2231" s="74"/>
      <c r="AE2231" s="74"/>
      <c r="AF2231" s="74"/>
      <c r="AG2231" s="74"/>
      <c r="AH2231" s="74"/>
    </row>
    <row r="2232" s="73" customFormat="1" spans="1:34">
      <c r="A2232" s="74"/>
      <c r="B2232" s="74"/>
      <c r="C2232" s="74"/>
      <c r="D2232" s="74"/>
      <c r="E2232" s="74"/>
      <c r="F2232" s="74"/>
      <c r="G2232" s="74"/>
      <c r="H2232" s="74"/>
      <c r="I2232" s="74"/>
      <c r="J2232" s="74"/>
      <c r="K2232" s="74"/>
      <c r="L2232" s="74"/>
      <c r="M2232" s="74"/>
      <c r="N2232" s="74"/>
      <c r="O2232" s="75"/>
      <c r="P2232" s="74"/>
      <c r="Q2232" s="75"/>
      <c r="R2232" s="74"/>
      <c r="S2232" s="74"/>
      <c r="T2232" s="74"/>
      <c r="U2232" s="75"/>
      <c r="V2232" s="74"/>
      <c r="W2232" s="75"/>
      <c r="X2232" s="74"/>
      <c r="Y2232" s="74"/>
      <c r="Z2232" s="74"/>
      <c r="AA2232" s="74"/>
      <c r="AB2232" s="74"/>
      <c r="AC2232" s="74"/>
      <c r="AD2232" s="74"/>
      <c r="AE2232" s="74"/>
      <c r="AF2232" s="74"/>
      <c r="AG2232" s="74"/>
      <c r="AH2232" s="74"/>
    </row>
    <row r="2233" s="73" customFormat="1" spans="1:34">
      <c r="A2233" s="74"/>
      <c r="B2233" s="74"/>
      <c r="C2233" s="74"/>
      <c r="D2233" s="74"/>
      <c r="E2233" s="74"/>
      <c r="F2233" s="74"/>
      <c r="G2233" s="74"/>
      <c r="H2233" s="74"/>
      <c r="I2233" s="74"/>
      <c r="J2233" s="74"/>
      <c r="K2233" s="74"/>
      <c r="L2233" s="74"/>
      <c r="M2233" s="74"/>
      <c r="N2233" s="74"/>
      <c r="O2233" s="75"/>
      <c r="P2233" s="74"/>
      <c r="Q2233" s="75"/>
      <c r="R2233" s="74"/>
      <c r="S2233" s="74"/>
      <c r="T2233" s="74"/>
      <c r="U2233" s="75"/>
      <c r="V2233" s="74"/>
      <c r="W2233" s="75"/>
      <c r="X2233" s="74"/>
      <c r="Y2233" s="74"/>
      <c r="Z2233" s="74"/>
      <c r="AA2233" s="74"/>
      <c r="AB2233" s="74"/>
      <c r="AC2233" s="74"/>
      <c r="AD2233" s="74"/>
      <c r="AE2233" s="74"/>
      <c r="AF2233" s="74"/>
      <c r="AG2233" s="74"/>
      <c r="AH2233" s="74"/>
    </row>
    <row r="2234" s="73" customFormat="1" spans="1:34">
      <c r="A2234" s="74"/>
      <c r="B2234" s="74"/>
      <c r="C2234" s="74"/>
      <c r="D2234" s="74"/>
      <c r="E2234" s="74"/>
      <c r="F2234" s="74"/>
      <c r="G2234" s="74"/>
      <c r="H2234" s="74"/>
      <c r="I2234" s="74"/>
      <c r="J2234" s="74"/>
      <c r="K2234" s="74"/>
      <c r="L2234" s="74"/>
      <c r="M2234" s="74"/>
      <c r="N2234" s="74"/>
      <c r="O2234" s="75"/>
      <c r="P2234" s="74"/>
      <c r="Q2234" s="75"/>
      <c r="R2234" s="74"/>
      <c r="S2234" s="74"/>
      <c r="T2234" s="74"/>
      <c r="U2234" s="75"/>
      <c r="V2234" s="74"/>
      <c r="W2234" s="75"/>
      <c r="X2234" s="74"/>
      <c r="Y2234" s="74"/>
      <c r="Z2234" s="74"/>
      <c r="AA2234" s="74"/>
      <c r="AB2234" s="74"/>
      <c r="AC2234" s="74"/>
      <c r="AD2234" s="74"/>
      <c r="AE2234" s="74"/>
      <c r="AF2234" s="74"/>
      <c r="AG2234" s="74"/>
      <c r="AH2234" s="74"/>
    </row>
    <row r="2235" s="73" customFormat="1" spans="1:34">
      <c r="A2235" s="74"/>
      <c r="B2235" s="74"/>
      <c r="C2235" s="74"/>
      <c r="D2235" s="74"/>
      <c r="E2235" s="74"/>
      <c r="F2235" s="74"/>
      <c r="G2235" s="74"/>
      <c r="H2235" s="74"/>
      <c r="I2235" s="74"/>
      <c r="J2235" s="74"/>
      <c r="K2235" s="74"/>
      <c r="L2235" s="74"/>
      <c r="M2235" s="74"/>
      <c r="N2235" s="74"/>
      <c r="O2235" s="75"/>
      <c r="P2235" s="74"/>
      <c r="Q2235" s="75"/>
      <c r="R2235" s="74"/>
      <c r="S2235" s="74"/>
      <c r="T2235" s="74"/>
      <c r="U2235" s="75"/>
      <c r="V2235" s="74"/>
      <c r="W2235" s="75"/>
      <c r="X2235" s="74"/>
      <c r="Y2235" s="74"/>
      <c r="Z2235" s="74"/>
      <c r="AA2235" s="74"/>
      <c r="AB2235" s="74"/>
      <c r="AC2235" s="74"/>
      <c r="AD2235" s="74"/>
      <c r="AE2235" s="74"/>
      <c r="AF2235" s="74"/>
      <c r="AG2235" s="74"/>
      <c r="AH2235" s="74"/>
    </row>
    <row r="2236" s="73" customFormat="1" spans="1:34">
      <c r="A2236" s="74"/>
      <c r="B2236" s="74"/>
      <c r="C2236" s="74"/>
      <c r="D2236" s="74"/>
      <c r="E2236" s="74"/>
      <c r="F2236" s="74"/>
      <c r="G2236" s="74"/>
      <c r="H2236" s="74"/>
      <c r="I2236" s="74"/>
      <c r="J2236" s="74"/>
      <c r="K2236" s="74"/>
      <c r="L2236" s="74"/>
      <c r="M2236" s="74"/>
      <c r="N2236" s="74"/>
      <c r="O2236" s="75"/>
      <c r="P2236" s="74"/>
      <c r="Q2236" s="75"/>
      <c r="R2236" s="74"/>
      <c r="S2236" s="74"/>
      <c r="T2236" s="74"/>
      <c r="U2236" s="75"/>
      <c r="V2236" s="74"/>
      <c r="W2236" s="75"/>
      <c r="X2236" s="74"/>
      <c r="Y2236" s="74"/>
      <c r="Z2236" s="74"/>
      <c r="AA2236" s="74"/>
      <c r="AB2236" s="74"/>
      <c r="AC2236" s="74"/>
      <c r="AD2236" s="74"/>
      <c r="AE2236" s="74"/>
      <c r="AF2236" s="74"/>
      <c r="AG2236" s="74"/>
      <c r="AH2236" s="74"/>
    </row>
    <row r="2237" s="73" customFormat="1" spans="1:34">
      <c r="A2237" s="74"/>
      <c r="B2237" s="74"/>
      <c r="C2237" s="74"/>
      <c r="D2237" s="74"/>
      <c r="E2237" s="74"/>
      <c r="F2237" s="74"/>
      <c r="G2237" s="74"/>
      <c r="H2237" s="74"/>
      <c r="I2237" s="74"/>
      <c r="J2237" s="74"/>
      <c r="K2237" s="74"/>
      <c r="L2237" s="74"/>
      <c r="M2237" s="74"/>
      <c r="N2237" s="74"/>
      <c r="O2237" s="75"/>
      <c r="P2237" s="74"/>
      <c r="Q2237" s="75"/>
      <c r="R2237" s="74"/>
      <c r="S2237" s="74"/>
      <c r="T2237" s="74"/>
      <c r="U2237" s="75"/>
      <c r="V2237" s="74"/>
      <c r="W2237" s="75"/>
      <c r="X2237" s="74"/>
      <c r="Y2237" s="74"/>
      <c r="Z2237" s="74"/>
      <c r="AA2237" s="74"/>
      <c r="AB2237" s="74"/>
      <c r="AC2237" s="74"/>
      <c r="AD2237" s="74"/>
      <c r="AE2237" s="74"/>
      <c r="AF2237" s="74"/>
      <c r="AG2237" s="74"/>
      <c r="AH2237" s="74"/>
    </row>
    <row r="2238" s="73" customFormat="1" spans="1:34">
      <c r="A2238" s="74"/>
      <c r="B2238" s="74"/>
      <c r="C2238" s="74"/>
      <c r="D2238" s="74"/>
      <c r="E2238" s="74"/>
      <c r="F2238" s="74"/>
      <c r="G2238" s="74"/>
      <c r="H2238" s="74"/>
      <c r="I2238" s="74"/>
      <c r="J2238" s="74"/>
      <c r="K2238" s="74"/>
      <c r="L2238" s="74"/>
      <c r="M2238" s="74"/>
      <c r="N2238" s="74"/>
      <c r="O2238" s="75"/>
      <c r="P2238" s="74"/>
      <c r="Q2238" s="75"/>
      <c r="R2238" s="74"/>
      <c r="S2238" s="74"/>
      <c r="T2238" s="74"/>
      <c r="U2238" s="75"/>
      <c r="V2238" s="74"/>
      <c r="W2238" s="75"/>
      <c r="X2238" s="74"/>
      <c r="Y2238" s="74"/>
      <c r="Z2238" s="74"/>
      <c r="AA2238" s="74"/>
      <c r="AB2238" s="74"/>
      <c r="AC2238" s="74"/>
      <c r="AD2238" s="74"/>
      <c r="AE2238" s="74"/>
      <c r="AF2238" s="74"/>
      <c r="AG2238" s="74"/>
      <c r="AH2238" s="74"/>
    </row>
    <row r="2239" s="73" customFormat="1" spans="1:34">
      <c r="A2239" s="74"/>
      <c r="B2239" s="74"/>
      <c r="C2239" s="74"/>
      <c r="D2239" s="74"/>
      <c r="E2239" s="74"/>
      <c r="F2239" s="74"/>
      <c r="G2239" s="74"/>
      <c r="H2239" s="74"/>
      <c r="I2239" s="74"/>
      <c r="J2239" s="74"/>
      <c r="K2239" s="74"/>
      <c r="L2239" s="74"/>
      <c r="M2239" s="74"/>
      <c r="N2239" s="74"/>
      <c r="O2239" s="75"/>
      <c r="P2239" s="74"/>
      <c r="Q2239" s="75"/>
      <c r="R2239" s="74"/>
      <c r="S2239" s="74"/>
      <c r="T2239" s="74"/>
      <c r="U2239" s="75"/>
      <c r="V2239" s="74"/>
      <c r="W2239" s="75"/>
      <c r="X2239" s="74"/>
      <c r="Y2239" s="74"/>
      <c r="Z2239" s="74"/>
      <c r="AA2239" s="74"/>
      <c r="AB2239" s="74"/>
      <c r="AC2239" s="74"/>
      <c r="AD2239" s="74"/>
      <c r="AE2239" s="74"/>
      <c r="AF2239" s="74"/>
      <c r="AG2239" s="74"/>
      <c r="AH2239" s="74"/>
    </row>
    <row r="2240" s="73" customFormat="1" spans="1:34">
      <c r="A2240" s="74"/>
      <c r="B2240" s="74"/>
      <c r="C2240" s="74"/>
      <c r="D2240" s="74"/>
      <c r="E2240" s="74"/>
      <c r="F2240" s="74"/>
      <c r="G2240" s="74"/>
      <c r="H2240" s="74"/>
      <c r="I2240" s="74"/>
      <c r="J2240" s="74"/>
      <c r="K2240" s="74"/>
      <c r="L2240" s="74"/>
      <c r="M2240" s="74"/>
      <c r="N2240" s="74"/>
      <c r="O2240" s="75"/>
      <c r="P2240" s="74"/>
      <c r="Q2240" s="75"/>
      <c r="R2240" s="74"/>
      <c r="S2240" s="74"/>
      <c r="T2240" s="74"/>
      <c r="U2240" s="75"/>
      <c r="V2240" s="74"/>
      <c r="W2240" s="75"/>
      <c r="X2240" s="74"/>
      <c r="Y2240" s="74"/>
      <c r="Z2240" s="74"/>
      <c r="AA2240" s="74"/>
      <c r="AB2240" s="74"/>
      <c r="AC2240" s="74"/>
      <c r="AD2240" s="74"/>
      <c r="AE2240" s="74"/>
      <c r="AF2240" s="74"/>
      <c r="AG2240" s="74"/>
      <c r="AH2240" s="74"/>
    </row>
    <row r="2241" s="73" customFormat="1" spans="1:34">
      <c r="A2241" s="74"/>
      <c r="B2241" s="74"/>
      <c r="C2241" s="74"/>
      <c r="D2241" s="74"/>
      <c r="E2241" s="74"/>
      <c r="F2241" s="74"/>
      <c r="G2241" s="74"/>
      <c r="H2241" s="74"/>
      <c r="I2241" s="74"/>
      <c r="J2241" s="74"/>
      <c r="K2241" s="74"/>
      <c r="L2241" s="74"/>
      <c r="M2241" s="74"/>
      <c r="N2241" s="74"/>
      <c r="O2241" s="75"/>
      <c r="P2241" s="74"/>
      <c r="Q2241" s="75"/>
      <c r="R2241" s="74"/>
      <c r="S2241" s="74"/>
      <c r="T2241" s="74"/>
      <c r="U2241" s="75"/>
      <c r="V2241" s="74"/>
      <c r="W2241" s="75"/>
      <c r="X2241" s="74"/>
      <c r="Y2241" s="74"/>
      <c r="Z2241" s="74"/>
      <c r="AA2241" s="74"/>
      <c r="AB2241" s="74"/>
      <c r="AC2241" s="74"/>
      <c r="AD2241" s="74"/>
      <c r="AE2241" s="74"/>
      <c r="AF2241" s="74"/>
      <c r="AG2241" s="74"/>
      <c r="AH2241" s="74"/>
    </row>
    <row r="2242" s="73" customFormat="1" spans="1:34">
      <c r="A2242" s="74"/>
      <c r="B2242" s="74"/>
      <c r="C2242" s="74"/>
      <c r="D2242" s="74"/>
      <c r="E2242" s="74"/>
      <c r="F2242" s="74"/>
      <c r="G2242" s="74"/>
      <c r="H2242" s="74"/>
      <c r="I2242" s="74"/>
      <c r="J2242" s="74"/>
      <c r="K2242" s="74"/>
      <c r="L2242" s="74"/>
      <c r="M2242" s="74"/>
      <c r="N2242" s="74"/>
      <c r="O2242" s="75"/>
      <c r="P2242" s="74"/>
      <c r="Q2242" s="75"/>
      <c r="R2242" s="74"/>
      <c r="S2242" s="74"/>
      <c r="T2242" s="74"/>
      <c r="U2242" s="75"/>
      <c r="V2242" s="74"/>
      <c r="W2242" s="75"/>
      <c r="X2242" s="74"/>
      <c r="Y2242" s="74"/>
      <c r="Z2242" s="74"/>
      <c r="AA2242" s="74"/>
      <c r="AB2242" s="74"/>
      <c r="AC2242" s="74"/>
      <c r="AD2242" s="74"/>
      <c r="AE2242" s="74"/>
      <c r="AF2242" s="74"/>
      <c r="AG2242" s="74"/>
      <c r="AH2242" s="74"/>
    </row>
    <row r="2243" s="73" customFormat="1" spans="1:34">
      <c r="A2243" s="74"/>
      <c r="B2243" s="74"/>
      <c r="C2243" s="74"/>
      <c r="D2243" s="74"/>
      <c r="E2243" s="74"/>
      <c r="F2243" s="74"/>
      <c r="G2243" s="74"/>
      <c r="H2243" s="74"/>
      <c r="I2243" s="74"/>
      <c r="J2243" s="74"/>
      <c r="K2243" s="74"/>
      <c r="L2243" s="74"/>
      <c r="M2243" s="74"/>
      <c r="N2243" s="74"/>
      <c r="O2243" s="75"/>
      <c r="P2243" s="74"/>
      <c r="Q2243" s="75"/>
      <c r="R2243" s="74"/>
      <c r="S2243" s="74"/>
      <c r="T2243" s="74"/>
      <c r="U2243" s="75"/>
      <c r="V2243" s="74"/>
      <c r="W2243" s="75"/>
      <c r="X2243" s="74"/>
      <c r="Y2243" s="74"/>
      <c r="Z2243" s="74"/>
      <c r="AA2243" s="74"/>
      <c r="AB2243" s="74"/>
      <c r="AC2243" s="74"/>
      <c r="AD2243" s="74"/>
      <c r="AE2243" s="74"/>
      <c r="AF2243" s="74"/>
      <c r="AG2243" s="74"/>
      <c r="AH2243" s="74"/>
    </row>
    <row r="2244" s="73" customFormat="1" spans="1:34">
      <c r="A2244" s="74"/>
      <c r="B2244" s="74"/>
      <c r="C2244" s="74"/>
      <c r="D2244" s="74"/>
      <c r="E2244" s="74"/>
      <c r="F2244" s="74"/>
      <c r="G2244" s="74"/>
      <c r="H2244" s="74"/>
      <c r="I2244" s="74"/>
      <c r="J2244" s="74"/>
      <c r="K2244" s="74"/>
      <c r="L2244" s="74"/>
      <c r="M2244" s="74"/>
      <c r="N2244" s="74"/>
      <c r="O2244" s="75"/>
      <c r="P2244" s="74"/>
      <c r="Q2244" s="75"/>
      <c r="R2244" s="74"/>
      <c r="S2244" s="74"/>
      <c r="T2244" s="74"/>
      <c r="U2244" s="75"/>
      <c r="V2244" s="74"/>
      <c r="W2244" s="75"/>
      <c r="X2244" s="74"/>
      <c r="Y2244" s="74"/>
      <c r="Z2244" s="74"/>
      <c r="AA2244" s="74"/>
      <c r="AB2244" s="74"/>
      <c r="AC2244" s="74"/>
      <c r="AD2244" s="74"/>
      <c r="AE2244" s="74"/>
      <c r="AF2244" s="74"/>
      <c r="AG2244" s="74"/>
      <c r="AH2244" s="74"/>
    </row>
    <row r="2245" s="73" customFormat="1" spans="1:34">
      <c r="A2245" s="74"/>
      <c r="B2245" s="74"/>
      <c r="C2245" s="74"/>
      <c r="D2245" s="74"/>
      <c r="E2245" s="74"/>
      <c r="F2245" s="74"/>
      <c r="G2245" s="74"/>
      <c r="H2245" s="74"/>
      <c r="I2245" s="74"/>
      <c r="J2245" s="74"/>
      <c r="K2245" s="74"/>
      <c r="L2245" s="74"/>
      <c r="M2245" s="74"/>
      <c r="N2245" s="74"/>
      <c r="O2245" s="75"/>
      <c r="P2245" s="74"/>
      <c r="Q2245" s="75"/>
      <c r="R2245" s="74"/>
      <c r="S2245" s="74"/>
      <c r="T2245" s="74"/>
      <c r="U2245" s="75"/>
      <c r="V2245" s="74"/>
      <c r="W2245" s="75"/>
      <c r="X2245" s="74"/>
      <c r="Y2245" s="74"/>
      <c r="Z2245" s="74"/>
      <c r="AA2245" s="74"/>
      <c r="AB2245" s="74"/>
      <c r="AC2245" s="74"/>
      <c r="AD2245" s="74"/>
      <c r="AE2245" s="74"/>
      <c r="AF2245" s="74"/>
      <c r="AG2245" s="74"/>
      <c r="AH2245" s="74"/>
    </row>
    <row r="2246" s="73" customFormat="1" spans="1:34">
      <c r="A2246" s="74"/>
      <c r="B2246" s="74"/>
      <c r="C2246" s="74"/>
      <c r="D2246" s="74"/>
      <c r="E2246" s="74"/>
      <c r="F2246" s="74"/>
      <c r="G2246" s="74"/>
      <c r="H2246" s="74"/>
      <c r="I2246" s="74"/>
      <c r="J2246" s="74"/>
      <c r="K2246" s="74"/>
      <c r="L2246" s="74"/>
      <c r="M2246" s="74"/>
      <c r="N2246" s="74"/>
      <c r="O2246" s="75"/>
      <c r="P2246" s="74"/>
      <c r="Q2246" s="75"/>
      <c r="R2246" s="74"/>
      <c r="S2246" s="74"/>
      <c r="T2246" s="74"/>
      <c r="U2246" s="75"/>
      <c r="V2246" s="74"/>
      <c r="W2246" s="75"/>
      <c r="X2246" s="74"/>
      <c r="Y2246" s="74"/>
      <c r="Z2246" s="74"/>
      <c r="AA2246" s="74"/>
      <c r="AB2246" s="74"/>
      <c r="AC2246" s="74"/>
      <c r="AD2246" s="74"/>
      <c r="AE2246" s="74"/>
      <c r="AF2246" s="74"/>
      <c r="AG2246" s="74"/>
      <c r="AH2246" s="74"/>
    </row>
    <row r="2247" s="73" customFormat="1" spans="1:34">
      <c r="A2247" s="74"/>
      <c r="B2247" s="74"/>
      <c r="C2247" s="74"/>
      <c r="D2247" s="74"/>
      <c r="E2247" s="74"/>
      <c r="F2247" s="74"/>
      <c r="G2247" s="74"/>
      <c r="H2247" s="74"/>
      <c r="I2247" s="74"/>
      <c r="J2247" s="74"/>
      <c r="K2247" s="74"/>
      <c r="L2247" s="74"/>
      <c r="M2247" s="74"/>
      <c r="N2247" s="74"/>
      <c r="O2247" s="75"/>
      <c r="P2247" s="74"/>
      <c r="Q2247" s="75"/>
      <c r="R2247" s="74"/>
      <c r="S2247" s="74"/>
      <c r="T2247" s="74"/>
      <c r="U2247" s="75"/>
      <c r="V2247" s="74"/>
      <c r="W2247" s="75"/>
      <c r="X2247" s="74"/>
      <c r="Y2247" s="74"/>
      <c r="Z2247" s="74"/>
      <c r="AA2247" s="74"/>
      <c r="AB2247" s="74"/>
      <c r="AC2247" s="74"/>
      <c r="AD2247" s="74"/>
      <c r="AE2247" s="74"/>
      <c r="AF2247" s="74"/>
      <c r="AG2247" s="74"/>
      <c r="AH2247" s="74"/>
    </row>
    <row r="2248" s="73" customFormat="1" spans="1:34">
      <c r="A2248" s="74"/>
      <c r="B2248" s="74"/>
      <c r="C2248" s="74"/>
      <c r="D2248" s="74"/>
      <c r="E2248" s="74"/>
      <c r="F2248" s="74"/>
      <c r="G2248" s="74"/>
      <c r="H2248" s="74"/>
      <c r="I2248" s="74"/>
      <c r="J2248" s="74"/>
      <c r="K2248" s="74"/>
      <c r="L2248" s="74"/>
      <c r="M2248" s="74"/>
      <c r="N2248" s="74"/>
      <c r="O2248" s="75"/>
      <c r="P2248" s="74"/>
      <c r="Q2248" s="75"/>
      <c r="R2248" s="74"/>
      <c r="S2248" s="74"/>
      <c r="T2248" s="74"/>
      <c r="U2248" s="75"/>
      <c r="V2248" s="74"/>
      <c r="W2248" s="75"/>
      <c r="X2248" s="74"/>
      <c r="Y2248" s="74"/>
      <c r="Z2248" s="74"/>
      <c r="AA2248" s="74"/>
      <c r="AB2248" s="74"/>
      <c r="AC2248" s="74"/>
      <c r="AD2248" s="74"/>
      <c r="AE2248" s="74"/>
      <c r="AF2248" s="74"/>
      <c r="AG2248" s="74"/>
      <c r="AH2248" s="74"/>
    </row>
    <row r="2249" s="73" customFormat="1" spans="1:34">
      <c r="A2249" s="74"/>
      <c r="B2249" s="74"/>
      <c r="C2249" s="74"/>
      <c r="D2249" s="74"/>
      <c r="E2249" s="74"/>
      <c r="F2249" s="74"/>
      <c r="G2249" s="74"/>
      <c r="H2249" s="74"/>
      <c r="I2249" s="74"/>
      <c r="J2249" s="74"/>
      <c r="K2249" s="74"/>
      <c r="L2249" s="74"/>
      <c r="M2249" s="74"/>
      <c r="N2249" s="74"/>
      <c r="O2249" s="75"/>
      <c r="P2249" s="74"/>
      <c r="Q2249" s="75"/>
      <c r="R2249" s="74"/>
      <c r="S2249" s="74"/>
      <c r="T2249" s="74"/>
      <c r="U2249" s="75"/>
      <c r="V2249" s="74"/>
      <c r="W2249" s="75"/>
      <c r="X2249" s="74"/>
      <c r="Y2249" s="74"/>
      <c r="Z2249" s="74"/>
      <c r="AA2249" s="74"/>
      <c r="AB2249" s="74"/>
      <c r="AC2249" s="74"/>
      <c r="AD2249" s="74"/>
      <c r="AE2249" s="74"/>
      <c r="AF2249" s="74"/>
      <c r="AG2249" s="74"/>
      <c r="AH2249" s="74"/>
    </row>
    <row r="2250" s="73" customFormat="1" spans="1:34">
      <c r="A2250" s="74"/>
      <c r="B2250" s="74"/>
      <c r="C2250" s="74"/>
      <c r="D2250" s="74"/>
      <c r="E2250" s="74"/>
      <c r="F2250" s="74"/>
      <c r="G2250" s="74"/>
      <c r="H2250" s="74"/>
      <c r="I2250" s="74"/>
      <c r="J2250" s="74"/>
      <c r="K2250" s="74"/>
      <c r="L2250" s="74"/>
      <c r="M2250" s="74"/>
      <c r="N2250" s="74"/>
      <c r="O2250" s="75"/>
      <c r="P2250" s="74"/>
      <c r="Q2250" s="75"/>
      <c r="R2250" s="74"/>
      <c r="S2250" s="74"/>
      <c r="T2250" s="74"/>
      <c r="U2250" s="75"/>
      <c r="V2250" s="74"/>
      <c r="W2250" s="75"/>
      <c r="X2250" s="74"/>
      <c r="Y2250" s="74"/>
      <c r="Z2250" s="74"/>
      <c r="AA2250" s="74"/>
      <c r="AB2250" s="74"/>
      <c r="AC2250" s="74"/>
      <c r="AD2250" s="74"/>
      <c r="AE2250" s="74"/>
      <c r="AF2250" s="74"/>
      <c r="AG2250" s="74"/>
      <c r="AH2250" s="74"/>
    </row>
    <row r="2251" s="73" customFormat="1" spans="1:34">
      <c r="A2251" s="74"/>
      <c r="B2251" s="74"/>
      <c r="C2251" s="74"/>
      <c r="D2251" s="74"/>
      <c r="E2251" s="74"/>
      <c r="F2251" s="74"/>
      <c r="G2251" s="74"/>
      <c r="H2251" s="74"/>
      <c r="I2251" s="74"/>
      <c r="J2251" s="74"/>
      <c r="K2251" s="74"/>
      <c r="L2251" s="74"/>
      <c r="M2251" s="74"/>
      <c r="N2251" s="74"/>
      <c r="O2251" s="75"/>
      <c r="P2251" s="74"/>
      <c r="Q2251" s="75"/>
      <c r="R2251" s="74"/>
      <c r="S2251" s="74"/>
      <c r="T2251" s="74"/>
      <c r="U2251" s="75"/>
      <c r="V2251" s="74"/>
      <c r="W2251" s="75"/>
      <c r="X2251" s="74"/>
      <c r="Y2251" s="74"/>
      <c r="Z2251" s="74"/>
      <c r="AA2251" s="74"/>
      <c r="AB2251" s="74"/>
      <c r="AC2251" s="74"/>
      <c r="AD2251" s="74"/>
      <c r="AE2251" s="74"/>
      <c r="AF2251" s="74"/>
      <c r="AG2251" s="74"/>
      <c r="AH2251" s="74"/>
    </row>
    <row r="2252" s="73" customFormat="1" spans="1:34">
      <c r="A2252" s="74"/>
      <c r="B2252" s="74"/>
      <c r="C2252" s="74"/>
      <c r="D2252" s="74"/>
      <c r="E2252" s="74"/>
      <c r="F2252" s="74"/>
      <c r="G2252" s="74"/>
      <c r="H2252" s="74"/>
      <c r="I2252" s="74"/>
      <c r="J2252" s="74"/>
      <c r="K2252" s="74"/>
      <c r="L2252" s="74"/>
      <c r="M2252" s="74"/>
      <c r="N2252" s="74"/>
      <c r="O2252" s="75"/>
      <c r="P2252" s="74"/>
      <c r="Q2252" s="75"/>
      <c r="R2252" s="74"/>
      <c r="S2252" s="74"/>
      <c r="T2252" s="74"/>
      <c r="U2252" s="75"/>
      <c r="V2252" s="74"/>
      <c r="W2252" s="75"/>
      <c r="X2252" s="74"/>
      <c r="Y2252" s="74"/>
      <c r="Z2252" s="74"/>
      <c r="AA2252" s="74"/>
      <c r="AB2252" s="74"/>
      <c r="AC2252" s="74"/>
      <c r="AD2252" s="74"/>
      <c r="AE2252" s="74"/>
      <c r="AF2252" s="74"/>
      <c r="AG2252" s="74"/>
      <c r="AH2252" s="74"/>
    </row>
    <row r="2253" s="73" customFormat="1" spans="1:34">
      <c r="A2253" s="74"/>
      <c r="B2253" s="74"/>
      <c r="C2253" s="74"/>
      <c r="D2253" s="74"/>
      <c r="E2253" s="74"/>
      <c r="F2253" s="74"/>
      <c r="G2253" s="74"/>
      <c r="H2253" s="74"/>
      <c r="I2253" s="74"/>
      <c r="J2253" s="74"/>
      <c r="K2253" s="74"/>
      <c r="L2253" s="74"/>
      <c r="M2253" s="74"/>
      <c r="N2253" s="74"/>
      <c r="O2253" s="75"/>
      <c r="P2253" s="74"/>
      <c r="Q2253" s="75"/>
      <c r="R2253" s="74"/>
      <c r="S2253" s="74"/>
      <c r="T2253" s="74"/>
      <c r="U2253" s="75"/>
      <c r="V2253" s="74"/>
      <c r="W2253" s="75"/>
      <c r="X2253" s="74"/>
      <c r="Y2253" s="74"/>
      <c r="Z2253" s="74"/>
      <c r="AA2253" s="74"/>
      <c r="AB2253" s="74"/>
      <c r="AC2253" s="74"/>
      <c r="AD2253" s="74"/>
      <c r="AE2253" s="74"/>
      <c r="AF2253" s="74"/>
      <c r="AG2253" s="74"/>
      <c r="AH2253" s="74"/>
    </row>
    <row r="2254" s="73" customFormat="1" spans="1:34">
      <c r="A2254" s="74"/>
      <c r="B2254" s="74"/>
      <c r="C2254" s="74"/>
      <c r="D2254" s="74"/>
      <c r="E2254" s="74"/>
      <c r="F2254" s="74"/>
      <c r="G2254" s="74"/>
      <c r="H2254" s="74"/>
      <c r="I2254" s="74"/>
      <c r="J2254" s="74"/>
      <c r="K2254" s="74"/>
      <c r="L2254" s="74"/>
      <c r="M2254" s="74"/>
      <c r="N2254" s="74"/>
      <c r="O2254" s="75"/>
      <c r="P2254" s="74"/>
      <c r="Q2254" s="75"/>
      <c r="R2254" s="74"/>
      <c r="S2254" s="74"/>
      <c r="T2254" s="74"/>
      <c r="U2254" s="75"/>
      <c r="V2254" s="74"/>
      <c r="W2254" s="75"/>
      <c r="X2254" s="74"/>
      <c r="Y2254" s="74"/>
      <c r="Z2254" s="74"/>
      <c r="AA2254" s="74"/>
      <c r="AB2254" s="74"/>
      <c r="AC2254" s="74"/>
      <c r="AD2254" s="74"/>
      <c r="AE2254" s="74"/>
      <c r="AF2254" s="74"/>
      <c r="AG2254" s="74"/>
      <c r="AH2254" s="74"/>
    </row>
    <row r="2255" s="73" customFormat="1" spans="1:34">
      <c r="A2255" s="74"/>
      <c r="B2255" s="74"/>
      <c r="C2255" s="74"/>
      <c r="D2255" s="74"/>
      <c r="E2255" s="74"/>
      <c r="F2255" s="74"/>
      <c r="G2255" s="74"/>
      <c r="H2255" s="74"/>
      <c r="I2255" s="74"/>
      <c r="J2255" s="74"/>
      <c r="K2255" s="74"/>
      <c r="L2255" s="74"/>
      <c r="M2255" s="74"/>
      <c r="N2255" s="74"/>
      <c r="O2255" s="75"/>
      <c r="P2255" s="74"/>
      <c r="Q2255" s="75"/>
      <c r="R2255" s="74"/>
      <c r="S2255" s="74"/>
      <c r="T2255" s="74"/>
      <c r="U2255" s="75"/>
      <c r="V2255" s="74"/>
      <c r="W2255" s="75"/>
      <c r="X2255" s="74"/>
      <c r="Y2255" s="74"/>
      <c r="Z2255" s="74"/>
      <c r="AA2255" s="74"/>
      <c r="AB2255" s="74"/>
      <c r="AC2255" s="74"/>
      <c r="AD2255" s="74"/>
      <c r="AE2255" s="74"/>
      <c r="AF2255" s="74"/>
      <c r="AG2255" s="74"/>
      <c r="AH2255" s="74"/>
    </row>
    <row r="2256" s="73" customFormat="1" spans="1:34">
      <c r="A2256" s="74"/>
      <c r="B2256" s="74"/>
      <c r="C2256" s="74"/>
      <c r="D2256" s="74"/>
      <c r="E2256" s="74"/>
      <c r="F2256" s="74"/>
      <c r="G2256" s="74"/>
      <c r="H2256" s="74"/>
      <c r="I2256" s="74"/>
      <c r="J2256" s="74"/>
      <c r="K2256" s="74"/>
      <c r="L2256" s="74"/>
      <c r="M2256" s="74"/>
      <c r="N2256" s="74"/>
      <c r="O2256" s="75"/>
      <c r="P2256" s="74"/>
      <c r="Q2256" s="75"/>
      <c r="R2256" s="74"/>
      <c r="S2256" s="74"/>
      <c r="T2256" s="74"/>
      <c r="U2256" s="75"/>
      <c r="V2256" s="74"/>
      <c r="W2256" s="75"/>
      <c r="X2256" s="74"/>
      <c r="Y2256" s="74"/>
      <c r="Z2256" s="74"/>
      <c r="AA2256" s="74"/>
      <c r="AB2256" s="74"/>
      <c r="AC2256" s="74"/>
      <c r="AD2256" s="74"/>
      <c r="AE2256" s="74"/>
      <c r="AF2256" s="74"/>
      <c r="AG2256" s="74"/>
      <c r="AH2256" s="74"/>
    </row>
    <row r="2257" s="73" customFormat="1" spans="1:34">
      <c r="A2257" s="74"/>
      <c r="B2257" s="74"/>
      <c r="C2257" s="74"/>
      <c r="D2257" s="74"/>
      <c r="E2257" s="74"/>
      <c r="F2257" s="74"/>
      <c r="G2257" s="74"/>
      <c r="H2257" s="74"/>
      <c r="I2257" s="74"/>
      <c r="J2257" s="74"/>
      <c r="K2257" s="74"/>
      <c r="L2257" s="74"/>
      <c r="M2257" s="74"/>
      <c r="N2257" s="74"/>
      <c r="O2257" s="75"/>
      <c r="P2257" s="74"/>
      <c r="Q2257" s="75"/>
      <c r="R2257" s="74"/>
      <c r="S2257" s="74"/>
      <c r="T2257" s="74"/>
      <c r="U2257" s="75"/>
      <c r="V2257" s="74"/>
      <c r="W2257" s="75"/>
      <c r="X2257" s="74"/>
      <c r="Y2257" s="74"/>
      <c r="Z2257" s="74"/>
      <c r="AA2257" s="74"/>
      <c r="AB2257" s="74"/>
      <c r="AC2257" s="74"/>
      <c r="AD2257" s="74"/>
      <c r="AE2257" s="74"/>
      <c r="AF2257" s="74"/>
      <c r="AG2257" s="74"/>
      <c r="AH2257" s="74"/>
    </row>
    <row r="2258" s="73" customFormat="1" spans="1:34">
      <c r="A2258" s="74"/>
      <c r="B2258" s="74"/>
      <c r="C2258" s="74"/>
      <c r="D2258" s="74"/>
      <c r="E2258" s="74"/>
      <c r="F2258" s="74"/>
      <c r="G2258" s="74"/>
      <c r="H2258" s="74"/>
      <c r="I2258" s="74"/>
      <c r="J2258" s="74"/>
      <c r="K2258" s="74"/>
      <c r="L2258" s="74"/>
      <c r="M2258" s="74"/>
      <c r="N2258" s="74"/>
      <c r="O2258" s="75"/>
      <c r="P2258" s="74"/>
      <c r="Q2258" s="75"/>
      <c r="R2258" s="74"/>
      <c r="S2258" s="74"/>
      <c r="T2258" s="74"/>
      <c r="U2258" s="75"/>
      <c r="V2258" s="74"/>
      <c r="W2258" s="75"/>
      <c r="X2258" s="74"/>
      <c r="Y2258" s="74"/>
      <c r="Z2258" s="74"/>
      <c r="AA2258" s="74"/>
      <c r="AB2258" s="74"/>
      <c r="AC2258" s="74"/>
      <c r="AD2258" s="74"/>
      <c r="AE2258" s="74"/>
      <c r="AF2258" s="74"/>
      <c r="AG2258" s="74"/>
      <c r="AH2258" s="74"/>
    </row>
    <row r="2259" s="73" customFormat="1" spans="1:34">
      <c r="A2259" s="74"/>
      <c r="B2259" s="74"/>
      <c r="C2259" s="74"/>
      <c r="D2259" s="74"/>
      <c r="E2259" s="74"/>
      <c r="F2259" s="74"/>
      <c r="G2259" s="74"/>
      <c r="H2259" s="74"/>
      <c r="I2259" s="74"/>
      <c r="J2259" s="74"/>
      <c r="K2259" s="74"/>
      <c r="L2259" s="74"/>
      <c r="M2259" s="74"/>
      <c r="N2259" s="74"/>
      <c r="O2259" s="75"/>
      <c r="P2259" s="74"/>
      <c r="Q2259" s="75"/>
      <c r="R2259" s="74"/>
      <c r="S2259" s="74"/>
      <c r="T2259" s="74"/>
      <c r="U2259" s="75"/>
      <c r="V2259" s="74"/>
      <c r="W2259" s="75"/>
      <c r="X2259" s="74"/>
      <c r="Y2259" s="74"/>
      <c r="Z2259" s="74"/>
      <c r="AA2259" s="74"/>
      <c r="AB2259" s="74"/>
      <c r="AC2259" s="74"/>
      <c r="AD2259" s="74"/>
      <c r="AE2259" s="74"/>
      <c r="AF2259" s="74"/>
      <c r="AG2259" s="74"/>
      <c r="AH2259" s="74"/>
    </row>
    <row r="2260" s="73" customFormat="1" spans="1:34">
      <c r="A2260" s="74"/>
      <c r="B2260" s="74"/>
      <c r="C2260" s="74"/>
      <c r="D2260" s="74"/>
      <c r="E2260" s="74"/>
      <c r="F2260" s="74"/>
      <c r="G2260" s="74"/>
      <c r="H2260" s="74"/>
      <c r="I2260" s="74"/>
      <c r="J2260" s="74"/>
      <c r="K2260" s="74"/>
      <c r="L2260" s="74"/>
      <c r="M2260" s="74"/>
      <c r="N2260" s="74"/>
      <c r="O2260" s="75"/>
      <c r="P2260" s="74"/>
      <c r="Q2260" s="75"/>
      <c r="R2260" s="74"/>
      <c r="S2260" s="74"/>
      <c r="T2260" s="74"/>
      <c r="U2260" s="75"/>
      <c r="V2260" s="74"/>
      <c r="W2260" s="75"/>
      <c r="X2260" s="74"/>
      <c r="Y2260" s="74"/>
      <c r="Z2260" s="74"/>
      <c r="AA2260" s="74"/>
      <c r="AB2260" s="74"/>
      <c r="AC2260" s="74"/>
      <c r="AD2260" s="74"/>
      <c r="AE2260" s="74"/>
      <c r="AF2260" s="74"/>
      <c r="AG2260" s="74"/>
      <c r="AH2260" s="74"/>
    </row>
    <row r="2261" s="73" customFormat="1" spans="1:34">
      <c r="A2261" s="74"/>
      <c r="B2261" s="74"/>
      <c r="C2261" s="74"/>
      <c r="D2261" s="74"/>
      <c r="E2261" s="74"/>
      <c r="F2261" s="74"/>
      <c r="G2261" s="74"/>
      <c r="H2261" s="74"/>
      <c r="I2261" s="74"/>
      <c r="J2261" s="74"/>
      <c r="K2261" s="74"/>
      <c r="L2261" s="74"/>
      <c r="M2261" s="74"/>
      <c r="N2261" s="74"/>
      <c r="O2261" s="75"/>
      <c r="P2261" s="74"/>
      <c r="Q2261" s="75"/>
      <c r="R2261" s="74"/>
      <c r="S2261" s="74"/>
      <c r="T2261" s="74"/>
      <c r="U2261" s="75"/>
      <c r="V2261" s="74"/>
      <c r="W2261" s="75"/>
      <c r="X2261" s="74"/>
      <c r="Y2261" s="74"/>
      <c r="Z2261" s="74"/>
      <c r="AA2261" s="74"/>
      <c r="AB2261" s="74"/>
      <c r="AC2261" s="74"/>
      <c r="AD2261" s="74"/>
      <c r="AE2261" s="74"/>
      <c r="AF2261" s="74"/>
      <c r="AG2261" s="74"/>
      <c r="AH2261" s="74"/>
    </row>
    <row r="2262" s="73" customFormat="1" spans="1:34">
      <c r="A2262" s="74"/>
      <c r="B2262" s="74"/>
      <c r="C2262" s="74"/>
      <c r="D2262" s="74"/>
      <c r="E2262" s="74"/>
      <c r="F2262" s="74"/>
      <c r="G2262" s="74"/>
      <c r="H2262" s="74"/>
      <c r="I2262" s="74"/>
      <c r="J2262" s="74"/>
      <c r="K2262" s="74"/>
      <c r="L2262" s="74"/>
      <c r="M2262" s="74"/>
      <c r="N2262" s="74"/>
      <c r="O2262" s="75"/>
      <c r="P2262" s="74"/>
      <c r="Q2262" s="75"/>
      <c r="R2262" s="74"/>
      <c r="S2262" s="74"/>
      <c r="T2262" s="74"/>
      <c r="U2262" s="75"/>
      <c r="V2262" s="74"/>
      <c r="W2262" s="75"/>
      <c r="X2262" s="74"/>
      <c r="Y2262" s="74"/>
      <c r="Z2262" s="74"/>
      <c r="AA2262" s="74"/>
      <c r="AB2262" s="74"/>
      <c r="AC2262" s="74"/>
      <c r="AD2262" s="74"/>
      <c r="AE2262" s="74"/>
      <c r="AF2262" s="74"/>
      <c r="AG2262" s="74"/>
      <c r="AH2262" s="74"/>
    </row>
    <row r="2263" s="73" customFormat="1" spans="1:34">
      <c r="A2263" s="74"/>
      <c r="B2263" s="74"/>
      <c r="C2263" s="74"/>
      <c r="D2263" s="74"/>
      <c r="E2263" s="74"/>
      <c r="F2263" s="74"/>
      <c r="G2263" s="74"/>
      <c r="H2263" s="74"/>
      <c r="I2263" s="74"/>
      <c r="J2263" s="74"/>
      <c r="K2263" s="74"/>
      <c r="L2263" s="74"/>
      <c r="M2263" s="74"/>
      <c r="N2263" s="74"/>
      <c r="O2263" s="75"/>
      <c r="P2263" s="74"/>
      <c r="Q2263" s="75"/>
      <c r="R2263" s="74"/>
      <c r="S2263" s="74"/>
      <c r="T2263" s="74"/>
      <c r="U2263" s="75"/>
      <c r="V2263" s="74"/>
      <c r="W2263" s="75"/>
      <c r="X2263" s="74"/>
      <c r="Y2263" s="74"/>
      <c r="Z2263" s="74"/>
      <c r="AA2263" s="74"/>
      <c r="AB2263" s="74"/>
      <c r="AC2263" s="74"/>
      <c r="AD2263" s="74"/>
      <c r="AE2263" s="74"/>
      <c r="AF2263" s="74"/>
      <c r="AG2263" s="74"/>
      <c r="AH2263" s="74"/>
    </row>
    <row r="2264" s="73" customFormat="1" spans="1:34">
      <c r="A2264" s="74"/>
      <c r="B2264" s="74"/>
      <c r="C2264" s="74"/>
      <c r="D2264" s="74"/>
      <c r="E2264" s="74"/>
      <c r="F2264" s="74"/>
      <c r="G2264" s="74"/>
      <c r="H2264" s="74"/>
      <c r="I2264" s="74"/>
      <c r="J2264" s="74"/>
      <c r="K2264" s="74"/>
      <c r="L2264" s="74"/>
      <c r="M2264" s="74"/>
      <c r="N2264" s="74"/>
      <c r="O2264" s="75"/>
      <c r="P2264" s="74"/>
      <c r="Q2264" s="75"/>
      <c r="R2264" s="74"/>
      <c r="S2264" s="74"/>
      <c r="T2264" s="74"/>
      <c r="U2264" s="75"/>
      <c r="V2264" s="74"/>
      <c r="W2264" s="75"/>
      <c r="X2264" s="74"/>
      <c r="Y2264" s="74"/>
      <c r="Z2264" s="74"/>
      <c r="AA2264" s="74"/>
      <c r="AB2264" s="74"/>
      <c r="AC2264" s="74"/>
      <c r="AD2264" s="74"/>
      <c r="AE2264" s="74"/>
      <c r="AF2264" s="74"/>
      <c r="AG2264" s="74"/>
      <c r="AH2264" s="74"/>
    </row>
    <row r="2265" s="73" customFormat="1" spans="1:34">
      <c r="A2265" s="74"/>
      <c r="B2265" s="74"/>
      <c r="C2265" s="74"/>
      <c r="D2265" s="74"/>
      <c r="E2265" s="74"/>
      <c r="F2265" s="74"/>
      <c r="G2265" s="74"/>
      <c r="H2265" s="74"/>
      <c r="I2265" s="74"/>
      <c r="J2265" s="74"/>
      <c r="K2265" s="74"/>
      <c r="L2265" s="74"/>
      <c r="M2265" s="74"/>
      <c r="N2265" s="74"/>
      <c r="O2265" s="75"/>
      <c r="P2265" s="74"/>
      <c r="Q2265" s="75"/>
      <c r="R2265" s="74"/>
      <c r="S2265" s="74"/>
      <c r="T2265" s="74"/>
      <c r="U2265" s="75"/>
      <c r="V2265" s="74"/>
      <c r="W2265" s="75"/>
      <c r="X2265" s="74"/>
      <c r="Y2265" s="74"/>
      <c r="Z2265" s="74"/>
      <c r="AA2265" s="74"/>
      <c r="AB2265" s="74"/>
      <c r="AC2265" s="74"/>
      <c r="AD2265" s="74"/>
      <c r="AE2265" s="74"/>
      <c r="AF2265" s="74"/>
      <c r="AG2265" s="74"/>
      <c r="AH2265" s="74"/>
    </row>
    <row r="2266" s="73" customFormat="1" spans="1:34">
      <c r="A2266" s="74"/>
      <c r="B2266" s="74"/>
      <c r="C2266" s="74"/>
      <c r="D2266" s="74"/>
      <c r="E2266" s="74"/>
      <c r="F2266" s="74"/>
      <c r="G2266" s="74"/>
      <c r="H2266" s="74"/>
      <c r="I2266" s="74"/>
      <c r="J2266" s="74"/>
      <c r="K2266" s="74"/>
      <c r="L2266" s="74"/>
      <c r="M2266" s="74"/>
      <c r="N2266" s="74"/>
      <c r="O2266" s="75"/>
      <c r="P2266" s="74"/>
      <c r="Q2266" s="75"/>
      <c r="R2266" s="74"/>
      <c r="S2266" s="74"/>
      <c r="T2266" s="74"/>
      <c r="U2266" s="75"/>
      <c r="V2266" s="74"/>
      <c r="W2266" s="75"/>
      <c r="X2266" s="74"/>
      <c r="Y2266" s="74"/>
      <c r="Z2266" s="74"/>
      <c r="AA2266" s="74"/>
      <c r="AB2266" s="74"/>
      <c r="AC2266" s="74"/>
      <c r="AD2266" s="74"/>
      <c r="AE2266" s="74"/>
      <c r="AF2266" s="74"/>
      <c r="AG2266" s="74"/>
      <c r="AH2266" s="74"/>
    </row>
    <row r="2267" s="73" customFormat="1" spans="1:34">
      <c r="A2267" s="74"/>
      <c r="B2267" s="74"/>
      <c r="C2267" s="74"/>
      <c r="D2267" s="74"/>
      <c r="E2267" s="74"/>
      <c r="F2267" s="74"/>
      <c r="G2267" s="74"/>
      <c r="H2267" s="74"/>
      <c r="I2267" s="74"/>
      <c r="J2267" s="74"/>
      <c r="K2267" s="74"/>
      <c r="L2267" s="74"/>
      <c r="M2267" s="74"/>
      <c r="N2267" s="74"/>
      <c r="O2267" s="75"/>
      <c r="P2267" s="74"/>
      <c r="Q2267" s="75"/>
      <c r="R2267" s="74"/>
      <c r="S2267" s="74"/>
      <c r="T2267" s="74"/>
      <c r="U2267" s="75"/>
      <c r="V2267" s="74"/>
      <c r="W2267" s="75"/>
      <c r="X2267" s="74"/>
      <c r="Y2267" s="74"/>
      <c r="Z2267" s="74"/>
      <c r="AA2267" s="74"/>
      <c r="AB2267" s="74"/>
      <c r="AC2267" s="74"/>
      <c r="AD2267" s="74"/>
      <c r="AE2267" s="74"/>
      <c r="AF2267" s="74"/>
      <c r="AG2267" s="74"/>
      <c r="AH2267" s="74"/>
    </row>
    <row r="2269" s="73" customFormat="1" spans="1:34">
      <c r="A2269" s="74"/>
      <c r="B2269" s="74"/>
      <c r="C2269" s="74"/>
      <c r="D2269" s="74"/>
      <c r="E2269" s="74"/>
      <c r="F2269" s="74"/>
      <c r="G2269" s="74"/>
      <c r="H2269" s="74"/>
      <c r="I2269" s="74"/>
      <c r="J2269" s="74"/>
      <c r="K2269" s="74"/>
      <c r="L2269" s="74"/>
      <c r="M2269" s="74"/>
      <c r="N2269" s="74"/>
      <c r="O2269" s="75"/>
      <c r="P2269" s="74"/>
      <c r="Q2269" s="75"/>
      <c r="R2269" s="74"/>
      <c r="S2269" s="74"/>
      <c r="T2269" s="74"/>
      <c r="U2269" s="75"/>
      <c r="V2269" s="74"/>
      <c r="W2269" s="75"/>
      <c r="X2269" s="74"/>
      <c r="Y2269" s="74"/>
      <c r="Z2269" s="74"/>
      <c r="AA2269" s="74"/>
      <c r="AB2269" s="74"/>
      <c r="AC2269" s="74"/>
      <c r="AD2269" s="74"/>
      <c r="AE2269" s="74"/>
      <c r="AF2269" s="74"/>
      <c r="AG2269" s="74"/>
      <c r="AH2269" s="74"/>
    </row>
    <row r="2270" s="73" customFormat="1" spans="1:34">
      <c r="A2270" s="74"/>
      <c r="B2270" s="74"/>
      <c r="C2270" s="74"/>
      <c r="D2270" s="74"/>
      <c r="E2270" s="74"/>
      <c r="F2270" s="74"/>
      <c r="G2270" s="74"/>
      <c r="H2270" s="74"/>
      <c r="I2270" s="74"/>
      <c r="J2270" s="74"/>
      <c r="K2270" s="74"/>
      <c r="L2270" s="74"/>
      <c r="M2270" s="74"/>
      <c r="N2270" s="74"/>
      <c r="O2270" s="75"/>
      <c r="P2270" s="74"/>
      <c r="Q2270" s="75"/>
      <c r="R2270" s="74"/>
      <c r="S2270" s="74"/>
      <c r="T2270" s="74"/>
      <c r="U2270" s="75"/>
      <c r="V2270" s="74"/>
      <c r="W2270" s="75"/>
      <c r="X2270" s="74"/>
      <c r="Y2270" s="74"/>
      <c r="Z2270" s="74"/>
      <c r="AA2270" s="74"/>
      <c r="AB2270" s="74"/>
      <c r="AC2270" s="74"/>
      <c r="AD2270" s="74"/>
      <c r="AE2270" s="74"/>
      <c r="AF2270" s="74"/>
      <c r="AG2270" s="74"/>
      <c r="AH2270" s="74"/>
    </row>
    <row r="2271" s="73" customFormat="1" spans="1:34">
      <c r="A2271" s="74"/>
      <c r="B2271" s="74"/>
      <c r="C2271" s="74"/>
      <c r="D2271" s="74"/>
      <c r="E2271" s="74"/>
      <c r="F2271" s="74"/>
      <c r="G2271" s="74"/>
      <c r="H2271" s="74"/>
      <c r="I2271" s="74"/>
      <c r="J2271" s="74"/>
      <c r="K2271" s="74"/>
      <c r="L2271" s="74"/>
      <c r="M2271" s="74"/>
      <c r="N2271" s="74"/>
      <c r="O2271" s="75"/>
      <c r="P2271" s="74"/>
      <c r="Q2271" s="75"/>
      <c r="R2271" s="74"/>
      <c r="S2271" s="74"/>
      <c r="T2271" s="74"/>
      <c r="U2271" s="75"/>
      <c r="V2271" s="74"/>
      <c r="W2271" s="75"/>
      <c r="X2271" s="74"/>
      <c r="Y2271" s="74"/>
      <c r="Z2271" s="74"/>
      <c r="AA2271" s="74"/>
      <c r="AB2271" s="74"/>
      <c r="AC2271" s="74"/>
      <c r="AD2271" s="74"/>
      <c r="AE2271" s="74"/>
      <c r="AF2271" s="74"/>
      <c r="AG2271" s="74"/>
      <c r="AH2271" s="74"/>
    </row>
    <row r="2272" s="73" customFormat="1" spans="1:34">
      <c r="A2272" s="74"/>
      <c r="B2272" s="74"/>
      <c r="C2272" s="74"/>
      <c r="D2272" s="74"/>
      <c r="E2272" s="74"/>
      <c r="F2272" s="74"/>
      <c r="G2272" s="74"/>
      <c r="H2272" s="74"/>
      <c r="I2272" s="74"/>
      <c r="J2272" s="74"/>
      <c r="K2272" s="74"/>
      <c r="L2272" s="74"/>
      <c r="M2272" s="74"/>
      <c r="N2272" s="74"/>
      <c r="O2272" s="75"/>
      <c r="P2272" s="74"/>
      <c r="Q2272" s="75"/>
      <c r="R2272" s="74"/>
      <c r="S2272" s="74"/>
      <c r="T2272" s="74"/>
      <c r="U2272" s="75"/>
      <c r="V2272" s="74"/>
      <c r="W2272" s="75"/>
      <c r="X2272" s="74"/>
      <c r="Y2272" s="74"/>
      <c r="Z2272" s="74"/>
      <c r="AA2272" s="74"/>
      <c r="AB2272" s="74"/>
      <c r="AC2272" s="74"/>
      <c r="AD2272" s="74"/>
      <c r="AE2272" s="74"/>
      <c r="AF2272" s="74"/>
      <c r="AG2272" s="74"/>
      <c r="AH2272" s="74"/>
    </row>
    <row r="2274" s="73" customFormat="1" spans="1:34">
      <c r="A2274" s="74"/>
      <c r="B2274" s="74"/>
      <c r="C2274" s="74"/>
      <c r="D2274" s="74"/>
      <c r="E2274" s="74"/>
      <c r="F2274" s="74"/>
      <c r="G2274" s="74"/>
      <c r="H2274" s="74"/>
      <c r="I2274" s="74"/>
      <c r="J2274" s="74"/>
      <c r="K2274" s="74"/>
      <c r="L2274" s="74"/>
      <c r="M2274" s="74"/>
      <c r="N2274" s="74"/>
      <c r="O2274" s="75"/>
      <c r="P2274" s="74"/>
      <c r="Q2274" s="75"/>
      <c r="R2274" s="74"/>
      <c r="S2274" s="74"/>
      <c r="T2274" s="74"/>
      <c r="U2274" s="75"/>
      <c r="V2274" s="74"/>
      <c r="W2274" s="75"/>
      <c r="X2274" s="74"/>
      <c r="Y2274" s="74"/>
      <c r="Z2274" s="74"/>
      <c r="AA2274" s="74"/>
      <c r="AB2274" s="74"/>
      <c r="AC2274" s="74"/>
      <c r="AD2274" s="74"/>
      <c r="AE2274" s="74"/>
      <c r="AF2274" s="74"/>
      <c r="AG2274" s="74"/>
      <c r="AH2274" s="74"/>
    </row>
    <row r="2275" s="73" customFormat="1" spans="1:34">
      <c r="A2275" s="74"/>
      <c r="B2275" s="74"/>
      <c r="C2275" s="74"/>
      <c r="D2275" s="74"/>
      <c r="E2275" s="74"/>
      <c r="F2275" s="74"/>
      <c r="G2275" s="74"/>
      <c r="H2275" s="74"/>
      <c r="I2275" s="74"/>
      <c r="J2275" s="74"/>
      <c r="K2275" s="74"/>
      <c r="L2275" s="74"/>
      <c r="M2275" s="74"/>
      <c r="N2275" s="74"/>
      <c r="O2275" s="75"/>
      <c r="P2275" s="74"/>
      <c r="Q2275" s="75"/>
      <c r="R2275" s="74"/>
      <c r="S2275" s="74"/>
      <c r="T2275" s="74"/>
      <c r="U2275" s="75"/>
      <c r="V2275" s="74"/>
      <c r="W2275" s="75"/>
      <c r="X2275" s="74"/>
      <c r="Y2275" s="74"/>
      <c r="Z2275" s="74"/>
      <c r="AA2275" s="74"/>
      <c r="AB2275" s="74"/>
      <c r="AC2275" s="74"/>
      <c r="AD2275" s="74"/>
      <c r="AE2275" s="74"/>
      <c r="AF2275" s="74"/>
      <c r="AG2275" s="74"/>
      <c r="AH2275" s="74"/>
    </row>
    <row r="2276" s="73" customFormat="1" spans="1:34">
      <c r="A2276" s="74"/>
      <c r="B2276" s="74"/>
      <c r="C2276" s="74"/>
      <c r="D2276" s="74"/>
      <c r="E2276" s="74"/>
      <c r="F2276" s="74"/>
      <c r="G2276" s="74"/>
      <c r="H2276" s="74"/>
      <c r="I2276" s="74"/>
      <c r="J2276" s="74"/>
      <c r="K2276" s="74"/>
      <c r="L2276" s="74"/>
      <c r="M2276" s="74"/>
      <c r="N2276" s="74"/>
      <c r="O2276" s="75"/>
      <c r="P2276" s="74"/>
      <c r="Q2276" s="75"/>
      <c r="R2276" s="74"/>
      <c r="S2276" s="74"/>
      <c r="T2276" s="74"/>
      <c r="U2276" s="75"/>
      <c r="V2276" s="74"/>
      <c r="W2276" s="75"/>
      <c r="X2276" s="74"/>
      <c r="Y2276" s="74"/>
      <c r="Z2276" s="74"/>
      <c r="AA2276" s="74"/>
      <c r="AB2276" s="74"/>
      <c r="AC2276" s="74"/>
      <c r="AD2276" s="74"/>
      <c r="AE2276" s="74"/>
      <c r="AF2276" s="74"/>
      <c r="AG2276" s="74"/>
      <c r="AH2276" s="74"/>
    </row>
    <row r="2277" s="73" customFormat="1" spans="1:34">
      <c r="A2277" s="74"/>
      <c r="B2277" s="74"/>
      <c r="C2277" s="74"/>
      <c r="D2277" s="74"/>
      <c r="E2277" s="74"/>
      <c r="F2277" s="74"/>
      <c r="G2277" s="74"/>
      <c r="H2277" s="74"/>
      <c r="I2277" s="74"/>
      <c r="J2277" s="74"/>
      <c r="K2277" s="74"/>
      <c r="L2277" s="74"/>
      <c r="M2277" s="74"/>
      <c r="N2277" s="74"/>
      <c r="O2277" s="75"/>
      <c r="P2277" s="74"/>
      <c r="Q2277" s="75"/>
      <c r="R2277" s="74"/>
      <c r="S2277" s="74"/>
      <c r="T2277" s="74"/>
      <c r="U2277" s="75"/>
      <c r="V2277" s="74"/>
      <c r="W2277" s="75"/>
      <c r="X2277" s="74"/>
      <c r="Y2277" s="74"/>
      <c r="Z2277" s="74"/>
      <c r="AA2277" s="74"/>
      <c r="AB2277" s="74"/>
      <c r="AC2277" s="74"/>
      <c r="AD2277" s="74"/>
      <c r="AE2277" s="74"/>
      <c r="AF2277" s="74"/>
      <c r="AG2277" s="74"/>
      <c r="AH2277" s="74"/>
    </row>
    <row r="2278" s="73" customFormat="1" spans="1:34">
      <c r="A2278" s="74"/>
      <c r="B2278" s="74"/>
      <c r="C2278" s="74"/>
      <c r="D2278" s="74"/>
      <c r="E2278" s="74"/>
      <c r="F2278" s="74"/>
      <c r="G2278" s="74"/>
      <c r="H2278" s="74"/>
      <c r="I2278" s="74"/>
      <c r="J2278" s="74"/>
      <c r="K2278" s="74"/>
      <c r="L2278" s="74"/>
      <c r="M2278" s="74"/>
      <c r="N2278" s="74"/>
      <c r="O2278" s="75"/>
      <c r="P2278" s="74"/>
      <c r="Q2278" s="75"/>
      <c r="R2278" s="74"/>
      <c r="S2278" s="74"/>
      <c r="T2278" s="74"/>
      <c r="U2278" s="75"/>
      <c r="V2278" s="74"/>
      <c r="W2278" s="75"/>
      <c r="X2278" s="74"/>
      <c r="Y2278" s="74"/>
      <c r="Z2278" s="74"/>
      <c r="AA2278" s="74"/>
      <c r="AB2278" s="74"/>
      <c r="AC2278" s="74"/>
      <c r="AD2278" s="74"/>
      <c r="AE2278" s="74"/>
      <c r="AF2278" s="74"/>
      <c r="AG2278" s="74"/>
      <c r="AH2278" s="74"/>
    </row>
    <row r="2279" s="73" customFormat="1" spans="1:34">
      <c r="A2279" s="74"/>
      <c r="B2279" s="74"/>
      <c r="C2279" s="74"/>
      <c r="D2279" s="74"/>
      <c r="E2279" s="74"/>
      <c r="F2279" s="74"/>
      <c r="G2279" s="74"/>
      <c r="H2279" s="74"/>
      <c r="I2279" s="74"/>
      <c r="J2279" s="74"/>
      <c r="K2279" s="74"/>
      <c r="L2279" s="74"/>
      <c r="M2279" s="74"/>
      <c r="N2279" s="74"/>
      <c r="O2279" s="75"/>
      <c r="P2279" s="74"/>
      <c r="Q2279" s="75"/>
      <c r="R2279" s="74"/>
      <c r="S2279" s="74"/>
      <c r="T2279" s="74"/>
      <c r="U2279" s="75"/>
      <c r="V2279" s="74"/>
      <c r="W2279" s="75"/>
      <c r="X2279" s="74"/>
      <c r="Y2279" s="74"/>
      <c r="Z2279" s="74"/>
      <c r="AA2279" s="74"/>
      <c r="AB2279" s="74"/>
      <c r="AC2279" s="74"/>
      <c r="AD2279" s="74"/>
      <c r="AE2279" s="74"/>
      <c r="AF2279" s="74"/>
      <c r="AG2279" s="74"/>
      <c r="AH2279" s="74"/>
    </row>
    <row r="2280" s="73" customFormat="1" spans="1:34">
      <c r="A2280" s="74"/>
      <c r="B2280" s="74"/>
      <c r="C2280" s="74"/>
      <c r="D2280" s="74"/>
      <c r="E2280" s="74"/>
      <c r="F2280" s="74"/>
      <c r="G2280" s="74"/>
      <c r="H2280" s="74"/>
      <c r="I2280" s="74"/>
      <c r="J2280" s="74"/>
      <c r="K2280" s="74"/>
      <c r="L2280" s="74"/>
      <c r="M2280" s="74"/>
      <c r="N2280" s="74"/>
      <c r="O2280" s="75"/>
      <c r="P2280" s="74"/>
      <c r="Q2280" s="75"/>
      <c r="R2280" s="74"/>
      <c r="S2280" s="74"/>
      <c r="T2280" s="74"/>
      <c r="U2280" s="75"/>
      <c r="V2280" s="74"/>
      <c r="W2280" s="75"/>
      <c r="X2280" s="74"/>
      <c r="Y2280" s="74"/>
      <c r="Z2280" s="74"/>
      <c r="AA2280" s="74"/>
      <c r="AB2280" s="74"/>
      <c r="AC2280" s="74"/>
      <c r="AD2280" s="74"/>
      <c r="AE2280" s="74"/>
      <c r="AF2280" s="74"/>
      <c r="AG2280" s="74"/>
      <c r="AH2280" s="74"/>
    </row>
    <row r="2281" s="73" customFormat="1" spans="1:34">
      <c r="A2281" s="74"/>
      <c r="B2281" s="74"/>
      <c r="C2281" s="74"/>
      <c r="D2281" s="74"/>
      <c r="E2281" s="74"/>
      <c r="F2281" s="74"/>
      <c r="G2281" s="74"/>
      <c r="H2281" s="74"/>
      <c r="I2281" s="74"/>
      <c r="J2281" s="74"/>
      <c r="K2281" s="74"/>
      <c r="L2281" s="74"/>
      <c r="M2281" s="74"/>
      <c r="N2281" s="74"/>
      <c r="O2281" s="75"/>
      <c r="P2281" s="74"/>
      <c r="Q2281" s="75"/>
      <c r="R2281" s="74"/>
      <c r="S2281" s="74"/>
      <c r="T2281" s="74"/>
      <c r="U2281" s="75"/>
      <c r="V2281" s="74"/>
      <c r="W2281" s="75"/>
      <c r="X2281" s="74"/>
      <c r="Y2281" s="74"/>
      <c r="Z2281" s="74"/>
      <c r="AA2281" s="74"/>
      <c r="AB2281" s="74"/>
      <c r="AC2281" s="74"/>
      <c r="AD2281" s="74"/>
      <c r="AE2281" s="74"/>
      <c r="AF2281" s="74"/>
      <c r="AG2281" s="74"/>
      <c r="AH2281" s="74"/>
    </row>
    <row r="2282" s="73" customFormat="1" spans="1:34">
      <c r="A2282" s="74"/>
      <c r="B2282" s="74"/>
      <c r="C2282" s="74"/>
      <c r="D2282" s="74"/>
      <c r="E2282" s="74"/>
      <c r="F2282" s="74"/>
      <c r="G2282" s="74"/>
      <c r="H2282" s="74"/>
      <c r="I2282" s="74"/>
      <c r="J2282" s="74"/>
      <c r="K2282" s="74"/>
      <c r="L2282" s="74"/>
      <c r="M2282" s="74"/>
      <c r="N2282" s="74"/>
      <c r="O2282" s="75"/>
      <c r="P2282" s="74"/>
      <c r="Q2282" s="75"/>
      <c r="R2282" s="74"/>
      <c r="S2282" s="74"/>
      <c r="T2282" s="74"/>
      <c r="U2282" s="75"/>
      <c r="V2282" s="74"/>
      <c r="W2282" s="75"/>
      <c r="X2282" s="74"/>
      <c r="Y2282" s="74"/>
      <c r="Z2282" s="74"/>
      <c r="AA2282" s="74"/>
      <c r="AB2282" s="74"/>
      <c r="AC2282" s="74"/>
      <c r="AD2282" s="74"/>
      <c r="AE2282" s="74"/>
      <c r="AF2282" s="74"/>
      <c r="AG2282" s="74"/>
      <c r="AH2282" s="74"/>
    </row>
    <row r="2283" s="73" customFormat="1" spans="1:34">
      <c r="A2283" s="74"/>
      <c r="B2283" s="74"/>
      <c r="C2283" s="74"/>
      <c r="D2283" s="74"/>
      <c r="E2283" s="74"/>
      <c r="F2283" s="74"/>
      <c r="G2283" s="74"/>
      <c r="H2283" s="74"/>
      <c r="I2283" s="74"/>
      <c r="J2283" s="74"/>
      <c r="K2283" s="74"/>
      <c r="L2283" s="74"/>
      <c r="M2283" s="74"/>
      <c r="N2283" s="74"/>
      <c r="O2283" s="75"/>
      <c r="P2283" s="74"/>
      <c r="Q2283" s="75"/>
      <c r="R2283" s="74"/>
      <c r="S2283" s="74"/>
      <c r="T2283" s="74"/>
      <c r="U2283" s="75"/>
      <c r="V2283" s="74"/>
      <c r="W2283" s="75"/>
      <c r="X2283" s="74"/>
      <c r="Y2283" s="74"/>
      <c r="Z2283" s="74"/>
      <c r="AA2283" s="74"/>
      <c r="AB2283" s="74"/>
      <c r="AC2283" s="74"/>
      <c r="AD2283" s="74"/>
      <c r="AE2283" s="74"/>
      <c r="AF2283" s="74"/>
      <c r="AG2283" s="74"/>
      <c r="AH2283" s="74"/>
    </row>
    <row r="2284" s="73" customFormat="1" spans="1:34">
      <c r="A2284" s="74"/>
      <c r="B2284" s="74"/>
      <c r="C2284" s="74"/>
      <c r="D2284" s="74"/>
      <c r="E2284" s="74"/>
      <c r="F2284" s="74"/>
      <c r="G2284" s="74"/>
      <c r="H2284" s="74"/>
      <c r="I2284" s="74"/>
      <c r="J2284" s="74"/>
      <c r="K2284" s="74"/>
      <c r="L2284" s="74"/>
      <c r="M2284" s="74"/>
      <c r="N2284" s="74"/>
      <c r="O2284" s="75"/>
      <c r="P2284" s="74"/>
      <c r="Q2284" s="75"/>
      <c r="R2284" s="74"/>
      <c r="S2284" s="74"/>
      <c r="T2284" s="74"/>
      <c r="U2284" s="75"/>
      <c r="V2284" s="74"/>
      <c r="W2284" s="75"/>
      <c r="X2284" s="74"/>
      <c r="Y2284" s="74"/>
      <c r="Z2284" s="74"/>
      <c r="AA2284" s="74"/>
      <c r="AB2284" s="74"/>
      <c r="AC2284" s="74"/>
      <c r="AD2284" s="74"/>
      <c r="AE2284" s="74"/>
      <c r="AF2284" s="74"/>
      <c r="AG2284" s="74"/>
      <c r="AH2284" s="74"/>
    </row>
    <row r="2285" s="73" customFormat="1" spans="1:34">
      <c r="A2285" s="74"/>
      <c r="B2285" s="74"/>
      <c r="C2285" s="74"/>
      <c r="D2285" s="74"/>
      <c r="E2285" s="74"/>
      <c r="F2285" s="74"/>
      <c r="G2285" s="74"/>
      <c r="H2285" s="74"/>
      <c r="I2285" s="74"/>
      <c r="J2285" s="74"/>
      <c r="K2285" s="74"/>
      <c r="L2285" s="74"/>
      <c r="M2285" s="74"/>
      <c r="N2285" s="74"/>
      <c r="O2285" s="75"/>
      <c r="P2285" s="74"/>
      <c r="Q2285" s="75"/>
      <c r="R2285" s="74"/>
      <c r="S2285" s="74"/>
      <c r="T2285" s="74"/>
      <c r="U2285" s="75"/>
      <c r="V2285" s="74"/>
      <c r="W2285" s="75"/>
      <c r="X2285" s="74"/>
      <c r="Y2285" s="74"/>
      <c r="Z2285" s="74"/>
      <c r="AA2285" s="74"/>
      <c r="AB2285" s="74"/>
      <c r="AC2285" s="74"/>
      <c r="AD2285" s="74"/>
      <c r="AE2285" s="74"/>
      <c r="AF2285" s="74"/>
      <c r="AG2285" s="74"/>
      <c r="AH2285" s="74"/>
    </row>
    <row r="2286" s="73" customFormat="1" spans="1:34">
      <c r="A2286" s="74"/>
      <c r="B2286" s="74"/>
      <c r="C2286" s="74"/>
      <c r="D2286" s="74"/>
      <c r="E2286" s="74"/>
      <c r="F2286" s="74"/>
      <c r="G2286" s="74"/>
      <c r="H2286" s="74"/>
      <c r="I2286" s="74"/>
      <c r="J2286" s="74"/>
      <c r="K2286" s="74"/>
      <c r="L2286" s="74"/>
      <c r="M2286" s="74"/>
      <c r="N2286" s="74"/>
      <c r="O2286" s="75"/>
      <c r="P2286" s="74"/>
      <c r="Q2286" s="75"/>
      <c r="R2286" s="74"/>
      <c r="S2286" s="74"/>
      <c r="T2286" s="74"/>
      <c r="U2286" s="75"/>
      <c r="V2286" s="74"/>
      <c r="W2286" s="75"/>
      <c r="X2286" s="74"/>
      <c r="Y2286" s="74"/>
      <c r="Z2286" s="74"/>
      <c r="AA2286" s="74"/>
      <c r="AB2286" s="74"/>
      <c r="AC2286" s="74"/>
      <c r="AD2286" s="74"/>
      <c r="AE2286" s="74"/>
      <c r="AF2286" s="74"/>
      <c r="AG2286" s="74"/>
      <c r="AH2286" s="74"/>
    </row>
    <row r="2287" s="73" customFormat="1" spans="1:34">
      <c r="A2287" s="74"/>
      <c r="B2287" s="74"/>
      <c r="C2287" s="74"/>
      <c r="D2287" s="74"/>
      <c r="E2287" s="74"/>
      <c r="F2287" s="74"/>
      <c r="G2287" s="74"/>
      <c r="H2287" s="74"/>
      <c r="I2287" s="74"/>
      <c r="J2287" s="74"/>
      <c r="K2287" s="74"/>
      <c r="L2287" s="74"/>
      <c r="M2287" s="74"/>
      <c r="N2287" s="74"/>
      <c r="O2287" s="75"/>
      <c r="P2287" s="74"/>
      <c r="Q2287" s="75"/>
      <c r="R2287" s="74"/>
      <c r="S2287" s="74"/>
      <c r="T2287" s="74"/>
      <c r="U2287" s="75"/>
      <c r="V2287" s="74"/>
      <c r="W2287" s="75"/>
      <c r="X2287" s="74"/>
      <c r="Y2287" s="74"/>
      <c r="Z2287" s="74"/>
      <c r="AA2287" s="74"/>
      <c r="AB2287" s="74"/>
      <c r="AC2287" s="74"/>
      <c r="AD2287" s="74"/>
      <c r="AE2287" s="74"/>
      <c r="AF2287" s="74"/>
      <c r="AG2287" s="74"/>
      <c r="AH2287" s="74"/>
    </row>
    <row r="2288" s="73" customFormat="1" spans="1:34">
      <c r="A2288" s="74"/>
      <c r="B2288" s="74"/>
      <c r="C2288" s="74"/>
      <c r="D2288" s="74"/>
      <c r="E2288" s="74"/>
      <c r="F2288" s="74"/>
      <c r="G2288" s="74"/>
      <c r="H2288" s="74"/>
      <c r="I2288" s="74"/>
      <c r="J2288" s="74"/>
      <c r="K2288" s="74"/>
      <c r="L2288" s="74"/>
      <c r="M2288" s="74"/>
      <c r="N2288" s="74"/>
      <c r="O2288" s="75"/>
      <c r="P2288" s="74"/>
      <c r="Q2288" s="75"/>
      <c r="R2288" s="74"/>
      <c r="S2288" s="74"/>
      <c r="T2288" s="74"/>
      <c r="U2288" s="75"/>
      <c r="V2288" s="74"/>
      <c r="W2288" s="75"/>
      <c r="X2288" s="74"/>
      <c r="Y2288" s="74"/>
      <c r="Z2288" s="74"/>
      <c r="AA2288" s="74"/>
      <c r="AB2288" s="74"/>
      <c r="AC2288" s="74"/>
      <c r="AD2288" s="74"/>
      <c r="AE2288" s="74"/>
      <c r="AF2288" s="74"/>
      <c r="AG2288" s="74"/>
      <c r="AH2288" s="74"/>
    </row>
    <row r="2289" s="73" customFormat="1" spans="1:34">
      <c r="A2289" s="74"/>
      <c r="B2289" s="74"/>
      <c r="C2289" s="74"/>
      <c r="D2289" s="74"/>
      <c r="E2289" s="74"/>
      <c r="F2289" s="74"/>
      <c r="G2289" s="74"/>
      <c r="H2289" s="74"/>
      <c r="I2289" s="74"/>
      <c r="J2289" s="74"/>
      <c r="K2289" s="74"/>
      <c r="L2289" s="74"/>
      <c r="M2289" s="74"/>
      <c r="N2289" s="74"/>
      <c r="O2289" s="75"/>
      <c r="P2289" s="74"/>
      <c r="Q2289" s="75"/>
      <c r="R2289" s="74"/>
      <c r="S2289" s="74"/>
      <c r="T2289" s="74"/>
      <c r="U2289" s="75"/>
      <c r="V2289" s="74"/>
      <c r="W2289" s="75"/>
      <c r="X2289" s="74"/>
      <c r="Y2289" s="74"/>
      <c r="Z2289" s="74"/>
      <c r="AA2289" s="74"/>
      <c r="AB2289" s="74"/>
      <c r="AC2289" s="74"/>
      <c r="AD2289" s="74"/>
      <c r="AE2289" s="74"/>
      <c r="AF2289" s="74"/>
      <c r="AG2289" s="74"/>
      <c r="AH2289" s="74"/>
    </row>
    <row r="2290" s="73" customFormat="1" spans="1:34">
      <c r="A2290" s="74"/>
      <c r="B2290" s="74"/>
      <c r="C2290" s="74"/>
      <c r="D2290" s="74"/>
      <c r="E2290" s="74"/>
      <c r="F2290" s="74"/>
      <c r="G2290" s="74"/>
      <c r="H2290" s="74"/>
      <c r="I2290" s="74"/>
      <c r="J2290" s="74"/>
      <c r="K2290" s="74"/>
      <c r="L2290" s="74"/>
      <c r="M2290" s="74"/>
      <c r="N2290" s="74"/>
      <c r="O2290" s="75"/>
      <c r="P2290" s="74"/>
      <c r="Q2290" s="75"/>
      <c r="R2290" s="74"/>
      <c r="S2290" s="74"/>
      <c r="T2290" s="74"/>
      <c r="U2290" s="75"/>
      <c r="V2290" s="74"/>
      <c r="W2290" s="75"/>
      <c r="X2290" s="74"/>
      <c r="Y2290" s="74"/>
      <c r="Z2290" s="74"/>
      <c r="AA2290" s="74"/>
      <c r="AB2290" s="74"/>
      <c r="AC2290" s="74"/>
      <c r="AD2290" s="74"/>
      <c r="AE2290" s="74"/>
      <c r="AF2290" s="74"/>
      <c r="AG2290" s="74"/>
      <c r="AH2290" s="74"/>
    </row>
    <row r="2291" s="73" customFormat="1" spans="1:34">
      <c r="A2291" s="74"/>
      <c r="B2291" s="74"/>
      <c r="C2291" s="74"/>
      <c r="D2291" s="74"/>
      <c r="E2291" s="74"/>
      <c r="F2291" s="74"/>
      <c r="G2291" s="74"/>
      <c r="H2291" s="74"/>
      <c r="I2291" s="74"/>
      <c r="J2291" s="74"/>
      <c r="K2291" s="74"/>
      <c r="L2291" s="74"/>
      <c r="M2291" s="74"/>
      <c r="N2291" s="74"/>
      <c r="O2291" s="75"/>
      <c r="P2291" s="74"/>
      <c r="Q2291" s="75"/>
      <c r="R2291" s="74"/>
      <c r="S2291" s="74"/>
      <c r="T2291" s="74"/>
      <c r="U2291" s="75"/>
      <c r="V2291" s="74"/>
      <c r="W2291" s="75"/>
      <c r="X2291" s="74"/>
      <c r="Y2291" s="74"/>
      <c r="Z2291" s="74"/>
      <c r="AA2291" s="74"/>
      <c r="AB2291" s="74"/>
      <c r="AC2291" s="74"/>
      <c r="AD2291" s="74"/>
      <c r="AE2291" s="74"/>
      <c r="AF2291" s="74"/>
      <c r="AG2291" s="74"/>
      <c r="AH2291" s="74"/>
    </row>
    <row r="2292" s="73" customFormat="1" spans="1:34">
      <c r="A2292" s="74"/>
      <c r="B2292" s="74"/>
      <c r="C2292" s="74"/>
      <c r="D2292" s="74"/>
      <c r="E2292" s="74"/>
      <c r="F2292" s="74"/>
      <c r="G2292" s="74"/>
      <c r="H2292" s="74"/>
      <c r="I2292" s="74"/>
      <c r="J2292" s="74"/>
      <c r="K2292" s="74"/>
      <c r="L2292" s="74"/>
      <c r="M2292" s="74"/>
      <c r="N2292" s="74"/>
      <c r="O2292" s="75"/>
      <c r="P2292" s="74"/>
      <c r="Q2292" s="75"/>
      <c r="R2292" s="74"/>
      <c r="S2292" s="74"/>
      <c r="T2292" s="74"/>
      <c r="U2292" s="75"/>
      <c r="V2292" s="74"/>
      <c r="W2292" s="75"/>
      <c r="X2292" s="74"/>
      <c r="Y2292" s="74"/>
      <c r="Z2292" s="74"/>
      <c r="AA2292" s="74"/>
      <c r="AB2292" s="74"/>
      <c r="AC2292" s="74"/>
      <c r="AD2292" s="74"/>
      <c r="AE2292" s="74"/>
      <c r="AF2292" s="74"/>
      <c r="AG2292" s="74"/>
      <c r="AH2292" s="74"/>
    </row>
    <row r="2293" s="73" customFormat="1" spans="1:34">
      <c r="A2293" s="74"/>
      <c r="B2293" s="74"/>
      <c r="C2293" s="74"/>
      <c r="D2293" s="74"/>
      <c r="E2293" s="74"/>
      <c r="F2293" s="74"/>
      <c r="G2293" s="74"/>
      <c r="H2293" s="74"/>
      <c r="I2293" s="74"/>
      <c r="J2293" s="74"/>
      <c r="K2293" s="74"/>
      <c r="L2293" s="74"/>
      <c r="M2293" s="74"/>
      <c r="N2293" s="74"/>
      <c r="O2293" s="75"/>
      <c r="P2293" s="74"/>
      <c r="Q2293" s="75"/>
      <c r="R2293" s="74"/>
      <c r="S2293" s="74"/>
      <c r="T2293" s="74"/>
      <c r="U2293" s="75"/>
      <c r="V2293" s="74"/>
      <c r="W2293" s="75"/>
      <c r="X2293" s="74"/>
      <c r="Y2293" s="74"/>
      <c r="Z2293" s="74"/>
      <c r="AA2293" s="74"/>
      <c r="AB2293" s="74"/>
      <c r="AC2293" s="74"/>
      <c r="AD2293" s="74"/>
      <c r="AE2293" s="74"/>
      <c r="AF2293" s="74"/>
      <c r="AG2293" s="74"/>
      <c r="AH2293" s="74"/>
    </row>
    <row r="2294" s="73" customFormat="1" spans="1:34">
      <c r="A2294" s="74"/>
      <c r="B2294" s="74"/>
      <c r="C2294" s="74"/>
      <c r="D2294" s="74"/>
      <c r="E2294" s="74"/>
      <c r="F2294" s="74"/>
      <c r="G2294" s="74"/>
      <c r="H2294" s="74"/>
      <c r="I2294" s="74"/>
      <c r="J2294" s="74"/>
      <c r="K2294" s="74"/>
      <c r="L2294" s="74"/>
      <c r="M2294" s="74"/>
      <c r="N2294" s="74"/>
      <c r="O2294" s="75"/>
      <c r="P2294" s="74"/>
      <c r="Q2294" s="75"/>
      <c r="R2294" s="74"/>
      <c r="S2294" s="74"/>
      <c r="T2294" s="74"/>
      <c r="U2294" s="75"/>
      <c r="V2294" s="74"/>
      <c r="W2294" s="75"/>
      <c r="X2294" s="74"/>
      <c r="Y2294" s="74"/>
      <c r="Z2294" s="74"/>
      <c r="AA2294" s="74"/>
      <c r="AB2294" s="74"/>
      <c r="AC2294" s="74"/>
      <c r="AD2294" s="74"/>
      <c r="AE2294" s="74"/>
      <c r="AF2294" s="74"/>
      <c r="AG2294" s="74"/>
      <c r="AH2294" s="74"/>
    </row>
    <row r="2295" s="73" customFormat="1" spans="1:34">
      <c r="A2295" s="74"/>
      <c r="B2295" s="74"/>
      <c r="C2295" s="74"/>
      <c r="D2295" s="74"/>
      <c r="E2295" s="74"/>
      <c r="F2295" s="74"/>
      <c r="G2295" s="74"/>
      <c r="H2295" s="74"/>
      <c r="I2295" s="74"/>
      <c r="J2295" s="74"/>
      <c r="K2295" s="74"/>
      <c r="L2295" s="74"/>
      <c r="M2295" s="74"/>
      <c r="N2295" s="74"/>
      <c r="O2295" s="75"/>
      <c r="P2295" s="74"/>
      <c r="Q2295" s="75"/>
      <c r="R2295" s="74"/>
      <c r="S2295" s="74"/>
      <c r="T2295" s="74"/>
      <c r="U2295" s="75"/>
      <c r="V2295" s="74"/>
      <c r="W2295" s="75"/>
      <c r="X2295" s="74"/>
      <c r="Y2295" s="74"/>
      <c r="Z2295" s="74"/>
      <c r="AA2295" s="74"/>
      <c r="AB2295" s="74"/>
      <c r="AC2295" s="74"/>
      <c r="AD2295" s="74"/>
      <c r="AE2295" s="74"/>
      <c r="AF2295" s="74"/>
      <c r="AG2295" s="74"/>
      <c r="AH2295" s="74"/>
    </row>
    <row r="2296" s="73" customFormat="1" spans="1:34">
      <c r="A2296" s="74"/>
      <c r="B2296" s="74"/>
      <c r="C2296" s="74"/>
      <c r="D2296" s="74"/>
      <c r="E2296" s="74"/>
      <c r="F2296" s="74"/>
      <c r="G2296" s="74"/>
      <c r="H2296" s="74"/>
      <c r="I2296" s="74"/>
      <c r="J2296" s="74"/>
      <c r="K2296" s="74"/>
      <c r="L2296" s="74"/>
      <c r="M2296" s="74"/>
      <c r="N2296" s="74"/>
      <c r="O2296" s="75"/>
      <c r="P2296" s="74"/>
      <c r="Q2296" s="75"/>
      <c r="R2296" s="74"/>
      <c r="S2296" s="74"/>
      <c r="T2296" s="74"/>
      <c r="U2296" s="75"/>
      <c r="V2296" s="74"/>
      <c r="W2296" s="74"/>
      <c r="X2296" s="74"/>
      <c r="Y2296" s="74"/>
      <c r="Z2296" s="74"/>
      <c r="AA2296" s="74"/>
      <c r="AB2296" s="74"/>
      <c r="AC2296" s="74"/>
      <c r="AD2296" s="74"/>
      <c r="AE2296" s="74"/>
      <c r="AF2296" s="74"/>
      <c r="AG2296" s="74"/>
      <c r="AH2296" s="74"/>
    </row>
    <row r="2297" s="73" customFormat="1" spans="1:34">
      <c r="A2297" s="74"/>
      <c r="B2297" s="74"/>
      <c r="C2297" s="74"/>
      <c r="D2297" s="74"/>
      <c r="E2297" s="74"/>
      <c r="F2297" s="74"/>
      <c r="G2297" s="74"/>
      <c r="H2297" s="74"/>
      <c r="I2297" s="74"/>
      <c r="J2297" s="74"/>
      <c r="K2297" s="74"/>
      <c r="L2297" s="74"/>
      <c r="M2297" s="74"/>
      <c r="N2297" s="74"/>
      <c r="O2297" s="75"/>
      <c r="P2297" s="74"/>
      <c r="Q2297" s="75"/>
      <c r="R2297" s="74"/>
      <c r="S2297" s="74"/>
      <c r="T2297" s="74"/>
      <c r="U2297" s="75"/>
      <c r="V2297" s="74"/>
      <c r="W2297" s="75"/>
      <c r="X2297" s="74"/>
      <c r="Y2297" s="74"/>
      <c r="Z2297" s="74"/>
      <c r="AA2297" s="74"/>
      <c r="AB2297" s="74"/>
      <c r="AC2297" s="74"/>
      <c r="AD2297" s="74"/>
      <c r="AE2297" s="74"/>
      <c r="AF2297" s="74"/>
      <c r="AG2297" s="74"/>
      <c r="AH2297" s="74"/>
    </row>
    <row r="2298" s="73" customFormat="1" spans="1:34">
      <c r="A2298" s="74"/>
      <c r="B2298" s="74"/>
      <c r="C2298" s="74"/>
      <c r="D2298" s="74"/>
      <c r="E2298" s="74"/>
      <c r="F2298" s="74"/>
      <c r="G2298" s="74"/>
      <c r="H2298" s="74"/>
      <c r="I2298" s="74"/>
      <c r="J2298" s="74"/>
      <c r="K2298" s="74"/>
      <c r="L2298" s="74"/>
      <c r="M2298" s="74"/>
      <c r="N2298" s="74"/>
      <c r="O2298" s="75"/>
      <c r="P2298" s="74"/>
      <c r="Q2298" s="75"/>
      <c r="R2298" s="74"/>
      <c r="S2298" s="74"/>
      <c r="T2298" s="74"/>
      <c r="U2298" s="75"/>
      <c r="V2298" s="74"/>
      <c r="W2298" s="75"/>
      <c r="X2298" s="74"/>
      <c r="Y2298" s="74"/>
      <c r="Z2298" s="74"/>
      <c r="AA2298" s="74"/>
      <c r="AB2298" s="74"/>
      <c r="AC2298" s="74"/>
      <c r="AD2298" s="74"/>
      <c r="AE2298" s="74"/>
      <c r="AF2298" s="74"/>
      <c r="AG2298" s="74"/>
      <c r="AH2298" s="74"/>
    </row>
    <row r="2299" s="73" customFormat="1" spans="1:34">
      <c r="A2299" s="74"/>
      <c r="B2299" s="74"/>
      <c r="C2299" s="74"/>
      <c r="D2299" s="74"/>
      <c r="E2299" s="74"/>
      <c r="F2299" s="74"/>
      <c r="G2299" s="74"/>
      <c r="H2299" s="74"/>
      <c r="I2299" s="74"/>
      <c r="J2299" s="74"/>
      <c r="K2299" s="74"/>
      <c r="L2299" s="74"/>
      <c r="M2299" s="74"/>
      <c r="N2299" s="74"/>
      <c r="O2299" s="75"/>
      <c r="P2299" s="74"/>
      <c r="Q2299" s="75"/>
      <c r="R2299" s="74"/>
      <c r="S2299" s="74"/>
      <c r="T2299" s="74"/>
      <c r="U2299" s="75"/>
      <c r="V2299" s="74"/>
      <c r="W2299" s="75"/>
      <c r="X2299" s="74"/>
      <c r="Y2299" s="74"/>
      <c r="Z2299" s="74"/>
      <c r="AA2299" s="74"/>
      <c r="AB2299" s="74"/>
      <c r="AC2299" s="74"/>
      <c r="AD2299" s="74"/>
      <c r="AE2299" s="74"/>
      <c r="AF2299" s="74"/>
      <c r="AG2299" s="74"/>
      <c r="AH2299" s="74"/>
    </row>
    <row r="2300" s="73" customFormat="1" spans="1:34">
      <c r="A2300" s="74"/>
      <c r="B2300" s="74"/>
      <c r="C2300" s="74"/>
      <c r="D2300" s="74"/>
      <c r="E2300" s="74"/>
      <c r="F2300" s="74"/>
      <c r="G2300" s="74"/>
      <c r="H2300" s="74"/>
      <c r="I2300" s="74"/>
      <c r="J2300" s="74"/>
      <c r="K2300" s="74"/>
      <c r="L2300" s="74"/>
      <c r="M2300" s="74"/>
      <c r="N2300" s="74"/>
      <c r="O2300" s="75"/>
      <c r="P2300" s="74"/>
      <c r="Q2300" s="75"/>
      <c r="R2300" s="74"/>
      <c r="S2300" s="74"/>
      <c r="T2300" s="74"/>
      <c r="U2300" s="75"/>
      <c r="V2300" s="74"/>
      <c r="W2300" s="75"/>
      <c r="X2300" s="74"/>
      <c r="Y2300" s="74"/>
      <c r="Z2300" s="74"/>
      <c r="AA2300" s="74"/>
      <c r="AB2300" s="74"/>
      <c r="AC2300" s="74"/>
      <c r="AD2300" s="74"/>
      <c r="AE2300" s="74"/>
      <c r="AF2300" s="74"/>
      <c r="AG2300" s="74"/>
      <c r="AH2300" s="74"/>
    </row>
    <row r="2301" s="73" customFormat="1" spans="1:34">
      <c r="A2301" s="74"/>
      <c r="B2301" s="74"/>
      <c r="C2301" s="74"/>
      <c r="D2301" s="74"/>
      <c r="E2301" s="74"/>
      <c r="F2301" s="74"/>
      <c r="G2301" s="74"/>
      <c r="H2301" s="74"/>
      <c r="I2301" s="74"/>
      <c r="J2301" s="74"/>
      <c r="K2301" s="74"/>
      <c r="L2301" s="74"/>
      <c r="M2301" s="74"/>
      <c r="N2301" s="74"/>
      <c r="O2301" s="75"/>
      <c r="P2301" s="74"/>
      <c r="Q2301" s="75"/>
      <c r="R2301" s="74"/>
      <c r="S2301" s="74"/>
      <c r="T2301" s="74"/>
      <c r="U2301" s="75"/>
      <c r="V2301" s="74"/>
      <c r="W2301" s="75"/>
      <c r="X2301" s="74"/>
      <c r="Y2301" s="74"/>
      <c r="Z2301" s="74"/>
      <c r="AA2301" s="74"/>
      <c r="AB2301" s="74"/>
      <c r="AC2301" s="74"/>
      <c r="AD2301" s="74"/>
      <c r="AE2301" s="74"/>
      <c r="AF2301" s="74"/>
      <c r="AG2301" s="74"/>
      <c r="AH2301" s="74"/>
    </row>
    <row r="2302" s="73" customFormat="1" spans="1:34">
      <c r="A2302" s="74"/>
      <c r="B2302" s="74"/>
      <c r="C2302" s="74"/>
      <c r="D2302" s="74"/>
      <c r="E2302" s="74"/>
      <c r="F2302" s="74"/>
      <c r="G2302" s="74"/>
      <c r="H2302" s="74"/>
      <c r="I2302" s="74"/>
      <c r="J2302" s="74"/>
      <c r="K2302" s="74"/>
      <c r="L2302" s="74"/>
      <c r="M2302" s="74"/>
      <c r="N2302" s="74"/>
      <c r="O2302" s="75"/>
      <c r="P2302" s="74"/>
      <c r="Q2302" s="75"/>
      <c r="R2302" s="74"/>
      <c r="S2302" s="74"/>
      <c r="T2302" s="74"/>
      <c r="U2302" s="75"/>
      <c r="V2302" s="74"/>
      <c r="W2302" s="75"/>
      <c r="X2302" s="74"/>
      <c r="Y2302" s="74"/>
      <c r="Z2302" s="74"/>
      <c r="AA2302" s="74"/>
      <c r="AB2302" s="74"/>
      <c r="AC2302" s="74"/>
      <c r="AD2302" s="74"/>
      <c r="AE2302" s="74"/>
      <c r="AF2302" s="74"/>
      <c r="AG2302" s="74"/>
      <c r="AH2302" s="74"/>
    </row>
    <row r="2303" s="73" customFormat="1" spans="1:34">
      <c r="A2303" s="74"/>
      <c r="B2303" s="74"/>
      <c r="C2303" s="74"/>
      <c r="D2303" s="74"/>
      <c r="E2303" s="74"/>
      <c r="F2303" s="74"/>
      <c r="G2303" s="74"/>
      <c r="H2303" s="74"/>
      <c r="I2303" s="74"/>
      <c r="J2303" s="74"/>
      <c r="K2303" s="74"/>
      <c r="L2303" s="74"/>
      <c r="M2303" s="74"/>
      <c r="N2303" s="74"/>
      <c r="O2303" s="75"/>
      <c r="P2303" s="74"/>
      <c r="Q2303" s="75"/>
      <c r="R2303" s="74"/>
      <c r="S2303" s="74"/>
      <c r="T2303" s="74"/>
      <c r="U2303" s="75"/>
      <c r="V2303" s="74"/>
      <c r="W2303" s="75"/>
      <c r="X2303" s="74"/>
      <c r="Y2303" s="74"/>
      <c r="Z2303" s="74"/>
      <c r="AA2303" s="74"/>
      <c r="AB2303" s="74"/>
      <c r="AC2303" s="74"/>
      <c r="AD2303" s="74"/>
      <c r="AE2303" s="74"/>
      <c r="AF2303" s="74"/>
      <c r="AG2303" s="74"/>
      <c r="AH2303" s="74"/>
    </row>
    <row r="2304" s="73" customFormat="1" spans="1:34">
      <c r="A2304" s="74"/>
      <c r="B2304" s="74"/>
      <c r="C2304" s="74"/>
      <c r="D2304" s="74"/>
      <c r="E2304" s="74"/>
      <c r="F2304" s="74"/>
      <c r="G2304" s="74"/>
      <c r="H2304" s="74"/>
      <c r="I2304" s="74"/>
      <c r="J2304" s="74"/>
      <c r="K2304" s="74"/>
      <c r="L2304" s="74"/>
      <c r="M2304" s="74"/>
      <c r="N2304" s="74"/>
      <c r="O2304" s="75"/>
      <c r="P2304" s="74"/>
      <c r="Q2304" s="75"/>
      <c r="R2304" s="74"/>
      <c r="S2304" s="74"/>
      <c r="T2304" s="74"/>
      <c r="U2304" s="75"/>
      <c r="V2304" s="74"/>
      <c r="W2304" s="75"/>
      <c r="X2304" s="74"/>
      <c r="Y2304" s="74"/>
      <c r="Z2304" s="74"/>
      <c r="AA2304" s="74"/>
      <c r="AB2304" s="74"/>
      <c r="AC2304" s="74"/>
      <c r="AD2304" s="74"/>
      <c r="AE2304" s="74"/>
      <c r="AF2304" s="74"/>
      <c r="AG2304" s="74"/>
      <c r="AH2304" s="74"/>
    </row>
    <row r="2305" s="73" customFormat="1" spans="1:34">
      <c r="A2305" s="74"/>
      <c r="B2305" s="74"/>
      <c r="C2305" s="74"/>
      <c r="D2305" s="74"/>
      <c r="E2305" s="74"/>
      <c r="F2305" s="74"/>
      <c r="G2305" s="74"/>
      <c r="H2305" s="74"/>
      <c r="I2305" s="74"/>
      <c r="J2305" s="74"/>
      <c r="K2305" s="74"/>
      <c r="L2305" s="74"/>
      <c r="M2305" s="74"/>
      <c r="N2305" s="74"/>
      <c r="O2305" s="75"/>
      <c r="P2305" s="74"/>
      <c r="Q2305" s="75"/>
      <c r="R2305" s="74"/>
      <c r="S2305" s="74"/>
      <c r="T2305" s="74"/>
      <c r="U2305" s="75"/>
      <c r="V2305" s="74"/>
      <c r="W2305" s="75"/>
      <c r="X2305" s="74"/>
      <c r="Y2305" s="74"/>
      <c r="Z2305" s="74"/>
      <c r="AA2305" s="74"/>
      <c r="AB2305" s="74"/>
      <c r="AC2305" s="74"/>
      <c r="AD2305" s="74"/>
      <c r="AE2305" s="74"/>
      <c r="AF2305" s="74"/>
      <c r="AG2305" s="74"/>
      <c r="AH2305" s="74"/>
    </row>
    <row r="2306" s="73" customFormat="1" spans="1:34">
      <c r="A2306" s="74"/>
      <c r="B2306" s="74"/>
      <c r="C2306" s="74"/>
      <c r="D2306" s="74"/>
      <c r="E2306" s="74"/>
      <c r="F2306" s="74"/>
      <c r="G2306" s="74"/>
      <c r="H2306" s="74"/>
      <c r="I2306" s="74"/>
      <c r="J2306" s="74"/>
      <c r="K2306" s="74"/>
      <c r="L2306" s="74"/>
      <c r="M2306" s="74"/>
      <c r="N2306" s="74"/>
      <c r="O2306" s="75"/>
      <c r="P2306" s="74"/>
      <c r="Q2306" s="75"/>
      <c r="R2306" s="74"/>
      <c r="S2306" s="74"/>
      <c r="T2306" s="74"/>
      <c r="U2306" s="75"/>
      <c r="V2306" s="74"/>
      <c r="W2306" s="75"/>
      <c r="X2306" s="74"/>
      <c r="Y2306" s="74"/>
      <c r="Z2306" s="74"/>
      <c r="AA2306" s="74"/>
      <c r="AB2306" s="74"/>
      <c r="AC2306" s="74"/>
      <c r="AD2306" s="74"/>
      <c r="AE2306" s="74"/>
      <c r="AF2306" s="74"/>
      <c r="AG2306" s="74"/>
      <c r="AH2306" s="74"/>
    </row>
    <row r="2307" s="73" customFormat="1" spans="1:34">
      <c r="A2307" s="74"/>
      <c r="B2307" s="74"/>
      <c r="C2307" s="74"/>
      <c r="D2307" s="74"/>
      <c r="E2307" s="74"/>
      <c r="F2307" s="74"/>
      <c r="G2307" s="74"/>
      <c r="H2307" s="74"/>
      <c r="I2307" s="74"/>
      <c r="J2307" s="74"/>
      <c r="K2307" s="74"/>
      <c r="L2307" s="74"/>
      <c r="M2307" s="74"/>
      <c r="N2307" s="74"/>
      <c r="O2307" s="75"/>
      <c r="P2307" s="74"/>
      <c r="Q2307" s="75"/>
      <c r="R2307" s="74"/>
      <c r="S2307" s="74"/>
      <c r="T2307" s="74"/>
      <c r="U2307" s="75"/>
      <c r="V2307" s="74"/>
      <c r="W2307" s="75"/>
      <c r="X2307" s="74"/>
      <c r="Y2307" s="74"/>
      <c r="Z2307" s="74"/>
      <c r="AA2307" s="74"/>
      <c r="AB2307" s="74"/>
      <c r="AC2307" s="74"/>
      <c r="AD2307" s="74"/>
      <c r="AE2307" s="74"/>
      <c r="AF2307" s="74"/>
      <c r="AG2307" s="74"/>
      <c r="AH2307" s="74"/>
    </row>
    <row r="2308" s="73" customFormat="1" spans="1:34">
      <c r="A2308" s="74"/>
      <c r="B2308" s="74"/>
      <c r="C2308" s="74"/>
      <c r="D2308" s="74"/>
      <c r="E2308" s="74"/>
      <c r="F2308" s="74"/>
      <c r="G2308" s="74"/>
      <c r="H2308" s="74"/>
      <c r="I2308" s="74"/>
      <c r="J2308" s="74"/>
      <c r="K2308" s="74"/>
      <c r="L2308" s="74"/>
      <c r="M2308" s="74"/>
      <c r="N2308" s="74"/>
      <c r="O2308" s="75"/>
      <c r="P2308" s="74"/>
      <c r="Q2308" s="75"/>
      <c r="R2308" s="74"/>
      <c r="S2308" s="74"/>
      <c r="T2308" s="74"/>
      <c r="U2308" s="75"/>
      <c r="V2308" s="74"/>
      <c r="W2308" s="75"/>
      <c r="X2308" s="74"/>
      <c r="Y2308" s="74"/>
      <c r="Z2308" s="74"/>
      <c r="AA2308" s="74"/>
      <c r="AB2308" s="74"/>
      <c r="AC2308" s="74"/>
      <c r="AD2308" s="74"/>
      <c r="AE2308" s="74"/>
      <c r="AF2308" s="74"/>
      <c r="AG2308" s="74"/>
      <c r="AH2308" s="74"/>
    </row>
    <row r="2309" s="73" customFormat="1" spans="1:34">
      <c r="A2309" s="74"/>
      <c r="B2309" s="74"/>
      <c r="C2309" s="74"/>
      <c r="D2309" s="74"/>
      <c r="E2309" s="74"/>
      <c r="F2309" s="74"/>
      <c r="G2309" s="74"/>
      <c r="H2309" s="74"/>
      <c r="I2309" s="74"/>
      <c r="J2309" s="74"/>
      <c r="K2309" s="74"/>
      <c r="L2309" s="74"/>
      <c r="M2309" s="74"/>
      <c r="N2309" s="74"/>
      <c r="O2309" s="75"/>
      <c r="P2309" s="74"/>
      <c r="Q2309" s="75"/>
      <c r="R2309" s="74"/>
      <c r="S2309" s="74"/>
      <c r="T2309" s="74"/>
      <c r="U2309" s="75"/>
      <c r="V2309" s="74"/>
      <c r="W2309" s="75"/>
      <c r="X2309" s="74"/>
      <c r="Y2309" s="74"/>
      <c r="Z2309" s="74"/>
      <c r="AA2309" s="74"/>
      <c r="AB2309" s="74"/>
      <c r="AC2309" s="74"/>
      <c r="AD2309" s="74"/>
      <c r="AE2309" s="74"/>
      <c r="AF2309" s="74"/>
      <c r="AG2309" s="74"/>
      <c r="AH2309" s="74"/>
    </row>
    <row r="2310" s="73" customFormat="1" spans="1:34">
      <c r="A2310" s="74"/>
      <c r="B2310" s="74"/>
      <c r="C2310" s="74"/>
      <c r="D2310" s="74"/>
      <c r="E2310" s="74"/>
      <c r="F2310" s="74"/>
      <c r="G2310" s="74"/>
      <c r="H2310" s="74"/>
      <c r="I2310" s="74"/>
      <c r="J2310" s="74"/>
      <c r="K2310" s="74"/>
      <c r="L2310" s="74"/>
      <c r="M2310" s="74"/>
      <c r="N2310" s="74"/>
      <c r="O2310" s="75"/>
      <c r="P2310" s="74"/>
      <c r="Q2310" s="75"/>
      <c r="R2310" s="74"/>
      <c r="S2310" s="74"/>
      <c r="T2310" s="74"/>
      <c r="U2310" s="75"/>
      <c r="V2310" s="74"/>
      <c r="W2310" s="75"/>
      <c r="X2310" s="74"/>
      <c r="Y2310" s="74"/>
      <c r="Z2310" s="74"/>
      <c r="AA2310" s="74"/>
      <c r="AB2310" s="74"/>
      <c r="AC2310" s="74"/>
      <c r="AD2310" s="74"/>
      <c r="AE2310" s="74"/>
      <c r="AF2310" s="74"/>
      <c r="AG2310" s="74"/>
      <c r="AH2310" s="74"/>
    </row>
    <row r="2311" s="73" customFormat="1" spans="1:34">
      <c r="A2311" s="74"/>
      <c r="B2311" s="74"/>
      <c r="C2311" s="74"/>
      <c r="D2311" s="74"/>
      <c r="E2311" s="74"/>
      <c r="F2311" s="74"/>
      <c r="G2311" s="74"/>
      <c r="H2311" s="74"/>
      <c r="I2311" s="74"/>
      <c r="J2311" s="74"/>
      <c r="K2311" s="74"/>
      <c r="L2311" s="74"/>
      <c r="M2311" s="74"/>
      <c r="N2311" s="74"/>
      <c r="O2311" s="75"/>
      <c r="P2311" s="74"/>
      <c r="Q2311" s="75"/>
      <c r="R2311" s="74"/>
      <c r="S2311" s="74"/>
      <c r="T2311" s="74"/>
      <c r="U2311" s="75"/>
      <c r="V2311" s="74"/>
      <c r="W2311" s="75"/>
      <c r="X2311" s="74"/>
      <c r="Y2311" s="74"/>
      <c r="Z2311" s="74"/>
      <c r="AA2311" s="74"/>
      <c r="AB2311" s="74"/>
      <c r="AC2311" s="74"/>
      <c r="AD2311" s="74"/>
      <c r="AE2311" s="74"/>
      <c r="AF2311" s="74"/>
      <c r="AG2311" s="74"/>
      <c r="AH2311" s="74"/>
    </row>
    <row r="2312" s="73" customFormat="1" spans="1:34">
      <c r="A2312" s="74"/>
      <c r="B2312" s="74"/>
      <c r="C2312" s="74"/>
      <c r="D2312" s="74"/>
      <c r="E2312" s="74"/>
      <c r="F2312" s="74"/>
      <c r="G2312" s="74"/>
      <c r="H2312" s="74"/>
      <c r="I2312" s="74"/>
      <c r="J2312" s="74"/>
      <c r="K2312" s="74"/>
      <c r="L2312" s="74"/>
      <c r="M2312" s="74"/>
      <c r="N2312" s="74"/>
      <c r="O2312" s="75"/>
      <c r="P2312" s="74"/>
      <c r="Q2312" s="75"/>
      <c r="R2312" s="74"/>
      <c r="S2312" s="74"/>
      <c r="T2312" s="74"/>
      <c r="U2312" s="75"/>
      <c r="V2312" s="74"/>
      <c r="W2312" s="75"/>
      <c r="X2312" s="74"/>
      <c r="Y2312" s="74"/>
      <c r="Z2312" s="74"/>
      <c r="AA2312" s="74"/>
      <c r="AB2312" s="74"/>
      <c r="AC2312" s="74"/>
      <c r="AD2312" s="74"/>
      <c r="AE2312" s="74"/>
      <c r="AF2312" s="74"/>
      <c r="AG2312" s="74"/>
      <c r="AH2312" s="74"/>
    </row>
    <row r="2313" s="73" customFormat="1" spans="1:34">
      <c r="A2313" s="74"/>
      <c r="B2313" s="74"/>
      <c r="C2313" s="74"/>
      <c r="D2313" s="74"/>
      <c r="E2313" s="74"/>
      <c r="F2313" s="74"/>
      <c r="G2313" s="74"/>
      <c r="H2313" s="74"/>
      <c r="I2313" s="74"/>
      <c r="J2313" s="74"/>
      <c r="K2313" s="74"/>
      <c r="L2313" s="74"/>
      <c r="M2313" s="74"/>
      <c r="N2313" s="74"/>
      <c r="O2313" s="75"/>
      <c r="P2313" s="74"/>
      <c r="Q2313" s="75"/>
      <c r="R2313" s="74"/>
      <c r="S2313" s="74"/>
      <c r="T2313" s="74"/>
      <c r="U2313" s="75"/>
      <c r="V2313" s="74"/>
      <c r="W2313" s="75"/>
      <c r="X2313" s="74"/>
      <c r="Y2313" s="74"/>
      <c r="Z2313" s="74"/>
      <c r="AA2313" s="74"/>
      <c r="AB2313" s="74"/>
      <c r="AC2313" s="74"/>
      <c r="AD2313" s="74"/>
      <c r="AE2313" s="74"/>
      <c r="AF2313" s="74"/>
      <c r="AG2313" s="74"/>
      <c r="AH2313" s="74"/>
    </row>
    <row r="2314" s="73" customFormat="1" spans="1:34">
      <c r="A2314" s="74"/>
      <c r="B2314" s="74"/>
      <c r="C2314" s="74"/>
      <c r="D2314" s="74"/>
      <c r="E2314" s="74"/>
      <c r="F2314" s="74"/>
      <c r="G2314" s="74"/>
      <c r="H2314" s="74"/>
      <c r="I2314" s="74"/>
      <c r="J2314" s="74"/>
      <c r="K2314" s="74"/>
      <c r="L2314" s="74"/>
      <c r="M2314" s="74"/>
      <c r="N2314" s="74"/>
      <c r="O2314" s="75"/>
      <c r="P2314" s="74"/>
      <c r="Q2314" s="75"/>
      <c r="R2314" s="74"/>
      <c r="S2314" s="74"/>
      <c r="T2314" s="74"/>
      <c r="U2314" s="75"/>
      <c r="V2314" s="74"/>
      <c r="W2314" s="75"/>
      <c r="X2314" s="74"/>
      <c r="Y2314" s="74"/>
      <c r="Z2314" s="74"/>
      <c r="AA2314" s="74"/>
      <c r="AB2314" s="74"/>
      <c r="AC2314" s="74"/>
      <c r="AD2314" s="74"/>
      <c r="AE2314" s="74"/>
      <c r="AF2314" s="74"/>
      <c r="AG2314" s="74"/>
      <c r="AH2314" s="74"/>
    </row>
    <row r="2315" s="73" customFormat="1" spans="1:34">
      <c r="A2315" s="74"/>
      <c r="B2315" s="74"/>
      <c r="C2315" s="74"/>
      <c r="D2315" s="74"/>
      <c r="E2315" s="74"/>
      <c r="F2315" s="74"/>
      <c r="G2315" s="74"/>
      <c r="H2315" s="74"/>
      <c r="I2315" s="74"/>
      <c r="J2315" s="74"/>
      <c r="K2315" s="74"/>
      <c r="L2315" s="74"/>
      <c r="M2315" s="74"/>
      <c r="N2315" s="74"/>
      <c r="O2315" s="75"/>
      <c r="P2315" s="74"/>
      <c r="Q2315" s="75"/>
      <c r="R2315" s="74"/>
      <c r="S2315" s="74"/>
      <c r="T2315" s="74"/>
      <c r="U2315" s="75"/>
      <c r="V2315" s="74"/>
      <c r="W2315" s="75"/>
      <c r="X2315" s="74"/>
      <c r="Y2315" s="74"/>
      <c r="Z2315" s="74"/>
      <c r="AA2315" s="74"/>
      <c r="AB2315" s="74"/>
      <c r="AC2315" s="74"/>
      <c r="AD2315" s="74"/>
      <c r="AE2315" s="74"/>
      <c r="AF2315" s="74"/>
      <c r="AG2315" s="74"/>
      <c r="AH2315" s="74"/>
    </row>
    <row r="2316" s="73" customFormat="1" spans="1:34">
      <c r="A2316" s="74"/>
      <c r="B2316" s="74"/>
      <c r="C2316" s="74"/>
      <c r="D2316" s="74"/>
      <c r="E2316" s="74"/>
      <c r="F2316" s="74"/>
      <c r="G2316" s="74"/>
      <c r="H2316" s="74"/>
      <c r="I2316" s="74"/>
      <c r="J2316" s="74"/>
      <c r="K2316" s="74"/>
      <c r="L2316" s="74"/>
      <c r="M2316" s="74"/>
      <c r="N2316" s="74"/>
      <c r="O2316" s="75"/>
      <c r="P2316" s="74"/>
      <c r="Q2316" s="75"/>
      <c r="R2316" s="74"/>
      <c r="S2316" s="74"/>
      <c r="T2316" s="74"/>
      <c r="U2316" s="75"/>
      <c r="V2316" s="74"/>
      <c r="W2316" s="75"/>
      <c r="X2316" s="74"/>
      <c r="Y2316" s="74"/>
      <c r="Z2316" s="74"/>
      <c r="AA2316" s="74"/>
      <c r="AB2316" s="74"/>
      <c r="AC2316" s="74"/>
      <c r="AD2316" s="74"/>
      <c r="AE2316" s="74"/>
      <c r="AF2316" s="74"/>
      <c r="AG2316" s="74"/>
      <c r="AH2316" s="74"/>
    </row>
    <row r="2317" s="73" customFormat="1" spans="1:34">
      <c r="A2317" s="74"/>
      <c r="B2317" s="74"/>
      <c r="C2317" s="74"/>
      <c r="D2317" s="74"/>
      <c r="E2317" s="74"/>
      <c r="F2317" s="74"/>
      <c r="G2317" s="74"/>
      <c r="H2317" s="74"/>
      <c r="I2317" s="74"/>
      <c r="J2317" s="74"/>
      <c r="K2317" s="74"/>
      <c r="L2317" s="74"/>
      <c r="M2317" s="74"/>
      <c r="N2317" s="74"/>
      <c r="O2317" s="75"/>
      <c r="P2317" s="74"/>
      <c r="Q2317" s="75"/>
      <c r="R2317" s="74"/>
      <c r="S2317" s="74"/>
      <c r="T2317" s="74"/>
      <c r="U2317" s="75"/>
      <c r="V2317" s="74"/>
      <c r="W2317" s="75"/>
      <c r="X2317" s="74"/>
      <c r="Y2317" s="74"/>
      <c r="Z2317" s="74"/>
      <c r="AA2317" s="74"/>
      <c r="AB2317" s="74"/>
      <c r="AC2317" s="74"/>
      <c r="AD2317" s="74"/>
      <c r="AE2317" s="74"/>
      <c r="AF2317" s="74"/>
      <c r="AG2317" s="74"/>
      <c r="AH2317" s="74"/>
    </row>
    <row r="2318" s="73" customFormat="1" spans="1:34">
      <c r="A2318" s="74"/>
      <c r="B2318" s="74"/>
      <c r="C2318" s="74"/>
      <c r="D2318" s="74"/>
      <c r="E2318" s="74"/>
      <c r="F2318" s="74"/>
      <c r="G2318" s="74"/>
      <c r="H2318" s="74"/>
      <c r="I2318" s="74"/>
      <c r="J2318" s="74"/>
      <c r="K2318" s="74"/>
      <c r="L2318" s="74"/>
      <c r="M2318" s="74"/>
      <c r="N2318" s="74"/>
      <c r="O2318" s="75"/>
      <c r="P2318" s="74"/>
      <c r="Q2318" s="75"/>
      <c r="R2318" s="74"/>
      <c r="S2318" s="74"/>
      <c r="T2318" s="74"/>
      <c r="U2318" s="75"/>
      <c r="V2318" s="74"/>
      <c r="W2318" s="75"/>
      <c r="X2318" s="74"/>
      <c r="Y2318" s="74"/>
      <c r="Z2318" s="74"/>
      <c r="AA2318" s="74"/>
      <c r="AB2318" s="74"/>
      <c r="AC2318" s="74"/>
      <c r="AD2318" s="74"/>
      <c r="AE2318" s="74"/>
      <c r="AF2318" s="74"/>
      <c r="AG2318" s="74"/>
      <c r="AH2318" s="74"/>
    </row>
    <row r="2319" s="73" customFormat="1" spans="1:34">
      <c r="A2319" s="74"/>
      <c r="B2319" s="74"/>
      <c r="C2319" s="74"/>
      <c r="D2319" s="74"/>
      <c r="E2319" s="74"/>
      <c r="F2319" s="74"/>
      <c r="G2319" s="74"/>
      <c r="H2319" s="74"/>
      <c r="I2319" s="74"/>
      <c r="J2319" s="74"/>
      <c r="K2319" s="74"/>
      <c r="L2319" s="74"/>
      <c r="M2319" s="74"/>
      <c r="N2319" s="74"/>
      <c r="O2319" s="75"/>
      <c r="P2319" s="74"/>
      <c r="Q2319" s="75"/>
      <c r="R2319" s="74"/>
      <c r="S2319" s="74"/>
      <c r="T2319" s="74"/>
      <c r="U2319" s="75"/>
      <c r="V2319" s="74"/>
      <c r="W2319" s="75"/>
      <c r="X2319" s="74"/>
      <c r="Y2319" s="74"/>
      <c r="Z2319" s="74"/>
      <c r="AA2319" s="74"/>
      <c r="AB2319" s="74"/>
      <c r="AC2319" s="74"/>
      <c r="AD2319" s="74"/>
      <c r="AE2319" s="74"/>
      <c r="AF2319" s="74"/>
      <c r="AG2319" s="74"/>
      <c r="AH2319" s="74"/>
    </row>
    <row r="2320" s="73" customFormat="1" spans="1:34">
      <c r="A2320" s="74"/>
      <c r="B2320" s="74"/>
      <c r="C2320" s="74"/>
      <c r="D2320" s="74"/>
      <c r="E2320" s="74"/>
      <c r="F2320" s="74"/>
      <c r="G2320" s="74"/>
      <c r="H2320" s="74"/>
      <c r="I2320" s="74"/>
      <c r="J2320" s="74"/>
      <c r="K2320" s="74"/>
      <c r="L2320" s="74"/>
      <c r="M2320" s="74"/>
      <c r="N2320" s="74"/>
      <c r="O2320" s="75"/>
      <c r="P2320" s="74"/>
      <c r="Q2320" s="75"/>
      <c r="R2320" s="74"/>
      <c r="S2320" s="74"/>
      <c r="T2320" s="74"/>
      <c r="U2320" s="75"/>
      <c r="V2320" s="74"/>
      <c r="W2320" s="75"/>
      <c r="X2320" s="74"/>
      <c r="Y2320" s="74"/>
      <c r="Z2320" s="74"/>
      <c r="AA2320" s="74"/>
      <c r="AB2320" s="74"/>
      <c r="AC2320" s="74"/>
      <c r="AD2320" s="74"/>
      <c r="AE2320" s="74"/>
      <c r="AF2320" s="74"/>
      <c r="AG2320" s="74"/>
      <c r="AH2320" s="74"/>
    </row>
    <row r="2321" s="73" customFormat="1" spans="1:34">
      <c r="A2321" s="74"/>
      <c r="B2321" s="74"/>
      <c r="C2321" s="74"/>
      <c r="D2321" s="74"/>
      <c r="E2321" s="74"/>
      <c r="F2321" s="74"/>
      <c r="G2321" s="74"/>
      <c r="H2321" s="74"/>
      <c r="I2321" s="74"/>
      <c r="J2321" s="74"/>
      <c r="K2321" s="74"/>
      <c r="L2321" s="74"/>
      <c r="M2321" s="74"/>
      <c r="N2321" s="74"/>
      <c r="O2321" s="75"/>
      <c r="P2321" s="74"/>
      <c r="Q2321" s="75"/>
      <c r="R2321" s="74"/>
      <c r="S2321" s="74"/>
      <c r="T2321" s="74"/>
      <c r="U2321" s="75"/>
      <c r="V2321" s="74"/>
      <c r="W2321" s="75"/>
      <c r="X2321" s="74"/>
      <c r="Y2321" s="74"/>
      <c r="Z2321" s="74"/>
      <c r="AA2321" s="74"/>
      <c r="AB2321" s="74"/>
      <c r="AC2321" s="74"/>
      <c r="AD2321" s="74"/>
      <c r="AE2321" s="74"/>
      <c r="AF2321" s="74"/>
      <c r="AG2321" s="74"/>
      <c r="AH2321" s="74"/>
    </row>
    <row r="2322" s="73" customFormat="1" spans="1:34">
      <c r="A2322" s="74"/>
      <c r="B2322" s="74"/>
      <c r="C2322" s="74"/>
      <c r="D2322" s="74"/>
      <c r="E2322" s="74"/>
      <c r="F2322" s="74"/>
      <c r="G2322" s="74"/>
      <c r="H2322" s="74"/>
      <c r="I2322" s="74"/>
      <c r="J2322" s="74"/>
      <c r="K2322" s="74"/>
      <c r="L2322" s="74"/>
      <c r="M2322" s="74"/>
      <c r="N2322" s="74"/>
      <c r="O2322" s="75"/>
      <c r="P2322" s="74"/>
      <c r="Q2322" s="75"/>
      <c r="R2322" s="74"/>
      <c r="S2322" s="74"/>
      <c r="T2322" s="74"/>
      <c r="U2322" s="75"/>
      <c r="V2322" s="74"/>
      <c r="W2322" s="75"/>
      <c r="X2322" s="74"/>
      <c r="Y2322" s="74"/>
      <c r="Z2322" s="74"/>
      <c r="AA2322" s="74"/>
      <c r="AB2322" s="74"/>
      <c r="AC2322" s="74"/>
      <c r="AD2322" s="74"/>
      <c r="AE2322" s="74"/>
      <c r="AF2322" s="74"/>
      <c r="AG2322" s="74"/>
      <c r="AH2322" s="74"/>
    </row>
    <row r="2323" s="73" customFormat="1" spans="1:34">
      <c r="A2323" s="74"/>
      <c r="B2323" s="74"/>
      <c r="C2323" s="74"/>
      <c r="D2323" s="74"/>
      <c r="E2323" s="74"/>
      <c r="F2323" s="74"/>
      <c r="G2323" s="74"/>
      <c r="H2323" s="74"/>
      <c r="I2323" s="74"/>
      <c r="J2323" s="74"/>
      <c r="K2323" s="74"/>
      <c r="L2323" s="74"/>
      <c r="M2323" s="74"/>
      <c r="N2323" s="74"/>
      <c r="O2323" s="75"/>
      <c r="P2323" s="74"/>
      <c r="Q2323" s="75"/>
      <c r="R2323" s="74"/>
      <c r="S2323" s="74"/>
      <c r="T2323" s="74"/>
      <c r="U2323" s="75"/>
      <c r="V2323" s="74"/>
      <c r="W2323" s="75"/>
      <c r="X2323" s="74"/>
      <c r="Y2323" s="74"/>
      <c r="Z2323" s="74"/>
      <c r="AA2323" s="74"/>
      <c r="AB2323" s="74"/>
      <c r="AC2323" s="74"/>
      <c r="AD2323" s="74"/>
      <c r="AE2323" s="74"/>
      <c r="AF2323" s="74"/>
      <c r="AG2323" s="74"/>
      <c r="AH2323" s="74"/>
    </row>
    <row r="2324" s="73" customFormat="1" spans="1:34">
      <c r="A2324" s="74"/>
      <c r="B2324" s="74"/>
      <c r="C2324" s="74"/>
      <c r="D2324" s="74"/>
      <c r="E2324" s="74"/>
      <c r="F2324" s="74"/>
      <c r="G2324" s="74"/>
      <c r="H2324" s="74"/>
      <c r="I2324" s="74"/>
      <c r="J2324" s="74"/>
      <c r="K2324" s="74"/>
      <c r="L2324" s="74"/>
      <c r="M2324" s="74"/>
      <c r="N2324" s="74"/>
      <c r="O2324" s="75"/>
      <c r="P2324" s="74"/>
      <c r="Q2324" s="75"/>
      <c r="R2324" s="74"/>
      <c r="S2324" s="74"/>
      <c r="T2324" s="74"/>
      <c r="U2324" s="75"/>
      <c r="V2324" s="74"/>
      <c r="W2324" s="75"/>
      <c r="X2324" s="74"/>
      <c r="Y2324" s="74"/>
      <c r="Z2324" s="74"/>
      <c r="AA2324" s="74"/>
      <c r="AB2324" s="74"/>
      <c r="AC2324" s="74"/>
      <c r="AD2324" s="74"/>
      <c r="AE2324" s="74"/>
      <c r="AF2324" s="74"/>
      <c r="AG2324" s="74"/>
      <c r="AH2324" s="74"/>
    </row>
    <row r="2325" s="73" customFormat="1" spans="1:34">
      <c r="A2325" s="74"/>
      <c r="B2325" s="74"/>
      <c r="C2325" s="74"/>
      <c r="D2325" s="74"/>
      <c r="E2325" s="74"/>
      <c r="F2325" s="74"/>
      <c r="G2325" s="74"/>
      <c r="H2325" s="74"/>
      <c r="I2325" s="74"/>
      <c r="J2325" s="74"/>
      <c r="K2325" s="74"/>
      <c r="L2325" s="74"/>
      <c r="M2325" s="74"/>
      <c r="N2325" s="74"/>
      <c r="O2325" s="75"/>
      <c r="P2325" s="74"/>
      <c r="Q2325" s="75"/>
      <c r="R2325" s="74"/>
      <c r="S2325" s="74"/>
      <c r="T2325" s="74"/>
      <c r="U2325" s="75"/>
      <c r="V2325" s="74"/>
      <c r="W2325" s="75"/>
      <c r="X2325" s="74"/>
      <c r="Y2325" s="74"/>
      <c r="Z2325" s="74"/>
      <c r="AA2325" s="74"/>
      <c r="AB2325" s="74"/>
      <c r="AC2325" s="74"/>
      <c r="AD2325" s="74"/>
      <c r="AE2325" s="74"/>
      <c r="AF2325" s="74"/>
      <c r="AG2325" s="74"/>
      <c r="AH2325" s="74"/>
    </row>
    <row r="2326" s="73" customFormat="1" spans="1:34">
      <c r="A2326" s="74"/>
      <c r="B2326" s="74"/>
      <c r="C2326" s="74"/>
      <c r="D2326" s="74"/>
      <c r="E2326" s="74"/>
      <c r="F2326" s="74"/>
      <c r="G2326" s="74"/>
      <c r="H2326" s="74"/>
      <c r="I2326" s="74"/>
      <c r="J2326" s="74"/>
      <c r="K2326" s="74"/>
      <c r="L2326" s="74"/>
      <c r="M2326" s="74"/>
      <c r="N2326" s="74"/>
      <c r="O2326" s="75"/>
      <c r="P2326" s="74"/>
      <c r="Q2326" s="75"/>
      <c r="R2326" s="74"/>
      <c r="S2326" s="74"/>
      <c r="T2326" s="74"/>
      <c r="U2326" s="75"/>
      <c r="V2326" s="74"/>
      <c r="W2326" s="75"/>
      <c r="X2326" s="74"/>
      <c r="Y2326" s="74"/>
      <c r="Z2326" s="74"/>
      <c r="AA2326" s="74"/>
      <c r="AB2326" s="74"/>
      <c r="AC2326" s="74"/>
      <c r="AD2326" s="74"/>
      <c r="AE2326" s="74"/>
      <c r="AF2326" s="74"/>
      <c r="AG2326" s="74"/>
      <c r="AH2326" s="74"/>
    </row>
    <row r="2327" s="73" customFormat="1" spans="1:34">
      <c r="A2327" s="74"/>
      <c r="B2327" s="74"/>
      <c r="C2327" s="74"/>
      <c r="D2327" s="74"/>
      <c r="E2327" s="74"/>
      <c r="F2327" s="74"/>
      <c r="G2327" s="74"/>
      <c r="H2327" s="74"/>
      <c r="I2327" s="74"/>
      <c r="J2327" s="74"/>
      <c r="K2327" s="74"/>
      <c r="L2327" s="74"/>
      <c r="M2327" s="74"/>
      <c r="N2327" s="74"/>
      <c r="O2327" s="75"/>
      <c r="P2327" s="74"/>
      <c r="Q2327" s="75"/>
      <c r="R2327" s="74"/>
      <c r="S2327" s="74"/>
      <c r="T2327" s="74"/>
      <c r="U2327" s="75"/>
      <c r="V2327" s="74"/>
      <c r="W2327" s="75"/>
      <c r="X2327" s="74"/>
      <c r="Y2327" s="74"/>
      <c r="Z2327" s="74"/>
      <c r="AA2327" s="74"/>
      <c r="AB2327" s="74"/>
      <c r="AC2327" s="74"/>
      <c r="AD2327" s="74"/>
      <c r="AE2327" s="74"/>
      <c r="AF2327" s="74"/>
      <c r="AG2327" s="74"/>
      <c r="AH2327" s="74"/>
    </row>
    <row r="2328" s="73" customFormat="1" spans="1:34">
      <c r="A2328" s="74"/>
      <c r="B2328" s="74"/>
      <c r="C2328" s="74"/>
      <c r="D2328" s="74"/>
      <c r="E2328" s="74"/>
      <c r="F2328" s="74"/>
      <c r="G2328" s="74"/>
      <c r="H2328" s="74"/>
      <c r="I2328" s="74"/>
      <c r="J2328" s="74"/>
      <c r="K2328" s="74"/>
      <c r="L2328" s="74"/>
      <c r="M2328" s="74"/>
      <c r="N2328" s="74"/>
      <c r="O2328" s="75"/>
      <c r="P2328" s="74"/>
      <c r="Q2328" s="75"/>
      <c r="R2328" s="74"/>
      <c r="S2328" s="74"/>
      <c r="T2328" s="74"/>
      <c r="U2328" s="75"/>
      <c r="V2328" s="74"/>
      <c r="W2328" s="75"/>
      <c r="X2328" s="74"/>
      <c r="Y2328" s="74"/>
      <c r="Z2328" s="74"/>
      <c r="AA2328" s="74"/>
      <c r="AB2328" s="74"/>
      <c r="AC2328" s="74"/>
      <c r="AD2328" s="74"/>
      <c r="AE2328" s="74"/>
      <c r="AF2328" s="74"/>
      <c r="AG2328" s="74"/>
      <c r="AH2328" s="74"/>
    </row>
    <row r="2329" s="73" customFormat="1" spans="1:34">
      <c r="A2329" s="74"/>
      <c r="B2329" s="74"/>
      <c r="C2329" s="74"/>
      <c r="D2329" s="74"/>
      <c r="E2329" s="74"/>
      <c r="F2329" s="74"/>
      <c r="G2329" s="74"/>
      <c r="H2329" s="74"/>
      <c r="I2329" s="74"/>
      <c r="J2329" s="74"/>
      <c r="K2329" s="74"/>
      <c r="L2329" s="74"/>
      <c r="M2329" s="74"/>
      <c r="N2329" s="74"/>
      <c r="O2329" s="75"/>
      <c r="P2329" s="74"/>
      <c r="Q2329" s="75"/>
      <c r="R2329" s="74"/>
      <c r="S2329" s="74"/>
      <c r="T2329" s="74"/>
      <c r="U2329" s="75"/>
      <c r="V2329" s="74"/>
      <c r="W2329" s="75"/>
      <c r="X2329" s="74"/>
      <c r="Y2329" s="74"/>
      <c r="Z2329" s="74"/>
      <c r="AA2329" s="74"/>
      <c r="AB2329" s="74"/>
      <c r="AC2329" s="74"/>
      <c r="AD2329" s="74"/>
      <c r="AE2329" s="74"/>
      <c r="AF2329" s="74"/>
      <c r="AG2329" s="74"/>
      <c r="AH2329" s="74"/>
    </row>
    <row r="2330" s="73" customFormat="1" spans="1:34">
      <c r="A2330" s="74"/>
      <c r="B2330" s="74"/>
      <c r="C2330" s="74"/>
      <c r="D2330" s="74"/>
      <c r="E2330" s="74"/>
      <c r="F2330" s="74"/>
      <c r="G2330" s="74"/>
      <c r="H2330" s="74"/>
      <c r="I2330" s="74"/>
      <c r="J2330" s="74"/>
      <c r="K2330" s="74"/>
      <c r="L2330" s="74"/>
      <c r="M2330" s="74"/>
      <c r="N2330" s="74"/>
      <c r="O2330" s="75"/>
      <c r="P2330" s="74"/>
      <c r="Q2330" s="75"/>
      <c r="R2330" s="74"/>
      <c r="S2330" s="74"/>
      <c r="T2330" s="74"/>
      <c r="U2330" s="75"/>
      <c r="V2330" s="74"/>
      <c r="W2330" s="75"/>
      <c r="X2330" s="74"/>
      <c r="Y2330" s="74"/>
      <c r="Z2330" s="74"/>
      <c r="AA2330" s="74"/>
      <c r="AB2330" s="74"/>
      <c r="AC2330" s="74"/>
      <c r="AD2330" s="74"/>
      <c r="AE2330" s="74"/>
      <c r="AF2330" s="74"/>
      <c r="AG2330" s="74"/>
      <c r="AH2330" s="74"/>
    </row>
    <row r="2331" s="73" customFormat="1" spans="1:34">
      <c r="A2331" s="74"/>
      <c r="B2331" s="74"/>
      <c r="C2331" s="74"/>
      <c r="D2331" s="74"/>
      <c r="E2331" s="74"/>
      <c r="F2331" s="74"/>
      <c r="G2331" s="74"/>
      <c r="H2331" s="74"/>
      <c r="I2331" s="74"/>
      <c r="J2331" s="74"/>
      <c r="K2331" s="74"/>
      <c r="L2331" s="74"/>
      <c r="M2331" s="74"/>
      <c r="N2331" s="74"/>
      <c r="O2331" s="75"/>
      <c r="P2331" s="74"/>
      <c r="Q2331" s="75"/>
      <c r="R2331" s="74"/>
      <c r="S2331" s="74"/>
      <c r="T2331" s="74"/>
      <c r="U2331" s="75"/>
      <c r="V2331" s="74"/>
      <c r="W2331" s="75"/>
      <c r="X2331" s="74"/>
      <c r="Y2331" s="74"/>
      <c r="Z2331" s="74"/>
      <c r="AA2331" s="74"/>
      <c r="AB2331" s="74"/>
      <c r="AC2331" s="74"/>
      <c r="AD2331" s="74"/>
      <c r="AE2331" s="74"/>
      <c r="AF2331" s="74"/>
      <c r="AG2331" s="74"/>
      <c r="AH2331" s="74"/>
    </row>
    <row r="2332" s="73" customFormat="1" spans="1:34">
      <c r="A2332" s="74"/>
      <c r="B2332" s="74"/>
      <c r="C2332" s="74"/>
      <c r="D2332" s="74"/>
      <c r="E2332" s="74"/>
      <c r="F2332" s="74"/>
      <c r="G2332" s="74"/>
      <c r="H2332" s="74"/>
      <c r="I2332" s="74"/>
      <c r="J2332" s="74"/>
      <c r="K2332" s="74"/>
      <c r="L2332" s="74"/>
      <c r="M2332" s="74"/>
      <c r="N2332" s="74"/>
      <c r="O2332" s="75"/>
      <c r="P2332" s="74"/>
      <c r="Q2332" s="75"/>
      <c r="R2332" s="74"/>
      <c r="S2332" s="74"/>
      <c r="T2332" s="74"/>
      <c r="U2332" s="75"/>
      <c r="V2332" s="74"/>
      <c r="W2332" s="75"/>
      <c r="X2332" s="74"/>
      <c r="Y2332" s="74"/>
      <c r="Z2332" s="74"/>
      <c r="AA2332" s="74"/>
      <c r="AB2332" s="74"/>
      <c r="AC2332" s="74"/>
      <c r="AD2332" s="74"/>
      <c r="AE2332" s="74"/>
      <c r="AF2332" s="74"/>
      <c r="AG2332" s="74"/>
      <c r="AH2332" s="74"/>
    </row>
    <row r="2333" s="73" customFormat="1" spans="1:34">
      <c r="A2333" s="74"/>
      <c r="B2333" s="74"/>
      <c r="C2333" s="74"/>
      <c r="D2333" s="74"/>
      <c r="E2333" s="74"/>
      <c r="F2333" s="74"/>
      <c r="G2333" s="74"/>
      <c r="H2333" s="74"/>
      <c r="I2333" s="74"/>
      <c r="J2333" s="74"/>
      <c r="K2333" s="74"/>
      <c r="L2333" s="74"/>
      <c r="M2333" s="74"/>
      <c r="N2333" s="74"/>
      <c r="O2333" s="75"/>
      <c r="P2333" s="74"/>
      <c r="Q2333" s="75"/>
      <c r="R2333" s="74"/>
      <c r="S2333" s="74"/>
      <c r="T2333" s="74"/>
      <c r="U2333" s="75"/>
      <c r="V2333" s="74"/>
      <c r="W2333" s="75"/>
      <c r="X2333" s="74"/>
      <c r="Y2333" s="74"/>
      <c r="Z2333" s="74"/>
      <c r="AA2333" s="74"/>
      <c r="AB2333" s="74"/>
      <c r="AC2333" s="74"/>
      <c r="AD2333" s="74"/>
      <c r="AE2333" s="74"/>
      <c r="AF2333" s="74"/>
      <c r="AG2333" s="74"/>
      <c r="AH2333" s="74"/>
    </row>
    <row r="2334" s="73" customFormat="1" spans="1:34">
      <c r="A2334" s="74"/>
      <c r="B2334" s="74"/>
      <c r="C2334" s="74"/>
      <c r="D2334" s="74"/>
      <c r="E2334" s="74"/>
      <c r="F2334" s="74"/>
      <c r="G2334" s="74"/>
      <c r="H2334" s="74"/>
      <c r="I2334" s="74"/>
      <c r="J2334" s="74"/>
      <c r="K2334" s="74"/>
      <c r="L2334" s="74"/>
      <c r="M2334" s="74"/>
      <c r="N2334" s="74"/>
      <c r="O2334" s="75"/>
      <c r="P2334" s="74"/>
      <c r="Q2334" s="75"/>
      <c r="R2334" s="74"/>
      <c r="S2334" s="74"/>
      <c r="T2334" s="74"/>
      <c r="U2334" s="75"/>
      <c r="V2334" s="74"/>
      <c r="W2334" s="75"/>
      <c r="X2334" s="74"/>
      <c r="Y2334" s="74"/>
      <c r="Z2334" s="74"/>
      <c r="AA2334" s="74"/>
      <c r="AB2334" s="74"/>
      <c r="AC2334" s="74"/>
      <c r="AD2334" s="74"/>
      <c r="AE2334" s="74"/>
      <c r="AF2334" s="74"/>
      <c r="AG2334" s="74"/>
      <c r="AH2334" s="74"/>
    </row>
    <row r="2335" s="73" customFormat="1" spans="1:34">
      <c r="A2335" s="74"/>
      <c r="B2335" s="74"/>
      <c r="C2335" s="74"/>
      <c r="D2335" s="74"/>
      <c r="E2335" s="74"/>
      <c r="F2335" s="74"/>
      <c r="G2335" s="74"/>
      <c r="H2335" s="74"/>
      <c r="I2335" s="74"/>
      <c r="J2335" s="74"/>
      <c r="K2335" s="74"/>
      <c r="L2335" s="74"/>
      <c r="M2335" s="74"/>
      <c r="N2335" s="74"/>
      <c r="O2335" s="75"/>
      <c r="P2335" s="74"/>
      <c r="Q2335" s="75"/>
      <c r="R2335" s="74"/>
      <c r="S2335" s="74"/>
      <c r="T2335" s="74"/>
      <c r="U2335" s="75"/>
      <c r="V2335" s="74"/>
      <c r="W2335" s="75"/>
      <c r="X2335" s="74"/>
      <c r="Y2335" s="74"/>
      <c r="Z2335" s="74"/>
      <c r="AA2335" s="74"/>
      <c r="AB2335" s="74"/>
      <c r="AC2335" s="74"/>
      <c r="AD2335" s="74"/>
      <c r="AE2335" s="74"/>
      <c r="AF2335" s="74"/>
      <c r="AG2335" s="74"/>
      <c r="AH2335" s="74"/>
    </row>
    <row r="2336" s="73" customFormat="1" spans="1:34">
      <c r="A2336" s="74"/>
      <c r="B2336" s="74"/>
      <c r="C2336" s="74"/>
      <c r="D2336" s="74"/>
      <c r="E2336" s="74"/>
      <c r="F2336" s="74"/>
      <c r="G2336" s="74"/>
      <c r="H2336" s="74"/>
      <c r="I2336" s="74"/>
      <c r="J2336" s="74"/>
      <c r="K2336" s="74"/>
      <c r="L2336" s="74"/>
      <c r="M2336" s="74"/>
      <c r="N2336" s="74"/>
      <c r="O2336" s="75"/>
      <c r="P2336" s="74"/>
      <c r="Q2336" s="75"/>
      <c r="R2336" s="74"/>
      <c r="S2336" s="74"/>
      <c r="T2336" s="74"/>
      <c r="U2336" s="75"/>
      <c r="V2336" s="74"/>
      <c r="W2336" s="75"/>
      <c r="X2336" s="74"/>
      <c r="Y2336" s="74"/>
      <c r="Z2336" s="74"/>
      <c r="AA2336" s="74"/>
      <c r="AB2336" s="74"/>
      <c r="AC2336" s="74"/>
      <c r="AD2336" s="74"/>
      <c r="AE2336" s="74"/>
      <c r="AF2336" s="74"/>
      <c r="AG2336" s="74"/>
      <c r="AH2336" s="74"/>
    </row>
    <row r="2337" s="73" customFormat="1" spans="1:34">
      <c r="A2337" s="74"/>
      <c r="B2337" s="74"/>
      <c r="C2337" s="74"/>
      <c r="D2337" s="74"/>
      <c r="E2337" s="74"/>
      <c r="F2337" s="74"/>
      <c r="G2337" s="74"/>
      <c r="H2337" s="74"/>
      <c r="I2337" s="74"/>
      <c r="J2337" s="74"/>
      <c r="K2337" s="74"/>
      <c r="L2337" s="74"/>
      <c r="M2337" s="74"/>
      <c r="N2337" s="74"/>
      <c r="O2337" s="75"/>
      <c r="P2337" s="74"/>
      <c r="Q2337" s="75"/>
      <c r="R2337" s="74"/>
      <c r="S2337" s="74"/>
      <c r="T2337" s="74"/>
      <c r="U2337" s="75"/>
      <c r="V2337" s="74"/>
      <c r="W2337" s="75"/>
      <c r="X2337" s="74"/>
      <c r="Y2337" s="74"/>
      <c r="Z2337" s="74"/>
      <c r="AA2337" s="74"/>
      <c r="AB2337" s="74"/>
      <c r="AC2337" s="74"/>
      <c r="AD2337" s="74"/>
      <c r="AE2337" s="74"/>
      <c r="AF2337" s="74"/>
      <c r="AG2337" s="74"/>
      <c r="AH2337" s="74"/>
    </row>
    <row r="2338" s="73" customFormat="1" spans="1:34">
      <c r="A2338" s="74"/>
      <c r="B2338" s="74"/>
      <c r="C2338" s="74"/>
      <c r="D2338" s="74"/>
      <c r="E2338" s="74"/>
      <c r="F2338" s="74"/>
      <c r="G2338" s="74"/>
      <c r="H2338" s="74"/>
      <c r="I2338" s="74"/>
      <c r="J2338" s="74"/>
      <c r="K2338" s="74"/>
      <c r="L2338" s="74"/>
      <c r="M2338" s="74"/>
      <c r="N2338" s="74"/>
      <c r="O2338" s="75"/>
      <c r="P2338" s="74"/>
      <c r="Q2338" s="75"/>
      <c r="R2338" s="74"/>
      <c r="S2338" s="74"/>
      <c r="T2338" s="74"/>
      <c r="U2338" s="75"/>
      <c r="V2338" s="74"/>
      <c r="W2338" s="75"/>
      <c r="X2338" s="74"/>
      <c r="Y2338" s="74"/>
      <c r="Z2338" s="74"/>
      <c r="AA2338" s="74"/>
      <c r="AB2338" s="74"/>
      <c r="AC2338" s="74"/>
      <c r="AD2338" s="74"/>
      <c r="AE2338" s="74"/>
      <c r="AF2338" s="74"/>
      <c r="AG2338" s="74"/>
      <c r="AH2338" s="74"/>
    </row>
    <row r="2339" s="73" customFormat="1" spans="1:34">
      <c r="A2339" s="74"/>
      <c r="B2339" s="74"/>
      <c r="C2339" s="74"/>
      <c r="D2339" s="74"/>
      <c r="E2339" s="74"/>
      <c r="F2339" s="74"/>
      <c r="G2339" s="74"/>
      <c r="H2339" s="74"/>
      <c r="I2339" s="74"/>
      <c r="J2339" s="74"/>
      <c r="K2339" s="74"/>
      <c r="L2339" s="74"/>
      <c r="M2339" s="74"/>
      <c r="N2339" s="74"/>
      <c r="O2339" s="75"/>
      <c r="P2339" s="74"/>
      <c r="Q2339" s="75"/>
      <c r="R2339" s="74"/>
      <c r="S2339" s="74"/>
      <c r="T2339" s="74"/>
      <c r="U2339" s="75"/>
      <c r="V2339" s="74"/>
      <c r="W2339" s="75"/>
      <c r="X2339" s="74"/>
      <c r="Y2339" s="74"/>
      <c r="Z2339" s="74"/>
      <c r="AA2339" s="74"/>
      <c r="AB2339" s="74"/>
      <c r="AC2339" s="74"/>
      <c r="AD2339" s="74"/>
      <c r="AE2339" s="74"/>
      <c r="AF2339" s="74"/>
      <c r="AG2339" s="74"/>
      <c r="AH2339" s="74"/>
    </row>
    <row r="2340" s="73" customFormat="1" spans="1:34">
      <c r="A2340" s="74"/>
      <c r="B2340" s="74"/>
      <c r="C2340" s="74"/>
      <c r="D2340" s="74"/>
      <c r="E2340" s="74"/>
      <c r="F2340" s="74"/>
      <c r="G2340" s="74"/>
      <c r="H2340" s="74"/>
      <c r="I2340" s="74"/>
      <c r="J2340" s="74"/>
      <c r="K2340" s="74"/>
      <c r="L2340" s="74"/>
      <c r="M2340" s="74"/>
      <c r="N2340" s="74"/>
      <c r="O2340" s="75"/>
      <c r="P2340" s="74"/>
      <c r="Q2340" s="75"/>
      <c r="R2340" s="74"/>
      <c r="S2340" s="74"/>
      <c r="T2340" s="74"/>
      <c r="U2340" s="75"/>
      <c r="V2340" s="74"/>
      <c r="W2340" s="75"/>
      <c r="X2340" s="74"/>
      <c r="Y2340" s="74"/>
      <c r="Z2340" s="74"/>
      <c r="AA2340" s="74"/>
      <c r="AB2340" s="74"/>
      <c r="AC2340" s="74"/>
      <c r="AD2340" s="74"/>
      <c r="AE2340" s="74"/>
      <c r="AF2340" s="74"/>
      <c r="AG2340" s="74"/>
      <c r="AH2340" s="74"/>
    </row>
    <row r="2341" s="73" customFormat="1" spans="1:34">
      <c r="A2341" s="74"/>
      <c r="B2341" s="74"/>
      <c r="C2341" s="74"/>
      <c r="D2341" s="74"/>
      <c r="E2341" s="74"/>
      <c r="F2341" s="74"/>
      <c r="G2341" s="74"/>
      <c r="H2341" s="74"/>
      <c r="I2341" s="74"/>
      <c r="J2341" s="74"/>
      <c r="K2341" s="74"/>
      <c r="L2341" s="74"/>
      <c r="M2341" s="74"/>
      <c r="N2341" s="74"/>
      <c r="O2341" s="75"/>
      <c r="P2341" s="74"/>
      <c r="Q2341" s="75"/>
      <c r="R2341" s="74"/>
      <c r="S2341" s="74"/>
      <c r="T2341" s="74"/>
      <c r="U2341" s="75"/>
      <c r="V2341" s="74"/>
      <c r="W2341" s="75"/>
      <c r="X2341" s="74"/>
      <c r="Y2341" s="74"/>
      <c r="Z2341" s="74"/>
      <c r="AA2341" s="74"/>
      <c r="AB2341" s="74"/>
      <c r="AC2341" s="74"/>
      <c r="AD2341" s="74"/>
      <c r="AE2341" s="74"/>
      <c r="AF2341" s="74"/>
      <c r="AG2341" s="74"/>
      <c r="AH2341" s="74"/>
    </row>
    <row r="2342" s="73" customFormat="1" spans="1:34">
      <c r="A2342" s="74"/>
      <c r="B2342" s="74"/>
      <c r="C2342" s="74"/>
      <c r="D2342" s="74"/>
      <c r="E2342" s="74"/>
      <c r="F2342" s="74"/>
      <c r="G2342" s="74"/>
      <c r="H2342" s="74"/>
      <c r="I2342" s="74"/>
      <c r="J2342" s="74"/>
      <c r="K2342" s="74"/>
      <c r="L2342" s="74"/>
      <c r="M2342" s="74"/>
      <c r="N2342" s="74"/>
      <c r="O2342" s="75"/>
      <c r="P2342" s="74"/>
      <c r="Q2342" s="75"/>
      <c r="R2342" s="74"/>
      <c r="S2342" s="74"/>
      <c r="T2342" s="74"/>
      <c r="U2342" s="75"/>
      <c r="V2342" s="74"/>
      <c r="W2342" s="75"/>
      <c r="X2342" s="74"/>
      <c r="Y2342" s="74"/>
      <c r="Z2342" s="74"/>
      <c r="AA2342" s="74"/>
      <c r="AB2342" s="74"/>
      <c r="AC2342" s="74"/>
      <c r="AD2342" s="74"/>
      <c r="AE2342" s="74"/>
      <c r="AF2342" s="74"/>
      <c r="AG2342" s="74"/>
      <c r="AH2342" s="74"/>
    </row>
    <row r="2343" s="73" customFormat="1" spans="1:34">
      <c r="A2343" s="74"/>
      <c r="B2343" s="74"/>
      <c r="C2343" s="74"/>
      <c r="D2343" s="74"/>
      <c r="E2343" s="74"/>
      <c r="F2343" s="74"/>
      <c r="G2343" s="74"/>
      <c r="H2343" s="74"/>
      <c r="I2343" s="74"/>
      <c r="J2343" s="74"/>
      <c r="K2343" s="74"/>
      <c r="L2343" s="74"/>
      <c r="M2343" s="74"/>
      <c r="N2343" s="74"/>
      <c r="O2343" s="75"/>
      <c r="P2343" s="74"/>
      <c r="Q2343" s="75"/>
      <c r="R2343" s="74"/>
      <c r="S2343" s="74"/>
      <c r="T2343" s="74"/>
      <c r="U2343" s="75"/>
      <c r="V2343" s="74"/>
      <c r="W2343" s="75"/>
      <c r="X2343" s="74"/>
      <c r="Y2343" s="74"/>
      <c r="Z2343" s="74"/>
      <c r="AA2343" s="74"/>
      <c r="AB2343" s="74"/>
      <c r="AC2343" s="74"/>
      <c r="AD2343" s="74"/>
      <c r="AE2343" s="74"/>
      <c r="AF2343" s="74"/>
      <c r="AG2343" s="74"/>
      <c r="AH2343" s="74"/>
    </row>
    <row r="2344" s="73" customFormat="1" spans="1:34">
      <c r="A2344" s="74"/>
      <c r="B2344" s="74"/>
      <c r="C2344" s="74"/>
      <c r="D2344" s="74"/>
      <c r="E2344" s="74"/>
      <c r="F2344" s="74"/>
      <c r="G2344" s="74"/>
      <c r="H2344" s="74"/>
      <c r="I2344" s="74"/>
      <c r="J2344" s="74"/>
      <c r="K2344" s="74"/>
      <c r="L2344" s="74"/>
      <c r="M2344" s="74"/>
      <c r="N2344" s="74"/>
      <c r="O2344" s="75"/>
      <c r="P2344" s="74"/>
      <c r="Q2344" s="75"/>
      <c r="R2344" s="74"/>
      <c r="S2344" s="74"/>
      <c r="T2344" s="74"/>
      <c r="U2344" s="75"/>
      <c r="V2344" s="74"/>
      <c r="W2344" s="75"/>
      <c r="X2344" s="74"/>
      <c r="Y2344" s="74"/>
      <c r="Z2344" s="74"/>
      <c r="AA2344" s="74"/>
      <c r="AB2344" s="74"/>
      <c r="AC2344" s="74"/>
      <c r="AD2344" s="74"/>
      <c r="AE2344" s="74"/>
      <c r="AF2344" s="74"/>
      <c r="AG2344" s="74"/>
      <c r="AH2344" s="74"/>
    </row>
    <row r="2345" s="73" customFormat="1" spans="1:34">
      <c r="A2345" s="74"/>
      <c r="B2345" s="74"/>
      <c r="C2345" s="74"/>
      <c r="D2345" s="74"/>
      <c r="E2345" s="74"/>
      <c r="F2345" s="74"/>
      <c r="G2345" s="74"/>
      <c r="H2345" s="74"/>
      <c r="I2345" s="74"/>
      <c r="J2345" s="74"/>
      <c r="K2345" s="74"/>
      <c r="L2345" s="74"/>
      <c r="M2345" s="74"/>
      <c r="N2345" s="74"/>
      <c r="O2345" s="75"/>
      <c r="P2345" s="74"/>
      <c r="Q2345" s="75"/>
      <c r="R2345" s="74"/>
      <c r="S2345" s="74"/>
      <c r="T2345" s="74"/>
      <c r="U2345" s="75"/>
      <c r="V2345" s="74"/>
      <c r="W2345" s="75"/>
      <c r="X2345" s="74"/>
      <c r="Y2345" s="74"/>
      <c r="Z2345" s="74"/>
      <c r="AA2345" s="74"/>
      <c r="AB2345" s="74"/>
      <c r="AC2345" s="74"/>
      <c r="AD2345" s="74"/>
      <c r="AE2345" s="74"/>
      <c r="AF2345" s="74"/>
      <c r="AG2345" s="74"/>
      <c r="AH2345" s="74"/>
    </row>
    <row r="2346" s="73" customFormat="1" spans="1:34">
      <c r="A2346" s="74"/>
      <c r="B2346" s="74"/>
      <c r="C2346" s="74"/>
      <c r="D2346" s="74"/>
      <c r="E2346" s="74"/>
      <c r="F2346" s="74"/>
      <c r="G2346" s="74"/>
      <c r="H2346" s="74"/>
      <c r="I2346" s="74"/>
      <c r="J2346" s="74"/>
      <c r="K2346" s="74"/>
      <c r="L2346" s="74"/>
      <c r="M2346" s="74"/>
      <c r="N2346" s="74"/>
      <c r="O2346" s="75"/>
      <c r="P2346" s="74"/>
      <c r="Q2346" s="75"/>
      <c r="R2346" s="74"/>
      <c r="S2346" s="74"/>
      <c r="T2346" s="74"/>
      <c r="U2346" s="75"/>
      <c r="V2346" s="74"/>
      <c r="W2346" s="75"/>
      <c r="X2346" s="74"/>
      <c r="Y2346" s="74"/>
      <c r="Z2346" s="74"/>
      <c r="AA2346" s="74"/>
      <c r="AB2346" s="74"/>
      <c r="AC2346" s="74"/>
      <c r="AD2346" s="74"/>
      <c r="AE2346" s="74"/>
      <c r="AF2346" s="74"/>
      <c r="AG2346" s="74"/>
      <c r="AH2346" s="74"/>
    </row>
    <row r="2347" s="73" customFormat="1" spans="1:34">
      <c r="A2347" s="74"/>
      <c r="B2347" s="74"/>
      <c r="C2347" s="74"/>
      <c r="D2347" s="74"/>
      <c r="E2347" s="74"/>
      <c r="F2347" s="74"/>
      <c r="G2347" s="74"/>
      <c r="H2347" s="74"/>
      <c r="I2347" s="74"/>
      <c r="J2347" s="74"/>
      <c r="K2347" s="74"/>
      <c r="L2347" s="74"/>
      <c r="M2347" s="74"/>
      <c r="N2347" s="74"/>
      <c r="O2347" s="75"/>
      <c r="P2347" s="74"/>
      <c r="Q2347" s="75"/>
      <c r="R2347" s="74"/>
      <c r="S2347" s="74"/>
      <c r="T2347" s="74"/>
      <c r="U2347" s="75"/>
      <c r="V2347" s="74"/>
      <c r="W2347" s="75"/>
      <c r="X2347" s="74"/>
      <c r="Y2347" s="74"/>
      <c r="Z2347" s="74"/>
      <c r="AA2347" s="74"/>
      <c r="AB2347" s="74"/>
      <c r="AC2347" s="74"/>
      <c r="AD2347" s="74"/>
      <c r="AE2347" s="74"/>
      <c r="AF2347" s="74"/>
      <c r="AG2347" s="74"/>
      <c r="AH2347" s="74"/>
    </row>
    <row r="2348" s="73" customFormat="1" spans="1:34">
      <c r="A2348" s="74"/>
      <c r="B2348" s="74"/>
      <c r="C2348" s="74"/>
      <c r="D2348" s="74"/>
      <c r="E2348" s="74"/>
      <c r="F2348" s="74"/>
      <c r="G2348" s="74"/>
      <c r="H2348" s="74"/>
      <c r="I2348" s="74"/>
      <c r="J2348" s="74"/>
      <c r="K2348" s="74"/>
      <c r="L2348" s="74"/>
      <c r="M2348" s="74"/>
      <c r="N2348" s="74"/>
      <c r="O2348" s="75"/>
      <c r="P2348" s="74"/>
      <c r="Q2348" s="75"/>
      <c r="R2348" s="74"/>
      <c r="S2348" s="74"/>
      <c r="T2348" s="74"/>
      <c r="U2348" s="75"/>
      <c r="V2348" s="74"/>
      <c r="W2348" s="75"/>
      <c r="X2348" s="74"/>
      <c r="Y2348" s="74"/>
      <c r="Z2348" s="74"/>
      <c r="AA2348" s="74"/>
      <c r="AB2348" s="74"/>
      <c r="AC2348" s="74"/>
      <c r="AD2348" s="74"/>
      <c r="AE2348" s="74"/>
      <c r="AF2348" s="74"/>
      <c r="AG2348" s="74"/>
      <c r="AH2348" s="74"/>
    </row>
    <row r="2349" s="73" customFormat="1" spans="1:34">
      <c r="A2349" s="74"/>
      <c r="B2349" s="74"/>
      <c r="C2349" s="74"/>
      <c r="D2349" s="74"/>
      <c r="E2349" s="74"/>
      <c r="F2349" s="74"/>
      <c r="G2349" s="74"/>
      <c r="H2349" s="74"/>
      <c r="I2349" s="74"/>
      <c r="J2349" s="74"/>
      <c r="K2349" s="74"/>
      <c r="L2349" s="74"/>
      <c r="M2349" s="74"/>
      <c r="N2349" s="74"/>
      <c r="O2349" s="75"/>
      <c r="P2349" s="74"/>
      <c r="Q2349" s="75"/>
      <c r="R2349" s="74"/>
      <c r="S2349" s="74"/>
      <c r="T2349" s="74"/>
      <c r="U2349" s="75"/>
      <c r="V2349" s="74"/>
      <c r="W2349" s="75"/>
      <c r="X2349" s="74"/>
      <c r="Y2349" s="74"/>
      <c r="Z2349" s="74"/>
      <c r="AA2349" s="74"/>
      <c r="AB2349" s="74"/>
      <c r="AC2349" s="74"/>
      <c r="AD2349" s="74"/>
      <c r="AE2349" s="74"/>
      <c r="AF2349" s="74"/>
      <c r="AG2349" s="74"/>
      <c r="AH2349" s="74"/>
    </row>
    <row r="2350" s="73" customFormat="1" spans="1:34">
      <c r="A2350" s="74"/>
      <c r="B2350" s="74"/>
      <c r="C2350" s="74"/>
      <c r="D2350" s="74"/>
      <c r="E2350" s="74"/>
      <c r="F2350" s="74"/>
      <c r="G2350" s="74"/>
      <c r="H2350" s="74"/>
      <c r="I2350" s="74"/>
      <c r="J2350" s="74"/>
      <c r="K2350" s="74"/>
      <c r="L2350" s="74"/>
      <c r="M2350" s="74"/>
      <c r="N2350" s="74"/>
      <c r="O2350" s="75"/>
      <c r="P2350" s="74"/>
      <c r="Q2350" s="75"/>
      <c r="R2350" s="74"/>
      <c r="S2350" s="74"/>
      <c r="T2350" s="74"/>
      <c r="U2350" s="75"/>
      <c r="V2350" s="74"/>
      <c r="W2350" s="75"/>
      <c r="X2350" s="74"/>
      <c r="Y2350" s="74"/>
      <c r="Z2350" s="74"/>
      <c r="AA2350" s="74"/>
      <c r="AB2350" s="74"/>
      <c r="AC2350" s="74"/>
      <c r="AD2350" s="74"/>
      <c r="AE2350" s="74"/>
      <c r="AF2350" s="74"/>
      <c r="AG2350" s="74"/>
      <c r="AH2350" s="74"/>
    </row>
    <row r="2351" s="73" customFormat="1" spans="1:34">
      <c r="A2351" s="74"/>
      <c r="B2351" s="74"/>
      <c r="C2351" s="74"/>
      <c r="D2351" s="74"/>
      <c r="E2351" s="74"/>
      <c r="F2351" s="74"/>
      <c r="G2351" s="74"/>
      <c r="H2351" s="74"/>
      <c r="I2351" s="74"/>
      <c r="J2351" s="74"/>
      <c r="K2351" s="74"/>
      <c r="L2351" s="74"/>
      <c r="M2351" s="74"/>
      <c r="N2351" s="74"/>
      <c r="O2351" s="75"/>
      <c r="P2351" s="74"/>
      <c r="Q2351" s="75"/>
      <c r="R2351" s="74"/>
      <c r="S2351" s="74"/>
      <c r="T2351" s="74"/>
      <c r="U2351" s="75"/>
      <c r="V2351" s="74"/>
      <c r="W2351" s="75"/>
      <c r="X2351" s="74"/>
      <c r="Y2351" s="74"/>
      <c r="Z2351" s="74"/>
      <c r="AA2351" s="74"/>
      <c r="AB2351" s="74"/>
      <c r="AC2351" s="74"/>
      <c r="AD2351" s="74"/>
      <c r="AE2351" s="74"/>
      <c r="AF2351" s="74"/>
      <c r="AG2351" s="74"/>
      <c r="AH2351" s="74"/>
    </row>
    <row r="2352" s="73" customFormat="1" spans="1:34">
      <c r="A2352" s="74"/>
      <c r="B2352" s="74"/>
      <c r="C2352" s="74"/>
      <c r="D2352" s="74"/>
      <c r="E2352" s="74"/>
      <c r="F2352" s="74"/>
      <c r="G2352" s="74"/>
      <c r="H2352" s="74"/>
      <c r="I2352" s="74"/>
      <c r="J2352" s="74"/>
      <c r="K2352" s="74"/>
      <c r="L2352" s="74"/>
      <c r="M2352" s="74"/>
      <c r="N2352" s="74"/>
      <c r="O2352" s="75"/>
      <c r="P2352" s="74"/>
      <c r="Q2352" s="75"/>
      <c r="R2352" s="74"/>
      <c r="S2352" s="74"/>
      <c r="T2352" s="74"/>
      <c r="U2352" s="75"/>
      <c r="V2352" s="74"/>
      <c r="W2352" s="75"/>
      <c r="X2352" s="74"/>
      <c r="Y2352" s="74"/>
      <c r="Z2352" s="74"/>
      <c r="AA2352" s="74"/>
      <c r="AB2352" s="74"/>
      <c r="AC2352" s="74"/>
      <c r="AD2352" s="74"/>
      <c r="AE2352" s="74"/>
      <c r="AF2352" s="74"/>
      <c r="AG2352" s="74"/>
      <c r="AH2352" s="74"/>
    </row>
    <row r="2353" s="73" customFormat="1" spans="1:34">
      <c r="A2353" s="74"/>
      <c r="B2353" s="74"/>
      <c r="C2353" s="74"/>
      <c r="D2353" s="74"/>
      <c r="E2353" s="74"/>
      <c r="F2353" s="74"/>
      <c r="G2353" s="74"/>
      <c r="H2353" s="74"/>
      <c r="I2353" s="74"/>
      <c r="J2353" s="74"/>
      <c r="K2353" s="74"/>
      <c r="L2353" s="74"/>
      <c r="M2353" s="74"/>
      <c r="N2353" s="74"/>
      <c r="O2353" s="75"/>
      <c r="P2353" s="74"/>
      <c r="Q2353" s="75"/>
      <c r="R2353" s="74"/>
      <c r="S2353" s="74"/>
      <c r="T2353" s="74"/>
      <c r="U2353" s="75"/>
      <c r="V2353" s="74"/>
      <c r="W2353" s="75"/>
      <c r="X2353" s="74"/>
      <c r="Y2353" s="74"/>
      <c r="Z2353" s="74"/>
      <c r="AA2353" s="74"/>
      <c r="AB2353" s="74"/>
      <c r="AC2353" s="74"/>
      <c r="AD2353" s="74"/>
      <c r="AE2353" s="74"/>
      <c r="AF2353" s="74"/>
      <c r="AG2353" s="74"/>
      <c r="AH2353" s="74"/>
    </row>
    <row r="2354" s="73" customFormat="1" spans="1:34">
      <c r="A2354" s="74"/>
      <c r="B2354" s="74"/>
      <c r="C2354" s="74"/>
      <c r="D2354" s="74"/>
      <c r="E2354" s="74"/>
      <c r="F2354" s="74"/>
      <c r="G2354" s="74"/>
      <c r="H2354" s="74"/>
      <c r="I2354" s="74"/>
      <c r="J2354" s="74"/>
      <c r="K2354" s="74"/>
      <c r="L2354" s="74"/>
      <c r="M2354" s="74"/>
      <c r="N2354" s="74"/>
      <c r="O2354" s="75"/>
      <c r="P2354" s="74"/>
      <c r="Q2354" s="75"/>
      <c r="R2354" s="74"/>
      <c r="S2354" s="74"/>
      <c r="T2354" s="74"/>
      <c r="U2354" s="75"/>
      <c r="V2354" s="74"/>
      <c r="W2354" s="75"/>
      <c r="X2354" s="74"/>
      <c r="Y2354" s="74"/>
      <c r="Z2354" s="74"/>
      <c r="AA2354" s="74"/>
      <c r="AB2354" s="74"/>
      <c r="AC2354" s="74"/>
      <c r="AD2354" s="74"/>
      <c r="AE2354" s="74"/>
      <c r="AF2354" s="74"/>
      <c r="AG2354" s="74"/>
      <c r="AH2354" s="74"/>
    </row>
    <row r="2355" s="73" customFormat="1" spans="1:34">
      <c r="A2355" s="74"/>
      <c r="B2355" s="74"/>
      <c r="C2355" s="74"/>
      <c r="D2355" s="74"/>
      <c r="E2355" s="74"/>
      <c r="F2355" s="74"/>
      <c r="G2355" s="74"/>
      <c r="H2355" s="74"/>
      <c r="I2355" s="74"/>
      <c r="J2355" s="74"/>
      <c r="K2355" s="74"/>
      <c r="L2355" s="74"/>
      <c r="M2355" s="74"/>
      <c r="N2355" s="74"/>
      <c r="O2355" s="75"/>
      <c r="P2355" s="74"/>
      <c r="Q2355" s="75"/>
      <c r="R2355" s="74"/>
      <c r="S2355" s="74"/>
      <c r="T2355" s="74"/>
      <c r="U2355" s="75"/>
      <c r="V2355" s="74"/>
      <c r="W2355" s="75"/>
      <c r="X2355" s="74"/>
      <c r="Y2355" s="74"/>
      <c r="Z2355" s="74"/>
      <c r="AA2355" s="74"/>
      <c r="AB2355" s="74"/>
      <c r="AC2355" s="74"/>
      <c r="AD2355" s="74"/>
      <c r="AE2355" s="74"/>
      <c r="AF2355" s="74"/>
      <c r="AG2355" s="74"/>
      <c r="AH2355" s="74"/>
    </row>
    <row r="2356" s="73" customFormat="1" spans="1:34">
      <c r="A2356" s="74"/>
      <c r="B2356" s="74"/>
      <c r="C2356" s="74"/>
      <c r="D2356" s="74"/>
      <c r="E2356" s="74"/>
      <c r="F2356" s="74"/>
      <c r="G2356" s="74"/>
      <c r="H2356" s="74"/>
      <c r="I2356" s="74"/>
      <c r="J2356" s="74"/>
      <c r="K2356" s="74"/>
      <c r="L2356" s="74"/>
      <c r="M2356" s="74"/>
      <c r="N2356" s="74"/>
      <c r="O2356" s="75"/>
      <c r="P2356" s="74"/>
      <c r="Q2356" s="75"/>
      <c r="R2356" s="74"/>
      <c r="S2356" s="74"/>
      <c r="T2356" s="74"/>
      <c r="U2356" s="75"/>
      <c r="V2356" s="74"/>
      <c r="W2356" s="75"/>
      <c r="X2356" s="74"/>
      <c r="Y2356" s="74"/>
      <c r="Z2356" s="74"/>
      <c r="AA2356" s="74"/>
      <c r="AB2356" s="74"/>
      <c r="AC2356" s="74"/>
      <c r="AD2356" s="74"/>
      <c r="AE2356" s="74"/>
      <c r="AF2356" s="74"/>
      <c r="AG2356" s="74"/>
      <c r="AH2356" s="74"/>
    </row>
    <row r="2357" s="73" customFormat="1" spans="1:34">
      <c r="A2357" s="74"/>
      <c r="B2357" s="74"/>
      <c r="C2357" s="74"/>
      <c r="D2357" s="74"/>
      <c r="E2357" s="74"/>
      <c r="F2357" s="74"/>
      <c r="G2357" s="74"/>
      <c r="H2357" s="74"/>
      <c r="I2357" s="74"/>
      <c r="J2357" s="74"/>
      <c r="K2357" s="74"/>
      <c r="L2357" s="74"/>
      <c r="M2357" s="74"/>
      <c r="N2357" s="74"/>
      <c r="O2357" s="75"/>
      <c r="P2357" s="74"/>
      <c r="Q2357" s="75"/>
      <c r="R2357" s="74"/>
      <c r="S2357" s="74"/>
      <c r="T2357" s="74"/>
      <c r="U2357" s="75"/>
      <c r="V2357" s="74"/>
      <c r="W2357" s="75"/>
      <c r="X2357" s="74"/>
      <c r="Y2357" s="74"/>
      <c r="Z2357" s="74"/>
      <c r="AA2357" s="74"/>
      <c r="AB2357" s="74"/>
      <c r="AC2357" s="74"/>
      <c r="AD2357" s="74"/>
      <c r="AE2357" s="74"/>
      <c r="AF2357" s="74"/>
      <c r="AG2357" s="74"/>
      <c r="AH2357" s="74"/>
    </row>
    <row r="2358" s="73" customFormat="1" spans="1:34">
      <c r="A2358" s="74"/>
      <c r="B2358" s="74"/>
      <c r="C2358" s="74"/>
      <c r="D2358" s="74"/>
      <c r="E2358" s="74"/>
      <c r="F2358" s="74"/>
      <c r="G2358" s="74"/>
      <c r="H2358" s="74"/>
      <c r="I2358" s="74"/>
      <c r="J2358" s="74"/>
      <c r="K2358" s="74"/>
      <c r="L2358" s="74"/>
      <c r="M2358" s="74"/>
      <c r="N2358" s="74"/>
      <c r="O2358" s="75"/>
      <c r="P2358" s="74"/>
      <c r="Q2358" s="75"/>
      <c r="R2358" s="74"/>
      <c r="S2358" s="74"/>
      <c r="T2358" s="74"/>
      <c r="U2358" s="75"/>
      <c r="V2358" s="74"/>
      <c r="W2358" s="75"/>
      <c r="X2358" s="74"/>
      <c r="Y2358" s="74"/>
      <c r="Z2358" s="74"/>
      <c r="AA2358" s="74"/>
      <c r="AB2358" s="74"/>
      <c r="AC2358" s="74"/>
      <c r="AD2358" s="74"/>
      <c r="AE2358" s="74"/>
      <c r="AF2358" s="74"/>
      <c r="AG2358" s="74"/>
      <c r="AH2358" s="74"/>
    </row>
    <row r="2359" s="73" customFormat="1" spans="1:34">
      <c r="A2359" s="74"/>
      <c r="B2359" s="74"/>
      <c r="C2359" s="74"/>
      <c r="D2359" s="74"/>
      <c r="E2359" s="74"/>
      <c r="F2359" s="74"/>
      <c r="G2359" s="74"/>
      <c r="H2359" s="74"/>
      <c r="I2359" s="74"/>
      <c r="J2359" s="74"/>
      <c r="K2359" s="74"/>
      <c r="L2359" s="74"/>
      <c r="M2359" s="74"/>
      <c r="N2359" s="74"/>
      <c r="O2359" s="75"/>
      <c r="P2359" s="74"/>
      <c r="Q2359" s="75"/>
      <c r="R2359" s="74"/>
      <c r="S2359" s="74"/>
      <c r="T2359" s="74"/>
      <c r="U2359" s="75"/>
      <c r="V2359" s="74"/>
      <c r="W2359" s="75"/>
      <c r="X2359" s="74"/>
      <c r="Y2359" s="74"/>
      <c r="Z2359" s="74"/>
      <c r="AA2359" s="74"/>
      <c r="AB2359" s="74"/>
      <c r="AC2359" s="74"/>
      <c r="AD2359" s="74"/>
      <c r="AE2359" s="74"/>
      <c r="AF2359" s="74"/>
      <c r="AG2359" s="74"/>
      <c r="AH2359" s="74"/>
    </row>
    <row r="2360" s="73" customFormat="1" spans="1:34">
      <c r="A2360" s="74"/>
      <c r="B2360" s="74"/>
      <c r="C2360" s="74"/>
      <c r="D2360" s="74"/>
      <c r="E2360" s="74"/>
      <c r="F2360" s="74"/>
      <c r="G2360" s="74"/>
      <c r="H2360" s="74"/>
      <c r="I2360" s="74"/>
      <c r="J2360" s="74"/>
      <c r="K2360" s="74"/>
      <c r="L2360" s="74"/>
      <c r="M2360" s="74"/>
      <c r="N2360" s="74"/>
      <c r="O2360" s="75"/>
      <c r="P2360" s="74"/>
      <c r="Q2360" s="75"/>
      <c r="R2360" s="74"/>
      <c r="S2360" s="74"/>
      <c r="T2360" s="74"/>
      <c r="U2360" s="75"/>
      <c r="V2360" s="74"/>
      <c r="W2360" s="75"/>
      <c r="X2360" s="74"/>
      <c r="Y2360" s="74"/>
      <c r="Z2360" s="74"/>
      <c r="AA2360" s="74"/>
      <c r="AB2360" s="74"/>
      <c r="AC2360" s="74"/>
      <c r="AD2360" s="74"/>
      <c r="AE2360" s="74"/>
      <c r="AF2360" s="74"/>
      <c r="AG2360" s="74"/>
      <c r="AH2360" s="74"/>
    </row>
    <row r="2361" s="73" customFormat="1" spans="1:34">
      <c r="A2361" s="74"/>
      <c r="B2361" s="74"/>
      <c r="C2361" s="74"/>
      <c r="D2361" s="74"/>
      <c r="E2361" s="74"/>
      <c r="F2361" s="74"/>
      <c r="G2361" s="74"/>
      <c r="H2361" s="74"/>
      <c r="I2361" s="74"/>
      <c r="J2361" s="74"/>
      <c r="K2361" s="74"/>
      <c r="L2361" s="74"/>
      <c r="M2361" s="74"/>
      <c r="N2361" s="74"/>
      <c r="O2361" s="75"/>
      <c r="P2361" s="74"/>
      <c r="Q2361" s="75"/>
      <c r="R2361" s="74"/>
      <c r="S2361" s="74"/>
      <c r="T2361" s="74"/>
      <c r="U2361" s="75"/>
      <c r="V2361" s="74"/>
      <c r="W2361" s="75"/>
      <c r="X2361" s="74"/>
      <c r="Y2361" s="74"/>
      <c r="Z2361" s="74"/>
      <c r="AA2361" s="74"/>
      <c r="AB2361" s="74"/>
      <c r="AC2361" s="74"/>
      <c r="AD2361" s="74"/>
      <c r="AE2361" s="74"/>
      <c r="AF2361" s="74"/>
      <c r="AG2361" s="74"/>
      <c r="AH2361" s="74"/>
    </row>
    <row r="2362" s="73" customFormat="1" spans="1:34">
      <c r="A2362" s="74"/>
      <c r="B2362" s="74"/>
      <c r="C2362" s="74"/>
      <c r="D2362" s="74"/>
      <c r="E2362" s="74"/>
      <c r="F2362" s="74"/>
      <c r="G2362" s="74"/>
      <c r="H2362" s="74"/>
      <c r="I2362" s="74"/>
      <c r="J2362" s="74"/>
      <c r="K2362" s="74"/>
      <c r="L2362" s="74"/>
      <c r="M2362" s="74"/>
      <c r="N2362" s="74"/>
      <c r="O2362" s="75"/>
      <c r="P2362" s="74"/>
      <c r="Q2362" s="75"/>
      <c r="R2362" s="74"/>
      <c r="S2362" s="74"/>
      <c r="T2362" s="74"/>
      <c r="U2362" s="75"/>
      <c r="V2362" s="74"/>
      <c r="W2362" s="75"/>
      <c r="X2362" s="74"/>
      <c r="Y2362" s="74"/>
      <c r="Z2362" s="74"/>
      <c r="AA2362" s="74"/>
      <c r="AB2362" s="74"/>
      <c r="AC2362" s="74"/>
      <c r="AD2362" s="74"/>
      <c r="AE2362" s="74"/>
      <c r="AF2362" s="74"/>
      <c r="AG2362" s="74"/>
      <c r="AH2362" s="74"/>
    </row>
    <row r="2363" s="73" customFormat="1" spans="1:34">
      <c r="A2363" s="74"/>
      <c r="B2363" s="74"/>
      <c r="C2363" s="74"/>
      <c r="D2363" s="74"/>
      <c r="E2363" s="74"/>
      <c r="F2363" s="74"/>
      <c r="G2363" s="74"/>
      <c r="H2363" s="74"/>
      <c r="I2363" s="74"/>
      <c r="J2363" s="74"/>
      <c r="K2363" s="74"/>
      <c r="L2363" s="74"/>
      <c r="M2363" s="74"/>
      <c r="N2363" s="74"/>
      <c r="O2363" s="75"/>
      <c r="P2363" s="74"/>
      <c r="Q2363" s="75"/>
      <c r="R2363" s="74"/>
      <c r="S2363" s="74"/>
      <c r="T2363" s="74"/>
      <c r="U2363" s="75"/>
      <c r="V2363" s="74"/>
      <c r="W2363" s="75"/>
      <c r="X2363" s="74"/>
      <c r="Y2363" s="74"/>
      <c r="Z2363" s="74"/>
      <c r="AA2363" s="74"/>
      <c r="AB2363" s="74"/>
      <c r="AC2363" s="74"/>
      <c r="AD2363" s="74"/>
      <c r="AE2363" s="74"/>
      <c r="AF2363" s="74"/>
      <c r="AG2363" s="74"/>
      <c r="AH2363" s="74"/>
    </row>
    <row r="2364" s="73" customFormat="1" spans="1:34">
      <c r="A2364" s="74"/>
      <c r="B2364" s="74"/>
      <c r="C2364" s="74"/>
      <c r="D2364" s="74"/>
      <c r="E2364" s="74"/>
      <c r="F2364" s="74"/>
      <c r="G2364" s="74"/>
      <c r="H2364" s="74"/>
      <c r="I2364" s="74"/>
      <c r="J2364" s="74"/>
      <c r="K2364" s="74"/>
      <c r="L2364" s="74"/>
      <c r="M2364" s="74"/>
      <c r="N2364" s="74"/>
      <c r="O2364" s="75"/>
      <c r="P2364" s="74"/>
      <c r="Q2364" s="75"/>
      <c r="R2364" s="74"/>
      <c r="S2364" s="74"/>
      <c r="T2364" s="74"/>
      <c r="U2364" s="75"/>
      <c r="V2364" s="74"/>
      <c r="W2364" s="75"/>
      <c r="X2364" s="74"/>
      <c r="Y2364" s="74"/>
      <c r="Z2364" s="74"/>
      <c r="AA2364" s="74"/>
      <c r="AB2364" s="74"/>
      <c r="AC2364" s="74"/>
      <c r="AD2364" s="74"/>
      <c r="AE2364" s="74"/>
      <c r="AF2364" s="74"/>
      <c r="AG2364" s="74"/>
      <c r="AH2364" s="74"/>
    </row>
    <row r="2365" s="73" customFormat="1" spans="1:34">
      <c r="A2365" s="74"/>
      <c r="B2365" s="74"/>
      <c r="C2365" s="74"/>
      <c r="D2365" s="74"/>
      <c r="E2365" s="74"/>
      <c r="F2365" s="74"/>
      <c r="G2365" s="74"/>
      <c r="H2365" s="74"/>
      <c r="I2365" s="74"/>
      <c r="J2365" s="74"/>
      <c r="K2365" s="74"/>
      <c r="L2365" s="74"/>
      <c r="M2365" s="74"/>
      <c r="N2365" s="74"/>
      <c r="O2365" s="75"/>
      <c r="P2365" s="74"/>
      <c r="Q2365" s="75"/>
      <c r="R2365" s="74"/>
      <c r="S2365" s="74"/>
      <c r="T2365" s="74"/>
      <c r="U2365" s="75"/>
      <c r="V2365" s="74"/>
      <c r="W2365" s="75"/>
      <c r="X2365" s="74"/>
      <c r="Y2365" s="74"/>
      <c r="Z2365" s="74"/>
      <c r="AA2365" s="74"/>
      <c r="AB2365" s="74"/>
      <c r="AC2365" s="74"/>
      <c r="AD2365" s="74"/>
      <c r="AE2365" s="74"/>
      <c r="AF2365" s="74"/>
      <c r="AG2365" s="74"/>
      <c r="AH2365" s="74"/>
    </row>
    <row r="2366" s="73" customFormat="1" spans="1:34">
      <c r="A2366" s="74"/>
      <c r="B2366" s="74"/>
      <c r="C2366" s="74"/>
      <c r="D2366" s="74"/>
      <c r="E2366" s="74"/>
      <c r="F2366" s="74"/>
      <c r="G2366" s="74"/>
      <c r="H2366" s="74"/>
      <c r="I2366" s="74"/>
      <c r="J2366" s="74"/>
      <c r="K2366" s="74"/>
      <c r="L2366" s="74"/>
      <c r="M2366" s="74"/>
      <c r="N2366" s="74"/>
      <c r="O2366" s="75"/>
      <c r="P2366" s="74"/>
      <c r="Q2366" s="75"/>
      <c r="R2366" s="74"/>
      <c r="S2366" s="74"/>
      <c r="T2366" s="74"/>
      <c r="U2366" s="75"/>
      <c r="V2366" s="74"/>
      <c r="W2366" s="75"/>
      <c r="X2366" s="74"/>
      <c r="Y2366" s="74"/>
      <c r="Z2366" s="74"/>
      <c r="AA2366" s="74"/>
      <c r="AB2366" s="74"/>
      <c r="AC2366" s="74"/>
      <c r="AD2366" s="74"/>
      <c r="AE2366" s="74"/>
      <c r="AF2366" s="74"/>
      <c r="AG2366" s="74"/>
      <c r="AH2366" s="74"/>
    </row>
    <row r="2367" s="73" customFormat="1" spans="1:34">
      <c r="A2367" s="74"/>
      <c r="B2367" s="74"/>
      <c r="C2367" s="74"/>
      <c r="D2367" s="74"/>
      <c r="E2367" s="74"/>
      <c r="F2367" s="74"/>
      <c r="G2367" s="74"/>
      <c r="H2367" s="74"/>
      <c r="I2367" s="74"/>
      <c r="J2367" s="74"/>
      <c r="K2367" s="74"/>
      <c r="L2367" s="74"/>
      <c r="M2367" s="74"/>
      <c r="N2367" s="74"/>
      <c r="O2367" s="75"/>
      <c r="P2367" s="74"/>
      <c r="Q2367" s="75"/>
      <c r="R2367" s="74"/>
      <c r="S2367" s="74"/>
      <c r="T2367" s="74"/>
      <c r="U2367" s="75"/>
      <c r="V2367" s="74"/>
      <c r="W2367" s="75"/>
      <c r="X2367" s="74"/>
      <c r="Y2367" s="74"/>
      <c r="Z2367" s="74"/>
      <c r="AA2367" s="74"/>
      <c r="AB2367" s="74"/>
      <c r="AC2367" s="74"/>
      <c r="AD2367" s="74"/>
      <c r="AE2367" s="74"/>
      <c r="AF2367" s="74"/>
      <c r="AG2367" s="74"/>
      <c r="AH2367" s="74"/>
    </row>
    <row r="2368" s="73" customFormat="1" spans="1:34">
      <c r="A2368" s="74"/>
      <c r="B2368" s="74"/>
      <c r="C2368" s="74"/>
      <c r="D2368" s="74"/>
      <c r="E2368" s="74"/>
      <c r="F2368" s="74"/>
      <c r="G2368" s="74"/>
      <c r="H2368" s="74"/>
      <c r="I2368" s="74"/>
      <c r="J2368" s="74"/>
      <c r="K2368" s="74"/>
      <c r="L2368" s="74"/>
      <c r="M2368" s="74"/>
      <c r="N2368" s="74"/>
      <c r="O2368" s="75"/>
      <c r="P2368" s="74"/>
      <c r="Q2368" s="75"/>
      <c r="R2368" s="74"/>
      <c r="S2368" s="74"/>
      <c r="T2368" s="74"/>
      <c r="U2368" s="75"/>
      <c r="V2368" s="74"/>
      <c r="W2368" s="75"/>
      <c r="X2368" s="74"/>
      <c r="Y2368" s="74"/>
      <c r="Z2368" s="74"/>
      <c r="AA2368" s="74"/>
      <c r="AB2368" s="74"/>
      <c r="AC2368" s="74"/>
      <c r="AD2368" s="74"/>
      <c r="AE2368" s="74"/>
      <c r="AF2368" s="74"/>
      <c r="AG2368" s="74"/>
      <c r="AH2368" s="74"/>
    </row>
    <row r="2369" s="73" customFormat="1" spans="1:34">
      <c r="A2369" s="74"/>
      <c r="B2369" s="74"/>
      <c r="C2369" s="74"/>
      <c r="D2369" s="74"/>
      <c r="E2369" s="74"/>
      <c r="F2369" s="74"/>
      <c r="G2369" s="74"/>
      <c r="H2369" s="74"/>
      <c r="I2369" s="74"/>
      <c r="J2369" s="74"/>
      <c r="K2369" s="74"/>
      <c r="L2369" s="74"/>
      <c r="M2369" s="74"/>
      <c r="N2369" s="74"/>
      <c r="O2369" s="75"/>
      <c r="P2369" s="74"/>
      <c r="Q2369" s="75"/>
      <c r="R2369" s="74"/>
      <c r="S2369" s="74"/>
      <c r="T2369" s="74"/>
      <c r="U2369" s="75"/>
      <c r="V2369" s="74"/>
      <c r="W2369" s="75"/>
      <c r="X2369" s="74"/>
      <c r="Y2369" s="74"/>
      <c r="Z2369" s="74"/>
      <c r="AA2369" s="74"/>
      <c r="AB2369" s="74"/>
      <c r="AC2369" s="74"/>
      <c r="AD2369" s="74"/>
      <c r="AE2369" s="74"/>
      <c r="AF2369" s="74"/>
      <c r="AG2369" s="74"/>
      <c r="AH2369" s="74"/>
    </row>
    <row r="2370" s="73" customFormat="1" spans="1:34">
      <c r="A2370" s="74"/>
      <c r="B2370" s="74"/>
      <c r="C2370" s="74"/>
      <c r="D2370" s="74"/>
      <c r="E2370" s="74"/>
      <c r="F2370" s="74"/>
      <c r="G2370" s="74"/>
      <c r="H2370" s="74"/>
      <c r="I2370" s="74"/>
      <c r="J2370" s="74"/>
      <c r="K2370" s="74"/>
      <c r="L2370" s="74"/>
      <c r="M2370" s="74"/>
      <c r="N2370" s="74"/>
      <c r="O2370" s="75"/>
      <c r="P2370" s="74"/>
      <c r="Q2370" s="75"/>
      <c r="R2370" s="74"/>
      <c r="S2370" s="74"/>
      <c r="T2370" s="74"/>
      <c r="U2370" s="75"/>
      <c r="V2370" s="74"/>
      <c r="W2370" s="75"/>
      <c r="X2370" s="74"/>
      <c r="Y2370" s="74"/>
      <c r="Z2370" s="74"/>
      <c r="AA2370" s="74"/>
      <c r="AB2370" s="74"/>
      <c r="AC2370" s="74"/>
      <c r="AD2370" s="74"/>
      <c r="AE2370" s="74"/>
      <c r="AF2370" s="74"/>
      <c r="AG2370" s="74"/>
      <c r="AH2370" s="74"/>
    </row>
    <row r="2371" s="73" customFormat="1" spans="1:34">
      <c r="A2371" s="74"/>
      <c r="B2371" s="74"/>
      <c r="C2371" s="74"/>
      <c r="D2371" s="74"/>
      <c r="E2371" s="74"/>
      <c r="F2371" s="74"/>
      <c r="G2371" s="74"/>
      <c r="H2371" s="74"/>
      <c r="I2371" s="74"/>
      <c r="J2371" s="74"/>
      <c r="K2371" s="74"/>
      <c r="L2371" s="74"/>
      <c r="M2371" s="74"/>
      <c r="N2371" s="74"/>
      <c r="O2371" s="75"/>
      <c r="P2371" s="74"/>
      <c r="Q2371" s="75"/>
      <c r="R2371" s="74"/>
      <c r="S2371" s="74"/>
      <c r="T2371" s="74"/>
      <c r="U2371" s="75"/>
      <c r="V2371" s="74"/>
      <c r="W2371" s="75"/>
      <c r="X2371" s="74"/>
      <c r="Y2371" s="74"/>
      <c r="Z2371" s="74"/>
      <c r="AA2371" s="74"/>
      <c r="AB2371" s="74"/>
      <c r="AC2371" s="74"/>
      <c r="AD2371" s="74"/>
      <c r="AE2371" s="74"/>
      <c r="AF2371" s="74"/>
      <c r="AG2371" s="74"/>
      <c r="AH2371" s="74"/>
    </row>
    <row r="2372" s="73" customFormat="1" spans="1:34">
      <c r="A2372" s="74"/>
      <c r="B2372" s="74"/>
      <c r="C2372" s="74"/>
      <c r="D2372" s="74"/>
      <c r="E2372" s="74"/>
      <c r="F2372" s="74"/>
      <c r="G2372" s="74"/>
      <c r="H2372" s="74"/>
      <c r="I2372" s="74"/>
      <c r="J2372" s="74"/>
      <c r="K2372" s="74"/>
      <c r="L2372" s="74"/>
      <c r="M2372" s="74"/>
      <c r="N2372" s="74"/>
      <c r="O2372" s="75"/>
      <c r="P2372" s="74"/>
      <c r="Q2372" s="75"/>
      <c r="R2372" s="74"/>
      <c r="S2372" s="74"/>
      <c r="T2372" s="74"/>
      <c r="U2372" s="75"/>
      <c r="V2372" s="74"/>
      <c r="W2372" s="75"/>
      <c r="X2372" s="74"/>
      <c r="Y2372" s="74"/>
      <c r="Z2372" s="74"/>
      <c r="AA2372" s="74"/>
      <c r="AB2372" s="74"/>
      <c r="AC2372" s="74"/>
      <c r="AD2372" s="74"/>
      <c r="AE2372" s="74"/>
      <c r="AF2372" s="74"/>
      <c r="AG2372" s="74"/>
      <c r="AH2372" s="74"/>
    </row>
    <row r="2373" s="73" customFormat="1" spans="1:34">
      <c r="A2373" s="74"/>
      <c r="B2373" s="74"/>
      <c r="C2373" s="74"/>
      <c r="D2373" s="74"/>
      <c r="E2373" s="74"/>
      <c r="F2373" s="74"/>
      <c r="G2373" s="74"/>
      <c r="H2373" s="74"/>
      <c r="I2373" s="74"/>
      <c r="J2373" s="74"/>
      <c r="K2373" s="74"/>
      <c r="L2373" s="74"/>
      <c r="M2373" s="74"/>
      <c r="N2373" s="74"/>
      <c r="O2373" s="75"/>
      <c r="P2373" s="74"/>
      <c r="Q2373" s="75"/>
      <c r="R2373" s="74"/>
      <c r="S2373" s="74"/>
      <c r="T2373" s="74"/>
      <c r="U2373" s="75"/>
      <c r="V2373" s="74"/>
      <c r="W2373" s="75"/>
      <c r="X2373" s="74"/>
      <c r="Y2373" s="74"/>
      <c r="Z2373" s="74"/>
      <c r="AA2373" s="74"/>
      <c r="AB2373" s="74"/>
      <c r="AC2373" s="74"/>
      <c r="AD2373" s="74"/>
      <c r="AE2373" s="74"/>
      <c r="AF2373" s="74"/>
      <c r="AG2373" s="74"/>
      <c r="AH2373" s="74"/>
    </row>
    <row r="2374" s="73" customFormat="1" spans="1:34">
      <c r="A2374" s="74"/>
      <c r="B2374" s="74"/>
      <c r="C2374" s="74"/>
      <c r="D2374" s="74"/>
      <c r="E2374" s="74"/>
      <c r="F2374" s="74"/>
      <c r="G2374" s="74"/>
      <c r="H2374" s="74"/>
      <c r="I2374" s="74"/>
      <c r="J2374" s="74"/>
      <c r="K2374" s="74"/>
      <c r="L2374" s="74"/>
      <c r="M2374" s="74"/>
      <c r="N2374" s="74"/>
      <c r="O2374" s="75"/>
      <c r="P2374" s="74"/>
      <c r="Q2374" s="75"/>
      <c r="R2374" s="74"/>
      <c r="S2374" s="74"/>
      <c r="T2374" s="74"/>
      <c r="U2374" s="75"/>
      <c r="V2374" s="74"/>
      <c r="W2374" s="75"/>
      <c r="X2374" s="74"/>
      <c r="Y2374" s="74"/>
      <c r="Z2374" s="74"/>
      <c r="AA2374" s="74"/>
      <c r="AB2374" s="74"/>
      <c r="AC2374" s="74"/>
      <c r="AD2374" s="74"/>
      <c r="AE2374" s="74"/>
      <c r="AF2374" s="74"/>
      <c r="AG2374" s="74"/>
      <c r="AH2374" s="74"/>
    </row>
    <row r="2375" s="73" customFormat="1" spans="1:34">
      <c r="A2375" s="74"/>
      <c r="B2375" s="74"/>
      <c r="C2375" s="74"/>
      <c r="D2375" s="74"/>
      <c r="E2375" s="74"/>
      <c r="F2375" s="74"/>
      <c r="G2375" s="74"/>
      <c r="H2375" s="74"/>
      <c r="I2375" s="74"/>
      <c r="J2375" s="74"/>
      <c r="K2375" s="74"/>
      <c r="L2375" s="74"/>
      <c r="M2375" s="74"/>
      <c r="N2375" s="74"/>
      <c r="O2375" s="75"/>
      <c r="P2375" s="74"/>
      <c r="Q2375" s="75"/>
      <c r="R2375" s="74"/>
      <c r="S2375" s="74"/>
      <c r="T2375" s="74"/>
      <c r="U2375" s="75"/>
      <c r="V2375" s="74"/>
      <c r="W2375" s="75"/>
      <c r="X2375" s="74"/>
      <c r="Y2375" s="74"/>
      <c r="Z2375" s="74"/>
      <c r="AA2375" s="74"/>
      <c r="AB2375" s="74"/>
      <c r="AC2375" s="74"/>
      <c r="AD2375" s="74"/>
      <c r="AE2375" s="74"/>
      <c r="AF2375" s="74"/>
      <c r="AG2375" s="74"/>
      <c r="AH2375" s="74"/>
    </row>
    <row r="2376" s="73" customFormat="1" spans="1:34">
      <c r="A2376" s="74"/>
      <c r="B2376" s="74"/>
      <c r="C2376" s="74"/>
      <c r="D2376" s="74"/>
      <c r="E2376" s="74"/>
      <c r="F2376" s="74"/>
      <c r="G2376" s="74"/>
      <c r="H2376" s="74"/>
      <c r="I2376" s="74"/>
      <c r="J2376" s="74"/>
      <c r="K2376" s="74"/>
      <c r="L2376" s="74"/>
      <c r="M2376" s="74"/>
      <c r="N2376" s="74"/>
      <c r="O2376" s="75"/>
      <c r="P2376" s="74"/>
      <c r="Q2376" s="75"/>
      <c r="R2376" s="74"/>
      <c r="S2376" s="74"/>
      <c r="T2376" s="74"/>
      <c r="U2376" s="75"/>
      <c r="V2376" s="74"/>
      <c r="W2376" s="75"/>
      <c r="X2376" s="74"/>
      <c r="Y2376" s="74"/>
      <c r="Z2376" s="74"/>
      <c r="AA2376" s="74"/>
      <c r="AB2376" s="74"/>
      <c r="AC2376" s="74"/>
      <c r="AD2376" s="74"/>
      <c r="AE2376" s="74"/>
      <c r="AF2376" s="74"/>
      <c r="AG2376" s="74"/>
      <c r="AH2376" s="74"/>
    </row>
    <row r="2377" s="73" customFormat="1" spans="1:34">
      <c r="A2377" s="74"/>
      <c r="B2377" s="74"/>
      <c r="C2377" s="74"/>
      <c r="D2377" s="74"/>
      <c r="E2377" s="74"/>
      <c r="F2377" s="74"/>
      <c r="G2377" s="74"/>
      <c r="H2377" s="74"/>
      <c r="I2377" s="74"/>
      <c r="J2377" s="74"/>
      <c r="K2377" s="74"/>
      <c r="L2377" s="74"/>
      <c r="M2377" s="74"/>
      <c r="N2377" s="74"/>
      <c r="O2377" s="75"/>
      <c r="P2377" s="74"/>
      <c r="Q2377" s="75"/>
      <c r="R2377" s="74"/>
      <c r="S2377" s="74"/>
      <c r="T2377" s="74"/>
      <c r="U2377" s="75"/>
      <c r="V2377" s="74"/>
      <c r="W2377" s="75"/>
      <c r="X2377" s="74"/>
      <c r="Y2377" s="74"/>
      <c r="Z2377" s="74"/>
      <c r="AA2377" s="74"/>
      <c r="AB2377" s="74"/>
      <c r="AC2377" s="74"/>
      <c r="AD2377" s="74"/>
      <c r="AE2377" s="74"/>
      <c r="AF2377" s="74"/>
      <c r="AG2377" s="74"/>
      <c r="AH2377" s="74"/>
    </row>
    <row r="2378" s="73" customFormat="1" spans="1:34">
      <c r="A2378" s="74"/>
      <c r="B2378" s="74"/>
      <c r="C2378" s="74"/>
      <c r="D2378" s="74"/>
      <c r="E2378" s="74"/>
      <c r="F2378" s="74"/>
      <c r="G2378" s="74"/>
      <c r="H2378" s="74"/>
      <c r="I2378" s="74"/>
      <c r="J2378" s="74"/>
      <c r="K2378" s="74"/>
      <c r="L2378" s="74"/>
      <c r="M2378" s="74"/>
      <c r="N2378" s="74"/>
      <c r="O2378" s="75"/>
      <c r="P2378" s="74"/>
      <c r="Q2378" s="75"/>
      <c r="R2378" s="74"/>
      <c r="S2378" s="74"/>
      <c r="T2378" s="74"/>
      <c r="U2378" s="75"/>
      <c r="V2378" s="74"/>
      <c r="W2378" s="75"/>
      <c r="X2378" s="74"/>
      <c r="Y2378" s="74"/>
      <c r="Z2378" s="74"/>
      <c r="AA2378" s="74"/>
      <c r="AB2378" s="74"/>
      <c r="AC2378" s="74"/>
      <c r="AD2378" s="74"/>
      <c r="AE2378" s="74"/>
      <c r="AF2378" s="74"/>
      <c r="AG2378" s="74"/>
      <c r="AH2378" s="74"/>
    </row>
    <row r="2379" s="73" customFormat="1" spans="1:34">
      <c r="A2379" s="74"/>
      <c r="B2379" s="74"/>
      <c r="C2379" s="74"/>
      <c r="D2379" s="74"/>
      <c r="E2379" s="74"/>
      <c r="F2379" s="74"/>
      <c r="G2379" s="74"/>
      <c r="H2379" s="74"/>
      <c r="I2379" s="74"/>
      <c r="J2379" s="74"/>
      <c r="K2379" s="74"/>
      <c r="L2379" s="74"/>
      <c r="M2379" s="74"/>
      <c r="N2379" s="74"/>
      <c r="O2379" s="75"/>
      <c r="P2379" s="74"/>
      <c r="Q2379" s="75"/>
      <c r="R2379" s="74"/>
      <c r="S2379" s="74"/>
      <c r="T2379" s="74"/>
      <c r="U2379" s="75"/>
      <c r="V2379" s="74"/>
      <c r="W2379" s="75"/>
      <c r="X2379" s="74"/>
      <c r="Y2379" s="74"/>
      <c r="Z2379" s="74"/>
      <c r="AA2379" s="74"/>
      <c r="AB2379" s="74"/>
      <c r="AC2379" s="74"/>
      <c r="AD2379" s="74"/>
      <c r="AE2379" s="74"/>
      <c r="AF2379" s="74"/>
      <c r="AG2379" s="74"/>
      <c r="AH2379" s="74"/>
    </row>
    <row r="2380" s="73" customFormat="1" spans="1:34">
      <c r="A2380" s="74"/>
      <c r="B2380" s="74"/>
      <c r="C2380" s="74"/>
      <c r="D2380" s="74"/>
      <c r="E2380" s="74"/>
      <c r="F2380" s="74"/>
      <c r="G2380" s="74"/>
      <c r="H2380" s="74"/>
      <c r="I2380" s="74"/>
      <c r="J2380" s="74"/>
      <c r="K2380" s="74"/>
      <c r="L2380" s="74"/>
      <c r="M2380" s="74"/>
      <c r="N2380" s="74"/>
      <c r="O2380" s="75"/>
      <c r="P2380" s="74"/>
      <c r="Q2380" s="75"/>
      <c r="R2380" s="74"/>
      <c r="S2380" s="74"/>
      <c r="T2380" s="74"/>
      <c r="U2380" s="75"/>
      <c r="V2380" s="74"/>
      <c r="W2380" s="75"/>
      <c r="X2380" s="74"/>
      <c r="Y2380" s="74"/>
      <c r="Z2380" s="74"/>
      <c r="AA2380" s="74"/>
      <c r="AB2380" s="74"/>
      <c r="AC2380" s="74"/>
      <c r="AD2380" s="74"/>
      <c r="AE2380" s="74"/>
      <c r="AF2380" s="74"/>
      <c r="AG2380" s="74"/>
      <c r="AH2380" s="74"/>
    </row>
    <row r="2381" s="73" customFormat="1" spans="1:34">
      <c r="A2381" s="74"/>
      <c r="B2381" s="74"/>
      <c r="C2381" s="74"/>
      <c r="D2381" s="74"/>
      <c r="E2381" s="74"/>
      <c r="F2381" s="74"/>
      <c r="G2381" s="74"/>
      <c r="H2381" s="74"/>
      <c r="I2381" s="74"/>
      <c r="J2381" s="74"/>
      <c r="K2381" s="74"/>
      <c r="L2381" s="74"/>
      <c r="M2381" s="74"/>
      <c r="N2381" s="74"/>
      <c r="O2381" s="75"/>
      <c r="P2381" s="74"/>
      <c r="Q2381" s="75"/>
      <c r="R2381" s="74"/>
      <c r="S2381" s="74"/>
      <c r="T2381" s="74"/>
      <c r="U2381" s="75"/>
      <c r="V2381" s="74"/>
      <c r="W2381" s="75"/>
      <c r="X2381" s="74"/>
      <c r="Y2381" s="74"/>
      <c r="Z2381" s="74"/>
      <c r="AA2381" s="74"/>
      <c r="AB2381" s="74"/>
      <c r="AC2381" s="74"/>
      <c r="AD2381" s="74"/>
      <c r="AE2381" s="74"/>
      <c r="AF2381" s="74"/>
      <c r="AG2381" s="74"/>
      <c r="AH2381" s="74"/>
    </row>
    <row r="2382" s="73" customFormat="1" spans="1:34">
      <c r="A2382" s="74"/>
      <c r="B2382" s="74"/>
      <c r="C2382" s="74"/>
      <c r="D2382" s="74"/>
      <c r="E2382" s="74"/>
      <c r="F2382" s="74"/>
      <c r="G2382" s="74"/>
      <c r="H2382" s="74"/>
      <c r="I2382" s="74"/>
      <c r="J2382" s="74"/>
      <c r="K2382" s="74"/>
      <c r="L2382" s="74"/>
      <c r="M2382" s="74"/>
      <c r="N2382" s="74"/>
      <c r="O2382" s="75"/>
      <c r="P2382" s="74"/>
      <c r="Q2382" s="75"/>
      <c r="R2382" s="74"/>
      <c r="S2382" s="74"/>
      <c r="T2382" s="74"/>
      <c r="U2382" s="75"/>
      <c r="V2382" s="74"/>
      <c r="W2382" s="75"/>
      <c r="X2382" s="74"/>
      <c r="Y2382" s="74"/>
      <c r="Z2382" s="74"/>
      <c r="AA2382" s="74"/>
      <c r="AB2382" s="74"/>
      <c r="AC2382" s="74"/>
      <c r="AD2382" s="74"/>
      <c r="AE2382" s="74"/>
      <c r="AF2382" s="74"/>
      <c r="AG2382" s="74"/>
      <c r="AH2382" s="74"/>
    </row>
    <row r="2383" s="73" customFormat="1" spans="1:34">
      <c r="A2383" s="74"/>
      <c r="B2383" s="74"/>
      <c r="C2383" s="74"/>
      <c r="D2383" s="74"/>
      <c r="E2383" s="74"/>
      <c r="F2383" s="74"/>
      <c r="G2383" s="74"/>
      <c r="H2383" s="74"/>
      <c r="I2383" s="74"/>
      <c r="J2383" s="74"/>
      <c r="K2383" s="74"/>
      <c r="L2383" s="74"/>
      <c r="M2383" s="74"/>
      <c r="N2383" s="74"/>
      <c r="O2383" s="75"/>
      <c r="P2383" s="74"/>
      <c r="Q2383" s="75"/>
      <c r="R2383" s="74"/>
      <c r="S2383" s="74"/>
      <c r="T2383" s="74"/>
      <c r="U2383" s="75"/>
      <c r="V2383" s="74"/>
      <c r="W2383" s="75"/>
      <c r="X2383" s="74"/>
      <c r="Y2383" s="74"/>
      <c r="Z2383" s="74"/>
      <c r="AA2383" s="74"/>
      <c r="AB2383" s="74"/>
      <c r="AC2383" s="74"/>
      <c r="AD2383" s="74"/>
      <c r="AE2383" s="74"/>
      <c r="AF2383" s="74"/>
      <c r="AG2383" s="74"/>
      <c r="AH2383" s="74"/>
    </row>
    <row r="2384" s="73" customFormat="1" spans="1:34">
      <c r="A2384" s="74"/>
      <c r="B2384" s="74"/>
      <c r="C2384" s="74"/>
      <c r="D2384" s="74"/>
      <c r="E2384" s="74"/>
      <c r="F2384" s="74"/>
      <c r="G2384" s="74"/>
      <c r="H2384" s="74"/>
      <c r="I2384" s="74"/>
      <c r="J2384" s="74"/>
      <c r="K2384" s="74"/>
      <c r="L2384" s="74"/>
      <c r="M2384" s="74"/>
      <c r="N2384" s="74"/>
      <c r="O2384" s="75"/>
      <c r="P2384" s="74"/>
      <c r="Q2384" s="75"/>
      <c r="R2384" s="74"/>
      <c r="S2384" s="74"/>
      <c r="T2384" s="74"/>
      <c r="U2384" s="75"/>
      <c r="V2384" s="74"/>
      <c r="W2384" s="75"/>
      <c r="X2384" s="74"/>
      <c r="Y2384" s="74"/>
      <c r="Z2384" s="74"/>
      <c r="AA2384" s="74"/>
      <c r="AB2384" s="74"/>
      <c r="AC2384" s="74"/>
      <c r="AD2384" s="74"/>
      <c r="AE2384" s="74"/>
      <c r="AF2384" s="74"/>
      <c r="AG2384" s="74"/>
      <c r="AH2384" s="74"/>
    </row>
    <row r="2385" s="73" customFormat="1" spans="1:34">
      <c r="A2385" s="74"/>
      <c r="B2385" s="74"/>
      <c r="C2385" s="74"/>
      <c r="D2385" s="74"/>
      <c r="E2385" s="74"/>
      <c r="F2385" s="74"/>
      <c r="G2385" s="74"/>
      <c r="H2385" s="74"/>
      <c r="I2385" s="74"/>
      <c r="J2385" s="74"/>
      <c r="K2385" s="74"/>
      <c r="L2385" s="74"/>
      <c r="M2385" s="74"/>
      <c r="N2385" s="74"/>
      <c r="O2385" s="75"/>
      <c r="P2385" s="74"/>
      <c r="Q2385" s="75"/>
      <c r="R2385" s="74"/>
      <c r="S2385" s="74"/>
      <c r="T2385" s="74"/>
      <c r="U2385" s="75"/>
      <c r="V2385" s="74"/>
      <c r="W2385" s="75"/>
      <c r="X2385" s="74"/>
      <c r="Y2385" s="74"/>
      <c r="Z2385" s="74"/>
      <c r="AA2385" s="74"/>
      <c r="AB2385" s="74"/>
      <c r="AC2385" s="74"/>
      <c r="AD2385" s="74"/>
      <c r="AE2385" s="74"/>
      <c r="AF2385" s="74"/>
      <c r="AG2385" s="74"/>
      <c r="AH2385" s="74"/>
    </row>
    <row r="2386" s="73" customFormat="1" spans="1:34">
      <c r="A2386" s="74"/>
      <c r="B2386" s="74"/>
      <c r="C2386" s="74"/>
      <c r="D2386" s="74"/>
      <c r="E2386" s="74"/>
      <c r="F2386" s="74"/>
      <c r="G2386" s="74"/>
      <c r="H2386" s="74"/>
      <c r="I2386" s="74"/>
      <c r="J2386" s="74"/>
      <c r="K2386" s="74"/>
      <c r="L2386" s="74"/>
      <c r="M2386" s="74"/>
      <c r="N2386" s="74"/>
      <c r="O2386" s="75"/>
      <c r="P2386" s="74"/>
      <c r="Q2386" s="75"/>
      <c r="R2386" s="74"/>
      <c r="S2386" s="74"/>
      <c r="T2386" s="74"/>
      <c r="U2386" s="75"/>
      <c r="V2386" s="74"/>
      <c r="W2386" s="75"/>
      <c r="X2386" s="74"/>
      <c r="Y2386" s="74"/>
      <c r="Z2386" s="74"/>
      <c r="AA2386" s="74"/>
      <c r="AB2386" s="74"/>
      <c r="AC2386" s="74"/>
      <c r="AD2386" s="74"/>
      <c r="AE2386" s="74"/>
      <c r="AF2386" s="74"/>
      <c r="AG2386" s="74"/>
      <c r="AH2386" s="74"/>
    </row>
    <row r="2387" s="73" customFormat="1" spans="1:34">
      <c r="A2387" s="74"/>
      <c r="B2387" s="74"/>
      <c r="C2387" s="74"/>
      <c r="D2387" s="74"/>
      <c r="E2387" s="74"/>
      <c r="F2387" s="74"/>
      <c r="G2387" s="74"/>
      <c r="H2387" s="74"/>
      <c r="I2387" s="74"/>
      <c r="J2387" s="74"/>
      <c r="K2387" s="74"/>
      <c r="L2387" s="74"/>
      <c r="M2387" s="74"/>
      <c r="N2387" s="74"/>
      <c r="O2387" s="75"/>
      <c r="P2387" s="74"/>
      <c r="Q2387" s="75"/>
      <c r="R2387" s="74"/>
      <c r="S2387" s="74"/>
      <c r="T2387" s="74"/>
      <c r="U2387" s="75"/>
      <c r="V2387" s="74"/>
      <c r="W2387" s="75"/>
      <c r="X2387" s="74"/>
      <c r="Y2387" s="74"/>
      <c r="Z2387" s="74"/>
      <c r="AA2387" s="74"/>
      <c r="AB2387" s="74"/>
      <c r="AC2387" s="74"/>
      <c r="AD2387" s="74"/>
      <c r="AE2387" s="74"/>
      <c r="AF2387" s="74"/>
      <c r="AG2387" s="74"/>
      <c r="AH2387" s="74"/>
    </row>
    <row r="2388" s="73" customFormat="1" spans="1:34">
      <c r="A2388" s="74"/>
      <c r="B2388" s="74"/>
      <c r="C2388" s="74"/>
      <c r="D2388" s="74"/>
      <c r="E2388" s="74"/>
      <c r="F2388" s="74"/>
      <c r="G2388" s="74"/>
      <c r="H2388" s="74"/>
      <c r="I2388" s="74"/>
      <c r="J2388" s="74"/>
      <c r="K2388" s="74"/>
      <c r="L2388" s="74"/>
      <c r="M2388" s="74"/>
      <c r="N2388" s="74"/>
      <c r="O2388" s="75"/>
      <c r="P2388" s="74"/>
      <c r="Q2388" s="75"/>
      <c r="R2388" s="74"/>
      <c r="S2388" s="74"/>
      <c r="T2388" s="74"/>
      <c r="U2388" s="75"/>
      <c r="V2388" s="74"/>
      <c r="W2388" s="75"/>
      <c r="X2388" s="74"/>
      <c r="Y2388" s="74"/>
      <c r="Z2388" s="74"/>
      <c r="AA2388" s="74"/>
      <c r="AB2388" s="74"/>
      <c r="AC2388" s="74"/>
      <c r="AD2388" s="74"/>
      <c r="AE2388" s="74"/>
      <c r="AF2388" s="74"/>
      <c r="AG2388" s="74"/>
      <c r="AH2388" s="74"/>
    </row>
    <row r="2389" s="73" customFormat="1" spans="1:34">
      <c r="A2389" s="74"/>
      <c r="B2389" s="74"/>
      <c r="C2389" s="74"/>
      <c r="D2389" s="74"/>
      <c r="E2389" s="74"/>
      <c r="F2389" s="74"/>
      <c r="G2389" s="74"/>
      <c r="H2389" s="74"/>
      <c r="I2389" s="74"/>
      <c r="J2389" s="74"/>
      <c r="K2389" s="74"/>
      <c r="L2389" s="74"/>
      <c r="M2389" s="74"/>
      <c r="N2389" s="74"/>
      <c r="O2389" s="75"/>
      <c r="P2389" s="74"/>
      <c r="Q2389" s="75"/>
      <c r="R2389" s="74"/>
      <c r="S2389" s="74"/>
      <c r="T2389" s="74"/>
      <c r="U2389" s="75"/>
      <c r="V2389" s="74"/>
      <c r="W2389" s="75"/>
      <c r="X2389" s="74"/>
      <c r="Y2389" s="74"/>
      <c r="Z2389" s="74"/>
      <c r="AA2389" s="74"/>
      <c r="AB2389" s="74"/>
      <c r="AC2389" s="74"/>
      <c r="AD2389" s="74"/>
      <c r="AE2389" s="74"/>
      <c r="AF2389" s="74"/>
      <c r="AG2389" s="74"/>
      <c r="AH2389" s="74"/>
    </row>
    <row r="2390" s="73" customFormat="1" spans="1:34">
      <c r="A2390" s="74"/>
      <c r="B2390" s="74"/>
      <c r="C2390" s="74"/>
      <c r="D2390" s="74"/>
      <c r="E2390" s="74"/>
      <c r="F2390" s="74"/>
      <c r="G2390" s="74"/>
      <c r="H2390" s="74"/>
      <c r="I2390" s="74"/>
      <c r="J2390" s="74"/>
      <c r="K2390" s="74"/>
      <c r="L2390" s="74"/>
      <c r="M2390" s="74"/>
      <c r="N2390" s="74"/>
      <c r="O2390" s="75"/>
      <c r="P2390" s="74"/>
      <c r="Q2390" s="75"/>
      <c r="R2390" s="74"/>
      <c r="S2390" s="74"/>
      <c r="T2390" s="74"/>
      <c r="U2390" s="75"/>
      <c r="V2390" s="74"/>
      <c r="W2390" s="75"/>
      <c r="X2390" s="74"/>
      <c r="Y2390" s="74"/>
      <c r="Z2390" s="74"/>
      <c r="AA2390" s="74"/>
      <c r="AB2390" s="74"/>
      <c r="AC2390" s="74"/>
      <c r="AD2390" s="74"/>
      <c r="AE2390" s="74"/>
      <c r="AF2390" s="74"/>
      <c r="AG2390" s="74"/>
      <c r="AH2390" s="74"/>
    </row>
    <row r="2391" s="73" customFormat="1" spans="1:34">
      <c r="A2391" s="74"/>
      <c r="B2391" s="74"/>
      <c r="C2391" s="74"/>
      <c r="D2391" s="74"/>
      <c r="E2391" s="74"/>
      <c r="F2391" s="74"/>
      <c r="G2391" s="74"/>
      <c r="H2391" s="74"/>
      <c r="I2391" s="74"/>
      <c r="J2391" s="74"/>
      <c r="K2391" s="74"/>
      <c r="L2391" s="74"/>
      <c r="M2391" s="74"/>
      <c r="N2391" s="74"/>
      <c r="O2391" s="75"/>
      <c r="P2391" s="74"/>
      <c r="Q2391" s="75"/>
      <c r="R2391" s="74"/>
      <c r="S2391" s="74"/>
      <c r="T2391" s="74"/>
      <c r="U2391" s="75"/>
      <c r="V2391" s="74"/>
      <c r="W2391" s="75"/>
      <c r="X2391" s="74"/>
      <c r="Y2391" s="74"/>
      <c r="Z2391" s="74"/>
      <c r="AA2391" s="74"/>
      <c r="AB2391" s="74"/>
      <c r="AC2391" s="74"/>
      <c r="AD2391" s="74"/>
      <c r="AE2391" s="74"/>
      <c r="AF2391" s="74"/>
      <c r="AG2391" s="74"/>
      <c r="AH2391" s="74"/>
    </row>
    <row r="2392" s="73" customFormat="1" spans="1:34">
      <c r="A2392" s="74"/>
      <c r="B2392" s="74"/>
      <c r="C2392" s="74"/>
      <c r="D2392" s="74"/>
      <c r="E2392" s="74"/>
      <c r="F2392" s="74"/>
      <c r="G2392" s="74"/>
      <c r="H2392" s="74"/>
      <c r="I2392" s="74"/>
      <c r="J2392" s="74"/>
      <c r="K2392" s="74"/>
      <c r="L2392" s="74"/>
      <c r="M2392" s="74"/>
      <c r="N2392" s="74"/>
      <c r="O2392" s="75"/>
      <c r="P2392" s="74"/>
      <c r="Q2392" s="75"/>
      <c r="R2392" s="74"/>
      <c r="S2392" s="74"/>
      <c r="T2392" s="74"/>
      <c r="U2392" s="75"/>
      <c r="V2392" s="74"/>
      <c r="W2392" s="75"/>
      <c r="X2392" s="74"/>
      <c r="Y2392" s="74"/>
      <c r="Z2392" s="74"/>
      <c r="AA2392" s="74"/>
      <c r="AB2392" s="74"/>
      <c r="AC2392" s="74"/>
      <c r="AD2392" s="74"/>
      <c r="AE2392" s="74"/>
      <c r="AF2392" s="74"/>
      <c r="AG2392" s="74"/>
      <c r="AH2392" s="74"/>
    </row>
    <row r="2393" s="73" customFormat="1" spans="1:34">
      <c r="A2393" s="74"/>
      <c r="B2393" s="74"/>
      <c r="C2393" s="74"/>
      <c r="D2393" s="74"/>
      <c r="E2393" s="74"/>
      <c r="F2393" s="74"/>
      <c r="G2393" s="74"/>
      <c r="H2393" s="74"/>
      <c r="I2393" s="74"/>
      <c r="J2393" s="74"/>
      <c r="K2393" s="74"/>
      <c r="L2393" s="74"/>
      <c r="M2393" s="74"/>
      <c r="N2393" s="74"/>
      <c r="O2393" s="75"/>
      <c r="P2393" s="74"/>
      <c r="Q2393" s="75"/>
      <c r="R2393" s="74"/>
      <c r="S2393" s="74"/>
      <c r="T2393" s="74"/>
      <c r="U2393" s="75"/>
      <c r="V2393" s="74"/>
      <c r="W2393" s="75"/>
      <c r="X2393" s="74"/>
      <c r="Y2393" s="74"/>
      <c r="Z2393" s="74"/>
      <c r="AA2393" s="74"/>
      <c r="AB2393" s="74"/>
      <c r="AC2393" s="74"/>
      <c r="AD2393" s="74"/>
      <c r="AE2393" s="74"/>
      <c r="AF2393" s="74"/>
      <c r="AG2393" s="74"/>
      <c r="AH2393" s="74"/>
    </row>
    <row r="2394" s="73" customFormat="1" spans="1:34">
      <c r="A2394" s="74"/>
      <c r="B2394" s="74"/>
      <c r="C2394" s="74"/>
      <c r="D2394" s="74"/>
      <c r="E2394" s="74"/>
      <c r="F2394" s="74"/>
      <c r="G2394" s="74"/>
      <c r="H2394" s="74"/>
      <c r="I2394" s="74"/>
      <c r="J2394" s="74"/>
      <c r="K2394" s="74"/>
      <c r="L2394" s="74"/>
      <c r="M2394" s="74"/>
      <c r="N2394" s="74"/>
      <c r="O2394" s="75"/>
      <c r="P2394" s="74"/>
      <c r="Q2394" s="75"/>
      <c r="R2394" s="74"/>
      <c r="S2394" s="74"/>
      <c r="T2394" s="74"/>
      <c r="U2394" s="75"/>
      <c r="V2394" s="74"/>
      <c r="W2394" s="75"/>
      <c r="X2394" s="74"/>
      <c r="Y2394" s="74"/>
      <c r="Z2394" s="74"/>
      <c r="AA2394" s="74"/>
      <c r="AB2394" s="74"/>
      <c r="AC2394" s="74"/>
      <c r="AD2394" s="74"/>
      <c r="AE2394" s="74"/>
      <c r="AF2394" s="74"/>
      <c r="AG2394" s="74"/>
      <c r="AH2394" s="74"/>
    </row>
    <row r="2395" s="73" customFormat="1" spans="1:34">
      <c r="A2395" s="74"/>
      <c r="B2395" s="74"/>
      <c r="C2395" s="74"/>
      <c r="D2395" s="74"/>
      <c r="E2395" s="74"/>
      <c r="F2395" s="74"/>
      <c r="G2395" s="74"/>
      <c r="H2395" s="74"/>
      <c r="I2395" s="74"/>
      <c r="J2395" s="74"/>
      <c r="K2395" s="74"/>
      <c r="L2395" s="74"/>
      <c r="M2395" s="74"/>
      <c r="N2395" s="74"/>
      <c r="O2395" s="75"/>
      <c r="P2395" s="74"/>
      <c r="Q2395" s="75"/>
      <c r="R2395" s="74"/>
      <c r="S2395" s="74"/>
      <c r="T2395" s="74"/>
      <c r="U2395" s="75"/>
      <c r="V2395" s="74"/>
      <c r="W2395" s="75"/>
      <c r="X2395" s="74"/>
      <c r="Y2395" s="74"/>
      <c r="Z2395" s="74"/>
      <c r="AA2395" s="74"/>
      <c r="AB2395" s="74"/>
      <c r="AC2395" s="74"/>
      <c r="AD2395" s="74"/>
      <c r="AE2395" s="74"/>
      <c r="AF2395" s="74"/>
      <c r="AG2395" s="74"/>
      <c r="AH2395" s="74"/>
    </row>
    <row r="2396" s="73" customFormat="1" spans="1:34">
      <c r="A2396" s="74"/>
      <c r="B2396" s="74"/>
      <c r="C2396" s="74"/>
      <c r="D2396" s="74"/>
      <c r="E2396" s="74"/>
      <c r="F2396" s="74"/>
      <c r="G2396" s="74"/>
      <c r="H2396" s="74"/>
      <c r="I2396" s="74"/>
      <c r="J2396" s="74"/>
      <c r="K2396" s="74"/>
      <c r="L2396" s="74"/>
      <c r="M2396" s="74"/>
      <c r="N2396" s="74"/>
      <c r="O2396" s="75"/>
      <c r="P2396" s="74"/>
      <c r="Q2396" s="75"/>
      <c r="R2396" s="74"/>
      <c r="S2396" s="74"/>
      <c r="T2396" s="74"/>
      <c r="U2396" s="75"/>
      <c r="V2396" s="74"/>
      <c r="W2396" s="75"/>
      <c r="X2396" s="74"/>
      <c r="Y2396" s="74"/>
      <c r="Z2396" s="74"/>
      <c r="AA2396" s="74"/>
      <c r="AB2396" s="74"/>
      <c r="AC2396" s="74"/>
      <c r="AD2396" s="74"/>
      <c r="AE2396" s="74"/>
      <c r="AF2396" s="74"/>
      <c r="AG2396" s="74"/>
      <c r="AH2396" s="74"/>
    </row>
    <row r="2397" s="73" customFormat="1" spans="1:34">
      <c r="A2397" s="74"/>
      <c r="B2397" s="74"/>
      <c r="C2397" s="74"/>
      <c r="D2397" s="74"/>
      <c r="E2397" s="74"/>
      <c r="F2397" s="74"/>
      <c r="G2397" s="74"/>
      <c r="H2397" s="74"/>
      <c r="I2397" s="74"/>
      <c r="J2397" s="74"/>
      <c r="K2397" s="74"/>
      <c r="L2397" s="74"/>
      <c r="M2397" s="74"/>
      <c r="N2397" s="74"/>
      <c r="O2397" s="75"/>
      <c r="P2397" s="74"/>
      <c r="Q2397" s="75"/>
      <c r="R2397" s="74"/>
      <c r="S2397" s="74"/>
      <c r="T2397" s="74"/>
      <c r="U2397" s="75"/>
      <c r="V2397" s="74"/>
      <c r="W2397" s="75"/>
      <c r="X2397" s="74"/>
      <c r="Y2397" s="74"/>
      <c r="Z2397" s="74"/>
      <c r="AA2397" s="74"/>
      <c r="AB2397" s="74"/>
      <c r="AC2397" s="74"/>
      <c r="AD2397" s="74"/>
      <c r="AE2397" s="74"/>
      <c r="AF2397" s="74"/>
      <c r="AG2397" s="74"/>
      <c r="AH2397" s="74"/>
    </row>
    <row r="2398" s="73" customFormat="1" spans="1:34">
      <c r="A2398" s="74"/>
      <c r="B2398" s="74"/>
      <c r="C2398" s="74"/>
      <c r="D2398" s="74"/>
      <c r="E2398" s="74"/>
      <c r="F2398" s="74"/>
      <c r="G2398" s="74"/>
      <c r="H2398" s="74"/>
      <c r="I2398" s="74"/>
      <c r="J2398" s="74"/>
      <c r="K2398" s="74"/>
      <c r="L2398" s="74"/>
      <c r="M2398" s="74"/>
      <c r="N2398" s="74"/>
      <c r="O2398" s="75"/>
      <c r="P2398" s="74"/>
      <c r="Q2398" s="75"/>
      <c r="R2398" s="74"/>
      <c r="S2398" s="74"/>
      <c r="T2398" s="74"/>
      <c r="U2398" s="75"/>
      <c r="V2398" s="74"/>
      <c r="W2398" s="75"/>
      <c r="X2398" s="74"/>
      <c r="Y2398" s="74"/>
      <c r="Z2398" s="74"/>
      <c r="AA2398" s="74"/>
      <c r="AB2398" s="74"/>
      <c r="AC2398" s="74"/>
      <c r="AD2398" s="74"/>
      <c r="AE2398" s="74"/>
      <c r="AF2398" s="74"/>
      <c r="AG2398" s="74"/>
      <c r="AH2398" s="74"/>
    </row>
    <row r="2399" s="73" customFormat="1" spans="1:34">
      <c r="A2399" s="74"/>
      <c r="B2399" s="74"/>
      <c r="C2399" s="74"/>
      <c r="D2399" s="74"/>
      <c r="E2399" s="74"/>
      <c r="F2399" s="74"/>
      <c r="G2399" s="74"/>
      <c r="H2399" s="74"/>
      <c r="I2399" s="74"/>
      <c r="J2399" s="74"/>
      <c r="K2399" s="74"/>
      <c r="L2399" s="74"/>
      <c r="M2399" s="74"/>
      <c r="N2399" s="74"/>
      <c r="O2399" s="75"/>
      <c r="P2399" s="74"/>
      <c r="Q2399" s="75"/>
      <c r="R2399" s="74"/>
      <c r="S2399" s="74"/>
      <c r="T2399" s="74"/>
      <c r="U2399" s="75"/>
      <c r="V2399" s="74"/>
      <c r="W2399" s="75"/>
      <c r="X2399" s="74"/>
      <c r="Y2399" s="74"/>
      <c r="Z2399" s="74"/>
      <c r="AA2399" s="74"/>
      <c r="AB2399" s="74"/>
      <c r="AC2399" s="74"/>
      <c r="AD2399" s="74"/>
      <c r="AE2399" s="74"/>
      <c r="AF2399" s="74"/>
      <c r="AG2399" s="74"/>
      <c r="AH2399" s="74"/>
    </row>
    <row r="2400" s="73" customFormat="1" spans="1:34">
      <c r="A2400" s="74"/>
      <c r="B2400" s="74"/>
      <c r="C2400" s="74"/>
      <c r="D2400" s="74"/>
      <c r="E2400" s="74"/>
      <c r="F2400" s="74"/>
      <c r="G2400" s="74"/>
      <c r="H2400" s="74"/>
      <c r="I2400" s="74"/>
      <c r="J2400" s="74"/>
      <c r="K2400" s="74"/>
      <c r="L2400" s="74"/>
      <c r="M2400" s="74"/>
      <c r="N2400" s="74"/>
      <c r="O2400" s="75"/>
      <c r="P2400" s="74"/>
      <c r="Q2400" s="75"/>
      <c r="R2400" s="74"/>
      <c r="S2400" s="74"/>
      <c r="T2400" s="74"/>
      <c r="U2400" s="75"/>
      <c r="V2400" s="74"/>
      <c r="W2400" s="74"/>
      <c r="X2400" s="74"/>
      <c r="Y2400" s="74"/>
      <c r="Z2400" s="74"/>
      <c r="AA2400" s="74"/>
      <c r="AB2400" s="74"/>
      <c r="AC2400" s="74"/>
      <c r="AD2400" s="74"/>
      <c r="AE2400" s="74"/>
      <c r="AF2400" s="74"/>
      <c r="AG2400" s="74"/>
      <c r="AH2400" s="74"/>
    </row>
    <row r="2401" s="73" customFormat="1" spans="1:34">
      <c r="A2401" s="74"/>
      <c r="B2401" s="74"/>
      <c r="C2401" s="74"/>
      <c r="D2401" s="74"/>
      <c r="E2401" s="74"/>
      <c r="F2401" s="74"/>
      <c r="G2401" s="74"/>
      <c r="H2401" s="74"/>
      <c r="I2401" s="74"/>
      <c r="J2401" s="74"/>
      <c r="K2401" s="74"/>
      <c r="L2401" s="74"/>
      <c r="M2401" s="74"/>
      <c r="N2401" s="74"/>
      <c r="O2401" s="75"/>
      <c r="P2401" s="74"/>
      <c r="Q2401" s="75"/>
      <c r="R2401" s="74"/>
      <c r="S2401" s="74"/>
      <c r="T2401" s="74"/>
      <c r="U2401" s="75"/>
      <c r="V2401" s="74"/>
      <c r="W2401" s="75"/>
      <c r="X2401" s="74"/>
      <c r="Y2401" s="74"/>
      <c r="Z2401" s="74"/>
      <c r="AA2401" s="74"/>
      <c r="AB2401" s="74"/>
      <c r="AC2401" s="74"/>
      <c r="AD2401" s="74"/>
      <c r="AE2401" s="74"/>
      <c r="AF2401" s="74"/>
      <c r="AG2401" s="74"/>
      <c r="AH2401" s="74"/>
    </row>
    <row r="2402" s="73" customFormat="1" spans="1:34">
      <c r="A2402" s="74"/>
      <c r="B2402" s="74"/>
      <c r="C2402" s="74"/>
      <c r="D2402" s="74"/>
      <c r="E2402" s="74"/>
      <c r="F2402" s="74"/>
      <c r="G2402" s="74"/>
      <c r="H2402" s="74"/>
      <c r="I2402" s="74"/>
      <c r="J2402" s="74"/>
      <c r="K2402" s="74"/>
      <c r="L2402" s="74"/>
      <c r="M2402" s="74"/>
      <c r="N2402" s="74"/>
      <c r="O2402" s="75"/>
      <c r="P2402" s="74"/>
      <c r="Q2402" s="75"/>
      <c r="R2402" s="74"/>
      <c r="S2402" s="74"/>
      <c r="T2402" s="74"/>
      <c r="U2402" s="75"/>
      <c r="V2402" s="74"/>
      <c r="W2402" s="75"/>
      <c r="X2402" s="74"/>
      <c r="Y2402" s="74"/>
      <c r="Z2402" s="74"/>
      <c r="AA2402" s="74"/>
      <c r="AB2402" s="74"/>
      <c r="AC2402" s="74"/>
      <c r="AD2402" s="74"/>
      <c r="AE2402" s="74"/>
      <c r="AF2402" s="74"/>
      <c r="AG2402" s="74"/>
      <c r="AH2402" s="74"/>
    </row>
    <row r="2403" s="73" customFormat="1" spans="1:34">
      <c r="A2403" s="74"/>
      <c r="B2403" s="74"/>
      <c r="C2403" s="74"/>
      <c r="D2403" s="74"/>
      <c r="E2403" s="74"/>
      <c r="F2403" s="74"/>
      <c r="G2403" s="74"/>
      <c r="H2403" s="74"/>
      <c r="I2403" s="74"/>
      <c r="J2403" s="74"/>
      <c r="K2403" s="74"/>
      <c r="L2403" s="74"/>
      <c r="M2403" s="74"/>
      <c r="N2403" s="74"/>
      <c r="O2403" s="75"/>
      <c r="P2403" s="74"/>
      <c r="Q2403" s="75"/>
      <c r="R2403" s="74"/>
      <c r="S2403" s="74"/>
      <c r="T2403" s="74"/>
      <c r="U2403" s="75"/>
      <c r="V2403" s="74"/>
      <c r="W2403" s="75"/>
      <c r="X2403" s="74"/>
      <c r="Y2403" s="74"/>
      <c r="Z2403" s="74"/>
      <c r="AA2403" s="74"/>
      <c r="AB2403" s="74"/>
      <c r="AC2403" s="74"/>
      <c r="AD2403" s="74"/>
      <c r="AE2403" s="74"/>
      <c r="AF2403" s="74"/>
      <c r="AG2403" s="74"/>
      <c r="AH2403" s="74"/>
    </row>
    <row r="2404" s="73" customFormat="1" spans="1:34">
      <c r="A2404" s="74"/>
      <c r="B2404" s="74"/>
      <c r="C2404" s="74"/>
      <c r="D2404" s="74"/>
      <c r="E2404" s="74"/>
      <c r="F2404" s="74"/>
      <c r="G2404" s="74"/>
      <c r="H2404" s="74"/>
      <c r="I2404" s="74"/>
      <c r="J2404" s="74"/>
      <c r="K2404" s="74"/>
      <c r="L2404" s="74"/>
      <c r="M2404" s="74"/>
      <c r="N2404" s="74"/>
      <c r="O2404" s="75"/>
      <c r="P2404" s="74"/>
      <c r="Q2404" s="75"/>
      <c r="R2404" s="74"/>
      <c r="S2404" s="74"/>
      <c r="T2404" s="74"/>
      <c r="U2404" s="75"/>
      <c r="V2404" s="74"/>
      <c r="W2404" s="75"/>
      <c r="X2404" s="74"/>
      <c r="Y2404" s="74"/>
      <c r="Z2404" s="74"/>
      <c r="AA2404" s="74"/>
      <c r="AB2404" s="74"/>
      <c r="AC2404" s="74"/>
      <c r="AD2404" s="74"/>
      <c r="AE2404" s="74"/>
      <c r="AF2404" s="74"/>
      <c r="AG2404" s="74"/>
      <c r="AH2404" s="74"/>
    </row>
    <row r="2405" s="73" customFormat="1" spans="1:34">
      <c r="A2405" s="74"/>
      <c r="B2405" s="74"/>
      <c r="C2405" s="74"/>
      <c r="D2405" s="74"/>
      <c r="E2405" s="74"/>
      <c r="F2405" s="74"/>
      <c r="G2405" s="74"/>
      <c r="H2405" s="74"/>
      <c r="I2405" s="74"/>
      <c r="J2405" s="74"/>
      <c r="K2405" s="74"/>
      <c r="L2405" s="74"/>
      <c r="M2405" s="74"/>
      <c r="N2405" s="74"/>
      <c r="O2405" s="75"/>
      <c r="P2405" s="74"/>
      <c r="Q2405" s="75"/>
      <c r="R2405" s="74"/>
      <c r="S2405" s="74"/>
      <c r="T2405" s="74"/>
      <c r="U2405" s="75"/>
      <c r="V2405" s="74"/>
      <c r="W2405" s="75"/>
      <c r="X2405" s="74"/>
      <c r="Y2405" s="74"/>
      <c r="Z2405" s="74"/>
      <c r="AA2405" s="74"/>
      <c r="AB2405" s="74"/>
      <c r="AC2405" s="74"/>
      <c r="AD2405" s="74"/>
      <c r="AE2405" s="74"/>
      <c r="AF2405" s="74"/>
      <c r="AG2405" s="74"/>
      <c r="AH2405" s="74"/>
    </row>
    <row r="2406" s="73" customFormat="1" spans="1:34">
      <c r="A2406" s="74"/>
      <c r="B2406" s="74"/>
      <c r="C2406" s="74"/>
      <c r="D2406" s="74"/>
      <c r="E2406" s="74"/>
      <c r="F2406" s="74"/>
      <c r="G2406" s="74"/>
      <c r="H2406" s="74"/>
      <c r="I2406" s="74"/>
      <c r="J2406" s="74"/>
      <c r="K2406" s="74"/>
      <c r="L2406" s="74"/>
      <c r="M2406" s="74"/>
      <c r="N2406" s="74"/>
      <c r="O2406" s="75"/>
      <c r="P2406" s="74"/>
      <c r="Q2406" s="75"/>
      <c r="R2406" s="74"/>
      <c r="S2406" s="74"/>
      <c r="T2406" s="74"/>
      <c r="U2406" s="75"/>
      <c r="V2406" s="74"/>
      <c r="W2406" s="75"/>
      <c r="X2406" s="74"/>
      <c r="Y2406" s="74"/>
      <c r="Z2406" s="74"/>
      <c r="AA2406" s="74"/>
      <c r="AB2406" s="74"/>
      <c r="AC2406" s="74"/>
      <c r="AD2406" s="74"/>
      <c r="AE2406" s="74"/>
      <c r="AF2406" s="74"/>
      <c r="AG2406" s="74"/>
      <c r="AH2406" s="74"/>
    </row>
    <row r="2407" s="73" customFormat="1" spans="1:34">
      <c r="A2407" s="74"/>
      <c r="B2407" s="74"/>
      <c r="C2407" s="74"/>
      <c r="D2407" s="74"/>
      <c r="E2407" s="74"/>
      <c r="F2407" s="74"/>
      <c r="G2407" s="74"/>
      <c r="H2407" s="74"/>
      <c r="I2407" s="74"/>
      <c r="J2407" s="74"/>
      <c r="K2407" s="74"/>
      <c r="L2407" s="74"/>
      <c r="M2407" s="74"/>
      <c r="N2407" s="74"/>
      <c r="O2407" s="75"/>
      <c r="P2407" s="74"/>
      <c r="Q2407" s="75"/>
      <c r="R2407" s="74"/>
      <c r="S2407" s="74"/>
      <c r="T2407" s="74"/>
      <c r="U2407" s="75"/>
      <c r="V2407" s="74"/>
      <c r="W2407" s="75"/>
      <c r="X2407" s="74"/>
      <c r="Y2407" s="74"/>
      <c r="Z2407" s="74"/>
      <c r="AA2407" s="74"/>
      <c r="AB2407" s="74"/>
      <c r="AC2407" s="74"/>
      <c r="AD2407" s="74"/>
      <c r="AE2407" s="74"/>
      <c r="AF2407" s="74"/>
      <c r="AG2407" s="74"/>
      <c r="AH2407" s="74"/>
    </row>
    <row r="2408" s="73" customFormat="1" spans="1:34">
      <c r="A2408" s="74"/>
      <c r="B2408" s="74"/>
      <c r="C2408" s="74"/>
      <c r="D2408" s="74"/>
      <c r="E2408" s="74"/>
      <c r="F2408" s="74"/>
      <c r="G2408" s="74"/>
      <c r="H2408" s="74"/>
      <c r="I2408" s="74"/>
      <c r="J2408" s="74"/>
      <c r="K2408" s="74"/>
      <c r="L2408" s="74"/>
      <c r="M2408" s="74"/>
      <c r="N2408" s="74"/>
      <c r="O2408" s="75"/>
      <c r="P2408" s="74"/>
      <c r="Q2408" s="75"/>
      <c r="R2408" s="74"/>
      <c r="S2408" s="74"/>
      <c r="T2408" s="74"/>
      <c r="U2408" s="75"/>
      <c r="V2408" s="74"/>
      <c r="W2408" s="75"/>
      <c r="X2408" s="74"/>
      <c r="Y2408" s="74"/>
      <c r="Z2408" s="74"/>
      <c r="AA2408" s="74"/>
      <c r="AB2408" s="74"/>
      <c r="AC2408" s="74"/>
      <c r="AD2408" s="74"/>
      <c r="AE2408" s="74"/>
      <c r="AF2408" s="74"/>
      <c r="AG2408" s="74"/>
      <c r="AH2408" s="74"/>
    </row>
    <row r="2409" s="73" customFormat="1" spans="1:34">
      <c r="A2409" s="74"/>
      <c r="B2409" s="74"/>
      <c r="C2409" s="74"/>
      <c r="D2409" s="74"/>
      <c r="E2409" s="74"/>
      <c r="F2409" s="74"/>
      <c r="G2409" s="74"/>
      <c r="H2409" s="74"/>
      <c r="I2409" s="74"/>
      <c r="J2409" s="74"/>
      <c r="K2409" s="74"/>
      <c r="L2409" s="74"/>
      <c r="M2409" s="74"/>
      <c r="N2409" s="74"/>
      <c r="O2409" s="75"/>
      <c r="P2409" s="74"/>
      <c r="Q2409" s="75"/>
      <c r="R2409" s="74"/>
      <c r="S2409" s="74"/>
      <c r="T2409" s="74"/>
      <c r="U2409" s="75"/>
      <c r="V2409" s="74"/>
      <c r="W2409" s="75"/>
      <c r="X2409" s="74"/>
      <c r="Y2409" s="74"/>
      <c r="Z2409" s="74"/>
      <c r="AA2409" s="74"/>
      <c r="AB2409" s="74"/>
      <c r="AC2409" s="74"/>
      <c r="AD2409" s="74"/>
      <c r="AE2409" s="74"/>
      <c r="AF2409" s="74"/>
      <c r="AG2409" s="74"/>
      <c r="AH2409" s="74"/>
    </row>
    <row r="2410" s="73" customFormat="1" spans="1:34">
      <c r="A2410" s="74"/>
      <c r="B2410" s="74"/>
      <c r="C2410" s="74"/>
      <c r="D2410" s="74"/>
      <c r="E2410" s="74"/>
      <c r="F2410" s="74"/>
      <c r="G2410" s="74"/>
      <c r="H2410" s="74"/>
      <c r="I2410" s="74"/>
      <c r="J2410" s="74"/>
      <c r="K2410" s="74"/>
      <c r="L2410" s="74"/>
      <c r="M2410" s="74"/>
      <c r="N2410" s="74"/>
      <c r="O2410" s="75"/>
      <c r="P2410" s="74"/>
      <c r="Q2410" s="75"/>
      <c r="R2410" s="74"/>
      <c r="S2410" s="74"/>
      <c r="T2410" s="74"/>
      <c r="U2410" s="75"/>
      <c r="V2410" s="74"/>
      <c r="W2410" s="75"/>
      <c r="X2410" s="74"/>
      <c r="Y2410" s="74"/>
      <c r="Z2410" s="74"/>
      <c r="AA2410" s="74"/>
      <c r="AB2410" s="74"/>
      <c r="AC2410" s="74"/>
      <c r="AD2410" s="74"/>
      <c r="AE2410" s="74"/>
      <c r="AF2410" s="74"/>
      <c r="AG2410" s="74"/>
      <c r="AH2410" s="74"/>
    </row>
    <row r="2411" s="73" customFormat="1" spans="1:34">
      <c r="A2411" s="74"/>
      <c r="B2411" s="74"/>
      <c r="C2411" s="74"/>
      <c r="D2411" s="74"/>
      <c r="E2411" s="74"/>
      <c r="F2411" s="74"/>
      <c r="G2411" s="74"/>
      <c r="H2411" s="74"/>
      <c r="I2411" s="74"/>
      <c r="J2411" s="74"/>
      <c r="K2411" s="74"/>
      <c r="L2411" s="74"/>
      <c r="M2411" s="74"/>
      <c r="N2411" s="74"/>
      <c r="O2411" s="75"/>
      <c r="P2411" s="74"/>
      <c r="Q2411" s="75"/>
      <c r="R2411" s="74"/>
      <c r="S2411" s="74"/>
      <c r="T2411" s="74"/>
      <c r="U2411" s="75"/>
      <c r="V2411" s="74"/>
      <c r="W2411" s="75"/>
      <c r="X2411" s="74"/>
      <c r="Y2411" s="74"/>
      <c r="Z2411" s="74"/>
      <c r="AA2411" s="74"/>
      <c r="AB2411" s="74"/>
      <c r="AC2411" s="74"/>
      <c r="AD2411" s="74"/>
      <c r="AE2411" s="74"/>
      <c r="AF2411" s="74"/>
      <c r="AG2411" s="74"/>
      <c r="AH2411" s="74"/>
    </row>
    <row r="2412" s="73" customFormat="1" spans="1:34">
      <c r="A2412" s="74"/>
      <c r="B2412" s="74"/>
      <c r="C2412" s="74"/>
      <c r="D2412" s="74"/>
      <c r="E2412" s="74"/>
      <c r="F2412" s="74"/>
      <c r="G2412" s="74"/>
      <c r="H2412" s="74"/>
      <c r="I2412" s="74"/>
      <c r="J2412" s="74"/>
      <c r="K2412" s="74"/>
      <c r="L2412" s="74"/>
      <c r="M2412" s="74"/>
      <c r="N2412" s="74"/>
      <c r="O2412" s="75"/>
      <c r="P2412" s="74"/>
      <c r="Q2412" s="75"/>
      <c r="R2412" s="74"/>
      <c r="S2412" s="74"/>
      <c r="T2412" s="74"/>
      <c r="U2412" s="75"/>
      <c r="V2412" s="74"/>
      <c r="W2412" s="75"/>
      <c r="X2412" s="74"/>
      <c r="Y2412" s="74"/>
      <c r="Z2412" s="74"/>
      <c r="AA2412" s="74"/>
      <c r="AB2412" s="74"/>
      <c r="AC2412" s="74"/>
      <c r="AD2412" s="74"/>
      <c r="AE2412" s="74"/>
      <c r="AF2412" s="74"/>
      <c r="AG2412" s="74"/>
      <c r="AH2412" s="74"/>
    </row>
    <row r="2413" s="73" customFormat="1" spans="1:34">
      <c r="A2413" s="74"/>
      <c r="B2413" s="74"/>
      <c r="C2413" s="74"/>
      <c r="D2413" s="74"/>
      <c r="E2413" s="74"/>
      <c r="F2413" s="74"/>
      <c r="G2413" s="74"/>
      <c r="H2413" s="74"/>
      <c r="I2413" s="74"/>
      <c r="J2413" s="74"/>
      <c r="K2413" s="74"/>
      <c r="L2413" s="74"/>
      <c r="M2413" s="74"/>
      <c r="N2413" s="74"/>
      <c r="O2413" s="75"/>
      <c r="P2413" s="74"/>
      <c r="Q2413" s="75"/>
      <c r="R2413" s="74"/>
      <c r="S2413" s="74"/>
      <c r="T2413" s="74"/>
      <c r="U2413" s="75"/>
      <c r="V2413" s="74"/>
      <c r="W2413" s="75"/>
      <c r="X2413" s="74"/>
      <c r="Y2413" s="74"/>
      <c r="Z2413" s="74"/>
      <c r="AA2413" s="74"/>
      <c r="AB2413" s="74"/>
      <c r="AC2413" s="74"/>
      <c r="AD2413" s="74"/>
      <c r="AE2413" s="74"/>
      <c r="AF2413" s="74"/>
      <c r="AG2413" s="74"/>
      <c r="AH2413" s="74"/>
    </row>
    <row r="2414" s="73" customFormat="1" spans="1:34">
      <c r="A2414" s="74"/>
      <c r="B2414" s="74"/>
      <c r="C2414" s="74"/>
      <c r="D2414" s="74"/>
      <c r="E2414" s="74"/>
      <c r="F2414" s="74"/>
      <c r="G2414" s="74"/>
      <c r="H2414" s="74"/>
      <c r="I2414" s="74"/>
      <c r="J2414" s="74"/>
      <c r="K2414" s="74"/>
      <c r="L2414" s="74"/>
      <c r="M2414" s="74"/>
      <c r="N2414" s="74"/>
      <c r="O2414" s="75"/>
      <c r="P2414" s="74"/>
      <c r="Q2414" s="75"/>
      <c r="R2414" s="74"/>
      <c r="S2414" s="74"/>
      <c r="T2414" s="74"/>
      <c r="U2414" s="75"/>
      <c r="V2414" s="74"/>
      <c r="W2414" s="75"/>
      <c r="X2414" s="74"/>
      <c r="Y2414" s="74"/>
      <c r="Z2414" s="74"/>
      <c r="AA2414" s="74"/>
      <c r="AB2414" s="74"/>
      <c r="AC2414" s="74"/>
      <c r="AD2414" s="74"/>
      <c r="AE2414" s="74"/>
      <c r="AF2414" s="74"/>
      <c r="AG2414" s="74"/>
      <c r="AH2414" s="74"/>
    </row>
    <row r="2415" s="73" customFormat="1" spans="1:34">
      <c r="A2415" s="74"/>
      <c r="B2415" s="74"/>
      <c r="C2415" s="74"/>
      <c r="D2415" s="74"/>
      <c r="E2415" s="74"/>
      <c r="F2415" s="74"/>
      <c r="G2415" s="74"/>
      <c r="H2415" s="74"/>
      <c r="I2415" s="74"/>
      <c r="J2415" s="74"/>
      <c r="K2415" s="74"/>
      <c r="L2415" s="74"/>
      <c r="M2415" s="74"/>
      <c r="N2415" s="74"/>
      <c r="O2415" s="75"/>
      <c r="P2415" s="74"/>
      <c r="Q2415" s="75"/>
      <c r="R2415" s="74"/>
      <c r="S2415" s="74"/>
      <c r="T2415" s="74"/>
      <c r="U2415" s="75"/>
      <c r="V2415" s="74"/>
      <c r="W2415" s="75"/>
      <c r="X2415" s="74"/>
      <c r="Y2415" s="74"/>
      <c r="Z2415" s="74"/>
      <c r="AA2415" s="74"/>
      <c r="AB2415" s="74"/>
      <c r="AC2415" s="74"/>
      <c r="AD2415" s="74"/>
      <c r="AE2415" s="74"/>
      <c r="AF2415" s="74"/>
      <c r="AG2415" s="74"/>
      <c r="AH2415" s="74"/>
    </row>
    <row r="2416" s="73" customFormat="1" spans="1:34">
      <c r="A2416" s="74"/>
      <c r="B2416" s="74"/>
      <c r="C2416" s="74"/>
      <c r="D2416" s="74"/>
      <c r="E2416" s="74"/>
      <c r="F2416" s="74"/>
      <c r="G2416" s="74"/>
      <c r="H2416" s="74"/>
      <c r="I2416" s="74"/>
      <c r="J2416" s="74"/>
      <c r="K2416" s="74"/>
      <c r="L2416" s="74"/>
      <c r="M2416" s="74"/>
      <c r="N2416" s="74"/>
      <c r="O2416" s="75"/>
      <c r="P2416" s="74"/>
      <c r="Q2416" s="75"/>
      <c r="R2416" s="74"/>
      <c r="S2416" s="74"/>
      <c r="T2416" s="74"/>
      <c r="U2416" s="75"/>
      <c r="V2416" s="74"/>
      <c r="W2416" s="75"/>
      <c r="X2416" s="74"/>
      <c r="Y2416" s="74"/>
      <c r="Z2416" s="74"/>
      <c r="AA2416" s="74"/>
      <c r="AB2416" s="74"/>
      <c r="AC2416" s="74"/>
      <c r="AD2416" s="74"/>
      <c r="AE2416" s="74"/>
      <c r="AF2416" s="74"/>
      <c r="AG2416" s="74"/>
      <c r="AH2416" s="74"/>
    </row>
    <row r="2417" s="73" customFormat="1" spans="1:34">
      <c r="A2417" s="74"/>
      <c r="B2417" s="74"/>
      <c r="C2417" s="74"/>
      <c r="D2417" s="74"/>
      <c r="E2417" s="74"/>
      <c r="F2417" s="74"/>
      <c r="G2417" s="74"/>
      <c r="H2417" s="74"/>
      <c r="I2417" s="74"/>
      <c r="J2417" s="74"/>
      <c r="K2417" s="74"/>
      <c r="L2417" s="74"/>
      <c r="M2417" s="74"/>
      <c r="N2417" s="74"/>
      <c r="O2417" s="75"/>
      <c r="P2417" s="74"/>
      <c r="Q2417" s="75"/>
      <c r="R2417" s="74"/>
      <c r="S2417" s="74"/>
      <c r="T2417" s="74"/>
      <c r="U2417" s="75"/>
      <c r="V2417" s="74"/>
      <c r="W2417" s="75"/>
      <c r="X2417" s="74"/>
      <c r="Y2417" s="74"/>
      <c r="Z2417" s="74"/>
      <c r="AA2417" s="74"/>
      <c r="AB2417" s="74"/>
      <c r="AC2417" s="74"/>
      <c r="AD2417" s="74"/>
      <c r="AE2417" s="74"/>
      <c r="AF2417" s="74"/>
      <c r="AG2417" s="74"/>
      <c r="AH2417" s="74"/>
    </row>
    <row r="2418" s="73" customFormat="1" spans="1:34">
      <c r="A2418" s="74"/>
      <c r="B2418" s="74"/>
      <c r="C2418" s="74"/>
      <c r="D2418" s="74"/>
      <c r="E2418" s="74"/>
      <c r="F2418" s="74"/>
      <c r="G2418" s="74"/>
      <c r="H2418" s="74"/>
      <c r="I2418" s="74"/>
      <c r="J2418" s="74"/>
      <c r="K2418" s="74"/>
      <c r="L2418" s="74"/>
      <c r="M2418" s="74"/>
      <c r="N2418" s="74"/>
      <c r="O2418" s="75"/>
      <c r="P2418" s="74"/>
      <c r="Q2418" s="75"/>
      <c r="R2418" s="74"/>
      <c r="S2418" s="74"/>
      <c r="T2418" s="74"/>
      <c r="U2418" s="75"/>
      <c r="V2418" s="74"/>
      <c r="W2418" s="75"/>
      <c r="X2418" s="74"/>
      <c r="Y2418" s="74"/>
      <c r="Z2418" s="74"/>
      <c r="AA2418" s="74"/>
      <c r="AB2418" s="74"/>
      <c r="AC2418" s="74"/>
      <c r="AD2418" s="74"/>
      <c r="AE2418" s="74"/>
      <c r="AF2418" s="74"/>
      <c r="AG2418" s="74"/>
      <c r="AH2418" s="74"/>
    </row>
    <row r="2419" s="73" customFormat="1" spans="1:34">
      <c r="A2419" s="74"/>
      <c r="B2419" s="74"/>
      <c r="C2419" s="74"/>
      <c r="D2419" s="74"/>
      <c r="E2419" s="74"/>
      <c r="F2419" s="74"/>
      <c r="G2419" s="74"/>
      <c r="H2419" s="74"/>
      <c r="I2419" s="74"/>
      <c r="J2419" s="74"/>
      <c r="K2419" s="74"/>
      <c r="L2419" s="74"/>
      <c r="M2419" s="74"/>
      <c r="N2419" s="74"/>
      <c r="O2419" s="75"/>
      <c r="P2419" s="74"/>
      <c r="Q2419" s="75"/>
      <c r="R2419" s="74"/>
      <c r="S2419" s="74"/>
      <c r="T2419" s="74"/>
      <c r="U2419" s="75"/>
      <c r="V2419" s="74"/>
      <c r="W2419" s="75"/>
      <c r="X2419" s="74"/>
      <c r="Y2419" s="74"/>
      <c r="Z2419" s="74"/>
      <c r="AA2419" s="74"/>
      <c r="AB2419" s="74"/>
      <c r="AC2419" s="74"/>
      <c r="AD2419" s="74"/>
      <c r="AE2419" s="74"/>
      <c r="AF2419" s="74"/>
      <c r="AG2419" s="74"/>
      <c r="AH2419" s="74"/>
    </row>
    <row r="2420" s="73" customFormat="1" spans="1:34">
      <c r="A2420" s="74"/>
      <c r="B2420" s="74"/>
      <c r="C2420" s="74"/>
      <c r="D2420" s="74"/>
      <c r="E2420" s="74"/>
      <c r="F2420" s="74"/>
      <c r="G2420" s="74"/>
      <c r="H2420" s="74"/>
      <c r="I2420" s="74"/>
      <c r="J2420" s="74"/>
      <c r="K2420" s="74"/>
      <c r="L2420" s="74"/>
      <c r="M2420" s="74"/>
      <c r="N2420" s="74"/>
      <c r="O2420" s="75"/>
      <c r="P2420" s="74"/>
      <c r="Q2420" s="75"/>
      <c r="R2420" s="74"/>
      <c r="S2420" s="74"/>
      <c r="T2420" s="74"/>
      <c r="U2420" s="75"/>
      <c r="V2420" s="74"/>
      <c r="W2420" s="75"/>
      <c r="X2420" s="74"/>
      <c r="Y2420" s="74"/>
      <c r="Z2420" s="74"/>
      <c r="AA2420" s="74"/>
      <c r="AB2420" s="74"/>
      <c r="AC2420" s="74"/>
      <c r="AD2420" s="74"/>
      <c r="AE2420" s="74"/>
      <c r="AF2420" s="74"/>
      <c r="AG2420" s="74"/>
      <c r="AH2420" s="74"/>
    </row>
    <row r="2421" s="73" customFormat="1" spans="1:34">
      <c r="A2421" s="74"/>
      <c r="B2421" s="74"/>
      <c r="C2421" s="74"/>
      <c r="D2421" s="74"/>
      <c r="E2421" s="74"/>
      <c r="F2421" s="74"/>
      <c r="G2421" s="74"/>
      <c r="H2421" s="74"/>
      <c r="I2421" s="74"/>
      <c r="J2421" s="74"/>
      <c r="K2421" s="74"/>
      <c r="L2421" s="74"/>
      <c r="M2421" s="74"/>
      <c r="N2421" s="74"/>
      <c r="O2421" s="75"/>
      <c r="P2421" s="74"/>
      <c r="Q2421" s="75"/>
      <c r="R2421" s="74"/>
      <c r="S2421" s="74"/>
      <c r="T2421" s="74"/>
      <c r="U2421" s="75"/>
      <c r="V2421" s="74"/>
      <c r="W2421" s="75"/>
      <c r="X2421" s="74"/>
      <c r="Y2421" s="74"/>
      <c r="Z2421" s="74"/>
      <c r="AA2421" s="74"/>
      <c r="AB2421" s="74"/>
      <c r="AC2421" s="74"/>
      <c r="AD2421" s="74"/>
      <c r="AE2421" s="74"/>
      <c r="AF2421" s="74"/>
      <c r="AG2421" s="74"/>
      <c r="AH2421" s="74"/>
    </row>
    <row r="2422" s="73" customFormat="1" spans="1:34">
      <c r="A2422" s="74"/>
      <c r="B2422" s="74"/>
      <c r="C2422" s="74"/>
      <c r="D2422" s="74"/>
      <c r="E2422" s="74"/>
      <c r="F2422" s="74"/>
      <c r="G2422" s="74"/>
      <c r="H2422" s="74"/>
      <c r="I2422" s="74"/>
      <c r="J2422" s="74"/>
      <c r="K2422" s="74"/>
      <c r="L2422" s="74"/>
      <c r="M2422" s="74"/>
      <c r="N2422" s="74"/>
      <c r="O2422" s="75"/>
      <c r="P2422" s="74"/>
      <c r="Q2422" s="75"/>
      <c r="R2422" s="74"/>
      <c r="S2422" s="74"/>
      <c r="T2422" s="74"/>
      <c r="U2422" s="75"/>
      <c r="V2422" s="74"/>
      <c r="W2422" s="75"/>
      <c r="X2422" s="74"/>
      <c r="Y2422" s="74"/>
      <c r="Z2422" s="74"/>
      <c r="AA2422" s="74"/>
      <c r="AB2422" s="74"/>
      <c r="AC2422" s="74"/>
      <c r="AD2422" s="74"/>
      <c r="AE2422" s="74"/>
      <c r="AF2422" s="74"/>
      <c r="AG2422" s="74"/>
      <c r="AH2422" s="74"/>
    </row>
    <row r="2423" s="73" customFormat="1" spans="1:34">
      <c r="A2423" s="74"/>
      <c r="B2423" s="74"/>
      <c r="C2423" s="74"/>
      <c r="D2423" s="74"/>
      <c r="E2423" s="74"/>
      <c r="F2423" s="74"/>
      <c r="G2423" s="74"/>
      <c r="H2423" s="74"/>
      <c r="I2423" s="74"/>
      <c r="J2423" s="74"/>
      <c r="K2423" s="74"/>
      <c r="L2423" s="74"/>
      <c r="M2423" s="74"/>
      <c r="N2423" s="74"/>
      <c r="O2423" s="75"/>
      <c r="P2423" s="74"/>
      <c r="Q2423" s="75"/>
      <c r="R2423" s="74"/>
      <c r="S2423" s="74"/>
      <c r="T2423" s="74"/>
      <c r="U2423" s="75"/>
      <c r="V2423" s="74"/>
      <c r="W2423" s="75"/>
      <c r="X2423" s="74"/>
      <c r="Y2423" s="74"/>
      <c r="Z2423" s="74"/>
      <c r="AA2423" s="74"/>
      <c r="AB2423" s="74"/>
      <c r="AC2423" s="74"/>
      <c r="AD2423" s="74"/>
      <c r="AE2423" s="74"/>
      <c r="AF2423" s="74"/>
      <c r="AG2423" s="74"/>
      <c r="AH2423" s="74"/>
    </row>
    <row r="2424" s="73" customFormat="1" spans="1:34">
      <c r="A2424" s="74"/>
      <c r="B2424" s="74"/>
      <c r="C2424" s="74"/>
      <c r="D2424" s="74"/>
      <c r="E2424" s="74"/>
      <c r="F2424" s="74"/>
      <c r="G2424" s="74"/>
      <c r="H2424" s="74"/>
      <c r="I2424" s="74"/>
      <c r="J2424" s="74"/>
      <c r="K2424" s="74"/>
      <c r="L2424" s="74"/>
      <c r="M2424" s="74"/>
      <c r="N2424" s="74"/>
      <c r="O2424" s="75"/>
      <c r="P2424" s="74"/>
      <c r="Q2424" s="75"/>
      <c r="R2424" s="74"/>
      <c r="S2424" s="74"/>
      <c r="T2424" s="74"/>
      <c r="U2424" s="75"/>
      <c r="V2424" s="74"/>
      <c r="W2424" s="75"/>
      <c r="X2424" s="74"/>
      <c r="Y2424" s="74"/>
      <c r="Z2424" s="74"/>
      <c r="AA2424" s="74"/>
      <c r="AB2424" s="74"/>
      <c r="AC2424" s="74"/>
      <c r="AD2424" s="74"/>
      <c r="AE2424" s="74"/>
      <c r="AF2424" s="74"/>
      <c r="AG2424" s="74"/>
      <c r="AH2424" s="74"/>
    </row>
    <row r="2425" s="73" customFormat="1" spans="1:34">
      <c r="A2425" s="74"/>
      <c r="B2425" s="74"/>
      <c r="C2425" s="74"/>
      <c r="D2425" s="74"/>
      <c r="E2425" s="74"/>
      <c r="F2425" s="74"/>
      <c r="G2425" s="74"/>
      <c r="H2425" s="74"/>
      <c r="I2425" s="74"/>
      <c r="J2425" s="74"/>
      <c r="K2425" s="74"/>
      <c r="L2425" s="74"/>
      <c r="M2425" s="74"/>
      <c r="N2425" s="74"/>
      <c r="O2425" s="75"/>
      <c r="P2425" s="74"/>
      <c r="Q2425" s="75"/>
      <c r="R2425" s="74"/>
      <c r="S2425" s="74"/>
      <c r="T2425" s="74"/>
      <c r="U2425" s="75"/>
      <c r="V2425" s="74"/>
      <c r="W2425" s="75"/>
      <c r="X2425" s="74"/>
      <c r="Y2425" s="74"/>
      <c r="Z2425" s="74"/>
      <c r="AA2425" s="74"/>
      <c r="AB2425" s="74"/>
      <c r="AC2425" s="74"/>
      <c r="AD2425" s="74"/>
      <c r="AE2425" s="74"/>
      <c r="AF2425" s="74"/>
      <c r="AG2425" s="74"/>
      <c r="AH2425" s="74"/>
    </row>
    <row r="2426" s="73" customFormat="1" spans="1:34">
      <c r="A2426" s="74"/>
      <c r="B2426" s="74"/>
      <c r="C2426" s="74"/>
      <c r="D2426" s="74"/>
      <c r="E2426" s="74"/>
      <c r="F2426" s="74"/>
      <c r="G2426" s="74"/>
      <c r="H2426" s="74"/>
      <c r="I2426" s="74"/>
      <c r="J2426" s="74"/>
      <c r="K2426" s="74"/>
      <c r="L2426" s="74"/>
      <c r="M2426" s="74"/>
      <c r="N2426" s="74"/>
      <c r="O2426" s="75"/>
      <c r="P2426" s="74"/>
      <c r="Q2426" s="75"/>
      <c r="R2426" s="74"/>
      <c r="S2426" s="74"/>
      <c r="T2426" s="74"/>
      <c r="U2426" s="75"/>
      <c r="V2426" s="74"/>
      <c r="W2426" s="75"/>
      <c r="X2426" s="74"/>
      <c r="Y2426" s="74"/>
      <c r="Z2426" s="74"/>
      <c r="AA2426" s="74"/>
      <c r="AB2426" s="74"/>
      <c r="AC2426" s="74"/>
      <c r="AD2426" s="74"/>
      <c r="AE2426" s="74"/>
      <c r="AF2426" s="74"/>
      <c r="AG2426" s="74"/>
      <c r="AH2426" s="74"/>
    </row>
    <row r="2427" s="73" customFormat="1" spans="1:34">
      <c r="A2427" s="74"/>
      <c r="B2427" s="74"/>
      <c r="C2427" s="74"/>
      <c r="D2427" s="74"/>
      <c r="E2427" s="74"/>
      <c r="F2427" s="74"/>
      <c r="G2427" s="74"/>
      <c r="H2427" s="74"/>
      <c r="I2427" s="74"/>
      <c r="J2427" s="74"/>
      <c r="K2427" s="74"/>
      <c r="L2427" s="74"/>
      <c r="M2427" s="74"/>
      <c r="N2427" s="74"/>
      <c r="O2427" s="75"/>
      <c r="P2427" s="74"/>
      <c r="Q2427" s="75"/>
      <c r="R2427" s="74"/>
      <c r="S2427" s="74"/>
      <c r="T2427" s="74"/>
      <c r="U2427" s="75"/>
      <c r="V2427" s="74"/>
      <c r="W2427" s="75"/>
      <c r="X2427" s="74"/>
      <c r="Y2427" s="74"/>
      <c r="Z2427" s="74"/>
      <c r="AA2427" s="74"/>
      <c r="AB2427" s="74"/>
      <c r="AC2427" s="74"/>
      <c r="AD2427" s="74"/>
      <c r="AE2427" s="74"/>
      <c r="AF2427" s="74"/>
      <c r="AG2427" s="74"/>
      <c r="AH2427" s="74"/>
    </row>
    <row r="2428" s="73" customFormat="1" spans="1:34">
      <c r="A2428" s="74"/>
      <c r="B2428" s="74"/>
      <c r="C2428" s="74"/>
      <c r="D2428" s="74"/>
      <c r="E2428" s="74"/>
      <c r="F2428" s="74"/>
      <c r="G2428" s="74"/>
      <c r="H2428" s="74"/>
      <c r="I2428" s="74"/>
      <c r="J2428" s="74"/>
      <c r="K2428" s="74"/>
      <c r="L2428" s="74"/>
      <c r="M2428" s="74"/>
      <c r="N2428" s="74"/>
      <c r="O2428" s="75"/>
      <c r="P2428" s="74"/>
      <c r="Q2428" s="75"/>
      <c r="R2428" s="74"/>
      <c r="S2428" s="74"/>
      <c r="T2428" s="74"/>
      <c r="U2428" s="75"/>
      <c r="V2428" s="74"/>
      <c r="W2428" s="75"/>
      <c r="X2428" s="74"/>
      <c r="Y2428" s="74"/>
      <c r="Z2428" s="74"/>
      <c r="AA2428" s="74"/>
      <c r="AB2428" s="74"/>
      <c r="AC2428" s="74"/>
      <c r="AD2428" s="74"/>
      <c r="AE2428" s="74"/>
      <c r="AF2428" s="74"/>
      <c r="AG2428" s="74"/>
      <c r="AH2428" s="74"/>
    </row>
    <row r="2429" s="73" customFormat="1" spans="1:34">
      <c r="A2429" s="74"/>
      <c r="B2429" s="74"/>
      <c r="C2429" s="74"/>
      <c r="D2429" s="74"/>
      <c r="E2429" s="74"/>
      <c r="F2429" s="74"/>
      <c r="G2429" s="74"/>
      <c r="H2429" s="74"/>
      <c r="I2429" s="74"/>
      <c r="J2429" s="74"/>
      <c r="K2429" s="74"/>
      <c r="L2429" s="74"/>
      <c r="M2429" s="74"/>
      <c r="N2429" s="74"/>
      <c r="O2429" s="75"/>
      <c r="P2429" s="74"/>
      <c r="Q2429" s="75"/>
      <c r="R2429" s="74"/>
      <c r="S2429" s="74"/>
      <c r="T2429" s="74"/>
      <c r="U2429" s="75"/>
      <c r="V2429" s="74"/>
      <c r="W2429" s="75"/>
      <c r="X2429" s="74"/>
      <c r="Y2429" s="74"/>
      <c r="Z2429" s="74"/>
      <c r="AA2429" s="74"/>
      <c r="AB2429" s="74"/>
      <c r="AC2429" s="74"/>
      <c r="AD2429" s="74"/>
      <c r="AE2429" s="74"/>
      <c r="AF2429" s="74"/>
      <c r="AG2429" s="74"/>
      <c r="AH2429" s="74"/>
    </row>
    <row r="2430" s="73" customFormat="1" spans="1:34">
      <c r="A2430" s="74"/>
      <c r="B2430" s="74"/>
      <c r="C2430" s="74"/>
      <c r="D2430" s="74"/>
      <c r="E2430" s="74"/>
      <c r="F2430" s="74"/>
      <c r="G2430" s="74"/>
      <c r="H2430" s="74"/>
      <c r="I2430" s="74"/>
      <c r="J2430" s="74"/>
      <c r="K2430" s="74"/>
      <c r="L2430" s="74"/>
      <c r="M2430" s="74"/>
      <c r="N2430" s="74"/>
      <c r="O2430" s="75"/>
      <c r="P2430" s="74"/>
      <c r="Q2430" s="75"/>
      <c r="R2430" s="74"/>
      <c r="S2430" s="74"/>
      <c r="T2430" s="74"/>
      <c r="U2430" s="75"/>
      <c r="V2430" s="74"/>
      <c r="W2430" s="75"/>
      <c r="X2430" s="74"/>
      <c r="Y2430" s="74"/>
      <c r="Z2430" s="74"/>
      <c r="AA2430" s="74"/>
      <c r="AB2430" s="74"/>
      <c r="AC2430" s="74"/>
      <c r="AD2430" s="74"/>
      <c r="AE2430" s="74"/>
      <c r="AF2430" s="74"/>
      <c r="AG2430" s="74"/>
      <c r="AH2430" s="74"/>
    </row>
    <row r="2431" s="73" customFormat="1" spans="1:34">
      <c r="A2431" s="74"/>
      <c r="B2431" s="74"/>
      <c r="C2431" s="74"/>
      <c r="D2431" s="74"/>
      <c r="E2431" s="74"/>
      <c r="F2431" s="74"/>
      <c r="G2431" s="74"/>
      <c r="H2431" s="74"/>
      <c r="I2431" s="74"/>
      <c r="J2431" s="74"/>
      <c r="K2431" s="74"/>
      <c r="L2431" s="74"/>
      <c r="M2431" s="74"/>
      <c r="N2431" s="74"/>
      <c r="O2431" s="75"/>
      <c r="P2431" s="74"/>
      <c r="Q2431" s="75"/>
      <c r="R2431" s="74"/>
      <c r="S2431" s="74"/>
      <c r="T2431" s="74"/>
      <c r="U2431" s="75"/>
      <c r="V2431" s="74"/>
      <c r="W2431" s="75"/>
      <c r="X2431" s="74"/>
      <c r="Y2431" s="74"/>
      <c r="Z2431" s="74"/>
      <c r="AA2431" s="74"/>
      <c r="AB2431" s="74"/>
      <c r="AC2431" s="74"/>
      <c r="AD2431" s="74"/>
      <c r="AE2431" s="74"/>
      <c r="AF2431" s="74"/>
      <c r="AG2431" s="74"/>
      <c r="AH2431" s="74"/>
    </row>
    <row r="2432" s="73" customFormat="1" spans="1:34">
      <c r="A2432" s="74"/>
      <c r="B2432" s="74"/>
      <c r="C2432" s="74"/>
      <c r="D2432" s="74"/>
      <c r="E2432" s="74"/>
      <c r="F2432" s="74"/>
      <c r="G2432" s="74"/>
      <c r="H2432" s="74"/>
      <c r="I2432" s="74"/>
      <c r="J2432" s="74"/>
      <c r="K2432" s="74"/>
      <c r="L2432" s="74"/>
      <c r="M2432" s="74"/>
      <c r="N2432" s="74"/>
      <c r="O2432" s="75"/>
      <c r="P2432" s="74"/>
      <c r="Q2432" s="75"/>
      <c r="R2432" s="74"/>
      <c r="S2432" s="74"/>
      <c r="T2432" s="74"/>
      <c r="U2432" s="75"/>
      <c r="V2432" s="74"/>
      <c r="W2432" s="75"/>
      <c r="X2432" s="74"/>
      <c r="Y2432" s="74"/>
      <c r="Z2432" s="74"/>
      <c r="AA2432" s="74"/>
      <c r="AB2432" s="74"/>
      <c r="AC2432" s="74"/>
      <c r="AD2432" s="74"/>
      <c r="AE2432" s="74"/>
      <c r="AF2432" s="74"/>
      <c r="AG2432" s="74"/>
      <c r="AH2432" s="74"/>
    </row>
    <row r="2433" s="73" customFormat="1" spans="1:34">
      <c r="A2433" s="74"/>
      <c r="B2433" s="74"/>
      <c r="C2433" s="74"/>
      <c r="D2433" s="74"/>
      <c r="E2433" s="74"/>
      <c r="F2433" s="74"/>
      <c r="G2433" s="74"/>
      <c r="H2433" s="74"/>
      <c r="I2433" s="74"/>
      <c r="J2433" s="74"/>
      <c r="K2433" s="74"/>
      <c r="L2433" s="74"/>
      <c r="M2433" s="74"/>
      <c r="N2433" s="74"/>
      <c r="O2433" s="75"/>
      <c r="P2433" s="74"/>
      <c r="Q2433" s="75"/>
      <c r="R2433" s="74"/>
      <c r="S2433" s="74"/>
      <c r="T2433" s="74"/>
      <c r="U2433" s="75"/>
      <c r="V2433" s="74"/>
      <c r="W2433" s="75"/>
      <c r="X2433" s="74"/>
      <c r="Y2433" s="74"/>
      <c r="Z2433" s="74"/>
      <c r="AA2433" s="74"/>
      <c r="AB2433" s="74"/>
      <c r="AC2433" s="74"/>
      <c r="AD2433" s="74"/>
      <c r="AE2433" s="74"/>
      <c r="AF2433" s="74"/>
      <c r="AG2433" s="74"/>
      <c r="AH2433" s="74"/>
    </row>
    <row r="2434" s="73" customFormat="1" spans="1:34">
      <c r="A2434" s="74"/>
      <c r="B2434" s="74"/>
      <c r="C2434" s="74"/>
      <c r="D2434" s="74"/>
      <c r="E2434" s="74"/>
      <c r="F2434" s="74"/>
      <c r="G2434" s="74"/>
      <c r="H2434" s="74"/>
      <c r="I2434" s="74"/>
      <c r="J2434" s="74"/>
      <c r="K2434" s="74"/>
      <c r="L2434" s="74"/>
      <c r="M2434" s="74"/>
      <c r="N2434" s="74"/>
      <c r="O2434" s="75"/>
      <c r="P2434" s="74"/>
      <c r="Q2434" s="75"/>
      <c r="R2434" s="74"/>
      <c r="S2434" s="74"/>
      <c r="T2434" s="74"/>
      <c r="U2434" s="75"/>
      <c r="V2434" s="74"/>
      <c r="W2434" s="75"/>
      <c r="X2434" s="74"/>
      <c r="Y2434" s="74"/>
      <c r="Z2434" s="74"/>
      <c r="AA2434" s="74"/>
      <c r="AB2434" s="74"/>
      <c r="AC2434" s="74"/>
      <c r="AD2434" s="74"/>
      <c r="AE2434" s="74"/>
      <c r="AF2434" s="74"/>
      <c r="AG2434" s="74"/>
      <c r="AH2434" s="74"/>
    </row>
    <row r="2435" s="73" customFormat="1" spans="1:34">
      <c r="A2435" s="74"/>
      <c r="B2435" s="74"/>
      <c r="C2435" s="74"/>
      <c r="D2435" s="74"/>
      <c r="E2435" s="74"/>
      <c r="F2435" s="74"/>
      <c r="G2435" s="74"/>
      <c r="H2435" s="74"/>
      <c r="I2435" s="74"/>
      <c r="J2435" s="74"/>
      <c r="K2435" s="74"/>
      <c r="L2435" s="74"/>
      <c r="M2435" s="74"/>
      <c r="N2435" s="74"/>
      <c r="O2435" s="75"/>
      <c r="P2435" s="74"/>
      <c r="Q2435" s="75"/>
      <c r="R2435" s="74"/>
      <c r="S2435" s="74"/>
      <c r="T2435" s="74"/>
      <c r="U2435" s="75"/>
      <c r="V2435" s="74"/>
      <c r="W2435" s="75"/>
      <c r="X2435" s="74"/>
      <c r="Y2435" s="74"/>
      <c r="Z2435" s="74"/>
      <c r="AA2435" s="74"/>
      <c r="AB2435" s="74"/>
      <c r="AC2435" s="74"/>
      <c r="AD2435" s="74"/>
      <c r="AE2435" s="74"/>
      <c r="AF2435" s="74"/>
      <c r="AG2435" s="74"/>
      <c r="AH2435" s="74"/>
    </row>
    <row r="2436" s="73" customFormat="1" spans="1:34">
      <c r="A2436" s="74"/>
      <c r="B2436" s="74"/>
      <c r="C2436" s="74"/>
      <c r="D2436" s="74"/>
      <c r="E2436" s="74"/>
      <c r="F2436" s="74"/>
      <c r="G2436" s="74"/>
      <c r="H2436" s="74"/>
      <c r="I2436" s="74"/>
      <c r="J2436" s="74"/>
      <c r="K2436" s="74"/>
      <c r="L2436" s="74"/>
      <c r="M2436" s="74"/>
      <c r="N2436" s="74"/>
      <c r="O2436" s="75"/>
      <c r="P2436" s="74"/>
      <c r="Q2436" s="75"/>
      <c r="R2436" s="74"/>
      <c r="S2436" s="74"/>
      <c r="T2436" s="74"/>
      <c r="U2436" s="75"/>
      <c r="V2436" s="74"/>
      <c r="W2436" s="75"/>
      <c r="X2436" s="74"/>
      <c r="Y2436" s="74"/>
      <c r="Z2436" s="74"/>
      <c r="AA2436" s="74"/>
      <c r="AB2436" s="74"/>
      <c r="AC2436" s="74"/>
      <c r="AD2436" s="74"/>
      <c r="AE2436" s="74"/>
      <c r="AF2436" s="74"/>
      <c r="AG2436" s="74"/>
      <c r="AH2436" s="74"/>
    </row>
    <row r="2437" s="73" customFormat="1" spans="1:34">
      <c r="A2437" s="74"/>
      <c r="B2437" s="74"/>
      <c r="C2437" s="74"/>
      <c r="D2437" s="74"/>
      <c r="E2437" s="74"/>
      <c r="F2437" s="74"/>
      <c r="G2437" s="74"/>
      <c r="H2437" s="74"/>
      <c r="I2437" s="74"/>
      <c r="J2437" s="74"/>
      <c r="K2437" s="74"/>
      <c r="L2437" s="74"/>
      <c r="M2437" s="74"/>
      <c r="N2437" s="74"/>
      <c r="O2437" s="75"/>
      <c r="P2437" s="74"/>
      <c r="Q2437" s="75"/>
      <c r="R2437" s="74"/>
      <c r="S2437" s="74"/>
      <c r="T2437" s="74"/>
      <c r="U2437" s="75"/>
      <c r="V2437" s="74"/>
      <c r="W2437" s="75"/>
      <c r="X2437" s="74"/>
      <c r="Y2437" s="74"/>
      <c r="Z2437" s="74"/>
      <c r="AA2437" s="74"/>
      <c r="AB2437" s="74"/>
      <c r="AC2437" s="74"/>
      <c r="AD2437" s="74"/>
      <c r="AE2437" s="74"/>
      <c r="AF2437" s="74"/>
      <c r="AG2437" s="74"/>
      <c r="AH2437" s="74"/>
    </row>
    <row r="2438" s="73" customFormat="1" spans="1:34">
      <c r="A2438" s="74"/>
      <c r="B2438" s="74"/>
      <c r="C2438" s="74"/>
      <c r="D2438" s="74"/>
      <c r="E2438" s="74"/>
      <c r="F2438" s="74"/>
      <c r="G2438" s="74"/>
      <c r="H2438" s="74"/>
      <c r="I2438" s="74"/>
      <c r="J2438" s="74"/>
      <c r="K2438" s="74"/>
      <c r="L2438" s="74"/>
      <c r="M2438" s="74"/>
      <c r="N2438" s="74"/>
      <c r="O2438" s="75"/>
      <c r="P2438" s="74"/>
      <c r="Q2438" s="75"/>
      <c r="R2438" s="74"/>
      <c r="S2438" s="74"/>
      <c r="T2438" s="74"/>
      <c r="U2438" s="75"/>
      <c r="V2438" s="74"/>
      <c r="W2438" s="75"/>
      <c r="X2438" s="74"/>
      <c r="Y2438" s="74"/>
      <c r="Z2438" s="74"/>
      <c r="AA2438" s="74"/>
      <c r="AB2438" s="74"/>
      <c r="AC2438" s="74"/>
      <c r="AD2438" s="74"/>
      <c r="AE2438" s="74"/>
      <c r="AF2438" s="74"/>
      <c r="AG2438" s="74"/>
      <c r="AH2438" s="74"/>
    </row>
    <row r="2439" s="73" customFormat="1" spans="1:34">
      <c r="A2439" s="74"/>
      <c r="B2439" s="74"/>
      <c r="C2439" s="74"/>
      <c r="D2439" s="74"/>
      <c r="E2439" s="74"/>
      <c r="F2439" s="74"/>
      <c r="G2439" s="74"/>
      <c r="H2439" s="74"/>
      <c r="I2439" s="74"/>
      <c r="J2439" s="74"/>
      <c r="K2439" s="74"/>
      <c r="L2439" s="74"/>
      <c r="M2439" s="74"/>
      <c r="N2439" s="74"/>
      <c r="O2439" s="75"/>
      <c r="P2439" s="74"/>
      <c r="Q2439" s="75"/>
      <c r="R2439" s="74"/>
      <c r="S2439" s="74"/>
      <c r="T2439" s="74"/>
      <c r="U2439" s="75"/>
      <c r="V2439" s="74"/>
      <c r="W2439" s="75"/>
      <c r="X2439" s="74"/>
      <c r="Y2439" s="74"/>
      <c r="Z2439" s="74"/>
      <c r="AA2439" s="74"/>
      <c r="AB2439" s="74"/>
      <c r="AC2439" s="74"/>
      <c r="AD2439" s="74"/>
      <c r="AE2439" s="74"/>
      <c r="AF2439" s="74"/>
      <c r="AG2439" s="74"/>
      <c r="AH2439" s="74"/>
    </row>
    <row r="2440" s="73" customFormat="1" spans="1:34">
      <c r="A2440" s="74"/>
      <c r="B2440" s="74"/>
      <c r="C2440" s="74"/>
      <c r="D2440" s="74"/>
      <c r="E2440" s="74"/>
      <c r="F2440" s="74"/>
      <c r="G2440" s="74"/>
      <c r="H2440" s="74"/>
      <c r="I2440" s="74"/>
      <c r="J2440" s="74"/>
      <c r="K2440" s="74"/>
      <c r="L2440" s="74"/>
      <c r="M2440" s="74"/>
      <c r="N2440" s="74"/>
      <c r="O2440" s="75"/>
      <c r="P2440" s="74"/>
      <c r="Q2440" s="75"/>
      <c r="R2440" s="74"/>
      <c r="S2440" s="74"/>
      <c r="T2440" s="74"/>
      <c r="U2440" s="75"/>
      <c r="V2440" s="74"/>
      <c r="W2440" s="75"/>
      <c r="X2440" s="74"/>
      <c r="Y2440" s="74"/>
      <c r="Z2440" s="74"/>
      <c r="AA2440" s="74"/>
      <c r="AB2440" s="74"/>
      <c r="AC2440" s="74"/>
      <c r="AD2440" s="74"/>
      <c r="AE2440" s="74"/>
      <c r="AF2440" s="74"/>
      <c r="AG2440" s="74"/>
      <c r="AH2440" s="74"/>
    </row>
    <row r="2441" s="73" customFormat="1" spans="1:34">
      <c r="A2441" s="74"/>
      <c r="B2441" s="74"/>
      <c r="C2441" s="74"/>
      <c r="D2441" s="74"/>
      <c r="E2441" s="74"/>
      <c r="F2441" s="74"/>
      <c r="G2441" s="74"/>
      <c r="H2441" s="74"/>
      <c r="I2441" s="74"/>
      <c r="J2441" s="74"/>
      <c r="K2441" s="74"/>
      <c r="L2441" s="74"/>
      <c r="M2441" s="74"/>
      <c r="N2441" s="74"/>
      <c r="O2441" s="75"/>
      <c r="P2441" s="74"/>
      <c r="Q2441" s="75"/>
      <c r="R2441" s="74"/>
      <c r="S2441" s="74"/>
      <c r="T2441" s="74"/>
      <c r="U2441" s="75"/>
      <c r="V2441" s="74"/>
      <c r="W2441" s="75"/>
      <c r="X2441" s="74"/>
      <c r="Y2441" s="74"/>
      <c r="Z2441" s="74"/>
      <c r="AA2441" s="74"/>
      <c r="AB2441" s="74"/>
      <c r="AC2441" s="74"/>
      <c r="AD2441" s="74"/>
      <c r="AE2441" s="74"/>
      <c r="AF2441" s="74"/>
      <c r="AG2441" s="74"/>
      <c r="AH2441" s="74"/>
    </row>
    <row r="2442" s="73" customFormat="1" spans="1:34">
      <c r="A2442" s="74"/>
      <c r="B2442" s="74"/>
      <c r="C2442" s="74"/>
      <c r="D2442" s="74"/>
      <c r="E2442" s="74"/>
      <c r="F2442" s="74"/>
      <c r="G2442" s="74"/>
      <c r="H2442" s="74"/>
      <c r="I2442" s="74"/>
      <c r="J2442" s="74"/>
      <c r="K2442" s="74"/>
      <c r="L2442" s="74"/>
      <c r="M2442" s="74"/>
      <c r="N2442" s="74"/>
      <c r="O2442" s="75"/>
      <c r="P2442" s="74"/>
      <c r="Q2442" s="75"/>
      <c r="R2442" s="74"/>
      <c r="S2442" s="74"/>
      <c r="T2442" s="74"/>
      <c r="U2442" s="75"/>
      <c r="V2442" s="74"/>
      <c r="W2442" s="75"/>
      <c r="X2442" s="74"/>
      <c r="Y2442" s="74"/>
      <c r="Z2442" s="74"/>
      <c r="AA2442" s="74"/>
      <c r="AB2442" s="74"/>
      <c r="AC2442" s="74"/>
      <c r="AD2442" s="74"/>
      <c r="AE2442" s="74"/>
      <c r="AF2442" s="74"/>
      <c r="AG2442" s="74"/>
      <c r="AH2442" s="74"/>
    </row>
    <row r="2443" s="73" customFormat="1" spans="1:34">
      <c r="A2443" s="74"/>
      <c r="B2443" s="74"/>
      <c r="C2443" s="74"/>
      <c r="D2443" s="74"/>
      <c r="E2443" s="74"/>
      <c r="F2443" s="74"/>
      <c r="G2443" s="74"/>
      <c r="H2443" s="74"/>
      <c r="I2443" s="74"/>
      <c r="J2443" s="74"/>
      <c r="K2443" s="74"/>
      <c r="L2443" s="74"/>
      <c r="M2443" s="74"/>
      <c r="N2443" s="74"/>
      <c r="O2443" s="75"/>
      <c r="P2443" s="74"/>
      <c r="Q2443" s="75"/>
      <c r="R2443" s="74"/>
      <c r="S2443" s="74"/>
      <c r="T2443" s="74"/>
      <c r="U2443" s="75"/>
      <c r="V2443" s="74"/>
      <c r="W2443" s="75"/>
      <c r="X2443" s="74"/>
      <c r="Y2443" s="74"/>
      <c r="Z2443" s="74"/>
      <c r="AA2443" s="74"/>
      <c r="AB2443" s="74"/>
      <c r="AC2443" s="74"/>
      <c r="AD2443" s="74"/>
      <c r="AE2443" s="74"/>
      <c r="AF2443" s="74"/>
      <c r="AG2443" s="74"/>
      <c r="AH2443" s="74"/>
    </row>
    <row r="2444" s="73" customFormat="1" spans="1:34">
      <c r="A2444" s="74"/>
      <c r="B2444" s="74"/>
      <c r="C2444" s="74"/>
      <c r="D2444" s="74"/>
      <c r="E2444" s="74"/>
      <c r="F2444" s="74"/>
      <c r="G2444" s="74"/>
      <c r="H2444" s="74"/>
      <c r="I2444" s="74"/>
      <c r="J2444" s="74"/>
      <c r="K2444" s="74"/>
      <c r="L2444" s="74"/>
      <c r="M2444" s="74"/>
      <c r="N2444" s="74"/>
      <c r="O2444" s="75"/>
      <c r="P2444" s="74"/>
      <c r="Q2444" s="75"/>
      <c r="R2444" s="74"/>
      <c r="S2444" s="74"/>
      <c r="T2444" s="74"/>
      <c r="U2444" s="75"/>
      <c r="V2444" s="74"/>
      <c r="W2444" s="75"/>
      <c r="X2444" s="74"/>
      <c r="Y2444" s="74"/>
      <c r="Z2444" s="74"/>
      <c r="AA2444" s="74"/>
      <c r="AB2444" s="74"/>
      <c r="AC2444" s="74"/>
      <c r="AD2444" s="74"/>
      <c r="AE2444" s="74"/>
      <c r="AF2444" s="74"/>
      <c r="AG2444" s="74"/>
      <c r="AH2444" s="74"/>
    </row>
    <row r="2445" s="73" customFormat="1" spans="1:34">
      <c r="A2445" s="74"/>
      <c r="B2445" s="74"/>
      <c r="C2445" s="74"/>
      <c r="D2445" s="74"/>
      <c r="E2445" s="74"/>
      <c r="F2445" s="74"/>
      <c r="G2445" s="74"/>
      <c r="H2445" s="74"/>
      <c r="I2445" s="74"/>
      <c r="J2445" s="74"/>
      <c r="K2445" s="74"/>
      <c r="L2445" s="74"/>
      <c r="M2445" s="74"/>
      <c r="N2445" s="74"/>
      <c r="O2445" s="75"/>
      <c r="P2445" s="74"/>
      <c r="Q2445" s="75"/>
      <c r="R2445" s="74"/>
      <c r="S2445" s="74"/>
      <c r="T2445" s="74"/>
      <c r="U2445" s="75"/>
      <c r="V2445" s="74"/>
      <c r="W2445" s="75"/>
      <c r="X2445" s="74"/>
      <c r="Y2445" s="74"/>
      <c r="Z2445" s="74"/>
      <c r="AA2445" s="74"/>
      <c r="AB2445" s="74"/>
      <c r="AC2445" s="74"/>
      <c r="AD2445" s="74"/>
      <c r="AE2445" s="74"/>
      <c r="AF2445" s="74"/>
      <c r="AG2445" s="74"/>
      <c r="AH2445" s="74"/>
    </row>
    <row r="2446" s="73" customFormat="1" spans="1:34">
      <c r="A2446" s="74"/>
      <c r="B2446" s="74"/>
      <c r="C2446" s="74"/>
      <c r="D2446" s="74"/>
      <c r="E2446" s="74"/>
      <c r="F2446" s="74"/>
      <c r="G2446" s="74"/>
      <c r="H2446" s="74"/>
      <c r="I2446" s="74"/>
      <c r="J2446" s="74"/>
      <c r="K2446" s="74"/>
      <c r="L2446" s="74"/>
      <c r="M2446" s="74"/>
      <c r="N2446" s="74"/>
      <c r="O2446" s="75"/>
      <c r="P2446" s="74"/>
      <c r="Q2446" s="75"/>
      <c r="R2446" s="74"/>
      <c r="S2446" s="74"/>
      <c r="T2446" s="74"/>
      <c r="U2446" s="75"/>
      <c r="V2446" s="74"/>
      <c r="W2446" s="75"/>
      <c r="X2446" s="74"/>
      <c r="Y2446" s="74"/>
      <c r="Z2446" s="74"/>
      <c r="AA2446" s="74"/>
      <c r="AB2446" s="74"/>
      <c r="AC2446" s="74"/>
      <c r="AD2446" s="74"/>
      <c r="AE2446" s="74"/>
      <c r="AF2446" s="74"/>
      <c r="AG2446" s="74"/>
      <c r="AH2446" s="74"/>
    </row>
    <row r="2447" s="73" customFormat="1" spans="1:34">
      <c r="A2447" s="74"/>
      <c r="B2447" s="74"/>
      <c r="C2447" s="74"/>
      <c r="D2447" s="74"/>
      <c r="E2447" s="74"/>
      <c r="F2447" s="74"/>
      <c r="G2447" s="74"/>
      <c r="H2447" s="74"/>
      <c r="I2447" s="74"/>
      <c r="J2447" s="74"/>
      <c r="K2447" s="74"/>
      <c r="L2447" s="74"/>
      <c r="M2447" s="74"/>
      <c r="N2447" s="74"/>
      <c r="O2447" s="75"/>
      <c r="P2447" s="74"/>
      <c r="Q2447" s="75"/>
      <c r="R2447" s="74"/>
      <c r="S2447" s="74"/>
      <c r="T2447" s="74"/>
      <c r="U2447" s="75"/>
      <c r="V2447" s="74"/>
      <c r="W2447" s="75"/>
      <c r="X2447" s="74"/>
      <c r="Y2447" s="74"/>
      <c r="Z2447" s="74"/>
      <c r="AA2447" s="74"/>
      <c r="AB2447" s="74"/>
      <c r="AC2447" s="74"/>
      <c r="AD2447" s="74"/>
      <c r="AE2447" s="74"/>
      <c r="AF2447" s="74"/>
      <c r="AG2447" s="74"/>
      <c r="AH2447" s="74"/>
    </row>
    <row r="2448" s="73" customFormat="1" spans="1:34">
      <c r="A2448" s="74"/>
      <c r="B2448" s="74"/>
      <c r="C2448" s="74"/>
      <c r="D2448" s="74"/>
      <c r="E2448" s="74"/>
      <c r="F2448" s="74"/>
      <c r="G2448" s="74"/>
      <c r="H2448" s="74"/>
      <c r="I2448" s="74"/>
      <c r="J2448" s="74"/>
      <c r="K2448" s="74"/>
      <c r="L2448" s="74"/>
      <c r="M2448" s="74"/>
      <c r="N2448" s="74"/>
      <c r="O2448" s="75"/>
      <c r="P2448" s="74"/>
      <c r="Q2448" s="75"/>
      <c r="R2448" s="74"/>
      <c r="S2448" s="74"/>
      <c r="T2448" s="74"/>
      <c r="U2448" s="75"/>
      <c r="V2448" s="74"/>
      <c r="W2448" s="75"/>
      <c r="X2448" s="74"/>
      <c r="Y2448" s="74"/>
      <c r="Z2448" s="74"/>
      <c r="AA2448" s="74"/>
      <c r="AB2448" s="74"/>
      <c r="AC2448" s="74"/>
      <c r="AD2448" s="74"/>
      <c r="AE2448" s="74"/>
      <c r="AF2448" s="74"/>
      <c r="AG2448" s="74"/>
      <c r="AH2448" s="74"/>
    </row>
    <row r="2449" s="73" customFormat="1" spans="1:34">
      <c r="A2449" s="74"/>
      <c r="B2449" s="74"/>
      <c r="C2449" s="74"/>
      <c r="D2449" s="74"/>
      <c r="E2449" s="74"/>
      <c r="F2449" s="74"/>
      <c r="G2449" s="74"/>
      <c r="H2449" s="74"/>
      <c r="I2449" s="74"/>
      <c r="J2449" s="74"/>
      <c r="K2449" s="74"/>
      <c r="L2449" s="74"/>
      <c r="M2449" s="74"/>
      <c r="N2449" s="74"/>
      <c r="O2449" s="75"/>
      <c r="P2449" s="74"/>
      <c r="Q2449" s="75"/>
      <c r="R2449" s="74"/>
      <c r="S2449" s="74"/>
      <c r="T2449" s="74"/>
      <c r="U2449" s="75"/>
      <c r="V2449" s="74"/>
      <c r="W2449" s="75"/>
      <c r="X2449" s="74"/>
      <c r="Y2449" s="74"/>
      <c r="Z2449" s="74"/>
      <c r="AA2449" s="74"/>
      <c r="AB2449" s="74"/>
      <c r="AC2449" s="74"/>
      <c r="AD2449" s="74"/>
      <c r="AE2449" s="74"/>
      <c r="AF2449" s="74"/>
      <c r="AG2449" s="74"/>
      <c r="AH2449" s="74"/>
    </row>
    <row r="2450" s="73" customFormat="1" spans="1:34">
      <c r="A2450" s="74"/>
      <c r="B2450" s="74"/>
      <c r="C2450" s="74"/>
      <c r="D2450" s="74"/>
      <c r="E2450" s="74"/>
      <c r="F2450" s="74"/>
      <c r="G2450" s="74"/>
      <c r="H2450" s="74"/>
      <c r="I2450" s="74"/>
      <c r="J2450" s="74"/>
      <c r="K2450" s="74"/>
      <c r="L2450" s="74"/>
      <c r="M2450" s="74"/>
      <c r="N2450" s="74"/>
      <c r="O2450" s="75"/>
      <c r="P2450" s="74"/>
      <c r="Q2450" s="75"/>
      <c r="R2450" s="74"/>
      <c r="S2450" s="74"/>
      <c r="T2450" s="74"/>
      <c r="U2450" s="75"/>
      <c r="V2450" s="74"/>
      <c r="W2450" s="75"/>
      <c r="X2450" s="74"/>
      <c r="Y2450" s="74"/>
      <c r="Z2450" s="74"/>
      <c r="AA2450" s="74"/>
      <c r="AB2450" s="74"/>
      <c r="AC2450" s="74"/>
      <c r="AD2450" s="74"/>
      <c r="AE2450" s="74"/>
      <c r="AF2450" s="74"/>
      <c r="AG2450" s="74"/>
      <c r="AH2450" s="74"/>
    </row>
    <row r="2451" s="73" customFormat="1" spans="1:34">
      <c r="A2451" s="74"/>
      <c r="B2451" s="74"/>
      <c r="C2451" s="74"/>
      <c r="D2451" s="74"/>
      <c r="E2451" s="74"/>
      <c r="F2451" s="74"/>
      <c r="G2451" s="74"/>
      <c r="H2451" s="74"/>
      <c r="I2451" s="74"/>
      <c r="J2451" s="74"/>
      <c r="K2451" s="74"/>
      <c r="L2451" s="74"/>
      <c r="M2451" s="74"/>
      <c r="N2451" s="74"/>
      <c r="O2451" s="75"/>
      <c r="P2451" s="74"/>
      <c r="Q2451" s="75"/>
      <c r="R2451" s="74"/>
      <c r="S2451" s="74"/>
      <c r="T2451" s="74"/>
      <c r="U2451" s="75"/>
      <c r="V2451" s="74"/>
      <c r="W2451" s="75"/>
      <c r="X2451" s="74"/>
      <c r="Y2451" s="74"/>
      <c r="Z2451" s="74"/>
      <c r="AA2451" s="74"/>
      <c r="AB2451" s="74"/>
      <c r="AC2451" s="74"/>
      <c r="AD2451" s="74"/>
      <c r="AE2451" s="74"/>
      <c r="AF2451" s="74"/>
      <c r="AG2451" s="74"/>
      <c r="AH2451" s="74"/>
    </row>
    <row r="2452" s="73" customFormat="1" spans="1:34">
      <c r="A2452" s="74"/>
      <c r="B2452" s="74"/>
      <c r="C2452" s="74"/>
      <c r="D2452" s="74"/>
      <c r="E2452" s="74"/>
      <c r="F2452" s="74"/>
      <c r="G2452" s="74"/>
      <c r="H2452" s="74"/>
      <c r="I2452" s="74"/>
      <c r="J2452" s="74"/>
      <c r="K2452" s="74"/>
      <c r="L2452" s="74"/>
      <c r="M2452" s="74"/>
      <c r="N2452" s="74"/>
      <c r="O2452" s="75"/>
      <c r="P2452" s="74"/>
      <c r="Q2452" s="75"/>
      <c r="R2452" s="74"/>
      <c r="S2452" s="74"/>
      <c r="T2452" s="74"/>
      <c r="U2452" s="75"/>
      <c r="V2452" s="74"/>
      <c r="W2452" s="75"/>
      <c r="X2452" s="74"/>
      <c r="Y2452" s="74"/>
      <c r="Z2452" s="74"/>
      <c r="AA2452" s="74"/>
      <c r="AB2452" s="74"/>
      <c r="AC2452" s="74"/>
      <c r="AD2452" s="74"/>
      <c r="AE2452" s="74"/>
      <c r="AF2452" s="74"/>
      <c r="AG2452" s="74"/>
      <c r="AH2452" s="74"/>
    </row>
    <row r="2453" s="73" customFormat="1" spans="1:34">
      <c r="A2453" s="74"/>
      <c r="B2453" s="74"/>
      <c r="C2453" s="74"/>
      <c r="D2453" s="74"/>
      <c r="E2453" s="74"/>
      <c r="F2453" s="74"/>
      <c r="G2453" s="74"/>
      <c r="H2453" s="74"/>
      <c r="I2453" s="74"/>
      <c r="J2453" s="74"/>
      <c r="K2453" s="74"/>
      <c r="L2453" s="74"/>
      <c r="M2453" s="74"/>
      <c r="N2453" s="74"/>
      <c r="O2453" s="75"/>
      <c r="P2453" s="74"/>
      <c r="Q2453" s="75"/>
      <c r="R2453" s="74"/>
      <c r="S2453" s="74"/>
      <c r="T2453" s="74"/>
      <c r="U2453" s="75"/>
      <c r="V2453" s="74"/>
      <c r="W2453" s="75"/>
      <c r="X2453" s="74"/>
      <c r="Y2453" s="74"/>
      <c r="Z2453" s="74"/>
      <c r="AA2453" s="74"/>
      <c r="AB2453" s="74"/>
      <c r="AC2453" s="74"/>
      <c r="AD2453" s="74"/>
      <c r="AE2453" s="74"/>
      <c r="AF2453" s="74"/>
      <c r="AG2453" s="74"/>
      <c r="AH2453" s="74"/>
    </row>
    <row r="2454" s="73" customFormat="1" spans="1:34">
      <c r="A2454" s="74"/>
      <c r="B2454" s="74"/>
      <c r="C2454" s="74"/>
      <c r="D2454" s="74"/>
      <c r="E2454" s="74"/>
      <c r="F2454" s="74"/>
      <c r="G2454" s="74"/>
      <c r="H2454" s="74"/>
      <c r="I2454" s="74"/>
      <c r="J2454" s="74"/>
      <c r="K2454" s="74"/>
      <c r="L2454" s="74"/>
      <c r="M2454" s="74"/>
      <c r="N2454" s="74"/>
      <c r="O2454" s="75"/>
      <c r="P2454" s="74"/>
      <c r="Q2454" s="75"/>
      <c r="R2454" s="74"/>
      <c r="S2454" s="74"/>
      <c r="T2454" s="74"/>
      <c r="U2454" s="75"/>
      <c r="V2454" s="74"/>
      <c r="W2454" s="75"/>
      <c r="X2454" s="74"/>
      <c r="Y2454" s="74"/>
      <c r="Z2454" s="74"/>
      <c r="AA2454" s="74"/>
      <c r="AB2454" s="74"/>
      <c r="AC2454" s="74"/>
      <c r="AD2454" s="74"/>
      <c r="AE2454" s="74"/>
      <c r="AF2454" s="74"/>
      <c r="AG2454" s="74"/>
      <c r="AH2454" s="74"/>
    </row>
    <row r="2456" s="73" customFormat="1" spans="1:34">
      <c r="A2456" s="74"/>
      <c r="B2456" s="74"/>
      <c r="C2456" s="74"/>
      <c r="D2456" s="74"/>
      <c r="E2456" s="74"/>
      <c r="F2456" s="74"/>
      <c r="G2456" s="74"/>
      <c r="H2456" s="74"/>
      <c r="I2456" s="74"/>
      <c r="J2456" s="74"/>
      <c r="K2456" s="74"/>
      <c r="L2456" s="74"/>
      <c r="M2456" s="74"/>
      <c r="N2456" s="74"/>
      <c r="O2456" s="75"/>
      <c r="P2456" s="74"/>
      <c r="Q2456" s="75"/>
      <c r="R2456" s="74"/>
      <c r="S2456" s="74"/>
      <c r="T2456" s="74"/>
      <c r="U2456" s="75"/>
      <c r="V2456" s="74"/>
      <c r="W2456" s="75"/>
      <c r="X2456" s="74"/>
      <c r="Y2456" s="74"/>
      <c r="Z2456" s="74"/>
      <c r="AA2456" s="74"/>
      <c r="AB2456" s="74"/>
      <c r="AC2456" s="74"/>
      <c r="AD2456" s="74"/>
      <c r="AE2456" s="74"/>
      <c r="AF2456" s="74"/>
      <c r="AG2456" s="74"/>
      <c r="AH2456" s="74"/>
    </row>
    <row r="2457" s="73" customFormat="1" spans="1:34">
      <c r="A2457" s="74"/>
      <c r="B2457" s="74"/>
      <c r="C2457" s="74"/>
      <c r="D2457" s="74"/>
      <c r="E2457" s="74"/>
      <c r="F2457" s="74"/>
      <c r="G2457" s="74"/>
      <c r="H2457" s="74"/>
      <c r="I2457" s="74"/>
      <c r="J2457" s="74"/>
      <c r="K2457" s="74"/>
      <c r="L2457" s="74"/>
      <c r="M2457" s="74"/>
      <c r="N2457" s="74"/>
      <c r="O2457" s="75"/>
      <c r="P2457" s="74"/>
      <c r="Q2457" s="75"/>
      <c r="R2457" s="74"/>
      <c r="S2457" s="74"/>
      <c r="T2457" s="74"/>
      <c r="U2457" s="75"/>
      <c r="V2457" s="74"/>
      <c r="W2457" s="75"/>
      <c r="X2457" s="74"/>
      <c r="Y2457" s="74"/>
      <c r="Z2457" s="74"/>
      <c r="AA2457" s="74"/>
      <c r="AB2457" s="74"/>
      <c r="AC2457" s="74"/>
      <c r="AD2457" s="74"/>
      <c r="AE2457" s="74"/>
      <c r="AF2457" s="74"/>
      <c r="AG2457" s="74"/>
      <c r="AH2457" s="74"/>
    </row>
    <row r="2458" s="73" customFormat="1" spans="1:34">
      <c r="A2458" s="74"/>
      <c r="B2458" s="74"/>
      <c r="C2458" s="74"/>
      <c r="D2458" s="74"/>
      <c r="E2458" s="74"/>
      <c r="F2458" s="74"/>
      <c r="G2458" s="74"/>
      <c r="H2458" s="74"/>
      <c r="I2458" s="74"/>
      <c r="J2458" s="74"/>
      <c r="K2458" s="74"/>
      <c r="L2458" s="74"/>
      <c r="M2458" s="74"/>
      <c r="N2458" s="74"/>
      <c r="O2458" s="75"/>
      <c r="P2458" s="74"/>
      <c r="Q2458" s="75"/>
      <c r="R2458" s="74"/>
      <c r="S2458" s="74"/>
      <c r="T2458" s="74"/>
      <c r="U2458" s="75"/>
      <c r="V2458" s="74"/>
      <c r="W2458" s="75"/>
      <c r="X2458" s="74"/>
      <c r="Y2458" s="74"/>
      <c r="Z2458" s="74"/>
      <c r="AA2458" s="74"/>
      <c r="AB2458" s="74"/>
      <c r="AC2458" s="74"/>
      <c r="AD2458" s="74"/>
      <c r="AE2458" s="74"/>
      <c r="AF2458" s="74"/>
      <c r="AG2458" s="74"/>
      <c r="AH2458" s="74"/>
    </row>
    <row r="2460" s="73" customFormat="1" spans="1:34">
      <c r="A2460" s="74"/>
      <c r="B2460" s="74"/>
      <c r="C2460" s="74"/>
      <c r="D2460" s="74"/>
      <c r="E2460" s="74"/>
      <c r="F2460" s="74"/>
      <c r="G2460" s="74"/>
      <c r="H2460" s="74"/>
      <c r="I2460" s="74"/>
      <c r="J2460" s="74"/>
      <c r="K2460" s="74"/>
      <c r="L2460" s="74"/>
      <c r="M2460" s="74"/>
      <c r="N2460" s="74"/>
      <c r="O2460" s="75"/>
      <c r="P2460" s="74"/>
      <c r="Q2460" s="75"/>
      <c r="R2460" s="74"/>
      <c r="S2460" s="74"/>
      <c r="T2460" s="74"/>
      <c r="U2460" s="75"/>
      <c r="V2460" s="74"/>
      <c r="W2460" s="75"/>
      <c r="X2460" s="74"/>
      <c r="Y2460" s="74"/>
      <c r="Z2460" s="74"/>
      <c r="AA2460" s="74"/>
      <c r="AB2460" s="74"/>
      <c r="AC2460" s="74"/>
      <c r="AD2460" s="74"/>
      <c r="AE2460" s="74"/>
      <c r="AF2460" s="74"/>
      <c r="AG2460" s="74"/>
      <c r="AH2460" s="74"/>
    </row>
    <row r="2461" s="73" customFormat="1" spans="1:34">
      <c r="A2461" s="74"/>
      <c r="B2461" s="74"/>
      <c r="C2461" s="74"/>
      <c r="D2461" s="74"/>
      <c r="E2461" s="74"/>
      <c r="F2461" s="74"/>
      <c r="G2461" s="74"/>
      <c r="H2461" s="74"/>
      <c r="I2461" s="74"/>
      <c r="J2461" s="74"/>
      <c r="K2461" s="74"/>
      <c r="L2461" s="74"/>
      <c r="M2461" s="74"/>
      <c r="N2461" s="74"/>
      <c r="O2461" s="75"/>
      <c r="P2461" s="74"/>
      <c r="Q2461" s="75"/>
      <c r="R2461" s="74"/>
      <c r="S2461" s="74"/>
      <c r="T2461" s="74"/>
      <c r="U2461" s="75"/>
      <c r="V2461" s="74"/>
      <c r="W2461" s="75"/>
      <c r="X2461" s="74"/>
      <c r="Y2461" s="74"/>
      <c r="Z2461" s="74"/>
      <c r="AA2461" s="74"/>
      <c r="AB2461" s="74"/>
      <c r="AC2461" s="74"/>
      <c r="AD2461" s="74"/>
      <c r="AE2461" s="74"/>
      <c r="AF2461" s="74"/>
      <c r="AG2461" s="74"/>
      <c r="AH2461" s="74"/>
    </row>
    <row r="2462" s="73" customFormat="1" spans="1:34">
      <c r="A2462" s="74"/>
      <c r="B2462" s="74"/>
      <c r="C2462" s="74"/>
      <c r="D2462" s="74"/>
      <c r="E2462" s="74"/>
      <c r="F2462" s="74"/>
      <c r="G2462" s="74"/>
      <c r="H2462" s="74"/>
      <c r="I2462" s="74"/>
      <c r="J2462" s="74"/>
      <c r="K2462" s="74"/>
      <c r="L2462" s="74"/>
      <c r="M2462" s="74"/>
      <c r="N2462" s="74"/>
      <c r="O2462" s="75"/>
      <c r="P2462" s="74"/>
      <c r="Q2462" s="75"/>
      <c r="R2462" s="74"/>
      <c r="S2462" s="74"/>
      <c r="T2462" s="74"/>
      <c r="U2462" s="75"/>
      <c r="V2462" s="74"/>
      <c r="W2462" s="75"/>
      <c r="X2462" s="74"/>
      <c r="Y2462" s="74"/>
      <c r="Z2462" s="74"/>
      <c r="AA2462" s="74"/>
      <c r="AB2462" s="74"/>
      <c r="AC2462" s="74"/>
      <c r="AD2462" s="74"/>
      <c r="AE2462" s="74"/>
      <c r="AF2462" s="74"/>
      <c r="AG2462" s="74"/>
      <c r="AH2462" s="74"/>
    </row>
    <row r="2463" s="73" customFormat="1" spans="1:34">
      <c r="A2463" s="74"/>
      <c r="B2463" s="74"/>
      <c r="C2463" s="74"/>
      <c r="D2463" s="74"/>
      <c r="E2463" s="74"/>
      <c r="F2463" s="74"/>
      <c r="G2463" s="74"/>
      <c r="H2463" s="74"/>
      <c r="I2463" s="74"/>
      <c r="J2463" s="74"/>
      <c r="K2463" s="74"/>
      <c r="L2463" s="74"/>
      <c r="M2463" s="74"/>
      <c r="N2463" s="74"/>
      <c r="O2463" s="75"/>
      <c r="P2463" s="74"/>
      <c r="Q2463" s="75"/>
      <c r="R2463" s="74"/>
      <c r="S2463" s="74"/>
      <c r="T2463" s="74"/>
      <c r="U2463" s="75"/>
      <c r="V2463" s="74"/>
      <c r="W2463" s="75"/>
      <c r="X2463" s="74"/>
      <c r="Y2463" s="74"/>
      <c r="Z2463" s="74"/>
      <c r="AA2463" s="74"/>
      <c r="AB2463" s="74"/>
      <c r="AC2463" s="74"/>
      <c r="AD2463" s="74"/>
      <c r="AE2463" s="74"/>
      <c r="AF2463" s="74"/>
      <c r="AG2463" s="74"/>
      <c r="AH2463" s="74"/>
    </row>
    <row r="2464" s="73" customFormat="1" spans="1:34">
      <c r="A2464" s="74"/>
      <c r="B2464" s="74"/>
      <c r="C2464" s="74"/>
      <c r="D2464" s="74"/>
      <c r="E2464" s="74"/>
      <c r="F2464" s="74"/>
      <c r="G2464" s="74"/>
      <c r="H2464" s="74"/>
      <c r="I2464" s="74"/>
      <c r="J2464" s="74"/>
      <c r="K2464" s="74"/>
      <c r="L2464" s="74"/>
      <c r="M2464" s="74"/>
      <c r="N2464" s="74"/>
      <c r="O2464" s="75"/>
      <c r="P2464" s="74"/>
      <c r="Q2464" s="75"/>
      <c r="R2464" s="74"/>
      <c r="S2464" s="74"/>
      <c r="T2464" s="74"/>
      <c r="U2464" s="75"/>
      <c r="V2464" s="74"/>
      <c r="W2464" s="75"/>
      <c r="X2464" s="74"/>
      <c r="Y2464" s="74"/>
      <c r="Z2464" s="74"/>
      <c r="AA2464" s="74"/>
      <c r="AB2464" s="74"/>
      <c r="AC2464" s="74"/>
      <c r="AD2464" s="74"/>
      <c r="AE2464" s="74"/>
      <c r="AF2464" s="74"/>
      <c r="AG2464" s="74"/>
      <c r="AH2464" s="74"/>
    </row>
    <row r="2465" s="73" customFormat="1" spans="1:34">
      <c r="A2465" s="74"/>
      <c r="B2465" s="74"/>
      <c r="C2465" s="74"/>
      <c r="D2465" s="74"/>
      <c r="E2465" s="74"/>
      <c r="F2465" s="74"/>
      <c r="G2465" s="74"/>
      <c r="H2465" s="74"/>
      <c r="I2465" s="74"/>
      <c r="J2465" s="74"/>
      <c r="K2465" s="74"/>
      <c r="L2465" s="74"/>
      <c r="M2465" s="74"/>
      <c r="N2465" s="74"/>
      <c r="O2465" s="75"/>
      <c r="P2465" s="74"/>
      <c r="Q2465" s="75"/>
      <c r="R2465" s="74"/>
      <c r="S2465" s="74"/>
      <c r="T2465" s="74"/>
      <c r="U2465" s="75"/>
      <c r="V2465" s="74"/>
      <c r="W2465" s="75"/>
      <c r="X2465" s="74"/>
      <c r="Y2465" s="74"/>
      <c r="Z2465" s="74"/>
      <c r="AA2465" s="74"/>
      <c r="AB2465" s="74"/>
      <c r="AC2465" s="74"/>
      <c r="AD2465" s="74"/>
      <c r="AE2465" s="74"/>
      <c r="AF2465" s="74"/>
      <c r="AG2465" s="74"/>
      <c r="AH2465" s="74"/>
    </row>
    <row r="2466" s="73" customFormat="1" spans="1:34">
      <c r="A2466" s="74"/>
      <c r="B2466" s="74"/>
      <c r="C2466" s="74"/>
      <c r="D2466" s="74"/>
      <c r="E2466" s="74"/>
      <c r="F2466" s="74"/>
      <c r="G2466" s="74"/>
      <c r="H2466" s="74"/>
      <c r="I2466" s="74"/>
      <c r="J2466" s="74"/>
      <c r="K2466" s="74"/>
      <c r="L2466" s="74"/>
      <c r="M2466" s="74"/>
      <c r="N2466" s="74"/>
      <c r="O2466" s="75"/>
      <c r="P2466" s="74"/>
      <c r="Q2466" s="75"/>
      <c r="R2466" s="74"/>
      <c r="S2466" s="74"/>
      <c r="T2466" s="74"/>
      <c r="U2466" s="75"/>
      <c r="V2466" s="74"/>
      <c r="W2466" s="75"/>
      <c r="X2466" s="74"/>
      <c r="Y2466" s="74"/>
      <c r="Z2466" s="74"/>
      <c r="AA2466" s="74"/>
      <c r="AB2466" s="74"/>
      <c r="AC2466" s="74"/>
      <c r="AD2466" s="74"/>
      <c r="AE2466" s="74"/>
      <c r="AF2466" s="74"/>
      <c r="AG2466" s="74"/>
      <c r="AH2466" s="74"/>
    </row>
    <row r="2467" s="73" customFormat="1" spans="1:34">
      <c r="A2467" s="74"/>
      <c r="B2467" s="74"/>
      <c r="C2467" s="74"/>
      <c r="D2467" s="74"/>
      <c r="E2467" s="74"/>
      <c r="F2467" s="74"/>
      <c r="G2467" s="74"/>
      <c r="H2467" s="74"/>
      <c r="I2467" s="74"/>
      <c r="J2467" s="74"/>
      <c r="K2467" s="74"/>
      <c r="L2467" s="74"/>
      <c r="M2467" s="74"/>
      <c r="N2467" s="74"/>
      <c r="O2467" s="75"/>
      <c r="P2467" s="74"/>
      <c r="Q2467" s="75"/>
      <c r="R2467" s="74"/>
      <c r="S2467" s="74"/>
      <c r="T2467" s="74"/>
      <c r="U2467" s="75"/>
      <c r="V2467" s="74"/>
      <c r="W2467" s="75"/>
      <c r="X2467" s="74"/>
      <c r="Y2467" s="74"/>
      <c r="Z2467" s="74"/>
      <c r="AA2467" s="74"/>
      <c r="AB2467" s="74"/>
      <c r="AC2467" s="74"/>
      <c r="AD2467" s="74"/>
      <c r="AE2467" s="74"/>
      <c r="AF2467" s="74"/>
      <c r="AG2467" s="74"/>
      <c r="AH2467" s="74"/>
    </row>
    <row r="2468" s="73" customFormat="1" spans="1:34">
      <c r="A2468" s="74"/>
      <c r="B2468" s="74"/>
      <c r="C2468" s="74"/>
      <c r="D2468" s="74"/>
      <c r="E2468" s="74"/>
      <c r="F2468" s="74"/>
      <c r="G2468" s="74"/>
      <c r="H2468" s="74"/>
      <c r="I2468" s="74"/>
      <c r="J2468" s="74"/>
      <c r="K2468" s="74"/>
      <c r="L2468" s="74"/>
      <c r="M2468" s="74"/>
      <c r="N2468" s="74"/>
      <c r="O2468" s="75"/>
      <c r="P2468" s="74"/>
      <c r="Q2468" s="75"/>
      <c r="R2468" s="74"/>
      <c r="S2468" s="74"/>
      <c r="T2468" s="74"/>
      <c r="U2468" s="75"/>
      <c r="V2468" s="74"/>
      <c r="W2468" s="75"/>
      <c r="X2468" s="74"/>
      <c r="Y2468" s="74"/>
      <c r="Z2468" s="74"/>
      <c r="AA2468" s="74"/>
      <c r="AB2468" s="74"/>
      <c r="AC2468" s="74"/>
      <c r="AD2468" s="74"/>
      <c r="AE2468" s="74"/>
      <c r="AF2468" s="74"/>
      <c r="AG2468" s="74"/>
      <c r="AH2468" s="74"/>
    </row>
    <row r="2469" s="73" customFormat="1" spans="1:34">
      <c r="A2469" s="74"/>
      <c r="B2469" s="74"/>
      <c r="C2469" s="74"/>
      <c r="D2469" s="74"/>
      <c r="E2469" s="74"/>
      <c r="F2469" s="74"/>
      <c r="G2469" s="74"/>
      <c r="H2469" s="74"/>
      <c r="I2469" s="74"/>
      <c r="J2469" s="74"/>
      <c r="K2469" s="74"/>
      <c r="L2469" s="74"/>
      <c r="M2469" s="74"/>
      <c r="N2469" s="74"/>
      <c r="O2469" s="75"/>
      <c r="P2469" s="74"/>
      <c r="Q2469" s="75"/>
      <c r="R2469" s="74"/>
      <c r="S2469" s="74"/>
      <c r="T2469" s="74"/>
      <c r="U2469" s="75"/>
      <c r="V2469" s="74"/>
      <c r="W2469" s="75"/>
      <c r="X2469" s="74"/>
      <c r="Y2469" s="74"/>
      <c r="Z2469" s="74"/>
      <c r="AA2469" s="74"/>
      <c r="AB2469" s="74"/>
      <c r="AC2469" s="74"/>
      <c r="AD2469" s="74"/>
      <c r="AE2469" s="74"/>
      <c r="AF2469" s="74"/>
      <c r="AG2469" s="74"/>
      <c r="AH2469" s="74"/>
    </row>
    <row r="2470" s="73" customFormat="1" spans="1:34">
      <c r="A2470" s="74"/>
      <c r="B2470" s="74"/>
      <c r="C2470" s="74"/>
      <c r="D2470" s="74"/>
      <c r="E2470" s="74"/>
      <c r="F2470" s="74"/>
      <c r="G2470" s="74"/>
      <c r="H2470" s="74"/>
      <c r="I2470" s="74"/>
      <c r="J2470" s="74"/>
      <c r="K2470" s="74"/>
      <c r="L2470" s="74"/>
      <c r="M2470" s="74"/>
      <c r="N2470" s="74"/>
      <c r="O2470" s="75"/>
      <c r="P2470" s="74"/>
      <c r="Q2470" s="75"/>
      <c r="R2470" s="74"/>
      <c r="S2470" s="74"/>
      <c r="T2470" s="74"/>
      <c r="U2470" s="75"/>
      <c r="V2470" s="74"/>
      <c r="W2470" s="75"/>
      <c r="X2470" s="74"/>
      <c r="Y2470" s="74"/>
      <c r="Z2470" s="74"/>
      <c r="AA2470" s="74"/>
      <c r="AB2470" s="74"/>
      <c r="AC2470" s="74"/>
      <c r="AD2470" s="74"/>
      <c r="AE2470" s="74"/>
      <c r="AF2470" s="74"/>
      <c r="AG2470" s="74"/>
      <c r="AH2470" s="74"/>
    </row>
    <row r="2471" s="73" customFormat="1" spans="1:34">
      <c r="A2471" s="74"/>
      <c r="B2471" s="74"/>
      <c r="C2471" s="74"/>
      <c r="D2471" s="74"/>
      <c r="E2471" s="74"/>
      <c r="F2471" s="74"/>
      <c r="G2471" s="74"/>
      <c r="H2471" s="74"/>
      <c r="I2471" s="74"/>
      <c r="J2471" s="74"/>
      <c r="K2471" s="74"/>
      <c r="L2471" s="74"/>
      <c r="M2471" s="74"/>
      <c r="N2471" s="74"/>
      <c r="O2471" s="75"/>
      <c r="P2471" s="74"/>
      <c r="Q2471" s="75"/>
      <c r="R2471" s="74"/>
      <c r="S2471" s="74"/>
      <c r="T2471" s="74"/>
      <c r="U2471" s="75"/>
      <c r="V2471" s="74"/>
      <c r="W2471" s="75"/>
      <c r="X2471" s="74"/>
      <c r="Y2471" s="74"/>
      <c r="Z2471" s="74"/>
      <c r="AA2471" s="74"/>
      <c r="AB2471" s="74"/>
      <c r="AC2471" s="74"/>
      <c r="AD2471" s="74"/>
      <c r="AE2471" s="74"/>
      <c r="AF2471" s="74"/>
      <c r="AG2471" s="74"/>
      <c r="AH2471" s="74"/>
    </row>
    <row r="2472" s="73" customFormat="1" spans="1:34">
      <c r="A2472" s="74"/>
      <c r="B2472" s="74"/>
      <c r="C2472" s="74"/>
      <c r="D2472" s="74"/>
      <c r="E2472" s="74"/>
      <c r="F2472" s="74"/>
      <c r="G2472" s="74"/>
      <c r="H2472" s="74"/>
      <c r="I2472" s="74"/>
      <c r="J2472" s="74"/>
      <c r="K2472" s="74"/>
      <c r="L2472" s="74"/>
      <c r="M2472" s="74"/>
      <c r="N2472" s="74"/>
      <c r="O2472" s="75"/>
      <c r="P2472" s="74"/>
      <c r="Q2472" s="75"/>
      <c r="R2472" s="74"/>
      <c r="S2472" s="74"/>
      <c r="T2472" s="74"/>
      <c r="U2472" s="75"/>
      <c r="V2472" s="74"/>
      <c r="W2472" s="75"/>
      <c r="X2472" s="74"/>
      <c r="Y2472" s="74"/>
      <c r="Z2472" s="74"/>
      <c r="AA2472" s="74"/>
      <c r="AB2472" s="74"/>
      <c r="AC2472" s="74"/>
      <c r="AD2472" s="74"/>
      <c r="AE2472" s="74"/>
      <c r="AF2472" s="74"/>
      <c r="AG2472" s="74"/>
      <c r="AH2472" s="74"/>
    </row>
    <row r="2473" s="73" customFormat="1" spans="1:34">
      <c r="A2473" s="74"/>
      <c r="B2473" s="74"/>
      <c r="C2473" s="74"/>
      <c r="D2473" s="74"/>
      <c r="E2473" s="74"/>
      <c r="F2473" s="74"/>
      <c r="G2473" s="74"/>
      <c r="H2473" s="74"/>
      <c r="I2473" s="74"/>
      <c r="J2473" s="74"/>
      <c r="K2473" s="74"/>
      <c r="L2473" s="74"/>
      <c r="M2473" s="74"/>
      <c r="N2473" s="74"/>
      <c r="O2473" s="75"/>
      <c r="P2473" s="74"/>
      <c r="Q2473" s="75"/>
      <c r="R2473" s="74"/>
      <c r="S2473" s="74"/>
      <c r="T2473" s="74"/>
      <c r="U2473" s="75"/>
      <c r="V2473" s="74"/>
      <c r="W2473" s="75"/>
      <c r="X2473" s="74"/>
      <c r="Y2473" s="74"/>
      <c r="Z2473" s="74"/>
      <c r="AA2473" s="74"/>
      <c r="AB2473" s="74"/>
      <c r="AC2473" s="74"/>
      <c r="AD2473" s="74"/>
      <c r="AE2473" s="74"/>
      <c r="AF2473" s="74"/>
      <c r="AG2473" s="74"/>
      <c r="AH2473" s="74"/>
    </row>
    <row r="2474" s="73" customFormat="1" spans="1:34">
      <c r="A2474" s="74"/>
      <c r="B2474" s="74"/>
      <c r="C2474" s="74"/>
      <c r="D2474" s="74"/>
      <c r="E2474" s="74"/>
      <c r="F2474" s="74"/>
      <c r="G2474" s="74"/>
      <c r="H2474" s="74"/>
      <c r="I2474" s="74"/>
      <c r="J2474" s="74"/>
      <c r="K2474" s="74"/>
      <c r="L2474" s="74"/>
      <c r="M2474" s="74"/>
      <c r="N2474" s="74"/>
      <c r="O2474" s="75"/>
      <c r="P2474" s="74"/>
      <c r="Q2474" s="75"/>
      <c r="R2474" s="74"/>
      <c r="S2474" s="74"/>
      <c r="T2474" s="74"/>
      <c r="U2474" s="75"/>
      <c r="V2474" s="74"/>
      <c r="W2474" s="75"/>
      <c r="X2474" s="74"/>
      <c r="Y2474" s="74"/>
      <c r="Z2474" s="74"/>
      <c r="AA2474" s="74"/>
      <c r="AB2474" s="74"/>
      <c r="AC2474" s="74"/>
      <c r="AD2474" s="74"/>
      <c r="AE2474" s="74"/>
      <c r="AF2474" s="74"/>
      <c r="AG2474" s="74"/>
      <c r="AH2474" s="74"/>
    </row>
    <row r="2475" s="73" customFormat="1" spans="1:34">
      <c r="A2475" s="74"/>
      <c r="B2475" s="74"/>
      <c r="C2475" s="74"/>
      <c r="D2475" s="74"/>
      <c r="E2475" s="74"/>
      <c r="F2475" s="74"/>
      <c r="G2475" s="74"/>
      <c r="H2475" s="74"/>
      <c r="I2475" s="74"/>
      <c r="J2475" s="74"/>
      <c r="K2475" s="74"/>
      <c r="L2475" s="74"/>
      <c r="M2475" s="74"/>
      <c r="N2475" s="74"/>
      <c r="O2475" s="75"/>
      <c r="P2475" s="74"/>
      <c r="Q2475" s="75"/>
      <c r="R2475" s="74"/>
      <c r="S2475" s="74"/>
      <c r="T2475" s="74"/>
      <c r="U2475" s="75"/>
      <c r="V2475" s="74"/>
      <c r="W2475" s="74"/>
      <c r="X2475" s="74"/>
      <c r="Y2475" s="74"/>
      <c r="Z2475" s="74"/>
      <c r="AA2475" s="74"/>
      <c r="AB2475" s="74"/>
      <c r="AC2475" s="74"/>
      <c r="AD2475" s="74"/>
      <c r="AE2475" s="74"/>
      <c r="AF2475" s="74"/>
      <c r="AG2475" s="74"/>
      <c r="AH2475" s="74"/>
    </row>
    <row r="2476" s="73" customFormat="1" spans="1:34">
      <c r="A2476" s="74"/>
      <c r="B2476" s="74"/>
      <c r="C2476" s="74"/>
      <c r="D2476" s="74"/>
      <c r="E2476" s="74"/>
      <c r="F2476" s="74"/>
      <c r="G2476" s="74"/>
      <c r="H2476" s="74"/>
      <c r="I2476" s="74"/>
      <c r="J2476" s="74"/>
      <c r="K2476" s="74"/>
      <c r="L2476" s="74"/>
      <c r="M2476" s="74"/>
      <c r="N2476" s="74"/>
      <c r="O2476" s="75"/>
      <c r="P2476" s="74"/>
      <c r="Q2476" s="75"/>
      <c r="R2476" s="74"/>
      <c r="S2476" s="74"/>
      <c r="T2476" s="74"/>
      <c r="U2476" s="75"/>
      <c r="V2476" s="74"/>
      <c r="W2476" s="75"/>
      <c r="X2476" s="74"/>
      <c r="Y2476" s="74"/>
      <c r="Z2476" s="74"/>
      <c r="AA2476" s="74"/>
      <c r="AB2476" s="74"/>
      <c r="AC2476" s="74"/>
      <c r="AD2476" s="74"/>
      <c r="AE2476" s="74"/>
      <c r="AF2476" s="74"/>
      <c r="AG2476" s="74"/>
      <c r="AH2476" s="74"/>
    </row>
    <row r="2477" s="73" customFormat="1" spans="1:34">
      <c r="A2477" s="74"/>
      <c r="B2477" s="74"/>
      <c r="C2477" s="74"/>
      <c r="D2477" s="74"/>
      <c r="E2477" s="74"/>
      <c r="F2477" s="74"/>
      <c r="G2477" s="74"/>
      <c r="H2477" s="74"/>
      <c r="I2477" s="74"/>
      <c r="J2477" s="74"/>
      <c r="K2477" s="74"/>
      <c r="L2477" s="74"/>
      <c r="M2477" s="74"/>
      <c r="N2477" s="74"/>
      <c r="O2477" s="75"/>
      <c r="P2477" s="74"/>
      <c r="Q2477" s="75"/>
      <c r="R2477" s="74"/>
      <c r="S2477" s="74"/>
      <c r="T2477" s="74"/>
      <c r="U2477" s="75"/>
      <c r="V2477" s="74"/>
      <c r="W2477" s="75"/>
      <c r="X2477" s="74"/>
      <c r="Y2477" s="74"/>
      <c r="Z2477" s="74"/>
      <c r="AA2477" s="74"/>
      <c r="AB2477" s="74"/>
      <c r="AC2477" s="74"/>
      <c r="AD2477" s="74"/>
      <c r="AE2477" s="74"/>
      <c r="AF2477" s="74"/>
      <c r="AG2477" s="74"/>
      <c r="AH2477" s="74"/>
    </row>
    <row r="2478" s="73" customFormat="1" spans="1:34">
      <c r="A2478" s="74"/>
      <c r="B2478" s="74"/>
      <c r="C2478" s="74"/>
      <c r="D2478" s="74"/>
      <c r="E2478" s="74"/>
      <c r="F2478" s="74"/>
      <c r="G2478" s="74"/>
      <c r="H2478" s="74"/>
      <c r="I2478" s="74"/>
      <c r="J2478" s="74"/>
      <c r="K2478" s="74"/>
      <c r="L2478" s="74"/>
      <c r="M2478" s="74"/>
      <c r="N2478" s="74"/>
      <c r="O2478" s="75"/>
      <c r="P2478" s="74"/>
      <c r="Q2478" s="75"/>
      <c r="R2478" s="74"/>
      <c r="S2478" s="74"/>
      <c r="T2478" s="74"/>
      <c r="U2478" s="75"/>
      <c r="V2478" s="74"/>
      <c r="W2478" s="75"/>
      <c r="X2478" s="74"/>
      <c r="Y2478" s="74"/>
      <c r="Z2478" s="74"/>
      <c r="AA2478" s="74"/>
      <c r="AB2478" s="74"/>
      <c r="AC2478" s="74"/>
      <c r="AD2478" s="74"/>
      <c r="AE2478" s="74"/>
      <c r="AF2478" s="74"/>
      <c r="AG2478" s="74"/>
      <c r="AH2478" s="74"/>
    </row>
    <row r="2479" s="73" customFormat="1" spans="1:34">
      <c r="A2479" s="74"/>
      <c r="B2479" s="74"/>
      <c r="C2479" s="74"/>
      <c r="D2479" s="74"/>
      <c r="E2479" s="74"/>
      <c r="F2479" s="74"/>
      <c r="G2479" s="74"/>
      <c r="H2479" s="74"/>
      <c r="I2479" s="74"/>
      <c r="J2479" s="74"/>
      <c r="K2479" s="74"/>
      <c r="L2479" s="74"/>
      <c r="M2479" s="74"/>
      <c r="N2479" s="74"/>
      <c r="O2479" s="75"/>
      <c r="P2479" s="74"/>
      <c r="Q2479" s="75"/>
      <c r="R2479" s="74"/>
      <c r="S2479" s="74"/>
      <c r="T2479" s="74"/>
      <c r="U2479" s="75"/>
      <c r="V2479" s="74"/>
      <c r="W2479" s="75"/>
      <c r="X2479" s="74"/>
      <c r="Y2479" s="74"/>
      <c r="Z2479" s="74"/>
      <c r="AA2479" s="74"/>
      <c r="AB2479" s="74"/>
      <c r="AC2479" s="74"/>
      <c r="AD2479" s="74"/>
      <c r="AE2479" s="74"/>
      <c r="AF2479" s="74"/>
      <c r="AG2479" s="74"/>
      <c r="AH2479" s="74"/>
    </row>
    <row r="2480" s="73" customFormat="1" spans="1:34">
      <c r="A2480" s="74"/>
      <c r="B2480" s="74"/>
      <c r="C2480" s="74"/>
      <c r="D2480" s="74"/>
      <c r="E2480" s="74"/>
      <c r="F2480" s="74"/>
      <c r="G2480" s="74"/>
      <c r="H2480" s="74"/>
      <c r="I2480" s="74"/>
      <c r="J2480" s="74"/>
      <c r="K2480" s="74"/>
      <c r="L2480" s="74"/>
      <c r="M2480" s="74"/>
      <c r="N2480" s="74"/>
      <c r="O2480" s="75"/>
      <c r="P2480" s="74"/>
      <c r="Q2480" s="75"/>
      <c r="R2480" s="74"/>
      <c r="S2480" s="74"/>
      <c r="T2480" s="74"/>
      <c r="U2480" s="75"/>
      <c r="V2480" s="74"/>
      <c r="W2480" s="75"/>
      <c r="X2480" s="74"/>
      <c r="Y2480" s="74"/>
      <c r="Z2480" s="74"/>
      <c r="AA2480" s="74"/>
      <c r="AB2480" s="74"/>
      <c r="AC2480" s="74"/>
      <c r="AD2480" s="74"/>
      <c r="AE2480" s="74"/>
      <c r="AF2480" s="74"/>
      <c r="AG2480" s="74"/>
      <c r="AH2480" s="74"/>
    </row>
    <row r="2481" s="73" customFormat="1" spans="1:34">
      <c r="A2481" s="74"/>
      <c r="B2481" s="74"/>
      <c r="C2481" s="74"/>
      <c r="D2481" s="74"/>
      <c r="E2481" s="74"/>
      <c r="F2481" s="74"/>
      <c r="G2481" s="74"/>
      <c r="H2481" s="74"/>
      <c r="I2481" s="74"/>
      <c r="J2481" s="74"/>
      <c r="K2481" s="74"/>
      <c r="L2481" s="74"/>
      <c r="M2481" s="74"/>
      <c r="N2481" s="74"/>
      <c r="O2481" s="75"/>
      <c r="P2481" s="74"/>
      <c r="Q2481" s="75"/>
      <c r="R2481" s="74"/>
      <c r="S2481" s="74"/>
      <c r="T2481" s="74"/>
      <c r="U2481" s="75"/>
      <c r="V2481" s="74"/>
      <c r="W2481" s="75"/>
      <c r="X2481" s="74"/>
      <c r="Y2481" s="74"/>
      <c r="Z2481" s="74"/>
      <c r="AA2481" s="74"/>
      <c r="AB2481" s="74"/>
      <c r="AC2481" s="74"/>
      <c r="AD2481" s="74"/>
      <c r="AE2481" s="74"/>
      <c r="AF2481" s="74"/>
      <c r="AG2481" s="74"/>
      <c r="AH2481" s="74"/>
    </row>
    <row r="2482" s="73" customFormat="1" spans="1:34">
      <c r="A2482" s="74"/>
      <c r="B2482" s="74"/>
      <c r="C2482" s="74"/>
      <c r="D2482" s="74"/>
      <c r="E2482" s="74"/>
      <c r="F2482" s="74"/>
      <c r="G2482" s="74"/>
      <c r="H2482" s="74"/>
      <c r="I2482" s="74"/>
      <c r="J2482" s="74"/>
      <c r="K2482" s="74"/>
      <c r="L2482" s="74"/>
      <c r="M2482" s="74"/>
      <c r="N2482" s="74"/>
      <c r="O2482" s="75"/>
      <c r="P2482" s="74"/>
      <c r="Q2482" s="75"/>
      <c r="R2482" s="74"/>
      <c r="S2482" s="74"/>
      <c r="T2482" s="74"/>
      <c r="U2482" s="75"/>
      <c r="V2482" s="74"/>
      <c r="W2482" s="75"/>
      <c r="X2482" s="74"/>
      <c r="Y2482" s="74"/>
      <c r="Z2482" s="74"/>
      <c r="AA2482" s="74"/>
      <c r="AB2482" s="74"/>
      <c r="AC2482" s="74"/>
      <c r="AD2482" s="74"/>
      <c r="AE2482" s="74"/>
      <c r="AF2482" s="74"/>
      <c r="AG2482" s="74"/>
      <c r="AH2482" s="74"/>
    </row>
    <row r="2483" s="73" customFormat="1" spans="1:34">
      <c r="A2483" s="74"/>
      <c r="B2483" s="74"/>
      <c r="C2483" s="74"/>
      <c r="D2483" s="74"/>
      <c r="E2483" s="74"/>
      <c r="F2483" s="74"/>
      <c r="G2483" s="74"/>
      <c r="H2483" s="74"/>
      <c r="I2483" s="74"/>
      <c r="J2483" s="74"/>
      <c r="K2483" s="74"/>
      <c r="L2483" s="74"/>
      <c r="M2483" s="74"/>
      <c r="N2483" s="74"/>
      <c r="O2483" s="75"/>
      <c r="P2483" s="74"/>
      <c r="Q2483" s="75"/>
      <c r="R2483" s="74"/>
      <c r="S2483" s="74"/>
      <c r="T2483" s="74"/>
      <c r="U2483" s="75"/>
      <c r="V2483" s="74"/>
      <c r="W2483" s="75"/>
      <c r="X2483" s="74"/>
      <c r="Y2483" s="74"/>
      <c r="Z2483" s="74"/>
      <c r="AA2483" s="74"/>
      <c r="AB2483" s="74"/>
      <c r="AC2483" s="74"/>
      <c r="AD2483" s="74"/>
      <c r="AE2483" s="74"/>
      <c r="AF2483" s="74"/>
      <c r="AG2483" s="74"/>
      <c r="AH2483" s="74"/>
    </row>
    <row r="2484" s="73" customFormat="1" spans="1:34">
      <c r="A2484" s="74"/>
      <c r="B2484" s="74"/>
      <c r="C2484" s="74"/>
      <c r="D2484" s="74"/>
      <c r="E2484" s="74"/>
      <c r="F2484" s="74"/>
      <c r="G2484" s="74"/>
      <c r="H2484" s="74"/>
      <c r="I2484" s="74"/>
      <c r="J2484" s="74"/>
      <c r="K2484" s="74"/>
      <c r="L2484" s="74"/>
      <c r="M2484" s="74"/>
      <c r="N2484" s="74"/>
      <c r="O2484" s="75"/>
      <c r="P2484" s="74"/>
      <c r="Q2484" s="75"/>
      <c r="R2484" s="74"/>
      <c r="S2484" s="74"/>
      <c r="T2484" s="74"/>
      <c r="U2484" s="75"/>
      <c r="V2484" s="74"/>
      <c r="W2484" s="75"/>
      <c r="X2484" s="74"/>
      <c r="Y2484" s="74"/>
      <c r="Z2484" s="74"/>
      <c r="AA2484" s="74"/>
      <c r="AB2484" s="74"/>
      <c r="AC2484" s="74"/>
      <c r="AD2484" s="74"/>
      <c r="AE2484" s="74"/>
      <c r="AF2484" s="74"/>
      <c r="AG2484" s="74"/>
      <c r="AH2484" s="74"/>
    </row>
    <row r="2485" s="73" customFormat="1" spans="1:34">
      <c r="A2485" s="74"/>
      <c r="B2485" s="74"/>
      <c r="C2485" s="74"/>
      <c r="D2485" s="74"/>
      <c r="E2485" s="74"/>
      <c r="F2485" s="74"/>
      <c r="G2485" s="74"/>
      <c r="H2485" s="74"/>
      <c r="I2485" s="74"/>
      <c r="J2485" s="74"/>
      <c r="K2485" s="74"/>
      <c r="L2485" s="74"/>
      <c r="M2485" s="74"/>
      <c r="N2485" s="74"/>
      <c r="O2485" s="75"/>
      <c r="P2485" s="74"/>
      <c r="Q2485" s="75"/>
      <c r="R2485" s="74"/>
      <c r="S2485" s="74"/>
      <c r="T2485" s="74"/>
      <c r="U2485" s="75"/>
      <c r="V2485" s="74"/>
      <c r="W2485" s="75"/>
      <c r="X2485" s="74"/>
      <c r="Y2485" s="74"/>
      <c r="Z2485" s="74"/>
      <c r="AA2485" s="74"/>
      <c r="AB2485" s="74"/>
      <c r="AC2485" s="74"/>
      <c r="AD2485" s="74"/>
      <c r="AE2485" s="74"/>
      <c r="AF2485" s="74"/>
      <c r="AG2485" s="74"/>
      <c r="AH2485" s="74"/>
    </row>
    <row r="2486" s="73" customFormat="1" spans="1:34">
      <c r="A2486" s="74"/>
      <c r="B2486" s="74"/>
      <c r="C2486" s="74"/>
      <c r="D2486" s="74"/>
      <c r="E2486" s="74"/>
      <c r="F2486" s="74"/>
      <c r="G2486" s="74"/>
      <c r="H2486" s="74"/>
      <c r="I2486" s="74"/>
      <c r="J2486" s="74"/>
      <c r="K2486" s="74"/>
      <c r="L2486" s="74"/>
      <c r="M2486" s="74"/>
      <c r="N2486" s="74"/>
      <c r="O2486" s="75"/>
      <c r="P2486" s="74"/>
      <c r="Q2486" s="75"/>
      <c r="R2486" s="74"/>
      <c r="S2486" s="74"/>
      <c r="T2486" s="74"/>
      <c r="U2486" s="75"/>
      <c r="V2486" s="74"/>
      <c r="W2486" s="75"/>
      <c r="X2486" s="74"/>
      <c r="Y2486" s="74"/>
      <c r="Z2486" s="74"/>
      <c r="AA2486" s="74"/>
      <c r="AB2486" s="74"/>
      <c r="AC2486" s="74"/>
      <c r="AD2486" s="74"/>
      <c r="AE2486" s="74"/>
      <c r="AF2486" s="74"/>
      <c r="AG2486" s="74"/>
      <c r="AH2486" s="74"/>
    </row>
    <row r="2487" s="73" customFormat="1" spans="1:34">
      <c r="A2487" s="74"/>
      <c r="B2487" s="74"/>
      <c r="C2487" s="74"/>
      <c r="D2487" s="74"/>
      <c r="E2487" s="74"/>
      <c r="F2487" s="74"/>
      <c r="G2487" s="74"/>
      <c r="H2487" s="74"/>
      <c r="I2487" s="74"/>
      <c r="J2487" s="74"/>
      <c r="K2487" s="74"/>
      <c r="L2487" s="74"/>
      <c r="M2487" s="74"/>
      <c r="N2487" s="74"/>
      <c r="O2487" s="75"/>
      <c r="P2487" s="74"/>
      <c r="Q2487" s="75"/>
      <c r="R2487" s="74"/>
      <c r="S2487" s="74"/>
      <c r="T2487" s="74"/>
      <c r="U2487" s="75"/>
      <c r="V2487" s="74"/>
      <c r="W2487" s="75"/>
      <c r="X2487" s="74"/>
      <c r="Y2487" s="74"/>
      <c r="Z2487" s="74"/>
      <c r="AA2487" s="74"/>
      <c r="AB2487" s="74"/>
      <c r="AC2487" s="74"/>
      <c r="AD2487" s="74"/>
      <c r="AE2487" s="74"/>
      <c r="AF2487" s="74"/>
      <c r="AG2487" s="74"/>
      <c r="AH2487" s="74"/>
    </row>
    <row r="2488" s="73" customFormat="1" spans="1:34">
      <c r="A2488" s="74"/>
      <c r="B2488" s="74"/>
      <c r="C2488" s="74"/>
      <c r="D2488" s="74"/>
      <c r="E2488" s="74"/>
      <c r="F2488" s="74"/>
      <c r="G2488" s="74"/>
      <c r="H2488" s="74"/>
      <c r="I2488" s="74"/>
      <c r="J2488" s="74"/>
      <c r="K2488" s="74"/>
      <c r="L2488" s="74"/>
      <c r="M2488" s="74"/>
      <c r="N2488" s="74"/>
      <c r="O2488" s="75"/>
      <c r="P2488" s="74"/>
      <c r="Q2488" s="75"/>
      <c r="R2488" s="74"/>
      <c r="S2488" s="74"/>
      <c r="T2488" s="74"/>
      <c r="U2488" s="75"/>
      <c r="V2488" s="74"/>
      <c r="W2488" s="75"/>
      <c r="X2488" s="74"/>
      <c r="Y2488" s="74"/>
      <c r="Z2488" s="74"/>
      <c r="AA2488" s="74"/>
      <c r="AB2488" s="74"/>
      <c r="AC2488" s="74"/>
      <c r="AD2488" s="74"/>
      <c r="AE2488" s="74"/>
      <c r="AF2488" s="74"/>
      <c r="AG2488" s="74"/>
      <c r="AH2488" s="74"/>
    </row>
    <row r="2489" s="73" customFormat="1" spans="1:34">
      <c r="A2489" s="74"/>
      <c r="B2489" s="74"/>
      <c r="C2489" s="74"/>
      <c r="D2489" s="74"/>
      <c r="E2489" s="74"/>
      <c r="F2489" s="74"/>
      <c r="G2489" s="74"/>
      <c r="H2489" s="74"/>
      <c r="I2489" s="74"/>
      <c r="J2489" s="74"/>
      <c r="K2489" s="74"/>
      <c r="L2489" s="74"/>
      <c r="M2489" s="74"/>
      <c r="N2489" s="74"/>
      <c r="O2489" s="75"/>
      <c r="P2489" s="74"/>
      <c r="Q2489" s="75"/>
      <c r="R2489" s="74"/>
      <c r="S2489" s="74"/>
      <c r="T2489" s="74"/>
      <c r="U2489" s="75"/>
      <c r="V2489" s="74"/>
      <c r="W2489" s="75"/>
      <c r="X2489" s="74"/>
      <c r="Y2489" s="74"/>
      <c r="Z2489" s="74"/>
      <c r="AA2489" s="74"/>
      <c r="AB2489" s="74"/>
      <c r="AC2489" s="74"/>
      <c r="AD2489" s="74"/>
      <c r="AE2489" s="74"/>
      <c r="AF2489" s="74"/>
      <c r="AG2489" s="74"/>
      <c r="AH2489" s="74"/>
    </row>
    <row r="2490" s="73" customFormat="1" spans="1:34">
      <c r="A2490" s="74"/>
      <c r="B2490" s="74"/>
      <c r="C2490" s="74"/>
      <c r="D2490" s="74"/>
      <c r="E2490" s="74"/>
      <c r="F2490" s="74"/>
      <c r="G2490" s="74"/>
      <c r="H2490" s="74"/>
      <c r="I2490" s="74"/>
      <c r="J2490" s="74"/>
      <c r="K2490" s="74"/>
      <c r="L2490" s="74"/>
      <c r="M2490" s="74"/>
      <c r="N2490" s="74"/>
      <c r="O2490" s="75"/>
      <c r="P2490" s="74"/>
      <c r="Q2490" s="75"/>
      <c r="R2490" s="74"/>
      <c r="S2490" s="74"/>
      <c r="T2490" s="74"/>
      <c r="U2490" s="75"/>
      <c r="V2490" s="74"/>
      <c r="W2490" s="75"/>
      <c r="X2490" s="74"/>
      <c r="Y2490" s="74"/>
      <c r="Z2490" s="74"/>
      <c r="AA2490" s="74"/>
      <c r="AB2490" s="74"/>
      <c r="AC2490" s="74"/>
      <c r="AD2490" s="74"/>
      <c r="AE2490" s="74"/>
      <c r="AF2490" s="74"/>
      <c r="AG2490" s="74"/>
      <c r="AH2490" s="74"/>
    </row>
    <row r="2491" s="73" customFormat="1" spans="1:34">
      <c r="A2491" s="74"/>
      <c r="B2491" s="74"/>
      <c r="C2491" s="74"/>
      <c r="D2491" s="74"/>
      <c r="E2491" s="74"/>
      <c r="F2491" s="74"/>
      <c r="G2491" s="74"/>
      <c r="H2491" s="74"/>
      <c r="I2491" s="74"/>
      <c r="J2491" s="74"/>
      <c r="K2491" s="74"/>
      <c r="L2491" s="74"/>
      <c r="M2491" s="74"/>
      <c r="N2491" s="74"/>
      <c r="O2491" s="75"/>
      <c r="P2491" s="74"/>
      <c r="Q2491" s="75"/>
      <c r="R2491" s="74"/>
      <c r="S2491" s="74"/>
      <c r="T2491" s="74"/>
      <c r="U2491" s="75"/>
      <c r="V2491" s="74"/>
      <c r="W2491" s="75"/>
      <c r="X2491" s="74"/>
      <c r="Y2491" s="74"/>
      <c r="Z2491" s="74"/>
      <c r="AA2491" s="74"/>
      <c r="AB2491" s="74"/>
      <c r="AC2491" s="74"/>
      <c r="AD2491" s="74"/>
      <c r="AE2491" s="74"/>
      <c r="AF2491" s="74"/>
      <c r="AG2491" s="74"/>
      <c r="AH2491" s="74"/>
    </row>
    <row r="2492" s="73" customFormat="1" spans="1:34">
      <c r="A2492" s="74"/>
      <c r="B2492" s="74"/>
      <c r="C2492" s="74"/>
      <c r="D2492" s="74"/>
      <c r="E2492" s="74"/>
      <c r="F2492" s="74"/>
      <c r="G2492" s="74"/>
      <c r="H2492" s="74"/>
      <c r="I2492" s="74"/>
      <c r="J2492" s="74"/>
      <c r="K2492" s="74"/>
      <c r="L2492" s="74"/>
      <c r="M2492" s="74"/>
      <c r="N2492" s="74"/>
      <c r="O2492" s="75"/>
      <c r="P2492" s="74"/>
      <c r="Q2492" s="75"/>
      <c r="R2492" s="74"/>
      <c r="S2492" s="74"/>
      <c r="T2492" s="74"/>
      <c r="U2492" s="75"/>
      <c r="V2492" s="74"/>
      <c r="W2492" s="75"/>
      <c r="X2492" s="74"/>
      <c r="Y2492" s="74"/>
      <c r="Z2492" s="74"/>
      <c r="AA2492" s="74"/>
      <c r="AB2492" s="74"/>
      <c r="AC2492" s="74"/>
      <c r="AD2492" s="74"/>
      <c r="AE2492" s="74"/>
      <c r="AF2492" s="74"/>
      <c r="AG2492" s="74"/>
      <c r="AH2492" s="74"/>
    </row>
    <row r="2493" s="73" customFormat="1" spans="1:34">
      <c r="A2493" s="74"/>
      <c r="B2493" s="74"/>
      <c r="C2493" s="74"/>
      <c r="D2493" s="74"/>
      <c r="E2493" s="74"/>
      <c r="F2493" s="74"/>
      <c r="G2493" s="74"/>
      <c r="H2493" s="74"/>
      <c r="I2493" s="74"/>
      <c r="J2493" s="74"/>
      <c r="K2493" s="74"/>
      <c r="L2493" s="74"/>
      <c r="M2493" s="74"/>
      <c r="N2493" s="74"/>
      <c r="O2493" s="75"/>
      <c r="P2493" s="74"/>
      <c r="Q2493" s="75"/>
      <c r="R2493" s="74"/>
      <c r="S2493" s="74"/>
      <c r="T2493" s="74"/>
      <c r="U2493" s="75"/>
      <c r="V2493" s="74"/>
      <c r="W2493" s="75"/>
      <c r="X2493" s="74"/>
      <c r="Y2493" s="74"/>
      <c r="Z2493" s="74"/>
      <c r="AA2493" s="74"/>
      <c r="AB2493" s="74"/>
      <c r="AC2493" s="74"/>
      <c r="AD2493" s="74"/>
      <c r="AE2493" s="74"/>
      <c r="AF2493" s="74"/>
      <c r="AG2493" s="74"/>
      <c r="AH2493" s="74"/>
    </row>
    <row r="2494" s="73" customFormat="1" spans="1:34">
      <c r="A2494" s="74"/>
      <c r="B2494" s="74"/>
      <c r="C2494" s="74"/>
      <c r="D2494" s="74"/>
      <c r="E2494" s="74"/>
      <c r="F2494" s="74"/>
      <c r="G2494" s="74"/>
      <c r="H2494" s="74"/>
      <c r="I2494" s="74"/>
      <c r="J2494" s="74"/>
      <c r="K2494" s="74"/>
      <c r="L2494" s="74"/>
      <c r="M2494" s="74"/>
      <c r="N2494" s="74"/>
      <c r="O2494" s="75"/>
      <c r="P2494" s="74"/>
      <c r="Q2494" s="75"/>
      <c r="R2494" s="74"/>
      <c r="S2494" s="74"/>
      <c r="T2494" s="74"/>
      <c r="U2494" s="75"/>
      <c r="V2494" s="74"/>
      <c r="W2494" s="75"/>
      <c r="X2494" s="74"/>
      <c r="Y2494" s="74"/>
      <c r="Z2494" s="74"/>
      <c r="AA2494" s="74"/>
      <c r="AB2494" s="74"/>
      <c r="AC2494" s="74"/>
      <c r="AD2494" s="74"/>
      <c r="AE2494" s="74"/>
      <c r="AF2494" s="74"/>
      <c r="AG2494" s="74"/>
      <c r="AH2494" s="74"/>
    </row>
    <row r="2495" s="73" customFormat="1" spans="1:34">
      <c r="A2495" s="74"/>
      <c r="B2495" s="74"/>
      <c r="C2495" s="74"/>
      <c r="D2495" s="74"/>
      <c r="E2495" s="74"/>
      <c r="F2495" s="74"/>
      <c r="G2495" s="74"/>
      <c r="H2495" s="74"/>
      <c r="I2495" s="74"/>
      <c r="J2495" s="74"/>
      <c r="K2495" s="74"/>
      <c r="L2495" s="74"/>
      <c r="M2495" s="74"/>
      <c r="N2495" s="74"/>
      <c r="O2495" s="75"/>
      <c r="P2495" s="74"/>
      <c r="Q2495" s="75"/>
      <c r="R2495" s="74"/>
      <c r="S2495" s="74"/>
      <c r="T2495" s="74"/>
      <c r="U2495" s="75"/>
      <c r="V2495" s="74"/>
      <c r="W2495" s="75"/>
      <c r="X2495" s="74"/>
      <c r="Y2495" s="74"/>
      <c r="Z2495" s="74"/>
      <c r="AA2495" s="74"/>
      <c r="AB2495" s="74"/>
      <c r="AC2495" s="74"/>
      <c r="AD2495" s="74"/>
      <c r="AE2495" s="74"/>
      <c r="AF2495" s="74"/>
      <c r="AG2495" s="74"/>
      <c r="AH2495" s="74"/>
    </row>
    <row r="2496" s="73" customFormat="1" spans="1:34">
      <c r="A2496" s="74"/>
      <c r="B2496" s="74"/>
      <c r="C2496" s="74"/>
      <c r="D2496" s="74"/>
      <c r="E2496" s="74"/>
      <c r="F2496" s="74"/>
      <c r="G2496" s="74"/>
      <c r="H2496" s="74"/>
      <c r="I2496" s="74"/>
      <c r="J2496" s="74"/>
      <c r="K2496" s="74"/>
      <c r="L2496" s="74"/>
      <c r="M2496" s="74"/>
      <c r="N2496" s="74"/>
      <c r="O2496" s="75"/>
      <c r="P2496" s="74"/>
      <c r="Q2496" s="75"/>
      <c r="R2496" s="74"/>
      <c r="S2496" s="74"/>
      <c r="T2496" s="74"/>
      <c r="U2496" s="75"/>
      <c r="V2496" s="74"/>
      <c r="W2496" s="75"/>
      <c r="X2496" s="74"/>
      <c r="Y2496" s="74"/>
      <c r="Z2496" s="74"/>
      <c r="AA2496" s="74"/>
      <c r="AB2496" s="74"/>
      <c r="AC2496" s="74"/>
      <c r="AD2496" s="74"/>
      <c r="AE2496" s="74"/>
      <c r="AF2496" s="74"/>
      <c r="AG2496" s="74"/>
      <c r="AH2496" s="74"/>
    </row>
    <row r="2497" s="73" customFormat="1" spans="1:34">
      <c r="A2497" s="74"/>
      <c r="B2497" s="74"/>
      <c r="C2497" s="74"/>
      <c r="D2497" s="74"/>
      <c r="E2497" s="74"/>
      <c r="F2497" s="74"/>
      <c r="G2497" s="74"/>
      <c r="H2497" s="74"/>
      <c r="I2497" s="74"/>
      <c r="J2497" s="74"/>
      <c r="K2497" s="74"/>
      <c r="L2497" s="74"/>
      <c r="M2497" s="74"/>
      <c r="N2497" s="74"/>
      <c r="O2497" s="75"/>
      <c r="P2497" s="74"/>
      <c r="Q2497" s="75"/>
      <c r="R2497" s="74"/>
      <c r="S2497" s="74"/>
      <c r="T2497" s="74"/>
      <c r="U2497" s="75"/>
      <c r="V2497" s="74"/>
      <c r="W2497" s="75"/>
      <c r="X2497" s="74"/>
      <c r="Y2497" s="74"/>
      <c r="Z2497" s="74"/>
      <c r="AA2497" s="74"/>
      <c r="AB2497" s="74"/>
      <c r="AC2497" s="74"/>
      <c r="AD2497" s="74"/>
      <c r="AE2497" s="74"/>
      <c r="AF2497" s="74"/>
      <c r="AG2497" s="74"/>
      <c r="AH2497" s="74"/>
    </row>
    <row r="2498" s="73" customFormat="1" spans="1:34">
      <c r="A2498" s="74"/>
      <c r="B2498" s="74"/>
      <c r="C2498" s="74"/>
      <c r="D2498" s="74"/>
      <c r="E2498" s="74"/>
      <c r="F2498" s="74"/>
      <c r="G2498" s="74"/>
      <c r="H2498" s="74"/>
      <c r="I2498" s="74"/>
      <c r="J2498" s="74"/>
      <c r="K2498" s="74"/>
      <c r="L2498" s="74"/>
      <c r="M2498" s="74"/>
      <c r="N2498" s="74"/>
      <c r="O2498" s="75"/>
      <c r="P2498" s="74"/>
      <c r="Q2498" s="75"/>
      <c r="R2498" s="74"/>
      <c r="S2498" s="74"/>
      <c r="T2498" s="74"/>
      <c r="U2498" s="75"/>
      <c r="V2498" s="74"/>
      <c r="W2498" s="75"/>
      <c r="X2498" s="74"/>
      <c r="Y2498" s="74"/>
      <c r="Z2498" s="74"/>
      <c r="AA2498" s="74"/>
      <c r="AB2498" s="74"/>
      <c r="AC2498" s="74"/>
      <c r="AD2498" s="74"/>
      <c r="AE2498" s="74"/>
      <c r="AF2498" s="74"/>
      <c r="AG2498" s="74"/>
      <c r="AH2498" s="74"/>
    </row>
    <row r="2499" s="73" customFormat="1" spans="1:34">
      <c r="A2499" s="74"/>
      <c r="B2499" s="74"/>
      <c r="C2499" s="74"/>
      <c r="D2499" s="74"/>
      <c r="E2499" s="74"/>
      <c r="F2499" s="74"/>
      <c r="G2499" s="74"/>
      <c r="H2499" s="74"/>
      <c r="I2499" s="74"/>
      <c r="J2499" s="74"/>
      <c r="K2499" s="74"/>
      <c r="L2499" s="74"/>
      <c r="M2499" s="74"/>
      <c r="N2499" s="74"/>
      <c r="O2499" s="75"/>
      <c r="P2499" s="74"/>
      <c r="Q2499" s="75"/>
      <c r="R2499" s="74"/>
      <c r="S2499" s="74"/>
      <c r="T2499" s="74"/>
      <c r="U2499" s="75"/>
      <c r="V2499" s="74"/>
      <c r="W2499" s="75"/>
      <c r="X2499" s="74"/>
      <c r="Y2499" s="74"/>
      <c r="Z2499" s="74"/>
      <c r="AA2499" s="74"/>
      <c r="AB2499" s="74"/>
      <c r="AC2499" s="74"/>
      <c r="AD2499" s="74"/>
      <c r="AE2499" s="74"/>
      <c r="AF2499" s="74"/>
      <c r="AG2499" s="74"/>
      <c r="AH2499" s="74"/>
    </row>
    <row r="2500" s="73" customFormat="1" spans="1:34">
      <c r="A2500" s="74"/>
      <c r="B2500" s="74"/>
      <c r="C2500" s="74"/>
      <c r="D2500" s="74"/>
      <c r="E2500" s="74"/>
      <c r="F2500" s="74"/>
      <c r="G2500" s="74"/>
      <c r="H2500" s="74"/>
      <c r="I2500" s="74"/>
      <c r="J2500" s="74"/>
      <c r="K2500" s="74"/>
      <c r="L2500" s="74"/>
      <c r="M2500" s="74"/>
      <c r="N2500" s="74"/>
      <c r="O2500" s="75"/>
      <c r="P2500" s="74"/>
      <c r="Q2500" s="75"/>
      <c r="R2500" s="74"/>
      <c r="S2500" s="74"/>
      <c r="T2500" s="74"/>
      <c r="U2500" s="75"/>
      <c r="V2500" s="74"/>
      <c r="W2500" s="75"/>
      <c r="X2500" s="74"/>
      <c r="Y2500" s="74"/>
      <c r="Z2500" s="74"/>
      <c r="AA2500" s="74"/>
      <c r="AB2500" s="74"/>
      <c r="AC2500" s="74"/>
      <c r="AD2500" s="74"/>
      <c r="AE2500" s="74"/>
      <c r="AF2500" s="74"/>
      <c r="AG2500" s="74"/>
      <c r="AH2500" s="74"/>
    </row>
    <row r="2501" s="73" customFormat="1" spans="1:34">
      <c r="A2501" s="74"/>
      <c r="B2501" s="74"/>
      <c r="C2501" s="74"/>
      <c r="D2501" s="74"/>
      <c r="E2501" s="74"/>
      <c r="F2501" s="74"/>
      <c r="G2501" s="74"/>
      <c r="H2501" s="74"/>
      <c r="I2501" s="74"/>
      <c r="J2501" s="74"/>
      <c r="K2501" s="74"/>
      <c r="L2501" s="74"/>
      <c r="M2501" s="74"/>
      <c r="N2501" s="74"/>
      <c r="O2501" s="75"/>
      <c r="P2501" s="74"/>
      <c r="Q2501" s="75"/>
      <c r="R2501" s="74"/>
      <c r="S2501" s="74"/>
      <c r="T2501" s="74"/>
      <c r="U2501" s="75"/>
      <c r="V2501" s="74"/>
      <c r="W2501" s="75"/>
      <c r="X2501" s="74"/>
      <c r="Y2501" s="74"/>
      <c r="Z2501" s="74"/>
      <c r="AA2501" s="74"/>
      <c r="AB2501" s="74"/>
      <c r="AC2501" s="74"/>
      <c r="AD2501" s="74"/>
      <c r="AE2501" s="74"/>
      <c r="AF2501" s="74"/>
      <c r="AG2501" s="74"/>
      <c r="AH2501" s="74"/>
    </row>
    <row r="2502" s="73" customFormat="1" spans="1:34">
      <c r="A2502" s="74"/>
      <c r="B2502" s="74"/>
      <c r="C2502" s="74"/>
      <c r="D2502" s="74"/>
      <c r="E2502" s="74"/>
      <c r="F2502" s="74"/>
      <c r="G2502" s="74"/>
      <c r="H2502" s="74"/>
      <c r="I2502" s="74"/>
      <c r="J2502" s="74"/>
      <c r="K2502" s="74"/>
      <c r="L2502" s="74"/>
      <c r="M2502" s="74"/>
      <c r="N2502" s="74"/>
      <c r="O2502" s="75"/>
      <c r="P2502" s="74"/>
      <c r="Q2502" s="75"/>
      <c r="R2502" s="74"/>
      <c r="S2502" s="74"/>
      <c r="T2502" s="74"/>
      <c r="U2502" s="75"/>
      <c r="V2502" s="74"/>
      <c r="W2502" s="75"/>
      <c r="X2502" s="74"/>
      <c r="Y2502" s="74"/>
      <c r="Z2502" s="74"/>
      <c r="AA2502" s="74"/>
      <c r="AB2502" s="74"/>
      <c r="AC2502" s="74"/>
      <c r="AD2502" s="74"/>
      <c r="AE2502" s="74"/>
      <c r="AF2502" s="74"/>
      <c r="AG2502" s="74"/>
      <c r="AH2502" s="74"/>
    </row>
    <row r="2503" s="73" customFormat="1" spans="1:34">
      <c r="A2503" s="74"/>
      <c r="B2503" s="74"/>
      <c r="C2503" s="74"/>
      <c r="D2503" s="74"/>
      <c r="E2503" s="74"/>
      <c r="F2503" s="74"/>
      <c r="G2503" s="74"/>
      <c r="H2503" s="74"/>
      <c r="I2503" s="74"/>
      <c r="J2503" s="74"/>
      <c r="K2503" s="74"/>
      <c r="L2503" s="74"/>
      <c r="M2503" s="74"/>
      <c r="N2503" s="74"/>
      <c r="O2503" s="75"/>
      <c r="P2503" s="74"/>
      <c r="Q2503" s="75"/>
      <c r="R2503" s="74"/>
      <c r="S2503" s="74"/>
      <c r="T2503" s="74"/>
      <c r="U2503" s="75"/>
      <c r="V2503" s="74"/>
      <c r="W2503" s="75"/>
      <c r="X2503" s="74"/>
      <c r="Y2503" s="74"/>
      <c r="Z2503" s="74"/>
      <c r="AA2503" s="74"/>
      <c r="AB2503" s="74"/>
      <c r="AC2503" s="74"/>
      <c r="AD2503" s="74"/>
      <c r="AE2503" s="74"/>
      <c r="AF2503" s="74"/>
      <c r="AG2503" s="74"/>
      <c r="AH2503" s="74"/>
    </row>
    <row r="2504" s="73" customFormat="1" spans="1:34">
      <c r="A2504" s="74"/>
      <c r="B2504" s="74"/>
      <c r="C2504" s="74"/>
      <c r="D2504" s="74"/>
      <c r="E2504" s="74"/>
      <c r="F2504" s="74"/>
      <c r="G2504" s="74"/>
      <c r="H2504" s="74"/>
      <c r="I2504" s="74"/>
      <c r="J2504" s="74"/>
      <c r="K2504" s="74"/>
      <c r="L2504" s="74"/>
      <c r="M2504" s="74"/>
      <c r="N2504" s="74"/>
      <c r="O2504" s="75"/>
      <c r="P2504" s="74"/>
      <c r="Q2504" s="75"/>
      <c r="R2504" s="74"/>
      <c r="S2504" s="74"/>
      <c r="T2504" s="74"/>
      <c r="U2504" s="75"/>
      <c r="V2504" s="74"/>
      <c r="W2504" s="75"/>
      <c r="X2504" s="74"/>
      <c r="Y2504" s="74"/>
      <c r="Z2504" s="74"/>
      <c r="AA2504" s="74"/>
      <c r="AB2504" s="74"/>
      <c r="AC2504" s="74"/>
      <c r="AD2504" s="74"/>
      <c r="AE2504" s="74"/>
      <c r="AF2504" s="74"/>
      <c r="AG2504" s="74"/>
      <c r="AH2504" s="74"/>
    </row>
    <row r="2505" s="73" customFormat="1" spans="1:34">
      <c r="A2505" s="74"/>
      <c r="B2505" s="74"/>
      <c r="C2505" s="74"/>
      <c r="D2505" s="74"/>
      <c r="E2505" s="74"/>
      <c r="F2505" s="74"/>
      <c r="G2505" s="74"/>
      <c r="H2505" s="74"/>
      <c r="I2505" s="74"/>
      <c r="J2505" s="74"/>
      <c r="K2505" s="74"/>
      <c r="L2505" s="74"/>
      <c r="M2505" s="74"/>
      <c r="N2505" s="74"/>
      <c r="O2505" s="75"/>
      <c r="P2505" s="74"/>
      <c r="Q2505" s="75"/>
      <c r="R2505" s="74"/>
      <c r="S2505" s="74"/>
      <c r="T2505" s="74"/>
      <c r="U2505" s="75"/>
      <c r="V2505" s="74"/>
      <c r="W2505" s="75"/>
      <c r="X2505" s="74"/>
      <c r="Y2505" s="74"/>
      <c r="Z2505" s="74"/>
      <c r="AA2505" s="74"/>
      <c r="AB2505" s="74"/>
      <c r="AC2505" s="74"/>
      <c r="AD2505" s="74"/>
      <c r="AE2505" s="74"/>
      <c r="AF2505" s="74"/>
      <c r="AG2505" s="74"/>
      <c r="AH2505" s="74"/>
    </row>
    <row r="2506" s="73" customFormat="1" spans="1:34">
      <c r="A2506" s="74"/>
      <c r="B2506" s="74"/>
      <c r="C2506" s="74"/>
      <c r="D2506" s="74"/>
      <c r="E2506" s="74"/>
      <c r="F2506" s="74"/>
      <c r="G2506" s="74"/>
      <c r="H2506" s="74"/>
      <c r="I2506" s="74"/>
      <c r="J2506" s="74"/>
      <c r="K2506" s="74"/>
      <c r="L2506" s="74"/>
      <c r="M2506" s="74"/>
      <c r="N2506" s="74"/>
      <c r="O2506" s="75"/>
      <c r="P2506" s="74"/>
      <c r="Q2506" s="75"/>
      <c r="R2506" s="74"/>
      <c r="S2506" s="74"/>
      <c r="T2506" s="74"/>
      <c r="U2506" s="75"/>
      <c r="V2506" s="74"/>
      <c r="W2506" s="75"/>
      <c r="X2506" s="74"/>
      <c r="Y2506" s="74"/>
      <c r="Z2506" s="74"/>
      <c r="AA2506" s="74"/>
      <c r="AB2506" s="74"/>
      <c r="AC2506" s="74"/>
      <c r="AD2506" s="74"/>
      <c r="AE2506" s="74"/>
      <c r="AF2506" s="74"/>
      <c r="AG2506" s="74"/>
      <c r="AH2506" s="74"/>
    </row>
    <row r="2507" s="73" customFormat="1" spans="1:34">
      <c r="A2507" s="74"/>
      <c r="B2507" s="74"/>
      <c r="C2507" s="74"/>
      <c r="D2507" s="74"/>
      <c r="E2507" s="74"/>
      <c r="F2507" s="74"/>
      <c r="G2507" s="74"/>
      <c r="H2507" s="74"/>
      <c r="I2507" s="74"/>
      <c r="J2507" s="74"/>
      <c r="K2507" s="74"/>
      <c r="L2507" s="74"/>
      <c r="M2507" s="74"/>
      <c r="N2507" s="74"/>
      <c r="O2507" s="75"/>
      <c r="P2507" s="74"/>
      <c r="Q2507" s="75"/>
      <c r="R2507" s="74"/>
      <c r="S2507" s="74"/>
      <c r="T2507" s="74"/>
      <c r="U2507" s="75"/>
      <c r="V2507" s="74"/>
      <c r="W2507" s="75"/>
      <c r="X2507" s="74"/>
      <c r="Y2507" s="74"/>
      <c r="Z2507" s="74"/>
      <c r="AA2507" s="74"/>
      <c r="AB2507" s="74"/>
      <c r="AC2507" s="74"/>
      <c r="AD2507" s="74"/>
      <c r="AE2507" s="74"/>
      <c r="AF2507" s="74"/>
      <c r="AG2507" s="74"/>
      <c r="AH2507" s="74"/>
    </row>
    <row r="2508" s="73" customFormat="1" spans="1:34">
      <c r="A2508" s="74"/>
      <c r="B2508" s="74"/>
      <c r="C2508" s="74"/>
      <c r="D2508" s="74"/>
      <c r="E2508" s="74"/>
      <c r="F2508" s="74"/>
      <c r="G2508" s="74"/>
      <c r="H2508" s="74"/>
      <c r="I2508" s="74"/>
      <c r="J2508" s="74"/>
      <c r="K2508" s="74"/>
      <c r="L2508" s="74"/>
      <c r="M2508" s="74"/>
      <c r="N2508" s="74"/>
      <c r="O2508" s="75"/>
      <c r="P2508" s="74"/>
      <c r="Q2508" s="75"/>
      <c r="R2508" s="74"/>
      <c r="S2508" s="74"/>
      <c r="T2508" s="74"/>
      <c r="U2508" s="75"/>
      <c r="V2508" s="74"/>
      <c r="W2508" s="75"/>
      <c r="X2508" s="74"/>
      <c r="Y2508" s="74"/>
      <c r="Z2508" s="74"/>
      <c r="AA2508" s="74"/>
      <c r="AB2508" s="74"/>
      <c r="AC2508" s="74"/>
      <c r="AD2508" s="74"/>
      <c r="AE2508" s="74"/>
      <c r="AF2508" s="74"/>
      <c r="AG2508" s="74"/>
      <c r="AH2508" s="74"/>
    </row>
    <row r="2509" s="73" customFormat="1" spans="1:34">
      <c r="A2509" s="74"/>
      <c r="B2509" s="74"/>
      <c r="C2509" s="74"/>
      <c r="D2509" s="74"/>
      <c r="E2509" s="74"/>
      <c r="F2509" s="74"/>
      <c r="G2509" s="74"/>
      <c r="H2509" s="74"/>
      <c r="I2509" s="74"/>
      <c r="J2509" s="74"/>
      <c r="K2509" s="74"/>
      <c r="L2509" s="74"/>
      <c r="M2509" s="74"/>
      <c r="N2509" s="74"/>
      <c r="O2509" s="75"/>
      <c r="P2509" s="74"/>
      <c r="Q2509" s="75"/>
      <c r="R2509" s="74"/>
      <c r="S2509" s="74"/>
      <c r="T2509" s="74"/>
      <c r="U2509" s="75"/>
      <c r="V2509" s="74"/>
      <c r="W2509" s="75"/>
      <c r="X2509" s="74"/>
      <c r="Y2509" s="74"/>
      <c r="Z2509" s="74"/>
      <c r="AA2509" s="74"/>
      <c r="AB2509" s="74"/>
      <c r="AC2509" s="74"/>
      <c r="AD2509" s="74"/>
      <c r="AE2509" s="74"/>
      <c r="AF2509" s="74"/>
      <c r="AG2509" s="74"/>
      <c r="AH2509" s="74"/>
    </row>
    <row r="2510" s="73" customFormat="1" spans="1:34">
      <c r="A2510" s="74"/>
      <c r="B2510" s="74"/>
      <c r="C2510" s="74"/>
      <c r="D2510" s="74"/>
      <c r="E2510" s="74"/>
      <c r="F2510" s="74"/>
      <c r="G2510" s="74"/>
      <c r="H2510" s="74"/>
      <c r="I2510" s="74"/>
      <c r="J2510" s="74"/>
      <c r="K2510" s="74"/>
      <c r="L2510" s="74"/>
      <c r="M2510" s="74"/>
      <c r="N2510" s="74"/>
      <c r="O2510" s="75"/>
      <c r="P2510" s="74"/>
      <c r="Q2510" s="75"/>
      <c r="R2510" s="74"/>
      <c r="S2510" s="74"/>
      <c r="T2510" s="74"/>
      <c r="U2510" s="75"/>
      <c r="V2510" s="74"/>
      <c r="W2510" s="75"/>
      <c r="X2510" s="74"/>
      <c r="Y2510" s="74"/>
      <c r="Z2510" s="74"/>
      <c r="AA2510" s="74"/>
      <c r="AB2510" s="74"/>
      <c r="AC2510" s="74"/>
      <c r="AD2510" s="74"/>
      <c r="AE2510" s="74"/>
      <c r="AF2510" s="74"/>
      <c r="AG2510" s="74"/>
      <c r="AH2510" s="74"/>
    </row>
    <row r="2511" s="73" customFormat="1" spans="1:34">
      <c r="A2511" s="74"/>
      <c r="B2511" s="74"/>
      <c r="C2511" s="74"/>
      <c r="D2511" s="74"/>
      <c r="E2511" s="74"/>
      <c r="F2511" s="74"/>
      <c r="G2511" s="74"/>
      <c r="H2511" s="74"/>
      <c r="I2511" s="74"/>
      <c r="J2511" s="74"/>
      <c r="K2511" s="74"/>
      <c r="L2511" s="74"/>
      <c r="M2511" s="74"/>
      <c r="N2511" s="74"/>
      <c r="O2511" s="75"/>
      <c r="P2511" s="74"/>
      <c r="Q2511" s="75"/>
      <c r="R2511" s="74"/>
      <c r="S2511" s="74"/>
      <c r="T2511" s="74"/>
      <c r="U2511" s="75"/>
      <c r="V2511" s="74"/>
      <c r="W2511" s="75"/>
      <c r="X2511" s="74"/>
      <c r="Y2511" s="74"/>
      <c r="Z2511" s="74"/>
      <c r="AA2511" s="74"/>
      <c r="AB2511" s="74"/>
      <c r="AC2511" s="74"/>
      <c r="AD2511" s="74"/>
      <c r="AE2511" s="74"/>
      <c r="AF2511" s="74"/>
      <c r="AG2511" s="74"/>
      <c r="AH2511" s="74"/>
    </row>
    <row r="2512" s="73" customFormat="1" spans="1:34">
      <c r="A2512" s="74"/>
      <c r="B2512" s="74"/>
      <c r="C2512" s="74"/>
      <c r="D2512" s="74"/>
      <c r="E2512" s="74"/>
      <c r="F2512" s="74"/>
      <c r="G2512" s="74"/>
      <c r="H2512" s="74"/>
      <c r="I2512" s="74"/>
      <c r="J2512" s="74"/>
      <c r="K2512" s="74"/>
      <c r="L2512" s="74"/>
      <c r="M2512" s="74"/>
      <c r="N2512" s="74"/>
      <c r="O2512" s="75"/>
      <c r="P2512" s="74"/>
      <c r="Q2512" s="75"/>
      <c r="R2512" s="74"/>
      <c r="S2512" s="74"/>
      <c r="T2512" s="74"/>
      <c r="U2512" s="75"/>
      <c r="V2512" s="74"/>
      <c r="W2512" s="75"/>
      <c r="X2512" s="74"/>
      <c r="Y2512" s="74"/>
      <c r="Z2512" s="74"/>
      <c r="AA2512" s="74"/>
      <c r="AB2512" s="74"/>
      <c r="AC2512" s="74"/>
      <c r="AD2512" s="74"/>
      <c r="AE2512" s="74"/>
      <c r="AF2512" s="74"/>
      <c r="AG2512" s="74"/>
      <c r="AH2512" s="74"/>
    </row>
    <row r="2513" s="73" customFormat="1" spans="1:34">
      <c r="A2513" s="74"/>
      <c r="B2513" s="74"/>
      <c r="C2513" s="74"/>
      <c r="D2513" s="74"/>
      <c r="E2513" s="74"/>
      <c r="F2513" s="74"/>
      <c r="G2513" s="74"/>
      <c r="H2513" s="74"/>
      <c r="I2513" s="74"/>
      <c r="J2513" s="74"/>
      <c r="K2513" s="74"/>
      <c r="L2513" s="74"/>
      <c r="M2513" s="74"/>
      <c r="N2513" s="74"/>
      <c r="O2513" s="75"/>
      <c r="P2513" s="74"/>
      <c r="Q2513" s="75"/>
      <c r="R2513" s="74"/>
      <c r="S2513" s="74"/>
      <c r="T2513" s="74"/>
      <c r="U2513" s="75"/>
      <c r="V2513" s="74"/>
      <c r="W2513" s="75"/>
      <c r="X2513" s="74"/>
      <c r="Y2513" s="74"/>
      <c r="Z2513" s="74"/>
      <c r="AA2513" s="74"/>
      <c r="AB2513" s="74"/>
      <c r="AC2513" s="74"/>
      <c r="AD2513" s="74"/>
      <c r="AE2513" s="74"/>
      <c r="AF2513" s="74"/>
      <c r="AG2513" s="74"/>
      <c r="AH2513" s="74"/>
    </row>
    <row r="2514" s="73" customFormat="1" spans="1:34">
      <c r="A2514" s="74"/>
      <c r="B2514" s="74"/>
      <c r="C2514" s="74"/>
      <c r="D2514" s="74"/>
      <c r="E2514" s="74"/>
      <c r="F2514" s="74"/>
      <c r="G2514" s="74"/>
      <c r="H2514" s="74"/>
      <c r="I2514" s="74"/>
      <c r="J2514" s="74"/>
      <c r="K2514" s="74"/>
      <c r="L2514" s="74"/>
      <c r="M2514" s="74"/>
      <c r="N2514" s="74"/>
      <c r="O2514" s="75"/>
      <c r="P2514" s="74"/>
      <c r="Q2514" s="75"/>
      <c r="R2514" s="74"/>
      <c r="S2514" s="74"/>
      <c r="T2514" s="74"/>
      <c r="U2514" s="75"/>
      <c r="V2514" s="74"/>
      <c r="W2514" s="75"/>
      <c r="X2514" s="74"/>
      <c r="Y2514" s="74"/>
      <c r="Z2514" s="74"/>
      <c r="AA2514" s="74"/>
      <c r="AB2514" s="74"/>
      <c r="AC2514" s="74"/>
      <c r="AD2514" s="74"/>
      <c r="AE2514" s="74"/>
      <c r="AF2514" s="74"/>
      <c r="AG2514" s="74"/>
      <c r="AH2514" s="74"/>
    </row>
    <row r="2516" s="73" customFormat="1" spans="1:34">
      <c r="A2516" s="74"/>
      <c r="B2516" s="74"/>
      <c r="C2516" s="74"/>
      <c r="D2516" s="74"/>
      <c r="E2516" s="74"/>
      <c r="F2516" s="74"/>
      <c r="G2516" s="74"/>
      <c r="H2516" s="74"/>
      <c r="I2516" s="74"/>
      <c r="J2516" s="74"/>
      <c r="K2516" s="74"/>
      <c r="L2516" s="74"/>
      <c r="M2516" s="74"/>
      <c r="N2516" s="74"/>
      <c r="O2516" s="75"/>
      <c r="P2516" s="74"/>
      <c r="Q2516" s="75"/>
      <c r="R2516" s="74"/>
      <c r="S2516" s="74"/>
      <c r="T2516" s="74"/>
      <c r="U2516" s="75"/>
      <c r="V2516" s="74"/>
      <c r="W2516" s="75"/>
      <c r="X2516" s="74"/>
      <c r="Y2516" s="74"/>
      <c r="Z2516" s="74"/>
      <c r="AA2516" s="74"/>
      <c r="AB2516" s="74"/>
      <c r="AC2516" s="74"/>
      <c r="AD2516" s="74"/>
      <c r="AE2516" s="74"/>
      <c r="AF2516" s="74"/>
      <c r="AG2516" s="74"/>
      <c r="AH2516" s="74"/>
    </row>
    <row r="2517" s="73" customFormat="1" spans="1:34">
      <c r="A2517" s="74"/>
      <c r="B2517" s="74"/>
      <c r="C2517" s="74"/>
      <c r="D2517" s="74"/>
      <c r="E2517" s="74"/>
      <c r="F2517" s="74"/>
      <c r="G2517" s="74"/>
      <c r="H2517" s="74"/>
      <c r="I2517" s="74"/>
      <c r="J2517" s="74"/>
      <c r="K2517" s="74"/>
      <c r="L2517" s="74"/>
      <c r="M2517" s="74"/>
      <c r="N2517" s="74"/>
      <c r="O2517" s="75"/>
      <c r="P2517" s="74"/>
      <c r="Q2517" s="75"/>
      <c r="R2517" s="74"/>
      <c r="S2517" s="74"/>
      <c r="T2517" s="74"/>
      <c r="U2517" s="75"/>
      <c r="V2517" s="74"/>
      <c r="W2517" s="75"/>
      <c r="X2517" s="74"/>
      <c r="Y2517" s="74"/>
      <c r="Z2517" s="74"/>
      <c r="AA2517" s="74"/>
      <c r="AB2517" s="74"/>
      <c r="AC2517" s="74"/>
      <c r="AD2517" s="74"/>
      <c r="AE2517" s="74"/>
      <c r="AF2517" s="74"/>
      <c r="AG2517" s="74"/>
      <c r="AH2517" s="74"/>
    </row>
    <row r="2518" s="73" customFormat="1" spans="1:34">
      <c r="A2518" s="74"/>
      <c r="B2518" s="74"/>
      <c r="C2518" s="74"/>
      <c r="D2518" s="74"/>
      <c r="E2518" s="74"/>
      <c r="F2518" s="74"/>
      <c r="G2518" s="74"/>
      <c r="H2518" s="74"/>
      <c r="I2518" s="74"/>
      <c r="J2518" s="74"/>
      <c r="K2518" s="74"/>
      <c r="L2518" s="74"/>
      <c r="M2518" s="74"/>
      <c r="N2518" s="74"/>
      <c r="O2518" s="75"/>
      <c r="P2518" s="74"/>
      <c r="Q2518" s="75"/>
      <c r="R2518" s="74"/>
      <c r="S2518" s="74"/>
      <c r="T2518" s="74"/>
      <c r="U2518" s="75"/>
      <c r="V2518" s="74"/>
      <c r="W2518" s="75"/>
      <c r="X2518" s="74"/>
      <c r="Y2518" s="74"/>
      <c r="Z2518" s="74"/>
      <c r="AA2518" s="74"/>
      <c r="AB2518" s="74"/>
      <c r="AC2518" s="74"/>
      <c r="AD2518" s="74"/>
      <c r="AE2518" s="74"/>
      <c r="AF2518" s="74"/>
      <c r="AG2518" s="74"/>
      <c r="AH2518" s="74"/>
    </row>
    <row r="2519" s="73" customFormat="1" spans="1:34">
      <c r="A2519" s="74"/>
      <c r="B2519" s="74"/>
      <c r="C2519" s="74"/>
      <c r="D2519" s="74"/>
      <c r="E2519" s="74"/>
      <c r="F2519" s="74"/>
      <c r="G2519" s="74"/>
      <c r="H2519" s="74"/>
      <c r="I2519" s="74"/>
      <c r="J2519" s="74"/>
      <c r="K2519" s="74"/>
      <c r="L2519" s="74"/>
      <c r="M2519" s="74"/>
      <c r="N2519" s="74"/>
      <c r="O2519" s="75"/>
      <c r="P2519" s="74"/>
      <c r="Q2519" s="75"/>
      <c r="R2519" s="74"/>
      <c r="S2519" s="74"/>
      <c r="T2519" s="74"/>
      <c r="U2519" s="75"/>
      <c r="V2519" s="74"/>
      <c r="W2519" s="75"/>
      <c r="X2519" s="74"/>
      <c r="Y2519" s="74"/>
      <c r="Z2519" s="74"/>
      <c r="AA2519" s="74"/>
      <c r="AB2519" s="74"/>
      <c r="AC2519" s="74"/>
      <c r="AD2519" s="74"/>
      <c r="AE2519" s="74"/>
      <c r="AF2519" s="74"/>
      <c r="AG2519" s="74"/>
      <c r="AH2519" s="74"/>
    </row>
    <row r="2520" s="73" customFormat="1" spans="1:34">
      <c r="A2520" s="74"/>
      <c r="B2520" s="74"/>
      <c r="C2520" s="74"/>
      <c r="D2520" s="74"/>
      <c r="E2520" s="74"/>
      <c r="F2520" s="74"/>
      <c r="G2520" s="74"/>
      <c r="H2520" s="74"/>
      <c r="I2520" s="74"/>
      <c r="J2520" s="74"/>
      <c r="K2520" s="74"/>
      <c r="L2520" s="74"/>
      <c r="M2520" s="74"/>
      <c r="N2520" s="74"/>
      <c r="O2520" s="75"/>
      <c r="P2520" s="74"/>
      <c r="Q2520" s="75"/>
      <c r="R2520" s="74"/>
      <c r="S2520" s="74"/>
      <c r="T2520" s="74"/>
      <c r="U2520" s="75"/>
      <c r="V2520" s="74"/>
      <c r="W2520" s="75"/>
      <c r="X2520" s="74"/>
      <c r="Y2520" s="74"/>
      <c r="Z2520" s="74"/>
      <c r="AA2520" s="74"/>
      <c r="AB2520" s="74"/>
      <c r="AC2520" s="74"/>
      <c r="AD2520" s="74"/>
      <c r="AE2520" s="74"/>
      <c r="AF2520" s="74"/>
      <c r="AG2520" s="74"/>
      <c r="AH2520" s="74"/>
    </row>
    <row r="2521" s="73" customFormat="1" spans="1:34">
      <c r="A2521" s="74"/>
      <c r="B2521" s="74"/>
      <c r="C2521" s="74"/>
      <c r="D2521" s="74"/>
      <c r="E2521" s="74"/>
      <c r="F2521" s="74"/>
      <c r="G2521" s="74"/>
      <c r="H2521" s="74"/>
      <c r="I2521" s="74"/>
      <c r="J2521" s="74"/>
      <c r="K2521" s="74"/>
      <c r="L2521" s="74"/>
      <c r="M2521" s="74"/>
      <c r="N2521" s="74"/>
      <c r="O2521" s="75"/>
      <c r="P2521" s="74"/>
      <c r="Q2521" s="75"/>
      <c r="R2521" s="74"/>
      <c r="S2521" s="74"/>
      <c r="T2521" s="74"/>
      <c r="U2521" s="75"/>
      <c r="V2521" s="74"/>
      <c r="W2521" s="75"/>
      <c r="X2521" s="74"/>
      <c r="Y2521" s="74"/>
      <c r="Z2521" s="74"/>
      <c r="AA2521" s="74"/>
      <c r="AB2521" s="74"/>
      <c r="AC2521" s="74"/>
      <c r="AD2521" s="74"/>
      <c r="AE2521" s="74"/>
      <c r="AF2521" s="74"/>
      <c r="AG2521" s="74"/>
      <c r="AH2521" s="74"/>
    </row>
    <row r="2522" s="73" customFormat="1" spans="1:34">
      <c r="A2522" s="74"/>
      <c r="B2522" s="74"/>
      <c r="C2522" s="74"/>
      <c r="D2522" s="74"/>
      <c r="E2522" s="74"/>
      <c r="F2522" s="74"/>
      <c r="G2522" s="74"/>
      <c r="H2522" s="74"/>
      <c r="I2522" s="74"/>
      <c r="J2522" s="74"/>
      <c r="K2522" s="74"/>
      <c r="L2522" s="74"/>
      <c r="M2522" s="74"/>
      <c r="N2522" s="74"/>
      <c r="O2522" s="75"/>
      <c r="P2522" s="74"/>
      <c r="Q2522" s="75"/>
      <c r="R2522" s="74"/>
      <c r="S2522" s="74"/>
      <c r="T2522" s="74"/>
      <c r="U2522" s="75"/>
      <c r="V2522" s="74"/>
      <c r="W2522" s="75"/>
      <c r="X2522" s="74"/>
      <c r="Y2522" s="74"/>
      <c r="Z2522" s="74"/>
      <c r="AA2522" s="74"/>
      <c r="AB2522" s="74"/>
      <c r="AC2522" s="74"/>
      <c r="AD2522" s="74"/>
      <c r="AE2522" s="74"/>
      <c r="AF2522" s="74"/>
      <c r="AG2522" s="74"/>
      <c r="AH2522" s="74"/>
    </row>
    <row r="2523" s="73" customFormat="1" spans="1:34">
      <c r="A2523" s="74"/>
      <c r="B2523" s="74"/>
      <c r="C2523" s="74"/>
      <c r="D2523" s="74"/>
      <c r="E2523" s="74"/>
      <c r="F2523" s="74"/>
      <c r="G2523" s="74"/>
      <c r="H2523" s="74"/>
      <c r="I2523" s="74"/>
      <c r="J2523" s="74"/>
      <c r="K2523" s="74"/>
      <c r="L2523" s="74"/>
      <c r="M2523" s="74"/>
      <c r="N2523" s="74"/>
      <c r="O2523" s="75"/>
      <c r="P2523" s="74"/>
      <c r="Q2523" s="75"/>
      <c r="R2523" s="74"/>
      <c r="S2523" s="74"/>
      <c r="T2523" s="74"/>
      <c r="U2523" s="75"/>
      <c r="V2523" s="74"/>
      <c r="W2523" s="75"/>
      <c r="X2523" s="74"/>
      <c r="Y2523" s="74"/>
      <c r="Z2523" s="74"/>
      <c r="AA2523" s="74"/>
      <c r="AB2523" s="74"/>
      <c r="AC2523" s="74"/>
      <c r="AD2523" s="74"/>
      <c r="AE2523" s="74"/>
      <c r="AF2523" s="74"/>
      <c r="AG2523" s="74"/>
      <c r="AH2523" s="74"/>
    </row>
    <row r="2524" s="73" customFormat="1" spans="1:34">
      <c r="A2524" s="74"/>
      <c r="B2524" s="74"/>
      <c r="C2524" s="74"/>
      <c r="D2524" s="74"/>
      <c r="E2524" s="74"/>
      <c r="F2524" s="74"/>
      <c r="G2524" s="74"/>
      <c r="H2524" s="74"/>
      <c r="I2524" s="74"/>
      <c r="J2524" s="74"/>
      <c r="K2524" s="74"/>
      <c r="L2524" s="74"/>
      <c r="M2524" s="74"/>
      <c r="N2524" s="74"/>
      <c r="O2524" s="75"/>
      <c r="P2524" s="74"/>
      <c r="Q2524" s="75"/>
      <c r="R2524" s="74"/>
      <c r="S2524" s="74"/>
      <c r="T2524" s="74"/>
      <c r="U2524" s="75"/>
      <c r="V2524" s="74"/>
      <c r="W2524" s="75"/>
      <c r="X2524" s="74"/>
      <c r="Y2524" s="74"/>
      <c r="Z2524" s="74"/>
      <c r="AA2524" s="74"/>
      <c r="AB2524" s="74"/>
      <c r="AC2524" s="74"/>
      <c r="AD2524" s="74"/>
      <c r="AE2524" s="74"/>
      <c r="AF2524" s="74"/>
      <c r="AG2524" s="74"/>
      <c r="AH2524" s="74"/>
    </row>
    <row r="2525" s="73" customFormat="1" spans="1:34">
      <c r="A2525" s="74"/>
      <c r="B2525" s="74"/>
      <c r="C2525" s="74"/>
      <c r="D2525" s="74"/>
      <c r="E2525" s="74"/>
      <c r="F2525" s="74"/>
      <c r="G2525" s="74"/>
      <c r="H2525" s="74"/>
      <c r="I2525" s="74"/>
      <c r="J2525" s="74"/>
      <c r="K2525" s="74"/>
      <c r="L2525" s="74"/>
      <c r="M2525" s="74"/>
      <c r="N2525" s="74"/>
      <c r="O2525" s="75"/>
      <c r="P2525" s="74"/>
      <c r="Q2525" s="75"/>
      <c r="R2525" s="74"/>
      <c r="S2525" s="74"/>
      <c r="T2525" s="74"/>
      <c r="U2525" s="75"/>
      <c r="V2525" s="74"/>
      <c r="W2525" s="75"/>
      <c r="X2525" s="74"/>
      <c r="Y2525" s="74"/>
      <c r="Z2525" s="74"/>
      <c r="AA2525" s="74"/>
      <c r="AB2525" s="74"/>
      <c r="AC2525" s="74"/>
      <c r="AD2525" s="74"/>
      <c r="AE2525" s="74"/>
      <c r="AF2525" s="74"/>
      <c r="AG2525" s="74"/>
      <c r="AH2525" s="74"/>
    </row>
    <row r="2526" s="73" customFormat="1" spans="1:34">
      <c r="A2526" s="74"/>
      <c r="B2526" s="74"/>
      <c r="C2526" s="74"/>
      <c r="D2526" s="74"/>
      <c r="E2526" s="74"/>
      <c r="F2526" s="74"/>
      <c r="G2526" s="74"/>
      <c r="H2526" s="74"/>
      <c r="I2526" s="74"/>
      <c r="J2526" s="74"/>
      <c r="K2526" s="74"/>
      <c r="L2526" s="74"/>
      <c r="M2526" s="74"/>
      <c r="N2526" s="74"/>
      <c r="O2526" s="75"/>
      <c r="P2526" s="74"/>
      <c r="Q2526" s="75"/>
      <c r="R2526" s="74"/>
      <c r="S2526" s="74"/>
      <c r="T2526" s="74"/>
      <c r="U2526" s="75"/>
      <c r="V2526" s="74"/>
      <c r="W2526" s="75"/>
      <c r="X2526" s="74"/>
      <c r="Y2526" s="74"/>
      <c r="Z2526" s="74"/>
      <c r="AA2526" s="74"/>
      <c r="AB2526" s="74"/>
      <c r="AC2526" s="74"/>
      <c r="AD2526" s="74"/>
      <c r="AE2526" s="74"/>
      <c r="AF2526" s="74"/>
      <c r="AG2526" s="74"/>
      <c r="AH2526" s="74"/>
    </row>
    <row r="2527" s="73" customFormat="1" spans="1:34">
      <c r="A2527" s="74"/>
      <c r="B2527" s="74"/>
      <c r="C2527" s="74"/>
      <c r="D2527" s="74"/>
      <c r="E2527" s="74"/>
      <c r="F2527" s="74"/>
      <c r="G2527" s="74"/>
      <c r="H2527" s="74"/>
      <c r="I2527" s="74"/>
      <c r="J2527" s="74"/>
      <c r="K2527" s="74"/>
      <c r="L2527" s="74"/>
      <c r="M2527" s="74"/>
      <c r="N2527" s="74"/>
      <c r="O2527" s="75"/>
      <c r="P2527" s="74"/>
      <c r="Q2527" s="75"/>
      <c r="R2527" s="74"/>
      <c r="S2527" s="74"/>
      <c r="T2527" s="74"/>
      <c r="U2527" s="75"/>
      <c r="V2527" s="74"/>
      <c r="W2527" s="75"/>
      <c r="X2527" s="74"/>
      <c r="Y2527" s="74"/>
      <c r="Z2527" s="74"/>
      <c r="AA2527" s="74"/>
      <c r="AB2527" s="74"/>
      <c r="AC2527" s="74"/>
      <c r="AD2527" s="74"/>
      <c r="AE2527" s="74"/>
      <c r="AF2527" s="74"/>
      <c r="AG2527" s="74"/>
      <c r="AH2527" s="74"/>
    </row>
    <row r="2528" s="73" customFormat="1" spans="1:34">
      <c r="A2528" s="74"/>
      <c r="B2528" s="74"/>
      <c r="C2528" s="74"/>
      <c r="D2528" s="74"/>
      <c r="E2528" s="74"/>
      <c r="F2528" s="74"/>
      <c r="G2528" s="74"/>
      <c r="H2528" s="74"/>
      <c r="I2528" s="74"/>
      <c r="J2528" s="74"/>
      <c r="K2528" s="74"/>
      <c r="L2528" s="74"/>
      <c r="M2528" s="74"/>
      <c r="N2528" s="74"/>
      <c r="O2528" s="75"/>
      <c r="P2528" s="74"/>
      <c r="Q2528" s="75"/>
      <c r="R2528" s="74"/>
      <c r="S2528" s="74"/>
      <c r="T2528" s="74"/>
      <c r="U2528" s="75"/>
      <c r="V2528" s="74"/>
      <c r="W2528" s="75"/>
      <c r="X2528" s="74"/>
      <c r="Y2528" s="74"/>
      <c r="Z2528" s="74"/>
      <c r="AA2528" s="74"/>
      <c r="AB2528" s="74"/>
      <c r="AC2528" s="74"/>
      <c r="AD2528" s="74"/>
      <c r="AE2528" s="74"/>
      <c r="AF2528" s="74"/>
      <c r="AG2528" s="74"/>
      <c r="AH2528" s="74"/>
    </row>
    <row r="2529" s="73" customFormat="1" spans="1:34">
      <c r="A2529" s="74"/>
      <c r="B2529" s="74"/>
      <c r="C2529" s="74"/>
      <c r="D2529" s="74"/>
      <c r="E2529" s="74"/>
      <c r="F2529" s="74"/>
      <c r="G2529" s="74"/>
      <c r="H2529" s="74"/>
      <c r="I2529" s="74"/>
      <c r="J2529" s="74"/>
      <c r="K2529" s="74"/>
      <c r="L2529" s="74"/>
      <c r="M2529" s="74"/>
      <c r="N2529" s="74"/>
      <c r="O2529" s="75"/>
      <c r="P2529" s="74"/>
      <c r="Q2529" s="75"/>
      <c r="R2529" s="74"/>
      <c r="S2529" s="74"/>
      <c r="T2529" s="74"/>
      <c r="U2529" s="75"/>
      <c r="V2529" s="74"/>
      <c r="W2529" s="75"/>
      <c r="X2529" s="74"/>
      <c r="Y2529" s="74"/>
      <c r="Z2529" s="74"/>
      <c r="AA2529" s="74"/>
      <c r="AB2529" s="74"/>
      <c r="AC2529" s="74"/>
      <c r="AD2529" s="74"/>
      <c r="AE2529" s="74"/>
      <c r="AF2529" s="74"/>
      <c r="AG2529" s="74"/>
      <c r="AH2529" s="74"/>
    </row>
    <row r="2530" s="73" customFormat="1" spans="1:34">
      <c r="A2530" s="74"/>
      <c r="B2530" s="74"/>
      <c r="C2530" s="74"/>
      <c r="D2530" s="74"/>
      <c r="E2530" s="74"/>
      <c r="F2530" s="74"/>
      <c r="G2530" s="74"/>
      <c r="H2530" s="74"/>
      <c r="I2530" s="74"/>
      <c r="J2530" s="74"/>
      <c r="K2530" s="74"/>
      <c r="L2530" s="74"/>
      <c r="M2530" s="74"/>
      <c r="N2530" s="74"/>
      <c r="O2530" s="75"/>
      <c r="P2530" s="74"/>
      <c r="Q2530" s="75"/>
      <c r="R2530" s="74"/>
      <c r="S2530" s="74"/>
      <c r="T2530" s="74"/>
      <c r="U2530" s="75"/>
      <c r="V2530" s="74"/>
      <c r="W2530" s="75"/>
      <c r="X2530" s="74"/>
      <c r="Y2530" s="74"/>
      <c r="Z2530" s="74"/>
      <c r="AA2530" s="74"/>
      <c r="AB2530" s="74"/>
      <c r="AC2530" s="74"/>
      <c r="AD2530" s="74"/>
      <c r="AE2530" s="74"/>
      <c r="AF2530" s="74"/>
      <c r="AG2530" s="74"/>
      <c r="AH2530" s="74"/>
    </row>
    <row r="2531" s="73" customFormat="1" spans="1:34">
      <c r="A2531" s="74"/>
      <c r="B2531" s="74"/>
      <c r="C2531" s="74"/>
      <c r="D2531" s="74"/>
      <c r="E2531" s="74"/>
      <c r="F2531" s="74"/>
      <c r="G2531" s="74"/>
      <c r="H2531" s="74"/>
      <c r="I2531" s="74"/>
      <c r="J2531" s="74"/>
      <c r="K2531" s="74"/>
      <c r="L2531" s="74"/>
      <c r="M2531" s="74"/>
      <c r="N2531" s="74"/>
      <c r="O2531" s="75"/>
      <c r="P2531" s="74"/>
      <c r="Q2531" s="75"/>
      <c r="R2531" s="74"/>
      <c r="S2531" s="74"/>
      <c r="T2531" s="74"/>
      <c r="U2531" s="75"/>
      <c r="V2531" s="74"/>
      <c r="W2531" s="75"/>
      <c r="X2531" s="74"/>
      <c r="Y2531" s="74"/>
      <c r="Z2531" s="74"/>
      <c r="AA2531" s="74"/>
      <c r="AB2531" s="74"/>
      <c r="AC2531" s="74"/>
      <c r="AD2531" s="74"/>
      <c r="AE2531" s="74"/>
      <c r="AF2531" s="74"/>
      <c r="AG2531" s="74"/>
      <c r="AH2531" s="74"/>
    </row>
    <row r="2532" s="73" customFormat="1" spans="1:34">
      <c r="A2532" s="74"/>
      <c r="B2532" s="74"/>
      <c r="C2532" s="74"/>
      <c r="D2532" s="74"/>
      <c r="E2532" s="74"/>
      <c r="F2532" s="74"/>
      <c r="G2532" s="74"/>
      <c r="H2532" s="74"/>
      <c r="I2532" s="74"/>
      <c r="J2532" s="74"/>
      <c r="K2532" s="74"/>
      <c r="L2532" s="74"/>
      <c r="M2532" s="74"/>
      <c r="N2532" s="74"/>
      <c r="O2532" s="75"/>
      <c r="P2532" s="74"/>
      <c r="Q2532" s="75"/>
      <c r="R2532" s="74"/>
      <c r="S2532" s="74"/>
      <c r="T2532" s="74"/>
      <c r="U2532" s="75"/>
      <c r="V2532" s="74"/>
      <c r="W2532" s="75"/>
      <c r="X2532" s="74"/>
      <c r="Y2532" s="74"/>
      <c r="Z2532" s="74"/>
      <c r="AA2532" s="74"/>
      <c r="AB2532" s="74"/>
      <c r="AC2532" s="74"/>
      <c r="AD2532" s="74"/>
      <c r="AE2532" s="74"/>
      <c r="AF2532" s="74"/>
      <c r="AG2532" s="74"/>
      <c r="AH2532" s="74"/>
    </row>
    <row r="2533" s="73" customFormat="1" spans="1:34">
      <c r="A2533" s="74"/>
      <c r="B2533" s="74"/>
      <c r="C2533" s="74"/>
      <c r="D2533" s="74"/>
      <c r="E2533" s="74"/>
      <c r="F2533" s="74"/>
      <c r="G2533" s="74"/>
      <c r="H2533" s="74"/>
      <c r="I2533" s="74"/>
      <c r="J2533" s="74"/>
      <c r="K2533" s="74"/>
      <c r="L2533" s="74"/>
      <c r="M2533" s="74"/>
      <c r="N2533" s="74"/>
      <c r="O2533" s="75"/>
      <c r="P2533" s="74"/>
      <c r="Q2533" s="75"/>
      <c r="R2533" s="74"/>
      <c r="S2533" s="74"/>
      <c r="T2533" s="74"/>
      <c r="U2533" s="75"/>
      <c r="V2533" s="74"/>
      <c r="W2533" s="75"/>
      <c r="X2533" s="74"/>
      <c r="Y2533" s="74"/>
      <c r="Z2533" s="74"/>
      <c r="AA2533" s="74"/>
      <c r="AB2533" s="74"/>
      <c r="AC2533" s="74"/>
      <c r="AD2533" s="74"/>
      <c r="AE2533" s="74"/>
      <c r="AF2533" s="74"/>
      <c r="AG2533" s="74"/>
      <c r="AH2533" s="74"/>
    </row>
    <row r="2534" s="73" customFormat="1" spans="1:34">
      <c r="A2534" s="74"/>
      <c r="B2534" s="74"/>
      <c r="C2534" s="74"/>
      <c r="D2534" s="74"/>
      <c r="E2534" s="74"/>
      <c r="F2534" s="74"/>
      <c r="G2534" s="74"/>
      <c r="H2534" s="74"/>
      <c r="I2534" s="74"/>
      <c r="J2534" s="74"/>
      <c r="K2534" s="74"/>
      <c r="L2534" s="74"/>
      <c r="M2534" s="74"/>
      <c r="N2534" s="74"/>
      <c r="O2534" s="75"/>
      <c r="P2534" s="74"/>
      <c r="Q2534" s="75"/>
      <c r="R2534" s="74"/>
      <c r="S2534" s="74"/>
      <c r="T2534" s="74"/>
      <c r="U2534" s="75"/>
      <c r="V2534" s="74"/>
      <c r="W2534" s="75"/>
      <c r="X2534" s="74"/>
      <c r="Y2534" s="74"/>
      <c r="Z2534" s="74"/>
      <c r="AA2534" s="74"/>
      <c r="AB2534" s="74"/>
      <c r="AC2534" s="74"/>
      <c r="AD2534" s="74"/>
      <c r="AE2534" s="74"/>
      <c r="AF2534" s="74"/>
      <c r="AG2534" s="74"/>
      <c r="AH2534" s="74"/>
    </row>
    <row r="2535" s="73" customFormat="1" spans="1:34">
      <c r="A2535" s="74"/>
      <c r="B2535" s="74"/>
      <c r="C2535" s="74"/>
      <c r="D2535" s="74"/>
      <c r="E2535" s="74"/>
      <c r="F2535" s="74"/>
      <c r="G2535" s="74"/>
      <c r="H2535" s="74"/>
      <c r="I2535" s="74"/>
      <c r="J2535" s="74"/>
      <c r="K2535" s="74"/>
      <c r="L2535" s="74"/>
      <c r="M2535" s="74"/>
      <c r="N2535" s="74"/>
      <c r="O2535" s="75"/>
      <c r="P2535" s="74"/>
      <c r="Q2535" s="75"/>
      <c r="R2535" s="74"/>
      <c r="S2535" s="74"/>
      <c r="T2535" s="74"/>
      <c r="U2535" s="75"/>
      <c r="V2535" s="74"/>
      <c r="W2535" s="75"/>
      <c r="X2535" s="74"/>
      <c r="Y2535" s="74"/>
      <c r="Z2535" s="74"/>
      <c r="AA2535" s="74"/>
      <c r="AB2535" s="74"/>
      <c r="AC2535" s="74"/>
      <c r="AD2535" s="74"/>
      <c r="AE2535" s="74"/>
      <c r="AF2535" s="74"/>
      <c r="AG2535" s="74"/>
      <c r="AH2535" s="74"/>
    </row>
    <row r="2536" s="73" customFormat="1" spans="1:34">
      <c r="A2536" s="74"/>
      <c r="B2536" s="74"/>
      <c r="C2536" s="74"/>
      <c r="D2536" s="74"/>
      <c r="E2536" s="74"/>
      <c r="F2536" s="74"/>
      <c r="G2536" s="74"/>
      <c r="H2536" s="74"/>
      <c r="I2536" s="74"/>
      <c r="J2536" s="74"/>
      <c r="K2536" s="74"/>
      <c r="L2536" s="74"/>
      <c r="M2536" s="74"/>
      <c r="N2536" s="74"/>
      <c r="O2536" s="75"/>
      <c r="P2536" s="74"/>
      <c r="Q2536" s="75"/>
      <c r="R2536" s="74"/>
      <c r="S2536" s="74"/>
      <c r="T2536" s="74"/>
      <c r="U2536" s="75"/>
      <c r="V2536" s="74"/>
      <c r="W2536" s="75"/>
      <c r="X2536" s="74"/>
      <c r="Y2536" s="74"/>
      <c r="Z2536" s="74"/>
      <c r="AA2536" s="74"/>
      <c r="AB2536" s="74"/>
      <c r="AC2536" s="74"/>
      <c r="AD2536" s="74"/>
      <c r="AE2536" s="74"/>
      <c r="AF2536" s="74"/>
      <c r="AG2536" s="74"/>
      <c r="AH2536" s="74"/>
    </row>
    <row r="2537" s="73" customFormat="1" spans="1:34">
      <c r="A2537" s="74"/>
      <c r="B2537" s="74"/>
      <c r="C2537" s="74"/>
      <c r="D2537" s="74"/>
      <c r="E2537" s="74"/>
      <c r="F2537" s="74"/>
      <c r="G2537" s="74"/>
      <c r="H2537" s="74"/>
      <c r="I2537" s="74"/>
      <c r="J2537" s="74"/>
      <c r="K2537" s="74"/>
      <c r="L2537" s="74"/>
      <c r="M2537" s="74"/>
      <c r="N2537" s="74"/>
      <c r="O2537" s="75"/>
      <c r="P2537" s="74"/>
      <c r="Q2537" s="75"/>
      <c r="R2537" s="74"/>
      <c r="S2537" s="74"/>
      <c r="T2537" s="74"/>
      <c r="U2537" s="75"/>
      <c r="V2537" s="74"/>
      <c r="W2537" s="75"/>
      <c r="X2537" s="74"/>
      <c r="Y2537" s="74"/>
      <c r="Z2537" s="74"/>
      <c r="AA2537" s="74"/>
      <c r="AB2537" s="74"/>
      <c r="AC2537" s="74"/>
      <c r="AD2537" s="74"/>
      <c r="AE2537" s="74"/>
      <c r="AF2537" s="74"/>
      <c r="AG2537" s="74"/>
      <c r="AH2537" s="74"/>
    </row>
    <row r="2538" s="73" customFormat="1" spans="1:34">
      <c r="A2538" s="74"/>
      <c r="B2538" s="74"/>
      <c r="C2538" s="74"/>
      <c r="D2538" s="74"/>
      <c r="E2538" s="74"/>
      <c r="F2538" s="74"/>
      <c r="G2538" s="74"/>
      <c r="H2538" s="74"/>
      <c r="I2538" s="74"/>
      <c r="J2538" s="74"/>
      <c r="K2538" s="74"/>
      <c r="L2538" s="74"/>
      <c r="M2538" s="74"/>
      <c r="N2538" s="74"/>
      <c r="O2538" s="75"/>
      <c r="P2538" s="74"/>
      <c r="Q2538" s="75"/>
      <c r="R2538" s="74"/>
      <c r="S2538" s="74"/>
      <c r="T2538" s="74"/>
      <c r="U2538" s="75"/>
      <c r="V2538" s="74"/>
      <c r="W2538" s="75"/>
      <c r="X2538" s="74"/>
      <c r="Y2538" s="74"/>
      <c r="Z2538" s="74"/>
      <c r="AA2538" s="74"/>
      <c r="AB2538" s="74"/>
      <c r="AC2538" s="74"/>
      <c r="AD2538" s="74"/>
      <c r="AE2538" s="74"/>
      <c r="AF2538" s="74"/>
      <c r="AG2538" s="74"/>
      <c r="AH2538" s="74"/>
    </row>
    <row r="2539" s="73" customFormat="1" spans="1:34">
      <c r="A2539" s="74"/>
      <c r="B2539" s="74"/>
      <c r="C2539" s="74"/>
      <c r="D2539" s="74"/>
      <c r="E2539" s="74"/>
      <c r="F2539" s="74"/>
      <c r="G2539" s="74"/>
      <c r="H2539" s="74"/>
      <c r="I2539" s="74"/>
      <c r="J2539" s="74"/>
      <c r="K2539" s="74"/>
      <c r="L2539" s="74"/>
      <c r="M2539" s="74"/>
      <c r="N2539" s="74"/>
      <c r="O2539" s="75"/>
      <c r="P2539" s="74"/>
      <c r="Q2539" s="75"/>
      <c r="R2539" s="74"/>
      <c r="S2539" s="74"/>
      <c r="T2539" s="74"/>
      <c r="U2539" s="75"/>
      <c r="V2539" s="74"/>
      <c r="W2539" s="75"/>
      <c r="X2539" s="74"/>
      <c r="Y2539" s="74"/>
      <c r="Z2539" s="74"/>
      <c r="AA2539" s="74"/>
      <c r="AB2539" s="74"/>
      <c r="AC2539" s="74"/>
      <c r="AD2539" s="74"/>
      <c r="AE2539" s="74"/>
      <c r="AF2539" s="74"/>
      <c r="AG2539" s="74"/>
      <c r="AH2539" s="74"/>
    </row>
    <row r="2540" s="73" customFormat="1" spans="1:34">
      <c r="A2540" s="74"/>
      <c r="B2540" s="74"/>
      <c r="C2540" s="74"/>
      <c r="D2540" s="74"/>
      <c r="E2540" s="74"/>
      <c r="F2540" s="74"/>
      <c r="G2540" s="74"/>
      <c r="H2540" s="74"/>
      <c r="I2540" s="74"/>
      <c r="J2540" s="74"/>
      <c r="K2540" s="74"/>
      <c r="L2540" s="74"/>
      <c r="M2540" s="74"/>
      <c r="N2540" s="74"/>
      <c r="O2540" s="75"/>
      <c r="P2540" s="74"/>
      <c r="Q2540" s="75"/>
      <c r="R2540" s="74"/>
      <c r="S2540" s="74"/>
      <c r="T2540" s="74"/>
      <c r="U2540" s="75"/>
      <c r="V2540" s="74"/>
      <c r="W2540" s="75"/>
      <c r="X2540" s="74"/>
      <c r="Y2540" s="74"/>
      <c r="Z2540" s="74"/>
      <c r="AA2540" s="74"/>
      <c r="AB2540" s="74"/>
      <c r="AC2540" s="74"/>
      <c r="AD2540" s="74"/>
      <c r="AE2540" s="74"/>
      <c r="AF2540" s="74"/>
      <c r="AG2540" s="74"/>
      <c r="AH2540" s="74"/>
    </row>
    <row r="2541" s="73" customFormat="1" spans="1:34">
      <c r="A2541" s="74"/>
      <c r="B2541" s="74"/>
      <c r="C2541" s="74"/>
      <c r="D2541" s="74"/>
      <c r="E2541" s="74"/>
      <c r="F2541" s="74"/>
      <c r="G2541" s="74"/>
      <c r="H2541" s="74"/>
      <c r="I2541" s="74"/>
      <c r="J2541" s="74"/>
      <c r="K2541" s="74"/>
      <c r="L2541" s="74"/>
      <c r="M2541" s="74"/>
      <c r="N2541" s="74"/>
      <c r="O2541" s="75"/>
      <c r="P2541" s="74"/>
      <c r="Q2541" s="75"/>
      <c r="R2541" s="74"/>
      <c r="S2541" s="74"/>
      <c r="T2541" s="74"/>
      <c r="U2541" s="75"/>
      <c r="V2541" s="74"/>
      <c r="W2541" s="75"/>
      <c r="X2541" s="74"/>
      <c r="Y2541" s="74"/>
      <c r="Z2541" s="74"/>
      <c r="AA2541" s="74"/>
      <c r="AB2541" s="74"/>
      <c r="AC2541" s="74"/>
      <c r="AD2541" s="74"/>
      <c r="AE2541" s="74"/>
      <c r="AF2541" s="74"/>
      <c r="AG2541" s="74"/>
      <c r="AH2541" s="74"/>
    </row>
    <row r="2542" s="73" customFormat="1" spans="1:34">
      <c r="A2542" s="74"/>
      <c r="B2542" s="74"/>
      <c r="C2542" s="74"/>
      <c r="D2542" s="74"/>
      <c r="E2542" s="74"/>
      <c r="F2542" s="74"/>
      <c r="G2542" s="74"/>
      <c r="H2542" s="74"/>
      <c r="I2542" s="74"/>
      <c r="J2542" s="74"/>
      <c r="K2542" s="74"/>
      <c r="L2542" s="74"/>
      <c r="M2542" s="74"/>
      <c r="N2542" s="74"/>
      <c r="O2542" s="75"/>
      <c r="P2542" s="74"/>
      <c r="Q2542" s="75"/>
      <c r="R2542" s="74"/>
      <c r="S2542" s="74"/>
      <c r="T2542" s="74"/>
      <c r="U2542" s="75"/>
      <c r="V2542" s="74"/>
      <c r="W2542" s="75"/>
      <c r="X2542" s="74"/>
      <c r="Y2542" s="74"/>
      <c r="Z2542" s="74"/>
      <c r="AA2542" s="74"/>
      <c r="AB2542" s="74"/>
      <c r="AC2542" s="74"/>
      <c r="AD2542" s="74"/>
      <c r="AE2542" s="74"/>
      <c r="AF2542" s="74"/>
      <c r="AG2542" s="74"/>
      <c r="AH2542" s="74"/>
    </row>
    <row r="2543" s="73" customFormat="1" spans="1:34">
      <c r="A2543" s="74"/>
      <c r="B2543" s="74"/>
      <c r="C2543" s="74"/>
      <c r="D2543" s="74"/>
      <c r="E2543" s="74"/>
      <c r="F2543" s="74"/>
      <c r="G2543" s="74"/>
      <c r="H2543" s="74"/>
      <c r="I2543" s="74"/>
      <c r="J2543" s="74"/>
      <c r="K2543" s="74"/>
      <c r="L2543" s="74"/>
      <c r="M2543" s="74"/>
      <c r="N2543" s="74"/>
      <c r="O2543" s="75"/>
      <c r="P2543" s="74"/>
      <c r="Q2543" s="75"/>
      <c r="R2543" s="74"/>
      <c r="S2543" s="74"/>
      <c r="T2543" s="74"/>
      <c r="U2543" s="75"/>
      <c r="V2543" s="74"/>
      <c r="W2543" s="75"/>
      <c r="X2543" s="74"/>
      <c r="Y2543" s="74"/>
      <c r="Z2543" s="74"/>
      <c r="AA2543" s="74"/>
      <c r="AB2543" s="74"/>
      <c r="AC2543" s="74"/>
      <c r="AD2543" s="74"/>
      <c r="AE2543" s="74"/>
      <c r="AF2543" s="74"/>
      <c r="AG2543" s="74"/>
      <c r="AH2543" s="74"/>
    </row>
    <row r="2544" s="73" customFormat="1" spans="1:34">
      <c r="A2544" s="74"/>
      <c r="B2544" s="74"/>
      <c r="C2544" s="74"/>
      <c r="D2544" s="74"/>
      <c r="E2544" s="74"/>
      <c r="F2544" s="74"/>
      <c r="G2544" s="74"/>
      <c r="H2544" s="74"/>
      <c r="I2544" s="74"/>
      <c r="J2544" s="74"/>
      <c r="K2544" s="74"/>
      <c r="L2544" s="74"/>
      <c r="M2544" s="74"/>
      <c r="N2544" s="74"/>
      <c r="O2544" s="75"/>
      <c r="P2544" s="74"/>
      <c r="Q2544" s="75"/>
      <c r="R2544" s="74"/>
      <c r="S2544" s="74"/>
      <c r="T2544" s="74"/>
      <c r="U2544" s="75"/>
      <c r="V2544" s="74"/>
      <c r="W2544" s="75"/>
      <c r="X2544" s="74"/>
      <c r="Y2544" s="74"/>
      <c r="Z2544" s="74"/>
      <c r="AA2544" s="74"/>
      <c r="AB2544" s="74"/>
      <c r="AC2544" s="74"/>
      <c r="AD2544" s="74"/>
      <c r="AE2544" s="74"/>
      <c r="AF2544" s="74"/>
      <c r="AG2544" s="74"/>
      <c r="AH2544" s="74"/>
    </row>
    <row r="2545" s="73" customFormat="1" spans="1:34">
      <c r="A2545" s="74"/>
      <c r="B2545" s="74"/>
      <c r="C2545" s="74"/>
      <c r="D2545" s="74"/>
      <c r="E2545" s="74"/>
      <c r="F2545" s="74"/>
      <c r="G2545" s="74"/>
      <c r="H2545" s="74"/>
      <c r="I2545" s="74"/>
      <c r="J2545" s="74"/>
      <c r="K2545" s="74"/>
      <c r="L2545" s="74"/>
      <c r="M2545" s="74"/>
      <c r="N2545" s="74"/>
      <c r="O2545" s="75"/>
      <c r="P2545" s="74"/>
      <c r="Q2545" s="75"/>
      <c r="R2545" s="74"/>
      <c r="S2545" s="74"/>
      <c r="T2545" s="74"/>
      <c r="U2545" s="75"/>
      <c r="V2545" s="74"/>
      <c r="W2545" s="75"/>
      <c r="X2545" s="74"/>
      <c r="Y2545" s="74"/>
      <c r="Z2545" s="74"/>
      <c r="AA2545" s="74"/>
      <c r="AB2545" s="74"/>
      <c r="AC2545" s="74"/>
      <c r="AD2545" s="74"/>
      <c r="AE2545" s="74"/>
      <c r="AF2545" s="74"/>
      <c r="AG2545" s="74"/>
      <c r="AH2545" s="74"/>
    </row>
    <row r="2546" s="73" customFormat="1" spans="1:34">
      <c r="A2546" s="74"/>
      <c r="B2546" s="74"/>
      <c r="C2546" s="74"/>
      <c r="D2546" s="74"/>
      <c r="E2546" s="74"/>
      <c r="F2546" s="74"/>
      <c r="G2546" s="74"/>
      <c r="H2546" s="74"/>
      <c r="I2546" s="74"/>
      <c r="J2546" s="74"/>
      <c r="K2546" s="74"/>
      <c r="L2546" s="74"/>
      <c r="M2546" s="74"/>
      <c r="N2546" s="74"/>
      <c r="O2546" s="75"/>
      <c r="P2546" s="74"/>
      <c r="Q2546" s="75"/>
      <c r="R2546" s="74"/>
      <c r="S2546" s="74"/>
      <c r="T2546" s="74"/>
      <c r="U2546" s="75"/>
      <c r="V2546" s="74"/>
      <c r="W2546" s="75"/>
      <c r="X2546" s="74"/>
      <c r="Y2546" s="74"/>
      <c r="Z2546" s="74"/>
      <c r="AA2546" s="74"/>
      <c r="AB2546" s="74"/>
      <c r="AC2546" s="74"/>
      <c r="AD2546" s="74"/>
      <c r="AE2546" s="74"/>
      <c r="AF2546" s="74"/>
      <c r="AG2546" s="74"/>
      <c r="AH2546" s="74"/>
    </row>
    <row r="2547" s="73" customFormat="1" spans="1:34">
      <c r="A2547" s="74"/>
      <c r="B2547" s="74"/>
      <c r="C2547" s="74"/>
      <c r="D2547" s="74"/>
      <c r="E2547" s="74"/>
      <c r="F2547" s="74"/>
      <c r="G2547" s="74"/>
      <c r="H2547" s="74"/>
      <c r="I2547" s="74"/>
      <c r="J2547" s="74"/>
      <c r="K2547" s="74"/>
      <c r="L2547" s="74"/>
      <c r="M2547" s="74"/>
      <c r="N2547" s="74"/>
      <c r="O2547" s="75"/>
      <c r="P2547" s="74"/>
      <c r="Q2547" s="75"/>
      <c r="R2547" s="74"/>
      <c r="S2547" s="74"/>
      <c r="T2547" s="74"/>
      <c r="U2547" s="75"/>
      <c r="V2547" s="74"/>
      <c r="W2547" s="75"/>
      <c r="X2547" s="74"/>
      <c r="Y2547" s="74"/>
      <c r="Z2547" s="74"/>
      <c r="AA2547" s="74"/>
      <c r="AB2547" s="74"/>
      <c r="AC2547" s="74"/>
      <c r="AD2547" s="74"/>
      <c r="AE2547" s="74"/>
      <c r="AF2547" s="74"/>
      <c r="AG2547" s="74"/>
      <c r="AH2547" s="74"/>
    </row>
    <row r="2548" s="73" customFormat="1" spans="1:34">
      <c r="A2548" s="74"/>
      <c r="B2548" s="74"/>
      <c r="C2548" s="74"/>
      <c r="D2548" s="74"/>
      <c r="E2548" s="74"/>
      <c r="F2548" s="74"/>
      <c r="G2548" s="74"/>
      <c r="H2548" s="74"/>
      <c r="I2548" s="74"/>
      <c r="J2548" s="74"/>
      <c r="K2548" s="74"/>
      <c r="L2548" s="74"/>
      <c r="M2548" s="74"/>
      <c r="N2548" s="74"/>
      <c r="O2548" s="75"/>
      <c r="P2548" s="74"/>
      <c r="Q2548" s="75"/>
      <c r="R2548" s="74"/>
      <c r="S2548" s="74"/>
      <c r="T2548" s="74"/>
      <c r="U2548" s="75"/>
      <c r="V2548" s="74"/>
      <c r="W2548" s="75"/>
      <c r="X2548" s="74"/>
      <c r="Y2548" s="74"/>
      <c r="Z2548" s="74"/>
      <c r="AA2548" s="74"/>
      <c r="AB2548" s="74"/>
      <c r="AC2548" s="74"/>
      <c r="AD2548" s="74"/>
      <c r="AE2548" s="74"/>
      <c r="AF2548" s="74"/>
      <c r="AG2548" s="74"/>
      <c r="AH2548" s="74"/>
    </row>
    <row r="2549" s="73" customFormat="1" spans="1:34">
      <c r="A2549" s="74"/>
      <c r="B2549" s="74"/>
      <c r="C2549" s="74"/>
      <c r="D2549" s="74"/>
      <c r="E2549" s="74"/>
      <c r="F2549" s="74"/>
      <c r="G2549" s="74"/>
      <c r="H2549" s="74"/>
      <c r="I2549" s="74"/>
      <c r="J2549" s="74"/>
      <c r="K2549" s="74"/>
      <c r="L2549" s="74"/>
      <c r="M2549" s="74"/>
      <c r="N2549" s="74"/>
      <c r="O2549" s="75"/>
      <c r="P2549" s="74"/>
      <c r="Q2549" s="75"/>
      <c r="R2549" s="74"/>
      <c r="S2549" s="74"/>
      <c r="T2549" s="74"/>
      <c r="U2549" s="75"/>
      <c r="V2549" s="74"/>
      <c r="W2549" s="75"/>
      <c r="X2549" s="74"/>
      <c r="Y2549" s="74"/>
      <c r="Z2549" s="74"/>
      <c r="AA2549" s="74"/>
      <c r="AB2549" s="74"/>
      <c r="AC2549" s="74"/>
      <c r="AD2549" s="74"/>
      <c r="AE2549" s="74"/>
      <c r="AF2549" s="74"/>
      <c r="AG2549" s="74"/>
      <c r="AH2549" s="74"/>
    </row>
    <row r="2550" s="73" customFormat="1" spans="1:34">
      <c r="A2550" s="74"/>
      <c r="B2550" s="74"/>
      <c r="C2550" s="74"/>
      <c r="D2550" s="74"/>
      <c r="E2550" s="74"/>
      <c r="F2550" s="74"/>
      <c r="G2550" s="74"/>
      <c r="H2550" s="74"/>
      <c r="I2550" s="74"/>
      <c r="J2550" s="74"/>
      <c r="K2550" s="74"/>
      <c r="L2550" s="74"/>
      <c r="M2550" s="74"/>
      <c r="N2550" s="74"/>
      <c r="O2550" s="75"/>
      <c r="P2550" s="74"/>
      <c r="Q2550" s="75"/>
      <c r="R2550" s="74"/>
      <c r="S2550" s="74"/>
      <c r="T2550" s="74"/>
      <c r="U2550" s="75"/>
      <c r="V2550" s="74"/>
      <c r="W2550" s="75"/>
      <c r="X2550" s="74"/>
      <c r="Y2550" s="74"/>
      <c r="Z2550" s="74"/>
      <c r="AA2550" s="74"/>
      <c r="AB2550" s="74"/>
      <c r="AC2550" s="74"/>
      <c r="AD2550" s="74"/>
      <c r="AE2550" s="74"/>
      <c r="AF2550" s="74"/>
      <c r="AG2550" s="74"/>
      <c r="AH2550" s="74"/>
    </row>
    <row r="2551" s="73" customFormat="1" spans="1:34">
      <c r="A2551" s="74"/>
      <c r="B2551" s="74"/>
      <c r="C2551" s="74"/>
      <c r="D2551" s="74"/>
      <c r="E2551" s="74"/>
      <c r="F2551" s="74"/>
      <c r="G2551" s="74"/>
      <c r="H2551" s="74"/>
      <c r="I2551" s="74"/>
      <c r="J2551" s="74"/>
      <c r="K2551" s="74"/>
      <c r="L2551" s="74"/>
      <c r="M2551" s="74"/>
      <c r="N2551" s="74"/>
      <c r="O2551" s="75"/>
      <c r="P2551" s="74"/>
      <c r="Q2551" s="75"/>
      <c r="R2551" s="74"/>
      <c r="S2551" s="74"/>
      <c r="T2551" s="74"/>
      <c r="U2551" s="75"/>
      <c r="V2551" s="74"/>
      <c r="W2551" s="75"/>
      <c r="X2551" s="74"/>
      <c r="Y2551" s="74"/>
      <c r="Z2551" s="74"/>
      <c r="AA2551" s="74"/>
      <c r="AB2551" s="74"/>
      <c r="AC2551" s="74"/>
      <c r="AD2551" s="74"/>
      <c r="AE2551" s="74"/>
      <c r="AF2551" s="74"/>
      <c r="AG2551" s="74"/>
      <c r="AH2551" s="74"/>
    </row>
    <row r="2552" s="73" customFormat="1" spans="1:34">
      <c r="A2552" s="74"/>
      <c r="B2552" s="74"/>
      <c r="C2552" s="74"/>
      <c r="D2552" s="74"/>
      <c r="E2552" s="74"/>
      <c r="F2552" s="74"/>
      <c r="G2552" s="74"/>
      <c r="H2552" s="74"/>
      <c r="I2552" s="74"/>
      <c r="J2552" s="74"/>
      <c r="K2552" s="74"/>
      <c r="L2552" s="74"/>
      <c r="M2552" s="74"/>
      <c r="N2552" s="74"/>
      <c r="O2552" s="75"/>
      <c r="P2552" s="74"/>
      <c r="Q2552" s="75"/>
      <c r="R2552" s="74"/>
      <c r="S2552" s="74"/>
      <c r="T2552" s="74"/>
      <c r="U2552" s="75"/>
      <c r="V2552" s="74"/>
      <c r="W2552" s="75"/>
      <c r="X2552" s="74"/>
      <c r="Y2552" s="74"/>
      <c r="Z2552" s="74"/>
      <c r="AA2552" s="74"/>
      <c r="AB2552" s="74"/>
      <c r="AC2552" s="74"/>
      <c r="AD2552" s="74"/>
      <c r="AE2552" s="74"/>
      <c r="AF2552" s="74"/>
      <c r="AG2552" s="74"/>
      <c r="AH2552" s="74"/>
    </row>
    <row r="2553" s="73" customFormat="1" spans="1:34">
      <c r="A2553" s="74"/>
      <c r="B2553" s="74"/>
      <c r="C2553" s="74"/>
      <c r="D2553" s="74"/>
      <c r="E2553" s="74"/>
      <c r="F2553" s="74"/>
      <c r="G2553" s="74"/>
      <c r="H2553" s="74"/>
      <c r="I2553" s="74"/>
      <c r="J2553" s="74"/>
      <c r="K2553" s="74"/>
      <c r="L2553" s="74"/>
      <c r="M2553" s="74"/>
      <c r="N2553" s="74"/>
      <c r="O2553" s="75"/>
      <c r="P2553" s="74"/>
      <c r="Q2553" s="75"/>
      <c r="R2553" s="74"/>
      <c r="S2553" s="74"/>
      <c r="T2553" s="74"/>
      <c r="U2553" s="75"/>
      <c r="V2553" s="74"/>
      <c r="W2553" s="75"/>
      <c r="X2553" s="74"/>
      <c r="Y2553" s="74"/>
      <c r="Z2553" s="74"/>
      <c r="AA2553" s="74"/>
      <c r="AB2553" s="74"/>
      <c r="AC2553" s="74"/>
      <c r="AD2553" s="74"/>
      <c r="AE2553" s="74"/>
      <c r="AF2553" s="74"/>
      <c r="AG2553" s="74"/>
      <c r="AH2553" s="74"/>
    </row>
    <row r="2554" s="73" customFormat="1" spans="1:34">
      <c r="A2554" s="74"/>
      <c r="B2554" s="74"/>
      <c r="C2554" s="74"/>
      <c r="D2554" s="74"/>
      <c r="E2554" s="74"/>
      <c r="F2554" s="74"/>
      <c r="G2554" s="74"/>
      <c r="H2554" s="74"/>
      <c r="I2554" s="74"/>
      <c r="J2554" s="74"/>
      <c r="K2554" s="74"/>
      <c r="L2554" s="74"/>
      <c r="M2554" s="74"/>
      <c r="N2554" s="74"/>
      <c r="O2554" s="75"/>
      <c r="P2554" s="74"/>
      <c r="Q2554" s="75"/>
      <c r="R2554" s="74"/>
      <c r="S2554" s="74"/>
      <c r="T2554" s="74"/>
      <c r="U2554" s="75"/>
      <c r="V2554" s="74"/>
      <c r="W2554" s="75"/>
      <c r="X2554" s="74"/>
      <c r="Y2554" s="74"/>
      <c r="Z2554" s="74"/>
      <c r="AA2554" s="74"/>
      <c r="AB2554" s="74"/>
      <c r="AC2554" s="74"/>
      <c r="AD2554" s="74"/>
      <c r="AE2554" s="74"/>
      <c r="AF2554" s="74"/>
      <c r="AG2554" s="74"/>
      <c r="AH2554" s="74"/>
    </row>
    <row r="2555" s="73" customFormat="1" spans="1:34">
      <c r="A2555" s="74"/>
      <c r="B2555" s="74"/>
      <c r="C2555" s="74"/>
      <c r="D2555" s="74"/>
      <c r="E2555" s="74"/>
      <c r="F2555" s="74"/>
      <c r="G2555" s="74"/>
      <c r="H2555" s="74"/>
      <c r="I2555" s="74"/>
      <c r="J2555" s="74"/>
      <c r="K2555" s="74"/>
      <c r="L2555" s="74"/>
      <c r="M2555" s="74"/>
      <c r="N2555" s="74"/>
      <c r="O2555" s="75"/>
      <c r="P2555" s="74"/>
      <c r="Q2555" s="75"/>
      <c r="R2555" s="74"/>
      <c r="S2555" s="74"/>
      <c r="T2555" s="74"/>
      <c r="U2555" s="75"/>
      <c r="V2555" s="74"/>
      <c r="W2555" s="75"/>
      <c r="X2555" s="74"/>
      <c r="Y2555" s="74"/>
      <c r="Z2555" s="74"/>
      <c r="AA2555" s="74"/>
      <c r="AB2555" s="74"/>
      <c r="AC2555" s="74"/>
      <c r="AD2555" s="74"/>
      <c r="AE2555" s="74"/>
      <c r="AF2555" s="74"/>
      <c r="AG2555" s="74"/>
      <c r="AH2555" s="74"/>
    </row>
    <row r="2556" s="73" customFormat="1" spans="1:34">
      <c r="A2556" s="74"/>
      <c r="B2556" s="74"/>
      <c r="C2556" s="74"/>
      <c r="D2556" s="74"/>
      <c r="E2556" s="74"/>
      <c r="F2556" s="74"/>
      <c r="G2556" s="74"/>
      <c r="H2556" s="74"/>
      <c r="I2556" s="74"/>
      <c r="J2556" s="74"/>
      <c r="K2556" s="74"/>
      <c r="L2556" s="74"/>
      <c r="M2556" s="74"/>
      <c r="N2556" s="74"/>
      <c r="O2556" s="75"/>
      <c r="P2556" s="74"/>
      <c r="Q2556" s="75"/>
      <c r="R2556" s="74"/>
      <c r="S2556" s="74"/>
      <c r="T2556" s="74"/>
      <c r="U2556" s="75"/>
      <c r="V2556" s="74"/>
      <c r="W2556" s="75"/>
      <c r="X2556" s="74"/>
      <c r="Y2556" s="74"/>
      <c r="Z2556" s="74"/>
      <c r="AA2556" s="74"/>
      <c r="AB2556" s="74"/>
      <c r="AC2556" s="74"/>
      <c r="AD2556" s="74"/>
      <c r="AE2556" s="74"/>
      <c r="AF2556" s="74"/>
      <c r="AG2556" s="74"/>
      <c r="AH2556" s="74"/>
    </row>
    <row r="2557" s="73" customFormat="1" spans="1:34">
      <c r="A2557" s="74"/>
      <c r="B2557" s="74"/>
      <c r="C2557" s="74"/>
      <c r="D2557" s="74"/>
      <c r="E2557" s="74"/>
      <c r="F2557" s="74"/>
      <c r="G2557" s="74"/>
      <c r="H2557" s="74"/>
      <c r="I2557" s="74"/>
      <c r="J2557" s="74"/>
      <c r="K2557" s="74"/>
      <c r="L2557" s="74"/>
      <c r="M2557" s="74"/>
      <c r="N2557" s="74"/>
      <c r="O2557" s="75"/>
      <c r="P2557" s="74"/>
      <c r="Q2557" s="75"/>
      <c r="R2557" s="74"/>
      <c r="S2557" s="74"/>
      <c r="T2557" s="74"/>
      <c r="U2557" s="75"/>
      <c r="V2557" s="74"/>
      <c r="W2557" s="75"/>
      <c r="X2557" s="74"/>
      <c r="Y2557" s="74"/>
      <c r="Z2557" s="74"/>
      <c r="AA2557" s="74"/>
      <c r="AB2557" s="74"/>
      <c r="AC2557" s="74"/>
      <c r="AD2557" s="74"/>
      <c r="AE2557" s="74"/>
      <c r="AF2557" s="74"/>
      <c r="AG2557" s="74"/>
      <c r="AH2557" s="74"/>
    </row>
    <row r="2558" s="73" customFormat="1" spans="1:34">
      <c r="A2558" s="74"/>
      <c r="B2558" s="74"/>
      <c r="C2558" s="74"/>
      <c r="D2558" s="74"/>
      <c r="E2558" s="74"/>
      <c r="F2558" s="74"/>
      <c r="G2558" s="74"/>
      <c r="H2558" s="74"/>
      <c r="I2558" s="74"/>
      <c r="J2558" s="74"/>
      <c r="K2558" s="74"/>
      <c r="L2558" s="74"/>
      <c r="M2558" s="74"/>
      <c r="N2558" s="74"/>
      <c r="O2558" s="75"/>
      <c r="P2558" s="74"/>
      <c r="Q2558" s="75"/>
      <c r="R2558" s="74"/>
      <c r="S2558" s="74"/>
      <c r="T2558" s="74"/>
      <c r="U2558" s="75"/>
      <c r="V2558" s="74"/>
      <c r="W2558" s="75"/>
      <c r="X2558" s="74"/>
      <c r="Y2558" s="74"/>
      <c r="Z2558" s="74"/>
      <c r="AA2558" s="74"/>
      <c r="AB2558" s="74"/>
      <c r="AC2558" s="74"/>
      <c r="AD2558" s="74"/>
      <c r="AE2558" s="74"/>
      <c r="AF2558" s="74"/>
      <c r="AG2558" s="74"/>
      <c r="AH2558" s="74"/>
    </row>
    <row r="2559" s="73" customFormat="1" spans="1:34">
      <c r="A2559" s="74"/>
      <c r="B2559" s="74"/>
      <c r="C2559" s="74"/>
      <c r="D2559" s="74"/>
      <c r="E2559" s="74"/>
      <c r="F2559" s="74"/>
      <c r="G2559" s="74"/>
      <c r="H2559" s="74"/>
      <c r="I2559" s="74"/>
      <c r="J2559" s="74"/>
      <c r="K2559" s="74"/>
      <c r="L2559" s="74"/>
      <c r="M2559" s="74"/>
      <c r="N2559" s="74"/>
      <c r="O2559" s="75"/>
      <c r="P2559" s="74"/>
      <c r="Q2559" s="75"/>
      <c r="R2559" s="74"/>
      <c r="S2559" s="74"/>
      <c r="T2559" s="74"/>
      <c r="U2559" s="75"/>
      <c r="V2559" s="74"/>
      <c r="W2559" s="75"/>
      <c r="X2559" s="74"/>
      <c r="Y2559" s="74"/>
      <c r="Z2559" s="74"/>
      <c r="AA2559" s="74"/>
      <c r="AB2559" s="74"/>
      <c r="AC2559" s="74"/>
      <c r="AD2559" s="74"/>
      <c r="AE2559" s="74"/>
      <c r="AF2559" s="74"/>
      <c r="AG2559" s="74"/>
      <c r="AH2559" s="74"/>
    </row>
    <row r="2560" s="73" customFormat="1" spans="1:34">
      <c r="A2560" s="74"/>
      <c r="B2560" s="74"/>
      <c r="C2560" s="74"/>
      <c r="D2560" s="74"/>
      <c r="E2560" s="74"/>
      <c r="F2560" s="74"/>
      <c r="G2560" s="74"/>
      <c r="H2560" s="74"/>
      <c r="I2560" s="74"/>
      <c r="J2560" s="74"/>
      <c r="K2560" s="74"/>
      <c r="L2560" s="74"/>
      <c r="M2560" s="74"/>
      <c r="N2560" s="74"/>
      <c r="O2560" s="75"/>
      <c r="P2560" s="74"/>
      <c r="Q2560" s="75"/>
      <c r="R2560" s="74"/>
      <c r="S2560" s="74"/>
      <c r="T2560" s="74"/>
      <c r="U2560" s="75"/>
      <c r="V2560" s="74"/>
      <c r="W2560" s="75"/>
      <c r="X2560" s="74"/>
      <c r="Y2560" s="74"/>
      <c r="Z2560" s="74"/>
      <c r="AA2560" s="74"/>
      <c r="AB2560" s="74"/>
      <c r="AC2560" s="74"/>
      <c r="AD2560" s="74"/>
      <c r="AE2560" s="74"/>
      <c r="AF2560" s="74"/>
      <c r="AG2560" s="74"/>
      <c r="AH2560" s="74"/>
    </row>
    <row r="2561" s="73" customFormat="1" spans="1:34">
      <c r="A2561" s="74"/>
      <c r="B2561" s="74"/>
      <c r="C2561" s="74"/>
      <c r="D2561" s="74"/>
      <c r="E2561" s="74"/>
      <c r="F2561" s="74"/>
      <c r="G2561" s="74"/>
      <c r="H2561" s="74"/>
      <c r="I2561" s="74"/>
      <c r="J2561" s="74"/>
      <c r="K2561" s="74"/>
      <c r="L2561" s="74"/>
      <c r="M2561" s="74"/>
      <c r="N2561" s="74"/>
      <c r="O2561" s="75"/>
      <c r="P2561" s="74"/>
      <c r="Q2561" s="75"/>
      <c r="R2561" s="74"/>
      <c r="S2561" s="74"/>
      <c r="T2561" s="74"/>
      <c r="U2561" s="75"/>
      <c r="V2561" s="74"/>
      <c r="W2561" s="75"/>
      <c r="X2561" s="74"/>
      <c r="Y2561" s="74"/>
      <c r="Z2561" s="74"/>
      <c r="AA2561" s="74"/>
      <c r="AB2561" s="74"/>
      <c r="AC2561" s="74"/>
      <c r="AD2561" s="74"/>
      <c r="AE2561" s="74"/>
      <c r="AF2561" s="74"/>
      <c r="AG2561" s="74"/>
      <c r="AH2561" s="74"/>
    </row>
    <row r="2562" s="73" customFormat="1" spans="1:34">
      <c r="A2562" s="74"/>
      <c r="B2562" s="74"/>
      <c r="C2562" s="74"/>
      <c r="D2562" s="74"/>
      <c r="E2562" s="74"/>
      <c r="F2562" s="74"/>
      <c r="G2562" s="74"/>
      <c r="H2562" s="74"/>
      <c r="I2562" s="74"/>
      <c r="J2562" s="74"/>
      <c r="K2562" s="74"/>
      <c r="L2562" s="74"/>
      <c r="M2562" s="74"/>
      <c r="N2562" s="74"/>
      <c r="O2562" s="75"/>
      <c r="P2562" s="74"/>
      <c r="Q2562" s="75"/>
      <c r="R2562" s="74"/>
      <c r="S2562" s="74"/>
      <c r="T2562" s="74"/>
      <c r="U2562" s="75"/>
      <c r="V2562" s="74"/>
      <c r="W2562" s="75"/>
      <c r="X2562" s="74"/>
      <c r="Y2562" s="74"/>
      <c r="Z2562" s="74"/>
      <c r="AA2562" s="74"/>
      <c r="AB2562" s="74"/>
      <c r="AC2562" s="74"/>
      <c r="AD2562" s="74"/>
      <c r="AE2562" s="74"/>
      <c r="AF2562" s="74"/>
      <c r="AG2562" s="74"/>
      <c r="AH2562" s="74"/>
    </row>
    <row r="2563" s="73" customFormat="1" spans="1:34">
      <c r="A2563" s="74"/>
      <c r="B2563" s="74"/>
      <c r="C2563" s="74"/>
      <c r="D2563" s="74"/>
      <c r="E2563" s="74"/>
      <c r="F2563" s="74"/>
      <c r="G2563" s="74"/>
      <c r="H2563" s="74"/>
      <c r="I2563" s="74"/>
      <c r="J2563" s="74"/>
      <c r="K2563" s="74"/>
      <c r="L2563" s="74"/>
      <c r="M2563" s="74"/>
      <c r="N2563" s="74"/>
      <c r="O2563" s="75"/>
      <c r="P2563" s="74"/>
      <c r="Q2563" s="75"/>
      <c r="R2563" s="74"/>
      <c r="S2563" s="74"/>
      <c r="T2563" s="74"/>
      <c r="U2563" s="75"/>
      <c r="V2563" s="74"/>
      <c r="W2563" s="75"/>
      <c r="X2563" s="74"/>
      <c r="Y2563" s="74"/>
      <c r="Z2563" s="74"/>
      <c r="AA2563" s="74"/>
      <c r="AB2563" s="74"/>
      <c r="AC2563" s="74"/>
      <c r="AD2563" s="74"/>
      <c r="AE2563" s="74"/>
      <c r="AF2563" s="74"/>
      <c r="AG2563" s="74"/>
      <c r="AH2563" s="74"/>
    </row>
    <row r="2564" s="73" customFormat="1" spans="1:34">
      <c r="A2564" s="74"/>
      <c r="B2564" s="74"/>
      <c r="C2564" s="74"/>
      <c r="D2564" s="74"/>
      <c r="E2564" s="74"/>
      <c r="F2564" s="74"/>
      <c r="G2564" s="74"/>
      <c r="H2564" s="74"/>
      <c r="I2564" s="74"/>
      <c r="J2564" s="74"/>
      <c r="K2564" s="74"/>
      <c r="L2564" s="74"/>
      <c r="M2564" s="74"/>
      <c r="N2564" s="74"/>
      <c r="O2564" s="75"/>
      <c r="P2564" s="74"/>
      <c r="Q2564" s="75"/>
      <c r="R2564" s="74"/>
      <c r="S2564" s="74"/>
      <c r="T2564" s="74"/>
      <c r="U2564" s="75"/>
      <c r="V2564" s="74"/>
      <c r="W2564" s="75"/>
      <c r="X2564" s="74"/>
      <c r="Y2564" s="74"/>
      <c r="Z2564" s="74"/>
      <c r="AA2564" s="74"/>
      <c r="AB2564" s="74"/>
      <c r="AC2564" s="74"/>
      <c r="AD2564" s="74"/>
      <c r="AE2564" s="74"/>
      <c r="AF2564" s="74"/>
      <c r="AG2564" s="74"/>
      <c r="AH2564" s="74"/>
    </row>
    <row r="2565" s="73" customFormat="1" spans="1:34">
      <c r="A2565" s="74"/>
      <c r="B2565" s="74"/>
      <c r="C2565" s="74"/>
      <c r="D2565" s="74"/>
      <c r="E2565" s="74"/>
      <c r="F2565" s="74"/>
      <c r="G2565" s="74"/>
      <c r="H2565" s="74"/>
      <c r="I2565" s="74"/>
      <c r="J2565" s="74"/>
      <c r="K2565" s="74"/>
      <c r="L2565" s="74"/>
      <c r="M2565" s="74"/>
      <c r="N2565" s="74"/>
      <c r="O2565" s="75"/>
      <c r="P2565" s="74"/>
      <c r="Q2565" s="75"/>
      <c r="R2565" s="74"/>
      <c r="S2565" s="74"/>
      <c r="T2565" s="74"/>
      <c r="U2565" s="75"/>
      <c r="V2565" s="74"/>
      <c r="W2565" s="75"/>
      <c r="X2565" s="74"/>
      <c r="Y2565" s="74"/>
      <c r="Z2565" s="74"/>
      <c r="AA2565" s="74"/>
      <c r="AB2565" s="74"/>
      <c r="AC2565" s="74"/>
      <c r="AD2565" s="74"/>
      <c r="AE2565" s="74"/>
      <c r="AF2565" s="74"/>
      <c r="AG2565" s="74"/>
      <c r="AH2565" s="74"/>
    </row>
    <row r="2566" s="73" customFormat="1" spans="1:34">
      <c r="A2566" s="74"/>
      <c r="B2566" s="74"/>
      <c r="C2566" s="74"/>
      <c r="D2566" s="74"/>
      <c r="E2566" s="74"/>
      <c r="F2566" s="74"/>
      <c r="G2566" s="74"/>
      <c r="H2566" s="74"/>
      <c r="I2566" s="74"/>
      <c r="J2566" s="74"/>
      <c r="K2566" s="74"/>
      <c r="L2566" s="74"/>
      <c r="M2566" s="74"/>
      <c r="N2566" s="74"/>
      <c r="O2566" s="75"/>
      <c r="P2566" s="74"/>
      <c r="Q2566" s="75"/>
      <c r="R2566" s="74"/>
      <c r="S2566" s="74"/>
      <c r="T2566" s="74"/>
      <c r="U2566" s="75"/>
      <c r="V2566" s="74"/>
      <c r="W2566" s="75"/>
      <c r="X2566" s="74"/>
      <c r="Y2566" s="74"/>
      <c r="Z2566" s="74"/>
      <c r="AA2566" s="74"/>
      <c r="AB2566" s="74"/>
      <c r="AC2566" s="74"/>
      <c r="AD2566" s="74"/>
      <c r="AE2566" s="74"/>
      <c r="AF2566" s="74"/>
      <c r="AG2566" s="74"/>
      <c r="AH2566" s="74"/>
    </row>
    <row r="2567" s="73" customFormat="1" spans="1:34">
      <c r="A2567" s="74"/>
      <c r="B2567" s="74"/>
      <c r="C2567" s="74"/>
      <c r="D2567" s="74"/>
      <c r="E2567" s="74"/>
      <c r="F2567" s="74"/>
      <c r="G2567" s="74"/>
      <c r="H2567" s="74"/>
      <c r="I2567" s="74"/>
      <c r="J2567" s="74"/>
      <c r="K2567" s="74"/>
      <c r="L2567" s="74"/>
      <c r="M2567" s="74"/>
      <c r="N2567" s="74"/>
      <c r="O2567" s="75"/>
      <c r="P2567" s="74"/>
      <c r="Q2567" s="75"/>
      <c r="R2567" s="74"/>
      <c r="S2567" s="74"/>
      <c r="T2567" s="74"/>
      <c r="U2567" s="75"/>
      <c r="V2567" s="74"/>
      <c r="W2567" s="75"/>
      <c r="X2567" s="74"/>
      <c r="Y2567" s="74"/>
      <c r="Z2567" s="74"/>
      <c r="AA2567" s="74"/>
      <c r="AB2567" s="74"/>
      <c r="AC2567" s="74"/>
      <c r="AD2567" s="74"/>
      <c r="AE2567" s="74"/>
      <c r="AF2567" s="74"/>
      <c r="AG2567" s="74"/>
      <c r="AH2567" s="74"/>
    </row>
    <row r="2568" s="73" customFormat="1" spans="1:34">
      <c r="A2568" s="74"/>
      <c r="B2568" s="74"/>
      <c r="C2568" s="74"/>
      <c r="D2568" s="74"/>
      <c r="E2568" s="74"/>
      <c r="F2568" s="74"/>
      <c r="G2568" s="74"/>
      <c r="H2568" s="74"/>
      <c r="I2568" s="74"/>
      <c r="J2568" s="74"/>
      <c r="K2568" s="74"/>
      <c r="L2568" s="74"/>
      <c r="M2568" s="74"/>
      <c r="N2568" s="74"/>
      <c r="O2568" s="75"/>
      <c r="P2568" s="74"/>
      <c r="Q2568" s="75"/>
      <c r="R2568" s="74"/>
      <c r="S2568" s="74"/>
      <c r="T2568" s="74"/>
      <c r="U2568" s="75"/>
      <c r="V2568" s="74"/>
      <c r="W2568" s="75"/>
      <c r="X2568" s="74"/>
      <c r="Y2568" s="74"/>
      <c r="Z2568" s="74"/>
      <c r="AA2568" s="74"/>
      <c r="AB2568" s="74"/>
      <c r="AC2568" s="74"/>
      <c r="AD2568" s="74"/>
      <c r="AE2568" s="74"/>
      <c r="AF2568" s="74"/>
      <c r="AG2568" s="74"/>
      <c r="AH2568" s="74"/>
    </row>
    <row r="2569" s="73" customFormat="1" spans="1:34">
      <c r="A2569" s="74"/>
      <c r="B2569" s="74"/>
      <c r="C2569" s="74"/>
      <c r="D2569" s="74"/>
      <c r="E2569" s="74"/>
      <c r="F2569" s="74"/>
      <c r="G2569" s="74"/>
      <c r="H2569" s="74"/>
      <c r="I2569" s="74"/>
      <c r="J2569" s="74"/>
      <c r="K2569" s="74"/>
      <c r="L2569" s="74"/>
      <c r="M2569" s="74"/>
      <c r="N2569" s="74"/>
      <c r="O2569" s="75"/>
      <c r="P2569" s="74"/>
      <c r="Q2569" s="75"/>
      <c r="R2569" s="74"/>
      <c r="S2569" s="74"/>
      <c r="T2569" s="74"/>
      <c r="U2569" s="75"/>
      <c r="V2569" s="74"/>
      <c r="W2569" s="75"/>
      <c r="X2569" s="74"/>
      <c r="Y2569" s="74"/>
      <c r="Z2569" s="74"/>
      <c r="AA2569" s="74"/>
      <c r="AB2569" s="74"/>
      <c r="AC2569" s="74"/>
      <c r="AD2569" s="74"/>
      <c r="AE2569" s="74"/>
      <c r="AF2569" s="74"/>
      <c r="AG2569" s="74"/>
      <c r="AH2569" s="74"/>
    </row>
    <row r="2570" s="73" customFormat="1" spans="1:34">
      <c r="A2570" s="74"/>
      <c r="B2570" s="74"/>
      <c r="C2570" s="74"/>
      <c r="D2570" s="74"/>
      <c r="E2570" s="74"/>
      <c r="F2570" s="74"/>
      <c r="G2570" s="74"/>
      <c r="H2570" s="74"/>
      <c r="I2570" s="74"/>
      <c r="J2570" s="74"/>
      <c r="K2570" s="74"/>
      <c r="L2570" s="74"/>
      <c r="M2570" s="74"/>
      <c r="N2570" s="74"/>
      <c r="O2570" s="75"/>
      <c r="P2570" s="74"/>
      <c r="Q2570" s="75"/>
      <c r="R2570" s="74"/>
      <c r="S2570" s="74"/>
      <c r="T2570" s="74"/>
      <c r="U2570" s="75"/>
      <c r="V2570" s="74"/>
      <c r="W2570" s="75"/>
      <c r="X2570" s="74"/>
      <c r="Y2570" s="74"/>
      <c r="Z2570" s="74"/>
      <c r="AA2570" s="74"/>
      <c r="AB2570" s="74"/>
      <c r="AC2570" s="74"/>
      <c r="AD2570" s="74"/>
      <c r="AE2570" s="74"/>
      <c r="AF2570" s="74"/>
      <c r="AG2570" s="74"/>
      <c r="AH2570" s="74"/>
    </row>
    <row r="2571" s="73" customFormat="1" spans="1:34">
      <c r="A2571" s="74"/>
      <c r="B2571" s="74"/>
      <c r="C2571" s="74"/>
      <c r="D2571" s="74"/>
      <c r="E2571" s="74"/>
      <c r="F2571" s="74"/>
      <c r="G2571" s="74"/>
      <c r="H2571" s="74"/>
      <c r="I2571" s="74"/>
      <c r="J2571" s="74"/>
      <c r="K2571" s="74"/>
      <c r="L2571" s="74"/>
      <c r="M2571" s="74"/>
      <c r="N2571" s="74"/>
      <c r="O2571" s="75"/>
      <c r="P2571" s="74"/>
      <c r="Q2571" s="75"/>
      <c r="R2571" s="74"/>
      <c r="S2571" s="74"/>
      <c r="T2571" s="74"/>
      <c r="U2571" s="75"/>
      <c r="V2571" s="74"/>
      <c r="W2571" s="75"/>
      <c r="X2571" s="74"/>
      <c r="Y2571" s="74"/>
      <c r="Z2571" s="74"/>
      <c r="AA2571" s="74"/>
      <c r="AB2571" s="74"/>
      <c r="AC2571" s="74"/>
      <c r="AD2571" s="74"/>
      <c r="AE2571" s="74"/>
      <c r="AF2571" s="74"/>
      <c r="AG2571" s="74"/>
      <c r="AH2571" s="74"/>
    </row>
    <row r="2572" s="73" customFormat="1" spans="1:34">
      <c r="A2572" s="74"/>
      <c r="B2572" s="74"/>
      <c r="C2572" s="74"/>
      <c r="D2572" s="74"/>
      <c r="E2572" s="74"/>
      <c r="F2572" s="74"/>
      <c r="G2572" s="74"/>
      <c r="H2572" s="74"/>
      <c r="I2572" s="74"/>
      <c r="J2572" s="74"/>
      <c r="K2572" s="74"/>
      <c r="L2572" s="74"/>
      <c r="M2572" s="74"/>
      <c r="N2572" s="74"/>
      <c r="O2572" s="75"/>
      <c r="P2572" s="74"/>
      <c r="Q2572" s="75"/>
      <c r="R2572" s="74"/>
      <c r="S2572" s="74"/>
      <c r="T2572" s="74"/>
      <c r="U2572" s="75"/>
      <c r="V2572" s="74"/>
      <c r="W2572" s="75"/>
      <c r="X2572" s="74"/>
      <c r="Y2572" s="74"/>
      <c r="Z2572" s="74"/>
      <c r="AA2572" s="74"/>
      <c r="AB2572" s="74"/>
      <c r="AC2572" s="74"/>
      <c r="AD2572" s="74"/>
      <c r="AE2572" s="74"/>
      <c r="AF2572" s="74"/>
      <c r="AG2572" s="74"/>
      <c r="AH2572" s="74"/>
    </row>
    <row r="2573" s="73" customFormat="1" spans="1:34">
      <c r="A2573" s="74"/>
      <c r="B2573" s="74"/>
      <c r="C2573" s="74"/>
      <c r="D2573" s="74"/>
      <c r="E2573" s="74"/>
      <c r="F2573" s="74"/>
      <c r="G2573" s="74"/>
      <c r="H2573" s="74"/>
      <c r="I2573" s="74"/>
      <c r="J2573" s="74"/>
      <c r="K2573" s="74"/>
      <c r="L2573" s="74"/>
      <c r="M2573" s="74"/>
      <c r="N2573" s="74"/>
      <c r="O2573" s="75"/>
      <c r="P2573" s="74"/>
      <c r="Q2573" s="75"/>
      <c r="R2573" s="74"/>
      <c r="S2573" s="74"/>
      <c r="T2573" s="74"/>
      <c r="U2573" s="75"/>
      <c r="V2573" s="74"/>
      <c r="W2573" s="75"/>
      <c r="X2573" s="74"/>
      <c r="Y2573" s="74"/>
      <c r="Z2573" s="74"/>
      <c r="AA2573" s="74"/>
      <c r="AB2573" s="74"/>
      <c r="AC2573" s="74"/>
      <c r="AD2573" s="74"/>
      <c r="AE2573" s="74"/>
      <c r="AF2573" s="74"/>
      <c r="AG2573" s="74"/>
      <c r="AH2573" s="74"/>
    </row>
    <row r="2574" s="73" customFormat="1" spans="1:34">
      <c r="A2574" s="74"/>
      <c r="B2574" s="74"/>
      <c r="C2574" s="74"/>
      <c r="D2574" s="74"/>
      <c r="E2574" s="74"/>
      <c r="F2574" s="74"/>
      <c r="G2574" s="74"/>
      <c r="H2574" s="74"/>
      <c r="I2574" s="74"/>
      <c r="J2574" s="74"/>
      <c r="K2574" s="74"/>
      <c r="L2574" s="74"/>
      <c r="M2574" s="74"/>
      <c r="N2574" s="74"/>
      <c r="O2574" s="75"/>
      <c r="P2574" s="74"/>
      <c r="Q2574" s="75"/>
      <c r="R2574" s="74"/>
      <c r="S2574" s="74"/>
      <c r="T2574" s="74"/>
      <c r="U2574" s="75"/>
      <c r="V2574" s="74"/>
      <c r="W2574" s="75"/>
      <c r="X2574" s="74"/>
      <c r="Y2574" s="74"/>
      <c r="Z2574" s="74"/>
      <c r="AA2574" s="74"/>
      <c r="AB2574" s="74"/>
      <c r="AC2574" s="74"/>
      <c r="AD2574" s="74"/>
      <c r="AE2574" s="74"/>
      <c r="AF2574" s="74"/>
      <c r="AG2574" s="74"/>
      <c r="AH2574" s="74"/>
    </row>
    <row r="2575" s="73" customFormat="1" spans="1:34">
      <c r="A2575" s="74"/>
      <c r="B2575" s="74"/>
      <c r="C2575" s="74"/>
      <c r="D2575" s="74"/>
      <c r="E2575" s="74"/>
      <c r="F2575" s="74"/>
      <c r="G2575" s="74"/>
      <c r="H2575" s="74"/>
      <c r="I2575" s="74"/>
      <c r="J2575" s="74"/>
      <c r="K2575" s="74"/>
      <c r="L2575" s="74"/>
      <c r="M2575" s="74"/>
      <c r="N2575" s="74"/>
      <c r="O2575" s="75"/>
      <c r="P2575" s="74"/>
      <c r="Q2575" s="75"/>
      <c r="R2575" s="74"/>
      <c r="S2575" s="74"/>
      <c r="T2575" s="74"/>
      <c r="U2575" s="75"/>
      <c r="V2575" s="74"/>
      <c r="W2575" s="75"/>
      <c r="X2575" s="74"/>
      <c r="Y2575" s="74"/>
      <c r="Z2575" s="74"/>
      <c r="AA2575" s="74"/>
      <c r="AB2575" s="74"/>
      <c r="AC2575" s="74"/>
      <c r="AD2575" s="74"/>
      <c r="AE2575" s="74"/>
      <c r="AF2575" s="74"/>
      <c r="AG2575" s="74"/>
      <c r="AH2575" s="74"/>
    </row>
    <row r="2576" s="73" customFormat="1" spans="1:34">
      <c r="A2576" s="74"/>
      <c r="B2576" s="74"/>
      <c r="C2576" s="74"/>
      <c r="D2576" s="74"/>
      <c r="E2576" s="74"/>
      <c r="F2576" s="74"/>
      <c r="G2576" s="74"/>
      <c r="H2576" s="74"/>
      <c r="I2576" s="74"/>
      <c r="J2576" s="74"/>
      <c r="K2576" s="74"/>
      <c r="L2576" s="74"/>
      <c r="M2576" s="74"/>
      <c r="N2576" s="74"/>
      <c r="O2576" s="75"/>
      <c r="P2576" s="74"/>
      <c r="Q2576" s="75"/>
      <c r="R2576" s="74"/>
      <c r="S2576" s="74"/>
      <c r="T2576" s="74"/>
      <c r="U2576" s="75"/>
      <c r="V2576" s="74"/>
      <c r="W2576" s="75"/>
      <c r="X2576" s="74"/>
      <c r="Y2576" s="74"/>
      <c r="Z2576" s="74"/>
      <c r="AA2576" s="74"/>
      <c r="AB2576" s="74"/>
      <c r="AC2576" s="74"/>
      <c r="AD2576" s="74"/>
      <c r="AE2576" s="74"/>
      <c r="AF2576" s="74"/>
      <c r="AG2576" s="74"/>
      <c r="AH2576" s="74"/>
    </row>
    <row r="2578" s="73" customFormat="1" spans="1:34">
      <c r="A2578" s="74"/>
      <c r="B2578" s="74"/>
      <c r="C2578" s="74"/>
      <c r="D2578" s="74"/>
      <c r="E2578" s="74"/>
      <c r="F2578" s="74"/>
      <c r="G2578" s="74"/>
      <c r="H2578" s="74"/>
      <c r="I2578" s="74"/>
      <c r="J2578" s="74"/>
      <c r="K2578" s="74"/>
      <c r="L2578" s="74"/>
      <c r="M2578" s="74"/>
      <c r="N2578" s="74"/>
      <c r="O2578" s="75"/>
      <c r="P2578" s="74"/>
      <c r="Q2578" s="75"/>
      <c r="R2578" s="74"/>
      <c r="S2578" s="74"/>
      <c r="T2578" s="74"/>
      <c r="U2578" s="75"/>
      <c r="V2578" s="74"/>
      <c r="W2578" s="75"/>
      <c r="X2578" s="74"/>
      <c r="Y2578" s="74"/>
      <c r="Z2578" s="74"/>
      <c r="AA2578" s="74"/>
      <c r="AB2578" s="74"/>
      <c r="AC2578" s="74"/>
      <c r="AD2578" s="74"/>
      <c r="AE2578" s="74"/>
      <c r="AF2578" s="74"/>
      <c r="AG2578" s="74"/>
      <c r="AH2578" s="74"/>
    </row>
    <row r="2579" s="73" customFormat="1" spans="1:34">
      <c r="A2579" s="74"/>
      <c r="B2579" s="74"/>
      <c r="C2579" s="74"/>
      <c r="D2579" s="74"/>
      <c r="E2579" s="74"/>
      <c r="F2579" s="74"/>
      <c r="G2579" s="74"/>
      <c r="H2579" s="74"/>
      <c r="I2579" s="74"/>
      <c r="J2579" s="74"/>
      <c r="K2579" s="74"/>
      <c r="L2579" s="74"/>
      <c r="M2579" s="74"/>
      <c r="N2579" s="74"/>
      <c r="O2579" s="75"/>
      <c r="P2579" s="74"/>
      <c r="Q2579" s="75"/>
      <c r="R2579" s="74"/>
      <c r="S2579" s="74"/>
      <c r="T2579" s="74"/>
      <c r="U2579" s="75"/>
      <c r="V2579" s="74"/>
      <c r="W2579" s="75"/>
      <c r="X2579" s="74"/>
      <c r="Y2579" s="74"/>
      <c r="Z2579" s="74"/>
      <c r="AA2579" s="74"/>
      <c r="AB2579" s="74"/>
      <c r="AC2579" s="74"/>
      <c r="AD2579" s="74"/>
      <c r="AE2579" s="74"/>
      <c r="AF2579" s="74"/>
      <c r="AG2579" s="74"/>
      <c r="AH2579" s="74"/>
    </row>
    <row r="2580" s="73" customFormat="1" spans="1:34">
      <c r="A2580" s="74"/>
      <c r="B2580" s="74"/>
      <c r="C2580" s="74"/>
      <c r="D2580" s="74"/>
      <c r="E2580" s="74"/>
      <c r="F2580" s="74"/>
      <c r="G2580" s="74"/>
      <c r="H2580" s="74"/>
      <c r="I2580" s="74"/>
      <c r="J2580" s="74"/>
      <c r="K2580" s="74"/>
      <c r="L2580" s="74"/>
      <c r="M2580" s="74"/>
      <c r="N2580" s="74"/>
      <c r="O2580" s="75"/>
      <c r="P2580" s="74"/>
      <c r="Q2580" s="75"/>
      <c r="R2580" s="74"/>
      <c r="S2580" s="74"/>
      <c r="T2580" s="74"/>
      <c r="U2580" s="75"/>
      <c r="V2580" s="74"/>
      <c r="W2580" s="75"/>
      <c r="X2580" s="74"/>
      <c r="Y2580" s="74"/>
      <c r="Z2580" s="74"/>
      <c r="AA2580" s="74"/>
      <c r="AB2580" s="74"/>
      <c r="AC2580" s="74"/>
      <c r="AD2580" s="74"/>
      <c r="AE2580" s="74"/>
      <c r="AF2580" s="74"/>
      <c r="AG2580" s="74"/>
      <c r="AH2580" s="74"/>
    </row>
    <row r="2581" s="73" customFormat="1" spans="1:34">
      <c r="A2581" s="74"/>
      <c r="B2581" s="74"/>
      <c r="C2581" s="74"/>
      <c r="D2581" s="74"/>
      <c r="E2581" s="74"/>
      <c r="F2581" s="74"/>
      <c r="G2581" s="74"/>
      <c r="H2581" s="74"/>
      <c r="I2581" s="74"/>
      <c r="J2581" s="74"/>
      <c r="K2581" s="74"/>
      <c r="L2581" s="74"/>
      <c r="M2581" s="74"/>
      <c r="N2581" s="74"/>
      <c r="O2581" s="75"/>
      <c r="P2581" s="74"/>
      <c r="Q2581" s="75"/>
      <c r="R2581" s="74"/>
      <c r="S2581" s="74"/>
      <c r="T2581" s="74"/>
      <c r="U2581" s="75"/>
      <c r="V2581" s="74"/>
      <c r="W2581" s="75"/>
      <c r="X2581" s="74"/>
      <c r="Y2581" s="74"/>
      <c r="Z2581" s="74"/>
      <c r="AA2581" s="74"/>
      <c r="AB2581" s="74"/>
      <c r="AC2581" s="74"/>
      <c r="AD2581" s="74"/>
      <c r="AE2581" s="74"/>
      <c r="AF2581" s="74"/>
      <c r="AG2581" s="74"/>
      <c r="AH2581" s="74"/>
    </row>
    <row r="2582" s="73" customFormat="1" spans="1:34">
      <c r="A2582" s="74"/>
      <c r="B2582" s="74"/>
      <c r="C2582" s="74"/>
      <c r="D2582" s="74"/>
      <c r="E2582" s="74"/>
      <c r="F2582" s="74"/>
      <c r="G2582" s="74"/>
      <c r="H2582" s="74"/>
      <c r="I2582" s="74"/>
      <c r="J2582" s="74"/>
      <c r="K2582" s="74"/>
      <c r="L2582" s="74"/>
      <c r="M2582" s="74"/>
      <c r="N2582" s="74"/>
      <c r="O2582" s="75"/>
      <c r="P2582" s="74"/>
      <c r="Q2582" s="75"/>
      <c r="R2582" s="74"/>
      <c r="S2582" s="74"/>
      <c r="T2582" s="74"/>
      <c r="U2582" s="75"/>
      <c r="V2582" s="74"/>
      <c r="W2582" s="74"/>
      <c r="X2582" s="74"/>
      <c r="Y2582" s="74"/>
      <c r="Z2582" s="74"/>
      <c r="AA2582" s="74"/>
      <c r="AB2582" s="74"/>
      <c r="AC2582" s="74"/>
      <c r="AD2582" s="74"/>
      <c r="AE2582" s="74"/>
      <c r="AF2582" s="74"/>
      <c r="AG2582" s="74"/>
      <c r="AH2582" s="74"/>
    </row>
    <row r="2583" s="73" customFormat="1" spans="1:34">
      <c r="A2583" s="74"/>
      <c r="B2583" s="74"/>
      <c r="C2583" s="74"/>
      <c r="D2583" s="74"/>
      <c r="E2583" s="74"/>
      <c r="F2583" s="74"/>
      <c r="G2583" s="74"/>
      <c r="H2583" s="74"/>
      <c r="I2583" s="74"/>
      <c r="J2583" s="74"/>
      <c r="K2583" s="74"/>
      <c r="L2583" s="74"/>
      <c r="M2583" s="74"/>
      <c r="N2583" s="74"/>
      <c r="O2583" s="75"/>
      <c r="P2583" s="74"/>
      <c r="Q2583" s="75"/>
      <c r="R2583" s="74"/>
      <c r="S2583" s="74"/>
      <c r="T2583" s="74"/>
      <c r="U2583" s="75"/>
      <c r="V2583" s="74"/>
      <c r="W2583" s="75"/>
      <c r="X2583" s="74"/>
      <c r="Y2583" s="74"/>
      <c r="Z2583" s="74"/>
      <c r="AA2583" s="74"/>
      <c r="AB2583" s="74"/>
      <c r="AC2583" s="74"/>
      <c r="AD2583" s="74"/>
      <c r="AE2583" s="74"/>
      <c r="AF2583" s="74"/>
      <c r="AG2583" s="74"/>
      <c r="AH2583" s="74"/>
    </row>
    <row r="2584" s="73" customFormat="1" spans="1:34">
      <c r="A2584" s="74"/>
      <c r="B2584" s="74"/>
      <c r="C2584" s="74"/>
      <c r="D2584" s="74"/>
      <c r="E2584" s="74"/>
      <c r="F2584" s="74"/>
      <c r="G2584" s="74"/>
      <c r="H2584" s="74"/>
      <c r="I2584" s="74"/>
      <c r="J2584" s="74"/>
      <c r="K2584" s="74"/>
      <c r="L2584" s="74"/>
      <c r="M2584" s="74"/>
      <c r="N2584" s="74"/>
      <c r="O2584" s="75"/>
      <c r="P2584" s="74"/>
      <c r="Q2584" s="75"/>
      <c r="R2584" s="74"/>
      <c r="S2584" s="74"/>
      <c r="T2584" s="74"/>
      <c r="U2584" s="75"/>
      <c r="V2584" s="74"/>
      <c r="W2584" s="75"/>
      <c r="X2584" s="74"/>
      <c r="Y2584" s="74"/>
      <c r="Z2584" s="74"/>
      <c r="AA2584" s="74"/>
      <c r="AB2584" s="74"/>
      <c r="AC2584" s="74"/>
      <c r="AD2584" s="74"/>
      <c r="AE2584" s="74"/>
      <c r="AF2584" s="74"/>
      <c r="AG2584" s="74"/>
      <c r="AH2584" s="74"/>
    </row>
    <row r="2585" s="73" customFormat="1" spans="1:34">
      <c r="A2585" s="74"/>
      <c r="B2585" s="74"/>
      <c r="C2585" s="74"/>
      <c r="D2585" s="74"/>
      <c r="E2585" s="74"/>
      <c r="F2585" s="74"/>
      <c r="G2585" s="74"/>
      <c r="H2585" s="74"/>
      <c r="I2585" s="74"/>
      <c r="J2585" s="74"/>
      <c r="K2585" s="74"/>
      <c r="L2585" s="74"/>
      <c r="M2585" s="74"/>
      <c r="N2585" s="74"/>
      <c r="O2585" s="75"/>
      <c r="P2585" s="74"/>
      <c r="Q2585" s="75"/>
      <c r="R2585" s="74"/>
      <c r="S2585" s="74"/>
      <c r="T2585" s="74"/>
      <c r="U2585" s="75"/>
      <c r="V2585" s="74"/>
      <c r="W2585" s="75"/>
      <c r="X2585" s="74"/>
      <c r="Y2585" s="74"/>
      <c r="Z2585" s="74"/>
      <c r="AA2585" s="74"/>
      <c r="AB2585" s="74"/>
      <c r="AC2585" s="74"/>
      <c r="AD2585" s="74"/>
      <c r="AE2585" s="74"/>
      <c r="AF2585" s="74"/>
      <c r="AG2585" s="74"/>
      <c r="AH2585" s="74"/>
    </row>
    <row r="2586" s="73" customFormat="1" spans="1:34">
      <c r="A2586" s="74"/>
      <c r="B2586" s="74"/>
      <c r="C2586" s="74"/>
      <c r="D2586" s="74"/>
      <c r="E2586" s="74"/>
      <c r="F2586" s="74"/>
      <c r="G2586" s="74"/>
      <c r="H2586" s="74"/>
      <c r="I2586" s="74"/>
      <c r="J2586" s="74"/>
      <c r="K2586" s="74"/>
      <c r="L2586" s="74"/>
      <c r="M2586" s="74"/>
      <c r="N2586" s="74"/>
      <c r="O2586" s="75"/>
      <c r="P2586" s="74"/>
      <c r="Q2586" s="75"/>
      <c r="R2586" s="74"/>
      <c r="S2586" s="74"/>
      <c r="T2586" s="74"/>
      <c r="U2586" s="75"/>
      <c r="V2586" s="74"/>
      <c r="W2586" s="75"/>
      <c r="X2586" s="74"/>
      <c r="Y2586" s="74"/>
      <c r="Z2586" s="74"/>
      <c r="AA2586" s="74"/>
      <c r="AB2586" s="74"/>
      <c r="AC2586" s="74"/>
      <c r="AD2586" s="74"/>
      <c r="AE2586" s="74"/>
      <c r="AF2586" s="74"/>
      <c r="AG2586" s="74"/>
      <c r="AH2586" s="74"/>
    </row>
    <row r="2587" s="73" customFormat="1" spans="1:34">
      <c r="A2587" s="74"/>
      <c r="B2587" s="74"/>
      <c r="C2587" s="74"/>
      <c r="D2587" s="74"/>
      <c r="E2587" s="74"/>
      <c r="F2587" s="74"/>
      <c r="G2587" s="74"/>
      <c r="H2587" s="74"/>
      <c r="I2587" s="74"/>
      <c r="J2587" s="74"/>
      <c r="K2587" s="74"/>
      <c r="L2587" s="74"/>
      <c r="M2587" s="74"/>
      <c r="N2587" s="74"/>
      <c r="O2587" s="75"/>
      <c r="P2587" s="74"/>
      <c r="Q2587" s="75"/>
      <c r="R2587" s="74"/>
      <c r="S2587" s="74"/>
      <c r="T2587" s="74"/>
      <c r="U2587" s="75"/>
      <c r="V2587" s="74"/>
      <c r="W2587" s="75"/>
      <c r="X2587" s="74"/>
      <c r="Y2587" s="74"/>
      <c r="Z2587" s="74"/>
      <c r="AA2587" s="74"/>
      <c r="AB2587" s="74"/>
      <c r="AC2587" s="74"/>
      <c r="AD2587" s="74"/>
      <c r="AE2587" s="74"/>
      <c r="AF2587" s="74"/>
      <c r="AG2587" s="74"/>
      <c r="AH2587" s="74"/>
    </row>
    <row r="2588" s="73" customFormat="1" spans="1:34">
      <c r="A2588" s="74"/>
      <c r="B2588" s="74"/>
      <c r="C2588" s="74"/>
      <c r="D2588" s="74"/>
      <c r="E2588" s="74"/>
      <c r="F2588" s="74"/>
      <c r="G2588" s="74"/>
      <c r="H2588" s="74"/>
      <c r="I2588" s="74"/>
      <c r="J2588" s="74"/>
      <c r="K2588" s="74"/>
      <c r="L2588" s="74"/>
      <c r="M2588" s="74"/>
      <c r="N2588" s="74"/>
      <c r="O2588" s="75"/>
      <c r="P2588" s="74"/>
      <c r="Q2588" s="75"/>
      <c r="R2588" s="74"/>
      <c r="S2588" s="74"/>
      <c r="T2588" s="74"/>
      <c r="U2588" s="75"/>
      <c r="V2588" s="74"/>
      <c r="W2588" s="75"/>
      <c r="X2588" s="74"/>
      <c r="Y2588" s="74"/>
      <c r="Z2588" s="74"/>
      <c r="AA2588" s="74"/>
      <c r="AB2588" s="74"/>
      <c r="AC2588" s="74"/>
      <c r="AD2588" s="74"/>
      <c r="AE2588" s="74"/>
      <c r="AF2588" s="74"/>
      <c r="AG2588" s="74"/>
      <c r="AH2588" s="74"/>
    </row>
    <row r="2589" s="73" customFormat="1" spans="1:34">
      <c r="A2589" s="74"/>
      <c r="B2589" s="74"/>
      <c r="C2589" s="74"/>
      <c r="D2589" s="74"/>
      <c r="E2589" s="74"/>
      <c r="F2589" s="74"/>
      <c r="G2589" s="74"/>
      <c r="H2589" s="74"/>
      <c r="I2589" s="74"/>
      <c r="J2589" s="74"/>
      <c r="K2589" s="74"/>
      <c r="L2589" s="74"/>
      <c r="M2589" s="74"/>
      <c r="N2589" s="74"/>
      <c r="O2589" s="75"/>
      <c r="P2589" s="74"/>
      <c r="Q2589" s="75"/>
      <c r="R2589" s="74"/>
      <c r="S2589" s="74"/>
      <c r="T2589" s="74"/>
      <c r="U2589" s="75"/>
      <c r="V2589" s="74"/>
      <c r="W2589" s="75"/>
      <c r="X2589" s="74"/>
      <c r="Y2589" s="74"/>
      <c r="Z2589" s="74"/>
      <c r="AA2589" s="74"/>
      <c r="AB2589" s="74"/>
      <c r="AC2589" s="74"/>
      <c r="AD2589" s="74"/>
      <c r="AE2589" s="74"/>
      <c r="AF2589" s="74"/>
      <c r="AG2589" s="74"/>
      <c r="AH2589" s="74"/>
    </row>
    <row r="2590" s="73" customFormat="1" spans="1:34">
      <c r="A2590" s="74"/>
      <c r="B2590" s="74"/>
      <c r="C2590" s="74"/>
      <c r="D2590" s="74"/>
      <c r="E2590" s="74"/>
      <c r="F2590" s="74"/>
      <c r="G2590" s="74"/>
      <c r="H2590" s="74"/>
      <c r="I2590" s="74"/>
      <c r="J2590" s="74"/>
      <c r="K2590" s="74"/>
      <c r="L2590" s="74"/>
      <c r="M2590" s="74"/>
      <c r="N2590" s="74"/>
      <c r="O2590" s="75"/>
      <c r="P2590" s="74"/>
      <c r="Q2590" s="75"/>
      <c r="R2590" s="74"/>
      <c r="S2590" s="74"/>
      <c r="T2590" s="74"/>
      <c r="U2590" s="75"/>
      <c r="V2590" s="74"/>
      <c r="W2590" s="75"/>
      <c r="X2590" s="74"/>
      <c r="Y2590" s="74"/>
      <c r="Z2590" s="74"/>
      <c r="AA2590" s="74"/>
      <c r="AB2590" s="74"/>
      <c r="AC2590" s="74"/>
      <c r="AD2590" s="74"/>
      <c r="AE2590" s="74"/>
      <c r="AF2590" s="74"/>
      <c r="AG2590" s="74"/>
      <c r="AH2590" s="74"/>
    </row>
    <row r="2591" s="73" customFormat="1" spans="1:34">
      <c r="A2591" s="74"/>
      <c r="B2591" s="74"/>
      <c r="C2591" s="74"/>
      <c r="D2591" s="74"/>
      <c r="E2591" s="74"/>
      <c r="F2591" s="74"/>
      <c r="G2591" s="74"/>
      <c r="H2591" s="74"/>
      <c r="I2591" s="74"/>
      <c r="J2591" s="74"/>
      <c r="K2591" s="74"/>
      <c r="L2591" s="74"/>
      <c r="M2591" s="74"/>
      <c r="N2591" s="74"/>
      <c r="O2591" s="75"/>
      <c r="P2591" s="74"/>
      <c r="Q2591" s="75"/>
      <c r="R2591" s="74"/>
      <c r="S2591" s="74"/>
      <c r="T2591" s="74"/>
      <c r="U2591" s="75"/>
      <c r="V2591" s="74"/>
      <c r="W2591" s="75"/>
      <c r="X2591" s="74"/>
      <c r="Y2591" s="74"/>
      <c r="Z2591" s="74"/>
      <c r="AA2591" s="74"/>
      <c r="AB2591" s="74"/>
      <c r="AC2591" s="74"/>
      <c r="AD2591" s="74"/>
      <c r="AE2591" s="74"/>
      <c r="AF2591" s="74"/>
      <c r="AG2591" s="74"/>
      <c r="AH2591" s="74"/>
    </row>
    <row r="2592" s="73" customFormat="1" spans="1:34">
      <c r="A2592" s="74"/>
      <c r="B2592" s="74"/>
      <c r="C2592" s="74"/>
      <c r="D2592" s="74"/>
      <c r="E2592" s="74"/>
      <c r="F2592" s="74"/>
      <c r="G2592" s="74"/>
      <c r="H2592" s="74"/>
      <c r="I2592" s="74"/>
      <c r="J2592" s="74"/>
      <c r="K2592" s="74"/>
      <c r="L2592" s="74"/>
      <c r="M2592" s="74"/>
      <c r="N2592" s="74"/>
      <c r="O2592" s="75"/>
      <c r="P2592" s="74"/>
      <c r="Q2592" s="75"/>
      <c r="R2592" s="74"/>
      <c r="S2592" s="74"/>
      <c r="T2592" s="74"/>
      <c r="U2592" s="75"/>
      <c r="V2592" s="74"/>
      <c r="W2592" s="75"/>
      <c r="X2592" s="74"/>
      <c r="Y2592" s="74"/>
      <c r="Z2592" s="74"/>
      <c r="AA2592" s="74"/>
      <c r="AB2592" s="74"/>
      <c r="AC2592" s="74"/>
      <c r="AD2592" s="74"/>
      <c r="AE2592" s="74"/>
      <c r="AF2592" s="74"/>
      <c r="AG2592" s="74"/>
      <c r="AH2592" s="74"/>
    </row>
    <row r="2593" s="73" customFormat="1" spans="1:34">
      <c r="A2593" s="74"/>
      <c r="B2593" s="74"/>
      <c r="C2593" s="74"/>
      <c r="D2593" s="74"/>
      <c r="E2593" s="74"/>
      <c r="F2593" s="74"/>
      <c r="G2593" s="74"/>
      <c r="H2593" s="74"/>
      <c r="I2593" s="74"/>
      <c r="J2593" s="74"/>
      <c r="K2593" s="74"/>
      <c r="L2593" s="74"/>
      <c r="M2593" s="74"/>
      <c r="N2593" s="74"/>
      <c r="O2593" s="75"/>
      <c r="P2593" s="74"/>
      <c r="Q2593" s="75"/>
      <c r="R2593" s="74"/>
      <c r="S2593" s="74"/>
      <c r="T2593" s="74"/>
      <c r="U2593" s="75"/>
      <c r="V2593" s="74"/>
      <c r="W2593" s="75"/>
      <c r="X2593" s="74"/>
      <c r="Y2593" s="74"/>
      <c r="Z2593" s="74"/>
      <c r="AA2593" s="74"/>
      <c r="AB2593" s="74"/>
      <c r="AC2593" s="74"/>
      <c r="AD2593" s="74"/>
      <c r="AE2593" s="74"/>
      <c r="AF2593" s="74"/>
      <c r="AG2593" s="74"/>
      <c r="AH2593" s="74"/>
    </row>
    <row r="2594" s="73" customFormat="1" spans="1:34">
      <c r="A2594" s="74"/>
      <c r="B2594" s="74"/>
      <c r="C2594" s="74"/>
      <c r="D2594" s="74"/>
      <c r="E2594" s="74"/>
      <c r="F2594" s="74"/>
      <c r="G2594" s="74"/>
      <c r="H2594" s="74"/>
      <c r="I2594" s="74"/>
      <c r="J2594" s="74"/>
      <c r="K2594" s="74"/>
      <c r="L2594" s="74"/>
      <c r="M2594" s="74"/>
      <c r="N2594" s="74"/>
      <c r="O2594" s="75"/>
      <c r="P2594" s="74"/>
      <c r="Q2594" s="75"/>
      <c r="R2594" s="74"/>
      <c r="S2594" s="74"/>
      <c r="T2594" s="74"/>
      <c r="U2594" s="75"/>
      <c r="V2594" s="74"/>
      <c r="W2594" s="75"/>
      <c r="X2594" s="74"/>
      <c r="Y2594" s="74"/>
      <c r="Z2594" s="74"/>
      <c r="AA2594" s="74"/>
      <c r="AB2594" s="74"/>
      <c r="AC2594" s="74"/>
      <c r="AD2594" s="74"/>
      <c r="AE2594" s="74"/>
      <c r="AF2594" s="74"/>
      <c r="AG2594" s="74"/>
      <c r="AH2594" s="74"/>
    </row>
    <row r="2595" s="73" customFormat="1" spans="1:34">
      <c r="A2595" s="74"/>
      <c r="B2595" s="74"/>
      <c r="C2595" s="74"/>
      <c r="D2595" s="74"/>
      <c r="E2595" s="74"/>
      <c r="F2595" s="74"/>
      <c r="G2595" s="74"/>
      <c r="H2595" s="74"/>
      <c r="I2595" s="74"/>
      <c r="J2595" s="74"/>
      <c r="K2595" s="74"/>
      <c r="L2595" s="74"/>
      <c r="M2595" s="74"/>
      <c r="N2595" s="74"/>
      <c r="O2595" s="75"/>
      <c r="P2595" s="74"/>
      <c r="Q2595" s="75"/>
      <c r="R2595" s="74"/>
      <c r="S2595" s="74"/>
      <c r="T2595" s="74"/>
      <c r="U2595" s="75"/>
      <c r="V2595" s="74"/>
      <c r="W2595" s="75"/>
      <c r="X2595" s="74"/>
      <c r="Y2595" s="74"/>
      <c r="Z2595" s="74"/>
      <c r="AA2595" s="74"/>
      <c r="AB2595" s="74"/>
      <c r="AC2595" s="74"/>
      <c r="AD2595" s="74"/>
      <c r="AE2595" s="74"/>
      <c r="AF2595" s="74"/>
      <c r="AG2595" s="74"/>
      <c r="AH2595" s="74"/>
    </row>
    <row r="2596" s="73" customFormat="1" spans="1:34">
      <c r="A2596" s="74"/>
      <c r="B2596" s="74"/>
      <c r="C2596" s="74"/>
      <c r="D2596" s="74"/>
      <c r="E2596" s="74"/>
      <c r="F2596" s="74"/>
      <c r="G2596" s="74"/>
      <c r="H2596" s="74"/>
      <c r="I2596" s="74"/>
      <c r="J2596" s="74"/>
      <c r="K2596" s="74"/>
      <c r="L2596" s="74"/>
      <c r="M2596" s="74"/>
      <c r="N2596" s="74"/>
      <c r="O2596" s="75"/>
      <c r="P2596" s="74"/>
      <c r="Q2596" s="75"/>
      <c r="R2596" s="74"/>
      <c r="S2596" s="74"/>
      <c r="T2596" s="74"/>
      <c r="U2596" s="75"/>
      <c r="V2596" s="74"/>
      <c r="W2596" s="75"/>
      <c r="X2596" s="74"/>
      <c r="Y2596" s="74"/>
      <c r="Z2596" s="74"/>
      <c r="AA2596" s="74"/>
      <c r="AB2596" s="74"/>
      <c r="AC2596" s="74"/>
      <c r="AD2596" s="74"/>
      <c r="AE2596" s="74"/>
      <c r="AF2596" s="74"/>
      <c r="AG2596" s="74"/>
      <c r="AH2596" s="74"/>
    </row>
    <row r="2597" s="73" customFormat="1" spans="1:34">
      <c r="A2597" s="74"/>
      <c r="B2597" s="74"/>
      <c r="C2597" s="74"/>
      <c r="D2597" s="74"/>
      <c r="E2597" s="74"/>
      <c r="F2597" s="74"/>
      <c r="G2597" s="74"/>
      <c r="H2597" s="74"/>
      <c r="I2597" s="74"/>
      <c r="J2597" s="74"/>
      <c r="K2597" s="74"/>
      <c r="L2597" s="74"/>
      <c r="M2597" s="74"/>
      <c r="N2597" s="74"/>
      <c r="O2597" s="75"/>
      <c r="P2597" s="74"/>
      <c r="Q2597" s="75"/>
      <c r="R2597" s="74"/>
      <c r="S2597" s="74"/>
      <c r="T2597" s="74"/>
      <c r="U2597" s="75"/>
      <c r="V2597" s="74"/>
      <c r="W2597" s="75"/>
      <c r="X2597" s="74"/>
      <c r="Y2597" s="74"/>
      <c r="Z2597" s="74"/>
      <c r="AA2597" s="74"/>
      <c r="AB2597" s="74"/>
      <c r="AC2597" s="74"/>
      <c r="AD2597" s="74"/>
      <c r="AE2597" s="74"/>
      <c r="AF2597" s="74"/>
      <c r="AG2597" s="74"/>
      <c r="AH2597" s="74"/>
    </row>
    <row r="2598" s="73" customFormat="1" spans="1:34">
      <c r="A2598" s="74"/>
      <c r="B2598" s="74"/>
      <c r="C2598" s="74"/>
      <c r="D2598" s="74"/>
      <c r="E2598" s="74"/>
      <c r="F2598" s="74"/>
      <c r="G2598" s="74"/>
      <c r="H2598" s="74"/>
      <c r="I2598" s="74"/>
      <c r="J2598" s="74"/>
      <c r="K2598" s="74"/>
      <c r="L2598" s="74"/>
      <c r="M2598" s="74"/>
      <c r="N2598" s="74"/>
      <c r="O2598" s="75"/>
      <c r="P2598" s="74"/>
      <c r="Q2598" s="75"/>
      <c r="R2598" s="74"/>
      <c r="S2598" s="74"/>
      <c r="T2598" s="74"/>
      <c r="U2598" s="75"/>
      <c r="V2598" s="74"/>
      <c r="W2598" s="75"/>
      <c r="X2598" s="74"/>
      <c r="Y2598" s="74"/>
      <c r="Z2598" s="74"/>
      <c r="AA2598" s="74"/>
      <c r="AB2598" s="74"/>
      <c r="AC2598" s="74"/>
      <c r="AD2598" s="74"/>
      <c r="AE2598" s="74"/>
      <c r="AF2598" s="74"/>
      <c r="AG2598" s="74"/>
      <c r="AH2598" s="74"/>
    </row>
    <row r="2599" s="73" customFormat="1" spans="1:34">
      <c r="A2599" s="74"/>
      <c r="B2599" s="74"/>
      <c r="C2599" s="74"/>
      <c r="D2599" s="74"/>
      <c r="E2599" s="74"/>
      <c r="F2599" s="74"/>
      <c r="G2599" s="74"/>
      <c r="H2599" s="74"/>
      <c r="I2599" s="74"/>
      <c r="J2599" s="74"/>
      <c r="K2599" s="74"/>
      <c r="L2599" s="74"/>
      <c r="M2599" s="74"/>
      <c r="N2599" s="74"/>
      <c r="O2599" s="75"/>
      <c r="P2599" s="74"/>
      <c r="Q2599" s="75"/>
      <c r="R2599" s="74"/>
      <c r="S2599" s="74"/>
      <c r="T2599" s="74"/>
      <c r="U2599" s="75"/>
      <c r="V2599" s="74"/>
      <c r="W2599" s="75"/>
      <c r="X2599" s="74"/>
      <c r="Y2599" s="74"/>
      <c r="Z2599" s="74"/>
      <c r="AA2599" s="74"/>
      <c r="AB2599" s="74"/>
      <c r="AC2599" s="74"/>
      <c r="AD2599" s="74"/>
      <c r="AE2599" s="74"/>
      <c r="AF2599" s="74"/>
      <c r="AG2599" s="74"/>
      <c r="AH2599" s="74"/>
    </row>
    <row r="2600" s="73" customFormat="1" spans="1:34">
      <c r="A2600" s="74"/>
      <c r="B2600" s="74"/>
      <c r="C2600" s="74"/>
      <c r="D2600" s="74"/>
      <c r="E2600" s="74"/>
      <c r="F2600" s="74"/>
      <c r="G2600" s="74"/>
      <c r="H2600" s="74"/>
      <c r="I2600" s="74"/>
      <c r="J2600" s="74"/>
      <c r="K2600" s="74"/>
      <c r="L2600" s="74"/>
      <c r="M2600" s="74"/>
      <c r="N2600" s="74"/>
      <c r="O2600" s="75"/>
      <c r="P2600" s="74"/>
      <c r="Q2600" s="75"/>
      <c r="R2600" s="74"/>
      <c r="S2600" s="74"/>
      <c r="T2600" s="74"/>
      <c r="U2600" s="75"/>
      <c r="V2600" s="74"/>
      <c r="W2600" s="75"/>
      <c r="X2600" s="74"/>
      <c r="Y2600" s="74"/>
      <c r="Z2600" s="74"/>
      <c r="AA2600" s="74"/>
      <c r="AB2600" s="74"/>
      <c r="AC2600" s="74"/>
      <c r="AD2600" s="74"/>
      <c r="AE2600" s="74"/>
      <c r="AF2600" s="74"/>
      <c r="AG2600" s="74"/>
      <c r="AH2600" s="74"/>
    </row>
    <row r="2601" s="73" customFormat="1" spans="1:34">
      <c r="A2601" s="74"/>
      <c r="B2601" s="74"/>
      <c r="C2601" s="74"/>
      <c r="D2601" s="74"/>
      <c r="E2601" s="74"/>
      <c r="F2601" s="74"/>
      <c r="G2601" s="74"/>
      <c r="H2601" s="74"/>
      <c r="I2601" s="74"/>
      <c r="J2601" s="74"/>
      <c r="K2601" s="74"/>
      <c r="L2601" s="74"/>
      <c r="M2601" s="74"/>
      <c r="N2601" s="74"/>
      <c r="O2601" s="75"/>
      <c r="P2601" s="74"/>
      <c r="Q2601" s="75"/>
      <c r="R2601" s="74"/>
      <c r="S2601" s="74"/>
      <c r="T2601" s="74"/>
      <c r="U2601" s="75"/>
      <c r="V2601" s="74"/>
      <c r="W2601" s="75"/>
      <c r="X2601" s="74"/>
      <c r="Y2601" s="74"/>
      <c r="Z2601" s="74"/>
      <c r="AA2601" s="74"/>
      <c r="AB2601" s="74"/>
      <c r="AC2601" s="74"/>
      <c r="AD2601" s="74"/>
      <c r="AE2601" s="74"/>
      <c r="AF2601" s="74"/>
      <c r="AG2601" s="74"/>
      <c r="AH2601" s="74"/>
    </row>
    <row r="2602" s="73" customFormat="1" spans="1:34">
      <c r="A2602" s="74"/>
      <c r="B2602" s="74"/>
      <c r="C2602" s="74"/>
      <c r="D2602" s="74"/>
      <c r="E2602" s="74"/>
      <c r="F2602" s="74"/>
      <c r="G2602" s="74"/>
      <c r="H2602" s="74"/>
      <c r="I2602" s="74"/>
      <c r="J2602" s="74"/>
      <c r="K2602" s="74"/>
      <c r="L2602" s="74"/>
      <c r="M2602" s="74"/>
      <c r="N2602" s="74"/>
      <c r="O2602" s="75"/>
      <c r="P2602" s="74"/>
      <c r="Q2602" s="75"/>
      <c r="R2602" s="74"/>
      <c r="S2602" s="74"/>
      <c r="T2602" s="74"/>
      <c r="U2602" s="75"/>
      <c r="V2602" s="74"/>
      <c r="W2602" s="75"/>
      <c r="X2602" s="74"/>
      <c r="Y2602" s="74"/>
      <c r="Z2602" s="74"/>
      <c r="AA2602" s="74"/>
      <c r="AB2602" s="74"/>
      <c r="AC2602" s="74"/>
      <c r="AD2602" s="74"/>
      <c r="AE2602" s="74"/>
      <c r="AF2602" s="74"/>
      <c r="AG2602" s="74"/>
      <c r="AH2602" s="74"/>
    </row>
    <row r="2603" s="73" customFormat="1" spans="1:34">
      <c r="A2603" s="74"/>
      <c r="B2603" s="74"/>
      <c r="C2603" s="74"/>
      <c r="D2603" s="74"/>
      <c r="E2603" s="74"/>
      <c r="F2603" s="74"/>
      <c r="G2603" s="74"/>
      <c r="H2603" s="74"/>
      <c r="I2603" s="74"/>
      <c r="J2603" s="74"/>
      <c r="K2603" s="74"/>
      <c r="L2603" s="74"/>
      <c r="M2603" s="74"/>
      <c r="N2603" s="74"/>
      <c r="O2603" s="75"/>
      <c r="P2603" s="74"/>
      <c r="Q2603" s="75"/>
      <c r="R2603" s="74"/>
      <c r="S2603" s="74"/>
      <c r="T2603" s="74"/>
      <c r="U2603" s="75"/>
      <c r="V2603" s="74"/>
      <c r="W2603" s="75"/>
      <c r="X2603" s="74"/>
      <c r="Y2603" s="74"/>
      <c r="Z2603" s="74"/>
      <c r="AA2603" s="74"/>
      <c r="AB2603" s="74"/>
      <c r="AC2603" s="74"/>
      <c r="AD2603" s="74"/>
      <c r="AE2603" s="74"/>
      <c r="AF2603" s="74"/>
      <c r="AG2603" s="74"/>
      <c r="AH2603" s="74"/>
    </row>
    <row r="2604" s="73" customFormat="1" spans="1:34">
      <c r="A2604" s="74"/>
      <c r="B2604" s="74"/>
      <c r="C2604" s="74"/>
      <c r="D2604" s="74"/>
      <c r="E2604" s="74"/>
      <c r="F2604" s="74"/>
      <c r="G2604" s="74"/>
      <c r="H2604" s="74"/>
      <c r="I2604" s="74"/>
      <c r="J2604" s="74"/>
      <c r="K2604" s="74"/>
      <c r="L2604" s="74"/>
      <c r="M2604" s="74"/>
      <c r="N2604" s="74"/>
      <c r="O2604" s="75"/>
      <c r="P2604" s="74"/>
      <c r="Q2604" s="75"/>
      <c r="R2604" s="74"/>
      <c r="S2604" s="74"/>
      <c r="T2604" s="74"/>
      <c r="U2604" s="75"/>
      <c r="V2604" s="74"/>
      <c r="W2604" s="75"/>
      <c r="X2604" s="74"/>
      <c r="Y2604" s="74"/>
      <c r="Z2604" s="74"/>
      <c r="AA2604" s="74"/>
      <c r="AB2604" s="74"/>
      <c r="AC2604" s="74"/>
      <c r="AD2604" s="74"/>
      <c r="AE2604" s="74"/>
      <c r="AF2604" s="74"/>
      <c r="AG2604" s="74"/>
      <c r="AH2604" s="74"/>
    </row>
    <row r="2605" s="73" customFormat="1" spans="1:34">
      <c r="A2605" s="74"/>
      <c r="B2605" s="74"/>
      <c r="C2605" s="74"/>
      <c r="D2605" s="74"/>
      <c r="E2605" s="74"/>
      <c r="F2605" s="74"/>
      <c r="G2605" s="74"/>
      <c r="H2605" s="74"/>
      <c r="I2605" s="74"/>
      <c r="J2605" s="74"/>
      <c r="K2605" s="74"/>
      <c r="L2605" s="74"/>
      <c r="M2605" s="74"/>
      <c r="N2605" s="74"/>
      <c r="O2605" s="75"/>
      <c r="P2605" s="74"/>
      <c r="Q2605" s="75"/>
      <c r="R2605" s="74"/>
      <c r="S2605" s="74"/>
      <c r="T2605" s="74"/>
      <c r="U2605" s="75"/>
      <c r="V2605" s="74"/>
      <c r="W2605" s="75"/>
      <c r="X2605" s="74"/>
      <c r="Y2605" s="74"/>
      <c r="Z2605" s="74"/>
      <c r="AA2605" s="74"/>
      <c r="AB2605" s="74"/>
      <c r="AC2605" s="74"/>
      <c r="AD2605" s="74"/>
      <c r="AE2605" s="74"/>
      <c r="AF2605" s="74"/>
      <c r="AG2605" s="74"/>
      <c r="AH2605" s="74"/>
    </row>
    <row r="2606" s="73" customFormat="1" spans="1:34">
      <c r="A2606" s="74"/>
      <c r="B2606" s="74"/>
      <c r="C2606" s="74"/>
      <c r="D2606" s="74"/>
      <c r="E2606" s="74"/>
      <c r="F2606" s="74"/>
      <c r="G2606" s="74"/>
      <c r="H2606" s="74"/>
      <c r="I2606" s="74"/>
      <c r="J2606" s="74"/>
      <c r="K2606" s="74"/>
      <c r="L2606" s="74"/>
      <c r="M2606" s="74"/>
      <c r="N2606" s="74"/>
      <c r="O2606" s="75"/>
      <c r="P2606" s="74"/>
      <c r="Q2606" s="75"/>
      <c r="R2606" s="74"/>
      <c r="S2606" s="74"/>
      <c r="T2606" s="74"/>
      <c r="U2606" s="75"/>
      <c r="V2606" s="74"/>
      <c r="W2606" s="75"/>
      <c r="X2606" s="74"/>
      <c r="Y2606" s="74"/>
      <c r="Z2606" s="74"/>
      <c r="AA2606" s="74"/>
      <c r="AB2606" s="74"/>
      <c r="AC2606" s="74"/>
      <c r="AD2606" s="74"/>
      <c r="AE2606" s="74"/>
      <c r="AF2606" s="74"/>
      <c r="AG2606" s="74"/>
      <c r="AH2606" s="74"/>
    </row>
    <row r="2607" s="73" customFormat="1" spans="1:34">
      <c r="A2607" s="74"/>
      <c r="B2607" s="74"/>
      <c r="C2607" s="74"/>
      <c r="D2607" s="74"/>
      <c r="E2607" s="74"/>
      <c r="F2607" s="74"/>
      <c r="G2607" s="74"/>
      <c r="H2607" s="74"/>
      <c r="I2607" s="74"/>
      <c r="J2607" s="74"/>
      <c r="K2607" s="74"/>
      <c r="L2607" s="74"/>
      <c r="M2607" s="74"/>
      <c r="N2607" s="74"/>
      <c r="O2607" s="75"/>
      <c r="P2607" s="74"/>
      <c r="Q2607" s="75"/>
      <c r="R2607" s="74"/>
      <c r="S2607" s="74"/>
      <c r="T2607" s="74"/>
      <c r="U2607" s="75"/>
      <c r="V2607" s="74"/>
      <c r="W2607" s="75"/>
      <c r="X2607" s="74"/>
      <c r="Y2607" s="74"/>
      <c r="Z2607" s="74"/>
      <c r="AA2607" s="74"/>
      <c r="AB2607" s="74"/>
      <c r="AC2607" s="74"/>
      <c r="AD2607" s="74"/>
      <c r="AE2607" s="74"/>
      <c r="AF2607" s="74"/>
      <c r="AG2607" s="74"/>
      <c r="AH2607" s="74"/>
    </row>
    <row r="2608" s="73" customFormat="1" spans="1:34">
      <c r="A2608" s="74"/>
      <c r="B2608" s="74"/>
      <c r="C2608" s="74"/>
      <c r="D2608" s="74"/>
      <c r="E2608" s="74"/>
      <c r="F2608" s="74"/>
      <c r="G2608" s="74"/>
      <c r="H2608" s="74"/>
      <c r="I2608" s="74"/>
      <c r="J2608" s="74"/>
      <c r="K2608" s="74"/>
      <c r="L2608" s="74"/>
      <c r="M2608" s="74"/>
      <c r="N2608" s="74"/>
      <c r="O2608" s="75"/>
      <c r="P2608" s="74"/>
      <c r="Q2608" s="75"/>
      <c r="R2608" s="74"/>
      <c r="S2608" s="74"/>
      <c r="T2608" s="74"/>
      <c r="U2608" s="75"/>
      <c r="V2608" s="74"/>
      <c r="W2608" s="75"/>
      <c r="X2608" s="74"/>
      <c r="Y2608" s="74"/>
      <c r="Z2608" s="74"/>
      <c r="AA2608" s="74"/>
      <c r="AB2608" s="74"/>
      <c r="AC2608" s="74"/>
      <c r="AD2608" s="74"/>
      <c r="AE2608" s="74"/>
      <c r="AF2608" s="74"/>
      <c r="AG2608" s="74"/>
      <c r="AH2608" s="74"/>
    </row>
    <row r="2609" s="73" customFormat="1" spans="1:34">
      <c r="A2609" s="74"/>
      <c r="B2609" s="74"/>
      <c r="C2609" s="74"/>
      <c r="D2609" s="74"/>
      <c r="E2609" s="74"/>
      <c r="F2609" s="74"/>
      <c r="G2609" s="74"/>
      <c r="H2609" s="74"/>
      <c r="I2609" s="74"/>
      <c r="J2609" s="74"/>
      <c r="K2609" s="74"/>
      <c r="L2609" s="74"/>
      <c r="M2609" s="74"/>
      <c r="N2609" s="74"/>
      <c r="O2609" s="75"/>
      <c r="P2609" s="74"/>
      <c r="Q2609" s="75"/>
      <c r="R2609" s="74"/>
      <c r="S2609" s="74"/>
      <c r="T2609" s="74"/>
      <c r="U2609" s="75"/>
      <c r="V2609" s="74"/>
      <c r="W2609" s="75"/>
      <c r="X2609" s="74"/>
      <c r="Y2609" s="74"/>
      <c r="Z2609" s="74"/>
      <c r="AA2609" s="74"/>
      <c r="AB2609" s="74"/>
      <c r="AC2609" s="74"/>
      <c r="AD2609" s="74"/>
      <c r="AE2609" s="74"/>
      <c r="AF2609" s="74"/>
      <c r="AG2609" s="74"/>
      <c r="AH2609" s="74"/>
    </row>
    <row r="2610" s="73" customFormat="1" spans="1:34">
      <c r="A2610" s="74"/>
      <c r="B2610" s="74"/>
      <c r="C2610" s="74"/>
      <c r="D2610" s="74"/>
      <c r="E2610" s="74"/>
      <c r="F2610" s="74"/>
      <c r="G2610" s="74"/>
      <c r="H2610" s="74"/>
      <c r="I2610" s="74"/>
      <c r="J2610" s="74"/>
      <c r="K2610" s="74"/>
      <c r="L2610" s="74"/>
      <c r="M2610" s="74"/>
      <c r="N2610" s="74"/>
      <c r="O2610" s="75"/>
      <c r="P2610" s="74"/>
      <c r="Q2610" s="75"/>
      <c r="R2610" s="74"/>
      <c r="S2610" s="74"/>
      <c r="T2610" s="74"/>
      <c r="U2610" s="75"/>
      <c r="V2610" s="74"/>
      <c r="W2610" s="75"/>
      <c r="X2610" s="74"/>
      <c r="Y2610" s="74"/>
      <c r="Z2610" s="74"/>
      <c r="AA2610" s="74"/>
      <c r="AB2610" s="74"/>
      <c r="AC2610" s="74"/>
      <c r="AD2610" s="74"/>
      <c r="AE2610" s="74"/>
      <c r="AF2610" s="74"/>
      <c r="AG2610" s="74"/>
      <c r="AH2610" s="74"/>
    </row>
    <row r="2611" s="73" customFormat="1" spans="1:34">
      <c r="A2611" s="74"/>
      <c r="B2611" s="74"/>
      <c r="C2611" s="74"/>
      <c r="D2611" s="74"/>
      <c r="E2611" s="74"/>
      <c r="F2611" s="74"/>
      <c r="G2611" s="74"/>
      <c r="H2611" s="74"/>
      <c r="I2611" s="74"/>
      <c r="J2611" s="74"/>
      <c r="K2611" s="74"/>
      <c r="L2611" s="74"/>
      <c r="M2611" s="74"/>
      <c r="N2611" s="74"/>
      <c r="O2611" s="75"/>
      <c r="P2611" s="74"/>
      <c r="Q2611" s="75"/>
      <c r="R2611" s="74"/>
      <c r="S2611" s="74"/>
      <c r="T2611" s="74"/>
      <c r="U2611" s="75"/>
      <c r="V2611" s="74"/>
      <c r="W2611" s="75"/>
      <c r="X2611" s="74"/>
      <c r="Y2611" s="74"/>
      <c r="Z2611" s="74"/>
      <c r="AA2611" s="74"/>
      <c r="AB2611" s="74"/>
      <c r="AC2611" s="74"/>
      <c r="AD2611" s="74"/>
      <c r="AE2611" s="74"/>
      <c r="AF2611" s="74"/>
      <c r="AG2611" s="74"/>
      <c r="AH2611" s="74"/>
    </row>
    <row r="2612" s="73" customFormat="1" spans="1:34">
      <c r="A2612" s="74"/>
      <c r="B2612" s="74"/>
      <c r="C2612" s="74"/>
      <c r="D2612" s="74"/>
      <c r="E2612" s="74"/>
      <c r="F2612" s="74"/>
      <c r="G2612" s="74"/>
      <c r="H2612" s="74"/>
      <c r="I2612" s="74"/>
      <c r="J2612" s="74"/>
      <c r="K2612" s="74"/>
      <c r="L2612" s="74"/>
      <c r="M2612" s="74"/>
      <c r="N2612" s="74"/>
      <c r="O2612" s="75"/>
      <c r="P2612" s="74"/>
      <c r="Q2612" s="75"/>
      <c r="R2612" s="74"/>
      <c r="S2612" s="74"/>
      <c r="T2612" s="74"/>
      <c r="U2612" s="75"/>
      <c r="V2612" s="74"/>
      <c r="W2612" s="75"/>
      <c r="X2612" s="74"/>
      <c r="Y2612" s="74"/>
      <c r="Z2612" s="74"/>
      <c r="AA2612" s="74"/>
      <c r="AB2612" s="74"/>
      <c r="AC2612" s="74"/>
      <c r="AD2612" s="74"/>
      <c r="AE2612" s="74"/>
      <c r="AF2612" s="74"/>
      <c r="AG2612" s="74"/>
      <c r="AH2612" s="74"/>
    </row>
    <row r="2613" s="73" customFormat="1" spans="1:34">
      <c r="A2613" s="74"/>
      <c r="B2613" s="74"/>
      <c r="C2613" s="74"/>
      <c r="D2613" s="74"/>
      <c r="E2613" s="74"/>
      <c r="F2613" s="74"/>
      <c r="G2613" s="74"/>
      <c r="H2613" s="74"/>
      <c r="I2613" s="74"/>
      <c r="J2613" s="74"/>
      <c r="K2613" s="74"/>
      <c r="L2613" s="74"/>
      <c r="M2613" s="74"/>
      <c r="N2613" s="74"/>
      <c r="O2613" s="75"/>
      <c r="P2613" s="74"/>
      <c r="Q2613" s="75"/>
      <c r="R2613" s="74"/>
      <c r="S2613" s="74"/>
      <c r="T2613" s="74"/>
      <c r="U2613" s="75"/>
      <c r="V2613" s="74"/>
      <c r="W2613" s="75"/>
      <c r="X2613" s="74"/>
      <c r="Y2613" s="74"/>
      <c r="Z2613" s="74"/>
      <c r="AA2613" s="74"/>
      <c r="AB2613" s="74"/>
      <c r="AC2613" s="74"/>
      <c r="AD2613" s="74"/>
      <c r="AE2613" s="74"/>
      <c r="AF2613" s="74"/>
      <c r="AG2613" s="74"/>
      <c r="AH2613" s="74"/>
    </row>
    <row r="2616" s="73" customFormat="1" spans="1:34">
      <c r="A2616" s="74"/>
      <c r="B2616" s="74"/>
      <c r="C2616" s="74"/>
      <c r="D2616" s="74"/>
      <c r="E2616" s="74"/>
      <c r="F2616" s="74"/>
      <c r="G2616" s="74"/>
      <c r="H2616" s="74"/>
      <c r="I2616" s="74"/>
      <c r="J2616" s="74"/>
      <c r="K2616" s="74"/>
      <c r="L2616" s="74"/>
      <c r="M2616" s="74"/>
      <c r="N2616" s="74"/>
      <c r="O2616" s="75"/>
      <c r="P2616" s="74"/>
      <c r="Q2616" s="75"/>
      <c r="R2616" s="74"/>
      <c r="S2616" s="74"/>
      <c r="T2616" s="74"/>
      <c r="U2616" s="75"/>
      <c r="V2616" s="74"/>
      <c r="W2616" s="75"/>
      <c r="X2616" s="74"/>
      <c r="Y2616" s="74"/>
      <c r="Z2616" s="74"/>
      <c r="AA2616" s="74"/>
      <c r="AB2616" s="74"/>
      <c r="AC2616" s="74"/>
      <c r="AD2616" s="74"/>
      <c r="AE2616" s="74"/>
      <c r="AF2616" s="74"/>
      <c r="AG2616" s="74"/>
      <c r="AH2616" s="74"/>
    </row>
    <row r="2617" s="73" customFormat="1" spans="1:34">
      <c r="A2617" s="74"/>
      <c r="B2617" s="74"/>
      <c r="C2617" s="74"/>
      <c r="D2617" s="74"/>
      <c r="E2617" s="74"/>
      <c r="F2617" s="74"/>
      <c r="G2617" s="74"/>
      <c r="H2617" s="74"/>
      <c r="I2617" s="74"/>
      <c r="J2617" s="74"/>
      <c r="K2617" s="74"/>
      <c r="L2617" s="74"/>
      <c r="M2617" s="74"/>
      <c r="N2617" s="74"/>
      <c r="O2617" s="75"/>
      <c r="P2617" s="74"/>
      <c r="Q2617" s="75"/>
      <c r="R2617" s="74"/>
      <c r="S2617" s="74"/>
      <c r="T2617" s="74"/>
      <c r="U2617" s="75"/>
      <c r="V2617" s="74"/>
      <c r="W2617" s="75"/>
      <c r="X2617" s="74"/>
      <c r="Y2617" s="74"/>
      <c r="Z2617" s="74"/>
      <c r="AA2617" s="74"/>
      <c r="AB2617" s="74"/>
      <c r="AC2617" s="74"/>
      <c r="AD2617" s="74"/>
      <c r="AE2617" s="74"/>
      <c r="AF2617" s="74"/>
      <c r="AG2617" s="74"/>
      <c r="AH2617" s="74"/>
    </row>
    <row r="2618" s="73" customFormat="1" spans="1:34">
      <c r="A2618" s="74"/>
      <c r="B2618" s="74"/>
      <c r="C2618" s="74"/>
      <c r="D2618" s="74"/>
      <c r="E2618" s="74"/>
      <c r="F2618" s="74"/>
      <c r="G2618" s="74"/>
      <c r="H2618" s="74"/>
      <c r="I2618" s="74"/>
      <c r="J2618" s="74"/>
      <c r="K2618" s="74"/>
      <c r="L2618" s="74"/>
      <c r="M2618" s="74"/>
      <c r="N2618" s="74"/>
      <c r="O2618" s="75"/>
      <c r="P2618" s="74"/>
      <c r="Q2618" s="75"/>
      <c r="R2618" s="74"/>
      <c r="S2618" s="74"/>
      <c r="T2618" s="74"/>
      <c r="U2618" s="75"/>
      <c r="V2618" s="74"/>
      <c r="W2618" s="75"/>
      <c r="X2618" s="74"/>
      <c r="Y2618" s="74"/>
      <c r="Z2618" s="74"/>
      <c r="AA2618" s="74"/>
      <c r="AB2618" s="74"/>
      <c r="AC2618" s="74"/>
      <c r="AD2618" s="74"/>
      <c r="AE2618" s="74"/>
      <c r="AF2618" s="74"/>
      <c r="AG2618" s="74"/>
      <c r="AH2618" s="74"/>
    </row>
    <row r="2619" s="73" customFormat="1" spans="1:34">
      <c r="A2619" s="74"/>
      <c r="B2619" s="74"/>
      <c r="C2619" s="74"/>
      <c r="D2619" s="74"/>
      <c r="E2619" s="74"/>
      <c r="F2619" s="74"/>
      <c r="G2619" s="74"/>
      <c r="H2619" s="74"/>
      <c r="I2619" s="74"/>
      <c r="J2619" s="74"/>
      <c r="K2619" s="74"/>
      <c r="L2619" s="74"/>
      <c r="M2619" s="74"/>
      <c r="N2619" s="74"/>
      <c r="O2619" s="75"/>
      <c r="P2619" s="74"/>
      <c r="Q2619" s="75"/>
      <c r="R2619" s="74"/>
      <c r="S2619" s="74"/>
      <c r="T2619" s="74"/>
      <c r="U2619" s="75"/>
      <c r="V2619" s="74"/>
      <c r="W2619" s="75"/>
      <c r="X2619" s="74"/>
      <c r="Y2619" s="74"/>
      <c r="Z2619" s="74"/>
      <c r="AA2619" s="74"/>
      <c r="AB2619" s="74"/>
      <c r="AC2619" s="74"/>
      <c r="AD2619" s="74"/>
      <c r="AE2619" s="74"/>
      <c r="AF2619" s="74"/>
      <c r="AG2619" s="74"/>
      <c r="AH2619" s="74"/>
    </row>
    <row r="2620" s="73" customFormat="1" spans="1:34">
      <c r="A2620" s="74"/>
      <c r="B2620" s="74"/>
      <c r="C2620" s="74"/>
      <c r="D2620" s="74"/>
      <c r="E2620" s="74"/>
      <c r="F2620" s="74"/>
      <c r="G2620" s="74"/>
      <c r="H2620" s="74"/>
      <c r="I2620" s="74"/>
      <c r="J2620" s="74"/>
      <c r="K2620" s="74"/>
      <c r="L2620" s="74"/>
      <c r="M2620" s="74"/>
      <c r="N2620" s="74"/>
      <c r="O2620" s="75"/>
      <c r="P2620" s="74"/>
      <c r="Q2620" s="75"/>
      <c r="R2620" s="74"/>
      <c r="S2620" s="74"/>
      <c r="T2620" s="74"/>
      <c r="U2620" s="75"/>
      <c r="V2620" s="74"/>
      <c r="W2620" s="75"/>
      <c r="X2620" s="74"/>
      <c r="Y2620" s="74"/>
      <c r="Z2620" s="74"/>
      <c r="AA2620" s="74"/>
      <c r="AB2620" s="74"/>
      <c r="AC2620" s="74"/>
      <c r="AD2620" s="74"/>
      <c r="AE2620" s="74"/>
      <c r="AF2620" s="74"/>
      <c r="AG2620" s="74"/>
      <c r="AH2620" s="74"/>
    </row>
    <row r="2621" s="73" customFormat="1" spans="1:34">
      <c r="A2621" s="74"/>
      <c r="B2621" s="74"/>
      <c r="C2621" s="74"/>
      <c r="D2621" s="74"/>
      <c r="E2621" s="74"/>
      <c r="F2621" s="74"/>
      <c r="G2621" s="74"/>
      <c r="H2621" s="74"/>
      <c r="I2621" s="74"/>
      <c r="J2621" s="74"/>
      <c r="K2621" s="74"/>
      <c r="L2621" s="74"/>
      <c r="M2621" s="74"/>
      <c r="N2621" s="74"/>
      <c r="O2621" s="75"/>
      <c r="P2621" s="74"/>
      <c r="Q2621" s="75"/>
      <c r="R2621" s="74"/>
      <c r="S2621" s="74"/>
      <c r="T2621" s="74"/>
      <c r="U2621" s="75"/>
      <c r="V2621" s="74"/>
      <c r="W2621" s="75"/>
      <c r="X2621" s="74"/>
      <c r="Y2621" s="74"/>
      <c r="Z2621" s="74"/>
      <c r="AA2621" s="74"/>
      <c r="AB2621" s="74"/>
      <c r="AC2621" s="74"/>
      <c r="AD2621" s="74"/>
      <c r="AE2621" s="74"/>
      <c r="AF2621" s="74"/>
      <c r="AG2621" s="74"/>
      <c r="AH2621" s="74"/>
    </row>
    <row r="2622" s="73" customFormat="1" spans="1:34">
      <c r="A2622" s="74"/>
      <c r="B2622" s="74"/>
      <c r="C2622" s="74"/>
      <c r="D2622" s="74"/>
      <c r="E2622" s="74"/>
      <c r="F2622" s="74"/>
      <c r="G2622" s="74"/>
      <c r="H2622" s="74"/>
      <c r="I2622" s="74"/>
      <c r="J2622" s="74"/>
      <c r="K2622" s="74"/>
      <c r="L2622" s="74"/>
      <c r="M2622" s="74"/>
      <c r="N2622" s="74"/>
      <c r="O2622" s="75"/>
      <c r="P2622" s="74"/>
      <c r="Q2622" s="75"/>
      <c r="R2622" s="74"/>
      <c r="S2622" s="74"/>
      <c r="T2622" s="74"/>
      <c r="U2622" s="75"/>
      <c r="V2622" s="74"/>
      <c r="W2622" s="75"/>
      <c r="X2622" s="74"/>
      <c r="Y2622" s="74"/>
      <c r="Z2622" s="74"/>
      <c r="AA2622" s="74"/>
      <c r="AB2622" s="74"/>
      <c r="AC2622" s="74"/>
      <c r="AD2622" s="74"/>
      <c r="AE2622" s="74"/>
      <c r="AF2622" s="74"/>
      <c r="AG2622" s="74"/>
      <c r="AH2622" s="74"/>
    </row>
    <row r="2623" s="73" customFormat="1" spans="1:34">
      <c r="A2623" s="74"/>
      <c r="B2623" s="74"/>
      <c r="C2623" s="74"/>
      <c r="D2623" s="74"/>
      <c r="E2623" s="74"/>
      <c r="F2623" s="74"/>
      <c r="G2623" s="74"/>
      <c r="H2623" s="74"/>
      <c r="I2623" s="74"/>
      <c r="J2623" s="74"/>
      <c r="K2623" s="74"/>
      <c r="L2623" s="74"/>
      <c r="M2623" s="74"/>
      <c r="N2623" s="74"/>
      <c r="O2623" s="75"/>
      <c r="P2623" s="74"/>
      <c r="Q2623" s="75"/>
      <c r="R2623" s="74"/>
      <c r="S2623" s="74"/>
      <c r="T2623" s="74"/>
      <c r="U2623" s="75"/>
      <c r="V2623" s="74"/>
      <c r="W2623" s="75"/>
      <c r="X2623" s="74"/>
      <c r="Y2623" s="74"/>
      <c r="Z2623" s="74"/>
      <c r="AA2623" s="74"/>
      <c r="AB2623" s="74"/>
      <c r="AC2623" s="74"/>
      <c r="AD2623" s="74"/>
      <c r="AE2623" s="74"/>
      <c r="AF2623" s="74"/>
      <c r="AG2623" s="74"/>
      <c r="AH2623" s="74"/>
    </row>
    <row r="2624" s="73" customFormat="1" spans="1:34">
      <c r="A2624" s="74"/>
      <c r="B2624" s="74"/>
      <c r="C2624" s="74"/>
      <c r="D2624" s="74"/>
      <c r="E2624" s="74"/>
      <c r="F2624" s="74"/>
      <c r="G2624" s="74"/>
      <c r="H2624" s="74"/>
      <c r="I2624" s="74"/>
      <c r="J2624" s="74"/>
      <c r="K2624" s="74"/>
      <c r="L2624" s="74"/>
      <c r="M2624" s="74"/>
      <c r="N2624" s="74"/>
      <c r="O2624" s="75"/>
      <c r="P2624" s="74"/>
      <c r="Q2624" s="75"/>
      <c r="R2624" s="74"/>
      <c r="S2624" s="74"/>
      <c r="T2624" s="74"/>
      <c r="U2624" s="75"/>
      <c r="V2624" s="74"/>
      <c r="W2624" s="75"/>
      <c r="X2624" s="74"/>
      <c r="Y2624" s="74"/>
      <c r="Z2624" s="74"/>
      <c r="AA2624" s="74"/>
      <c r="AB2624" s="74"/>
      <c r="AC2624" s="74"/>
      <c r="AD2624" s="74"/>
      <c r="AE2624" s="74"/>
      <c r="AF2624" s="74"/>
      <c r="AG2624" s="74"/>
      <c r="AH2624" s="74"/>
    </row>
    <row r="2625" s="73" customFormat="1" spans="1:34">
      <c r="A2625" s="74"/>
      <c r="B2625" s="74"/>
      <c r="C2625" s="74"/>
      <c r="D2625" s="74"/>
      <c r="E2625" s="74"/>
      <c r="F2625" s="74"/>
      <c r="G2625" s="74"/>
      <c r="H2625" s="74"/>
      <c r="I2625" s="74"/>
      <c r="J2625" s="74"/>
      <c r="K2625" s="74"/>
      <c r="L2625" s="74"/>
      <c r="M2625" s="74"/>
      <c r="N2625" s="74"/>
      <c r="O2625" s="75"/>
      <c r="P2625" s="74"/>
      <c r="Q2625" s="75"/>
      <c r="R2625" s="74"/>
      <c r="S2625" s="74"/>
      <c r="T2625" s="74"/>
      <c r="U2625" s="75"/>
      <c r="V2625" s="74"/>
      <c r="W2625" s="75"/>
      <c r="X2625" s="74"/>
      <c r="Y2625" s="74"/>
      <c r="Z2625" s="74"/>
      <c r="AA2625" s="74"/>
      <c r="AB2625" s="74"/>
      <c r="AC2625" s="74"/>
      <c r="AD2625" s="74"/>
      <c r="AE2625" s="74"/>
      <c r="AF2625" s="74"/>
      <c r="AG2625" s="74"/>
      <c r="AH2625" s="74"/>
    </row>
    <row r="2626" s="73" customFormat="1" spans="1:34">
      <c r="A2626" s="74"/>
      <c r="B2626" s="74"/>
      <c r="C2626" s="74"/>
      <c r="D2626" s="74"/>
      <c r="E2626" s="74"/>
      <c r="F2626" s="74"/>
      <c r="G2626" s="74"/>
      <c r="H2626" s="74"/>
      <c r="I2626" s="74"/>
      <c r="J2626" s="74"/>
      <c r="K2626" s="74"/>
      <c r="L2626" s="74"/>
      <c r="M2626" s="74"/>
      <c r="N2626" s="74"/>
      <c r="O2626" s="75"/>
      <c r="P2626" s="74"/>
      <c r="Q2626" s="75"/>
      <c r="R2626" s="74"/>
      <c r="S2626" s="74"/>
      <c r="T2626" s="74"/>
      <c r="U2626" s="75"/>
      <c r="V2626" s="74"/>
      <c r="W2626" s="75"/>
      <c r="X2626" s="74"/>
      <c r="Y2626" s="74"/>
      <c r="Z2626" s="74"/>
      <c r="AA2626" s="74"/>
      <c r="AB2626" s="74"/>
      <c r="AC2626" s="74"/>
      <c r="AD2626" s="74"/>
      <c r="AE2626" s="74"/>
      <c r="AF2626" s="74"/>
      <c r="AG2626" s="74"/>
      <c r="AH2626" s="74"/>
    </row>
    <row r="2627" s="73" customFormat="1" spans="1:34">
      <c r="A2627" s="74"/>
      <c r="B2627" s="74"/>
      <c r="C2627" s="74"/>
      <c r="D2627" s="74"/>
      <c r="E2627" s="74"/>
      <c r="F2627" s="74"/>
      <c r="G2627" s="74"/>
      <c r="H2627" s="74"/>
      <c r="I2627" s="74"/>
      <c r="J2627" s="74"/>
      <c r="K2627" s="74"/>
      <c r="L2627" s="74"/>
      <c r="M2627" s="74"/>
      <c r="N2627" s="74"/>
      <c r="O2627" s="75"/>
      <c r="P2627" s="74"/>
      <c r="Q2627" s="75"/>
      <c r="R2627" s="74"/>
      <c r="S2627" s="74"/>
      <c r="T2627" s="74"/>
      <c r="U2627" s="75"/>
      <c r="V2627" s="74"/>
      <c r="W2627" s="75"/>
      <c r="X2627" s="74"/>
      <c r="Y2627" s="74"/>
      <c r="Z2627" s="74"/>
      <c r="AA2627" s="74"/>
      <c r="AB2627" s="74"/>
      <c r="AC2627" s="74"/>
      <c r="AD2627" s="74"/>
      <c r="AE2627" s="74"/>
      <c r="AF2627" s="74"/>
      <c r="AG2627" s="74"/>
      <c r="AH2627" s="74"/>
    </row>
    <row r="2628" s="73" customFormat="1" spans="1:34">
      <c r="A2628" s="74"/>
      <c r="B2628" s="74"/>
      <c r="C2628" s="74"/>
      <c r="D2628" s="74"/>
      <c r="E2628" s="74"/>
      <c r="F2628" s="74"/>
      <c r="G2628" s="74"/>
      <c r="H2628" s="74"/>
      <c r="I2628" s="74"/>
      <c r="J2628" s="74"/>
      <c r="K2628" s="74"/>
      <c r="L2628" s="74"/>
      <c r="M2628" s="74"/>
      <c r="N2628" s="74"/>
      <c r="O2628" s="75"/>
      <c r="P2628" s="74"/>
      <c r="Q2628" s="75"/>
      <c r="R2628" s="74"/>
      <c r="S2628" s="74"/>
      <c r="T2628" s="74"/>
      <c r="U2628" s="75"/>
      <c r="V2628" s="74"/>
      <c r="W2628" s="75"/>
      <c r="X2628" s="74"/>
      <c r="Y2628" s="74"/>
      <c r="Z2628" s="74"/>
      <c r="AA2628" s="74"/>
      <c r="AB2628" s="74"/>
      <c r="AC2628" s="74"/>
      <c r="AD2628" s="74"/>
      <c r="AE2628" s="74"/>
      <c r="AF2628" s="74"/>
      <c r="AG2628" s="74"/>
      <c r="AH2628" s="74"/>
    </row>
    <row r="2629" s="73" customFormat="1" spans="1:34">
      <c r="A2629" s="74"/>
      <c r="B2629" s="74"/>
      <c r="C2629" s="74"/>
      <c r="D2629" s="74"/>
      <c r="E2629" s="74"/>
      <c r="F2629" s="74"/>
      <c r="G2629" s="74"/>
      <c r="H2629" s="74"/>
      <c r="I2629" s="74"/>
      <c r="J2629" s="74"/>
      <c r="K2629" s="74"/>
      <c r="L2629" s="74"/>
      <c r="M2629" s="74"/>
      <c r="N2629" s="74"/>
      <c r="O2629" s="75"/>
      <c r="P2629" s="74"/>
      <c r="Q2629" s="75"/>
      <c r="R2629" s="74"/>
      <c r="S2629" s="74"/>
      <c r="T2629" s="74"/>
      <c r="U2629" s="75"/>
      <c r="V2629" s="74"/>
      <c r="W2629" s="75"/>
      <c r="X2629" s="74"/>
      <c r="Y2629" s="74"/>
      <c r="Z2629" s="74"/>
      <c r="AA2629" s="74"/>
      <c r="AB2629" s="74"/>
      <c r="AC2629" s="74"/>
      <c r="AD2629" s="74"/>
      <c r="AE2629" s="74"/>
      <c r="AF2629" s="74"/>
      <c r="AG2629" s="74"/>
      <c r="AH2629" s="74"/>
    </row>
    <row r="2630" s="73" customFormat="1" spans="1:34">
      <c r="A2630" s="74"/>
      <c r="B2630" s="74"/>
      <c r="C2630" s="74"/>
      <c r="D2630" s="74"/>
      <c r="E2630" s="74"/>
      <c r="F2630" s="74"/>
      <c r="G2630" s="74"/>
      <c r="H2630" s="74"/>
      <c r="I2630" s="74"/>
      <c r="J2630" s="74"/>
      <c r="K2630" s="74"/>
      <c r="L2630" s="74"/>
      <c r="M2630" s="74"/>
      <c r="N2630" s="74"/>
      <c r="O2630" s="75"/>
      <c r="P2630" s="74"/>
      <c r="Q2630" s="75"/>
      <c r="R2630" s="74"/>
      <c r="S2630" s="74"/>
      <c r="T2630" s="74"/>
      <c r="U2630" s="75"/>
      <c r="V2630" s="74"/>
      <c r="W2630" s="75"/>
      <c r="X2630" s="74"/>
      <c r="Y2630" s="74"/>
      <c r="Z2630" s="74"/>
      <c r="AA2630" s="74"/>
      <c r="AB2630" s="74"/>
      <c r="AC2630" s="74"/>
      <c r="AD2630" s="74"/>
      <c r="AE2630" s="74"/>
      <c r="AF2630" s="74"/>
      <c r="AG2630" s="74"/>
      <c r="AH2630" s="74"/>
    </row>
    <row r="2631" s="73" customFormat="1" spans="1:34">
      <c r="A2631" s="74"/>
      <c r="B2631" s="74"/>
      <c r="C2631" s="74"/>
      <c r="D2631" s="74"/>
      <c r="E2631" s="74"/>
      <c r="F2631" s="74"/>
      <c r="G2631" s="74"/>
      <c r="H2631" s="74"/>
      <c r="I2631" s="74"/>
      <c r="J2631" s="74"/>
      <c r="K2631" s="74"/>
      <c r="L2631" s="74"/>
      <c r="M2631" s="74"/>
      <c r="N2631" s="74"/>
      <c r="O2631" s="75"/>
      <c r="P2631" s="74"/>
      <c r="Q2631" s="75"/>
      <c r="R2631" s="74"/>
      <c r="S2631" s="74"/>
      <c r="T2631" s="74"/>
      <c r="U2631" s="75"/>
      <c r="V2631" s="74"/>
      <c r="W2631" s="75"/>
      <c r="X2631" s="74"/>
      <c r="Y2631" s="74"/>
      <c r="Z2631" s="74"/>
      <c r="AA2631" s="74"/>
      <c r="AB2631" s="74"/>
      <c r="AC2631" s="74"/>
      <c r="AD2631" s="74"/>
      <c r="AE2631" s="74"/>
      <c r="AF2631" s="74"/>
      <c r="AG2631" s="74"/>
      <c r="AH2631" s="74"/>
    </row>
    <row r="2632" s="73" customFormat="1" spans="1:34">
      <c r="A2632" s="74"/>
      <c r="B2632" s="74"/>
      <c r="C2632" s="74"/>
      <c r="D2632" s="74"/>
      <c r="E2632" s="74"/>
      <c r="F2632" s="74"/>
      <c r="G2632" s="74"/>
      <c r="H2632" s="74"/>
      <c r="I2632" s="74"/>
      <c r="J2632" s="74"/>
      <c r="K2632" s="74"/>
      <c r="L2632" s="74"/>
      <c r="M2632" s="74"/>
      <c r="N2632" s="74"/>
      <c r="O2632" s="75"/>
      <c r="P2632" s="74"/>
      <c r="Q2632" s="75"/>
      <c r="R2632" s="74"/>
      <c r="S2632" s="74"/>
      <c r="T2632" s="74"/>
      <c r="U2632" s="75"/>
      <c r="V2632" s="74"/>
      <c r="W2632" s="75"/>
      <c r="X2632" s="74"/>
      <c r="Y2632" s="74"/>
      <c r="Z2632" s="74"/>
      <c r="AA2632" s="74"/>
      <c r="AB2632" s="74"/>
      <c r="AC2632" s="74"/>
      <c r="AD2632" s="74"/>
      <c r="AE2632" s="74"/>
      <c r="AF2632" s="74"/>
      <c r="AG2632" s="74"/>
      <c r="AH2632" s="74"/>
    </row>
    <row r="2633" s="73" customFormat="1" spans="1:34">
      <c r="A2633" s="74"/>
      <c r="B2633" s="74"/>
      <c r="C2633" s="74"/>
      <c r="D2633" s="74"/>
      <c r="E2633" s="74"/>
      <c r="F2633" s="74"/>
      <c r="G2633" s="74"/>
      <c r="H2633" s="74"/>
      <c r="I2633" s="74"/>
      <c r="J2633" s="74"/>
      <c r="K2633" s="74"/>
      <c r="L2633" s="74"/>
      <c r="M2633" s="74"/>
      <c r="N2633" s="74"/>
      <c r="O2633" s="75"/>
      <c r="P2633" s="74"/>
      <c r="Q2633" s="75"/>
      <c r="R2633" s="74"/>
      <c r="S2633" s="74"/>
      <c r="T2633" s="74"/>
      <c r="U2633" s="75"/>
      <c r="V2633" s="74"/>
      <c r="W2633" s="75"/>
      <c r="X2633" s="74"/>
      <c r="Y2633" s="74"/>
      <c r="Z2633" s="74"/>
      <c r="AA2633" s="74"/>
      <c r="AB2633" s="74"/>
      <c r="AC2633" s="74"/>
      <c r="AD2633" s="74"/>
      <c r="AE2633" s="74"/>
      <c r="AF2633" s="74"/>
      <c r="AG2633" s="74"/>
      <c r="AH2633" s="74"/>
    </row>
    <row r="2634" s="73" customFormat="1" spans="1:34">
      <c r="A2634" s="74"/>
      <c r="B2634" s="74"/>
      <c r="C2634" s="74"/>
      <c r="D2634" s="74"/>
      <c r="E2634" s="74"/>
      <c r="F2634" s="74"/>
      <c r="G2634" s="74"/>
      <c r="H2634" s="74"/>
      <c r="I2634" s="74"/>
      <c r="J2634" s="74"/>
      <c r="K2634" s="74"/>
      <c r="L2634" s="74"/>
      <c r="M2634" s="74"/>
      <c r="N2634" s="74"/>
      <c r="O2634" s="75"/>
      <c r="P2634" s="74"/>
      <c r="Q2634" s="75"/>
      <c r="R2634" s="74"/>
      <c r="S2634" s="74"/>
      <c r="T2634" s="74"/>
      <c r="U2634" s="75"/>
      <c r="V2634" s="74"/>
      <c r="W2634" s="75"/>
      <c r="X2634" s="74"/>
      <c r="Y2634" s="74"/>
      <c r="Z2634" s="74"/>
      <c r="AA2634" s="74"/>
      <c r="AB2634" s="74"/>
      <c r="AC2634" s="74"/>
      <c r="AD2634" s="74"/>
      <c r="AE2634" s="74"/>
      <c r="AF2634" s="74"/>
      <c r="AG2634" s="74"/>
      <c r="AH2634" s="74"/>
    </row>
    <row r="2635" s="73" customFormat="1" spans="1:34">
      <c r="A2635" s="74"/>
      <c r="B2635" s="74"/>
      <c r="C2635" s="74"/>
      <c r="D2635" s="74"/>
      <c r="E2635" s="74"/>
      <c r="F2635" s="74"/>
      <c r="G2635" s="74"/>
      <c r="H2635" s="74"/>
      <c r="I2635" s="74"/>
      <c r="J2635" s="74"/>
      <c r="K2635" s="74"/>
      <c r="L2635" s="74"/>
      <c r="M2635" s="74"/>
      <c r="N2635" s="74"/>
      <c r="O2635" s="75"/>
      <c r="P2635" s="74"/>
      <c r="Q2635" s="75"/>
      <c r="R2635" s="74"/>
      <c r="S2635" s="74"/>
      <c r="T2635" s="74"/>
      <c r="U2635" s="75"/>
      <c r="V2635" s="74"/>
      <c r="W2635" s="75"/>
      <c r="X2635" s="74"/>
      <c r="Y2635" s="74"/>
      <c r="Z2635" s="74"/>
      <c r="AA2635" s="74"/>
      <c r="AB2635" s="74"/>
      <c r="AC2635" s="74"/>
      <c r="AD2635" s="74"/>
      <c r="AE2635" s="74"/>
      <c r="AF2635" s="74"/>
      <c r="AG2635" s="74"/>
      <c r="AH2635" s="74"/>
    </row>
    <row r="2636" s="73" customFormat="1" spans="1:34">
      <c r="A2636" s="74"/>
      <c r="B2636" s="74"/>
      <c r="C2636" s="74"/>
      <c r="D2636" s="74"/>
      <c r="E2636" s="74"/>
      <c r="F2636" s="74"/>
      <c r="G2636" s="74"/>
      <c r="H2636" s="74"/>
      <c r="I2636" s="74"/>
      <c r="J2636" s="74"/>
      <c r="K2636" s="74"/>
      <c r="L2636" s="74"/>
      <c r="M2636" s="74"/>
      <c r="N2636" s="74"/>
      <c r="O2636" s="75"/>
      <c r="P2636" s="74"/>
      <c r="Q2636" s="75"/>
      <c r="R2636" s="74"/>
      <c r="S2636" s="74"/>
      <c r="T2636" s="74"/>
      <c r="U2636" s="75"/>
      <c r="V2636" s="74"/>
      <c r="W2636" s="75"/>
      <c r="X2636" s="74"/>
      <c r="Y2636" s="74"/>
      <c r="Z2636" s="74"/>
      <c r="AA2636" s="74"/>
      <c r="AB2636" s="74"/>
      <c r="AC2636" s="74"/>
      <c r="AD2636" s="74"/>
      <c r="AE2636" s="74"/>
      <c r="AF2636" s="74"/>
      <c r="AG2636" s="74"/>
      <c r="AH2636" s="74"/>
    </row>
    <row r="2637" s="73" customFormat="1" spans="1:34">
      <c r="A2637" s="74"/>
      <c r="B2637" s="74"/>
      <c r="C2637" s="74"/>
      <c r="D2637" s="74"/>
      <c r="E2637" s="74"/>
      <c r="F2637" s="74"/>
      <c r="G2637" s="74"/>
      <c r="H2637" s="74"/>
      <c r="I2637" s="74"/>
      <c r="J2637" s="74"/>
      <c r="K2637" s="74"/>
      <c r="L2637" s="74"/>
      <c r="M2637" s="74"/>
      <c r="N2637" s="74"/>
      <c r="O2637" s="75"/>
      <c r="P2637" s="74"/>
      <c r="Q2637" s="75"/>
      <c r="R2637" s="74"/>
      <c r="S2637" s="74"/>
      <c r="T2637" s="74"/>
      <c r="U2637" s="75"/>
      <c r="V2637" s="74"/>
      <c r="W2637" s="75"/>
      <c r="X2637" s="74"/>
      <c r="Y2637" s="74"/>
      <c r="Z2637" s="74"/>
      <c r="AA2637" s="74"/>
      <c r="AB2637" s="74"/>
      <c r="AC2637" s="74"/>
      <c r="AD2637" s="74"/>
      <c r="AE2637" s="74"/>
      <c r="AF2637" s="74"/>
      <c r="AG2637" s="74"/>
      <c r="AH2637" s="74"/>
    </row>
    <row r="2638" s="73" customFormat="1" spans="1:34">
      <c r="A2638" s="74"/>
      <c r="B2638" s="74"/>
      <c r="C2638" s="74"/>
      <c r="D2638" s="74"/>
      <c r="E2638" s="74"/>
      <c r="F2638" s="74"/>
      <c r="G2638" s="74"/>
      <c r="H2638" s="74"/>
      <c r="I2638" s="74"/>
      <c r="J2638" s="74"/>
      <c r="K2638" s="74"/>
      <c r="L2638" s="74"/>
      <c r="M2638" s="74"/>
      <c r="N2638" s="74"/>
      <c r="O2638" s="75"/>
      <c r="P2638" s="74"/>
      <c r="Q2638" s="75"/>
      <c r="R2638" s="74"/>
      <c r="S2638" s="74"/>
      <c r="T2638" s="74"/>
      <c r="U2638" s="75"/>
      <c r="V2638" s="74"/>
      <c r="W2638" s="75"/>
      <c r="X2638" s="74"/>
      <c r="Y2638" s="74"/>
      <c r="Z2638" s="74"/>
      <c r="AA2638" s="74"/>
      <c r="AB2638" s="74"/>
      <c r="AC2638" s="74"/>
      <c r="AD2638" s="74"/>
      <c r="AE2638" s="74"/>
      <c r="AF2638" s="74"/>
      <c r="AG2638" s="74"/>
      <c r="AH2638" s="74"/>
    </row>
    <row r="2639" s="73" customFormat="1" spans="1:34">
      <c r="A2639" s="74"/>
      <c r="B2639" s="74"/>
      <c r="C2639" s="74"/>
      <c r="D2639" s="74"/>
      <c r="E2639" s="74"/>
      <c r="F2639" s="74"/>
      <c r="G2639" s="74"/>
      <c r="H2639" s="74"/>
      <c r="I2639" s="74"/>
      <c r="J2639" s="74"/>
      <c r="K2639" s="74"/>
      <c r="L2639" s="74"/>
      <c r="M2639" s="74"/>
      <c r="N2639" s="74"/>
      <c r="O2639" s="75"/>
      <c r="P2639" s="74"/>
      <c r="Q2639" s="75"/>
      <c r="R2639" s="74"/>
      <c r="S2639" s="74"/>
      <c r="T2639" s="74"/>
      <c r="U2639" s="75"/>
      <c r="V2639" s="74"/>
      <c r="W2639" s="75"/>
      <c r="X2639" s="74"/>
      <c r="Y2639" s="74"/>
      <c r="Z2639" s="74"/>
      <c r="AA2639" s="74"/>
      <c r="AB2639" s="74"/>
      <c r="AC2639" s="74"/>
      <c r="AD2639" s="74"/>
      <c r="AE2639" s="74"/>
      <c r="AF2639" s="74"/>
      <c r="AG2639" s="74"/>
      <c r="AH2639" s="74"/>
    </row>
    <row r="2640" s="73" customFormat="1" spans="1:34">
      <c r="A2640" s="74"/>
      <c r="B2640" s="74"/>
      <c r="C2640" s="74"/>
      <c r="D2640" s="74"/>
      <c r="E2640" s="74"/>
      <c r="F2640" s="74"/>
      <c r="G2640" s="74"/>
      <c r="H2640" s="74"/>
      <c r="I2640" s="74"/>
      <c r="J2640" s="74"/>
      <c r="K2640" s="74"/>
      <c r="L2640" s="74"/>
      <c r="M2640" s="74"/>
      <c r="N2640" s="74"/>
      <c r="O2640" s="75"/>
      <c r="P2640" s="74"/>
      <c r="Q2640" s="75"/>
      <c r="R2640" s="74"/>
      <c r="S2640" s="74"/>
      <c r="T2640" s="74"/>
      <c r="U2640" s="75"/>
      <c r="V2640" s="74"/>
      <c r="W2640" s="75"/>
      <c r="X2640" s="74"/>
      <c r="Y2640" s="74"/>
      <c r="Z2640" s="74"/>
      <c r="AA2640" s="74"/>
      <c r="AB2640" s="74"/>
      <c r="AC2640" s="74"/>
      <c r="AD2640" s="74"/>
      <c r="AE2640" s="74"/>
      <c r="AF2640" s="74"/>
      <c r="AG2640" s="74"/>
      <c r="AH2640" s="74"/>
    </row>
    <row r="2641" s="73" customFormat="1" spans="1:34">
      <c r="A2641" s="74"/>
      <c r="B2641" s="74"/>
      <c r="C2641" s="74"/>
      <c r="D2641" s="74"/>
      <c r="E2641" s="74"/>
      <c r="F2641" s="74"/>
      <c r="G2641" s="74"/>
      <c r="H2641" s="74"/>
      <c r="I2641" s="74"/>
      <c r="J2641" s="74"/>
      <c r="K2641" s="74"/>
      <c r="L2641" s="74"/>
      <c r="M2641" s="74"/>
      <c r="N2641" s="74"/>
      <c r="O2641" s="75"/>
      <c r="P2641" s="74"/>
      <c r="Q2641" s="75"/>
      <c r="R2641" s="74"/>
      <c r="S2641" s="74"/>
      <c r="T2641" s="74"/>
      <c r="U2641" s="75"/>
      <c r="V2641" s="74"/>
      <c r="W2641" s="75"/>
      <c r="X2641" s="74"/>
      <c r="Y2641" s="74"/>
      <c r="Z2641" s="74"/>
      <c r="AA2641" s="74"/>
      <c r="AB2641" s="74"/>
      <c r="AC2641" s="74"/>
      <c r="AD2641" s="74"/>
      <c r="AE2641" s="74"/>
      <c r="AF2641" s="74"/>
      <c r="AG2641" s="74"/>
      <c r="AH2641" s="74"/>
    </row>
    <row r="2642" s="73" customFormat="1" spans="1:34">
      <c r="A2642" s="74"/>
      <c r="B2642" s="74"/>
      <c r="C2642" s="74"/>
      <c r="D2642" s="74"/>
      <c r="E2642" s="74"/>
      <c r="F2642" s="74"/>
      <c r="G2642" s="74"/>
      <c r="H2642" s="74"/>
      <c r="I2642" s="74"/>
      <c r="J2642" s="74"/>
      <c r="K2642" s="74"/>
      <c r="L2642" s="74"/>
      <c r="M2642" s="74"/>
      <c r="N2642" s="74"/>
      <c r="O2642" s="75"/>
      <c r="P2642" s="74"/>
      <c r="Q2642" s="75"/>
      <c r="R2642" s="74"/>
      <c r="S2642" s="74"/>
      <c r="T2642" s="74"/>
      <c r="U2642" s="75"/>
      <c r="V2642" s="74"/>
      <c r="W2642" s="75"/>
      <c r="X2642" s="74"/>
      <c r="Y2642" s="74"/>
      <c r="Z2642" s="74"/>
      <c r="AA2642" s="74"/>
      <c r="AB2642" s="74"/>
      <c r="AC2642" s="74"/>
      <c r="AD2642" s="74"/>
      <c r="AE2642" s="74"/>
      <c r="AF2642" s="74"/>
      <c r="AG2642" s="74"/>
      <c r="AH2642" s="74"/>
    </row>
    <row r="2643" s="73" customFormat="1" spans="1:34">
      <c r="A2643" s="74"/>
      <c r="B2643" s="74"/>
      <c r="C2643" s="74"/>
      <c r="D2643" s="74"/>
      <c r="E2643" s="74"/>
      <c r="F2643" s="74"/>
      <c r="G2643" s="74"/>
      <c r="H2643" s="74"/>
      <c r="I2643" s="74"/>
      <c r="J2643" s="74"/>
      <c r="K2643" s="74"/>
      <c r="L2643" s="74"/>
      <c r="M2643" s="74"/>
      <c r="N2643" s="74"/>
      <c r="O2643" s="75"/>
      <c r="P2643" s="74"/>
      <c r="Q2643" s="75"/>
      <c r="R2643" s="74"/>
      <c r="S2643" s="74"/>
      <c r="T2643" s="74"/>
      <c r="U2643" s="75"/>
      <c r="V2643" s="74"/>
      <c r="W2643" s="75"/>
      <c r="X2643" s="74"/>
      <c r="Y2643" s="74"/>
      <c r="Z2643" s="74"/>
      <c r="AA2643" s="74"/>
      <c r="AB2643" s="74"/>
      <c r="AC2643" s="74"/>
      <c r="AD2643" s="74"/>
      <c r="AE2643" s="74"/>
      <c r="AF2643" s="74"/>
      <c r="AG2643" s="74"/>
      <c r="AH2643" s="74"/>
    </row>
    <row r="2644" s="73" customFormat="1" spans="1:34">
      <c r="A2644" s="74"/>
      <c r="B2644" s="74"/>
      <c r="C2644" s="74"/>
      <c r="D2644" s="74"/>
      <c r="E2644" s="74"/>
      <c r="F2644" s="74"/>
      <c r="G2644" s="74"/>
      <c r="H2644" s="74"/>
      <c r="I2644" s="74"/>
      <c r="J2644" s="74"/>
      <c r="K2644" s="74"/>
      <c r="L2644" s="74"/>
      <c r="M2644" s="74"/>
      <c r="N2644" s="74"/>
      <c r="O2644" s="75"/>
      <c r="P2644" s="74"/>
      <c r="Q2644" s="75"/>
      <c r="R2644" s="74"/>
      <c r="S2644" s="74"/>
      <c r="T2644" s="74"/>
      <c r="U2644" s="75"/>
      <c r="V2644" s="74"/>
      <c r="W2644" s="75"/>
      <c r="X2644" s="74"/>
      <c r="Y2644" s="74"/>
      <c r="Z2644" s="74"/>
      <c r="AA2644" s="74"/>
      <c r="AB2644" s="74"/>
      <c r="AC2644" s="74"/>
      <c r="AD2644" s="74"/>
      <c r="AE2644" s="74"/>
      <c r="AF2644" s="74"/>
      <c r="AG2644" s="74"/>
      <c r="AH2644" s="74"/>
    </row>
    <row r="2645" s="73" customFormat="1" spans="1:34">
      <c r="A2645" s="74"/>
      <c r="B2645" s="74"/>
      <c r="C2645" s="74"/>
      <c r="D2645" s="74"/>
      <c r="E2645" s="74"/>
      <c r="F2645" s="74"/>
      <c r="G2645" s="74"/>
      <c r="H2645" s="74"/>
      <c r="I2645" s="74"/>
      <c r="J2645" s="74"/>
      <c r="K2645" s="74"/>
      <c r="L2645" s="74"/>
      <c r="M2645" s="74"/>
      <c r="N2645" s="74"/>
      <c r="O2645" s="75"/>
      <c r="P2645" s="74"/>
      <c r="Q2645" s="75"/>
      <c r="R2645" s="74"/>
      <c r="S2645" s="74"/>
      <c r="T2645" s="74"/>
      <c r="U2645" s="75"/>
      <c r="V2645" s="74"/>
      <c r="W2645" s="75"/>
      <c r="X2645" s="74"/>
      <c r="Y2645" s="74"/>
      <c r="Z2645" s="74"/>
      <c r="AA2645" s="74"/>
      <c r="AB2645" s="74"/>
      <c r="AC2645" s="74"/>
      <c r="AD2645" s="74"/>
      <c r="AE2645" s="74"/>
      <c r="AF2645" s="74"/>
      <c r="AG2645" s="74"/>
      <c r="AH2645" s="74"/>
    </row>
    <row r="2646" s="73" customFormat="1" spans="1:34">
      <c r="A2646" s="74"/>
      <c r="B2646" s="74"/>
      <c r="C2646" s="74"/>
      <c r="D2646" s="74"/>
      <c r="E2646" s="74"/>
      <c r="F2646" s="74"/>
      <c r="G2646" s="74"/>
      <c r="H2646" s="74"/>
      <c r="I2646" s="74"/>
      <c r="J2646" s="74"/>
      <c r="K2646" s="74"/>
      <c r="L2646" s="74"/>
      <c r="M2646" s="74"/>
      <c r="N2646" s="74"/>
      <c r="O2646" s="75"/>
      <c r="P2646" s="74"/>
      <c r="Q2646" s="75"/>
      <c r="R2646" s="74"/>
      <c r="S2646" s="74"/>
      <c r="T2646" s="74"/>
      <c r="U2646" s="75"/>
      <c r="V2646" s="74"/>
      <c r="W2646" s="75"/>
      <c r="X2646" s="74"/>
      <c r="Y2646" s="74"/>
      <c r="Z2646" s="74"/>
      <c r="AA2646" s="74"/>
      <c r="AB2646" s="74"/>
      <c r="AC2646" s="74"/>
      <c r="AD2646" s="74"/>
      <c r="AE2646" s="74"/>
      <c r="AF2646" s="74"/>
      <c r="AG2646" s="74"/>
      <c r="AH2646" s="74"/>
    </row>
    <row r="2647" s="73" customFormat="1" spans="1:34">
      <c r="A2647" s="74"/>
      <c r="B2647" s="74"/>
      <c r="C2647" s="74"/>
      <c r="D2647" s="74"/>
      <c r="E2647" s="74"/>
      <c r="F2647" s="74"/>
      <c r="G2647" s="74"/>
      <c r="H2647" s="74"/>
      <c r="I2647" s="74"/>
      <c r="J2647" s="74"/>
      <c r="K2647" s="74"/>
      <c r="L2647" s="74"/>
      <c r="M2647" s="74"/>
      <c r="N2647" s="74"/>
      <c r="O2647" s="75"/>
      <c r="P2647" s="74"/>
      <c r="Q2647" s="75"/>
      <c r="R2647" s="74"/>
      <c r="S2647" s="74"/>
      <c r="T2647" s="74"/>
      <c r="U2647" s="75"/>
      <c r="V2647" s="74"/>
      <c r="W2647" s="75"/>
      <c r="X2647" s="74"/>
      <c r="Y2647" s="74"/>
      <c r="Z2647" s="74"/>
      <c r="AA2647" s="74"/>
      <c r="AB2647" s="74"/>
      <c r="AC2647" s="74"/>
      <c r="AD2647" s="74"/>
      <c r="AE2647" s="74"/>
      <c r="AF2647" s="74"/>
      <c r="AG2647" s="74"/>
      <c r="AH2647" s="74"/>
    </row>
    <row r="2648" s="73" customFormat="1" spans="1:34">
      <c r="A2648" s="74"/>
      <c r="B2648" s="74"/>
      <c r="C2648" s="74"/>
      <c r="D2648" s="74"/>
      <c r="E2648" s="74"/>
      <c r="F2648" s="74"/>
      <c r="G2648" s="74"/>
      <c r="H2648" s="74"/>
      <c r="I2648" s="74"/>
      <c r="J2648" s="74"/>
      <c r="K2648" s="74"/>
      <c r="L2648" s="74"/>
      <c r="M2648" s="74"/>
      <c r="N2648" s="74"/>
      <c r="O2648" s="75"/>
      <c r="P2648" s="74"/>
      <c r="Q2648" s="75"/>
      <c r="R2648" s="74"/>
      <c r="S2648" s="74"/>
      <c r="T2648" s="74"/>
      <c r="U2648" s="75"/>
      <c r="V2648" s="74"/>
      <c r="W2648" s="75"/>
      <c r="X2648" s="74"/>
      <c r="Y2648" s="74"/>
      <c r="Z2648" s="74"/>
      <c r="AA2648" s="74"/>
      <c r="AB2648" s="74"/>
      <c r="AC2648" s="74"/>
      <c r="AD2648" s="74"/>
      <c r="AE2648" s="74"/>
      <c r="AF2648" s="74"/>
      <c r="AG2648" s="74"/>
      <c r="AH2648" s="74"/>
    </row>
    <row r="2649" s="73" customFormat="1" spans="1:34">
      <c r="A2649" s="74"/>
      <c r="B2649" s="74"/>
      <c r="C2649" s="74"/>
      <c r="D2649" s="74"/>
      <c r="E2649" s="74"/>
      <c r="F2649" s="74"/>
      <c r="G2649" s="74"/>
      <c r="H2649" s="74"/>
      <c r="I2649" s="74"/>
      <c r="J2649" s="74"/>
      <c r="K2649" s="74"/>
      <c r="L2649" s="74"/>
      <c r="M2649" s="74"/>
      <c r="N2649" s="74"/>
      <c r="O2649" s="75"/>
      <c r="P2649" s="74"/>
      <c r="Q2649" s="75"/>
      <c r="R2649" s="74"/>
      <c r="S2649" s="74"/>
      <c r="T2649" s="74"/>
      <c r="U2649" s="75"/>
      <c r="V2649" s="74"/>
      <c r="W2649" s="75"/>
      <c r="X2649" s="74"/>
      <c r="Y2649" s="74"/>
      <c r="Z2649" s="74"/>
      <c r="AA2649" s="74"/>
      <c r="AB2649" s="74"/>
      <c r="AC2649" s="74"/>
      <c r="AD2649" s="74"/>
      <c r="AE2649" s="74"/>
      <c r="AF2649" s="74"/>
      <c r="AG2649" s="74"/>
      <c r="AH2649" s="74"/>
    </row>
    <row r="2650" s="73" customFormat="1" spans="1:34">
      <c r="A2650" s="74"/>
      <c r="B2650" s="74"/>
      <c r="C2650" s="74"/>
      <c r="D2650" s="74"/>
      <c r="E2650" s="74"/>
      <c r="F2650" s="74"/>
      <c r="G2650" s="74"/>
      <c r="H2650" s="74"/>
      <c r="I2650" s="74"/>
      <c r="J2650" s="74"/>
      <c r="K2650" s="74"/>
      <c r="L2650" s="74"/>
      <c r="M2650" s="74"/>
      <c r="N2650" s="74"/>
      <c r="O2650" s="75"/>
      <c r="P2650" s="74"/>
      <c r="Q2650" s="75"/>
      <c r="R2650" s="74"/>
      <c r="S2650" s="74"/>
      <c r="T2650" s="74"/>
      <c r="U2650" s="75"/>
      <c r="V2650" s="74"/>
      <c r="W2650" s="75"/>
      <c r="X2650" s="74"/>
      <c r="Y2650" s="74"/>
      <c r="Z2650" s="74"/>
      <c r="AA2650" s="74"/>
      <c r="AB2650" s="74"/>
      <c r="AC2650" s="74"/>
      <c r="AD2650" s="74"/>
      <c r="AE2650" s="74"/>
      <c r="AF2650" s="74"/>
      <c r="AG2650" s="74"/>
      <c r="AH2650" s="74"/>
    </row>
    <row r="2651" s="73" customFormat="1" spans="1:34">
      <c r="A2651" s="74"/>
      <c r="B2651" s="74"/>
      <c r="C2651" s="74"/>
      <c r="D2651" s="74"/>
      <c r="E2651" s="74"/>
      <c r="F2651" s="74"/>
      <c r="G2651" s="74"/>
      <c r="H2651" s="74"/>
      <c r="I2651" s="74"/>
      <c r="J2651" s="74"/>
      <c r="K2651" s="74"/>
      <c r="L2651" s="74"/>
      <c r="M2651" s="74"/>
      <c r="N2651" s="74"/>
      <c r="O2651" s="75"/>
      <c r="P2651" s="74"/>
      <c r="Q2651" s="75"/>
      <c r="R2651" s="74"/>
      <c r="S2651" s="74"/>
      <c r="T2651" s="74"/>
      <c r="U2651" s="75"/>
      <c r="V2651" s="74"/>
      <c r="W2651" s="75"/>
      <c r="X2651" s="74"/>
      <c r="Y2651" s="74"/>
      <c r="Z2651" s="74"/>
      <c r="AA2651" s="74"/>
      <c r="AB2651" s="74"/>
      <c r="AC2651" s="74"/>
      <c r="AD2651" s="74"/>
      <c r="AE2651" s="74"/>
      <c r="AF2651" s="74"/>
      <c r="AG2651" s="74"/>
      <c r="AH2651" s="74"/>
    </row>
    <row r="2652" s="73" customFormat="1" spans="1:34">
      <c r="A2652" s="74"/>
      <c r="B2652" s="74"/>
      <c r="C2652" s="74"/>
      <c r="D2652" s="74"/>
      <c r="E2652" s="74"/>
      <c r="F2652" s="74"/>
      <c r="G2652" s="74"/>
      <c r="H2652" s="74"/>
      <c r="I2652" s="74"/>
      <c r="J2652" s="74"/>
      <c r="K2652" s="74"/>
      <c r="L2652" s="74"/>
      <c r="M2652" s="74"/>
      <c r="N2652" s="74"/>
      <c r="O2652" s="75"/>
      <c r="P2652" s="74"/>
      <c r="Q2652" s="75"/>
      <c r="R2652" s="74"/>
      <c r="S2652" s="74"/>
      <c r="T2652" s="74"/>
      <c r="U2652" s="75"/>
      <c r="V2652" s="74"/>
      <c r="W2652" s="75"/>
      <c r="X2652" s="74"/>
      <c r="Y2652" s="74"/>
      <c r="Z2652" s="74"/>
      <c r="AA2652" s="74"/>
      <c r="AB2652" s="74"/>
      <c r="AC2652" s="74"/>
      <c r="AD2652" s="74"/>
      <c r="AE2652" s="74"/>
      <c r="AF2652" s="74"/>
      <c r="AG2652" s="74"/>
      <c r="AH2652" s="74"/>
    </row>
    <row r="2653" s="73" customFormat="1" spans="1:34">
      <c r="A2653" s="74"/>
      <c r="B2653" s="74"/>
      <c r="C2653" s="74"/>
      <c r="D2653" s="74"/>
      <c r="E2653" s="74"/>
      <c r="F2653" s="74"/>
      <c r="G2653" s="74"/>
      <c r="H2653" s="74"/>
      <c r="I2653" s="74"/>
      <c r="J2653" s="74"/>
      <c r="K2653" s="74"/>
      <c r="L2653" s="74"/>
      <c r="M2653" s="74"/>
      <c r="N2653" s="74"/>
      <c r="O2653" s="75"/>
      <c r="P2653" s="74"/>
      <c r="Q2653" s="75"/>
      <c r="R2653" s="74"/>
      <c r="S2653" s="74"/>
      <c r="T2653" s="74"/>
      <c r="U2653" s="75"/>
      <c r="V2653" s="74"/>
      <c r="W2653" s="75"/>
      <c r="X2653" s="74"/>
      <c r="Y2653" s="74"/>
      <c r="Z2653" s="74"/>
      <c r="AA2653" s="74"/>
      <c r="AB2653" s="74"/>
      <c r="AC2653" s="74"/>
      <c r="AD2653" s="74"/>
      <c r="AE2653" s="74"/>
      <c r="AF2653" s="74"/>
      <c r="AG2653" s="74"/>
      <c r="AH2653" s="74"/>
    </row>
    <row r="2654" s="73" customFormat="1" spans="1:34">
      <c r="A2654" s="74"/>
      <c r="B2654" s="74"/>
      <c r="C2654" s="74"/>
      <c r="D2654" s="74"/>
      <c r="E2654" s="74"/>
      <c r="F2654" s="74"/>
      <c r="G2654" s="74"/>
      <c r="H2654" s="74"/>
      <c r="I2654" s="74"/>
      <c r="J2654" s="74"/>
      <c r="K2654" s="74"/>
      <c r="L2654" s="74"/>
      <c r="M2654" s="74"/>
      <c r="N2654" s="74"/>
      <c r="O2654" s="75"/>
      <c r="P2654" s="74"/>
      <c r="Q2654" s="75"/>
      <c r="R2654" s="74"/>
      <c r="S2654" s="74"/>
      <c r="T2654" s="74"/>
      <c r="U2654" s="75"/>
      <c r="V2654" s="74"/>
      <c r="W2654" s="75"/>
      <c r="X2654" s="74"/>
      <c r="Y2654" s="74"/>
      <c r="Z2654" s="74"/>
      <c r="AA2654" s="74"/>
      <c r="AB2654" s="74"/>
      <c r="AC2654" s="74"/>
      <c r="AD2654" s="74"/>
      <c r="AE2654" s="74"/>
      <c r="AF2654" s="74"/>
      <c r="AG2654" s="74"/>
      <c r="AH2654" s="74"/>
    </row>
    <row r="2655" s="73" customFormat="1" spans="1:34">
      <c r="A2655" s="74"/>
      <c r="B2655" s="74"/>
      <c r="C2655" s="74"/>
      <c r="D2655" s="74"/>
      <c r="E2655" s="74"/>
      <c r="F2655" s="74"/>
      <c r="G2655" s="74"/>
      <c r="H2655" s="74"/>
      <c r="I2655" s="74"/>
      <c r="J2655" s="74"/>
      <c r="K2655" s="74"/>
      <c r="L2655" s="74"/>
      <c r="M2655" s="74"/>
      <c r="N2655" s="74"/>
      <c r="O2655" s="75"/>
      <c r="P2655" s="74"/>
      <c r="Q2655" s="75"/>
      <c r="R2655" s="74"/>
      <c r="S2655" s="74"/>
      <c r="T2655" s="74"/>
      <c r="U2655" s="75"/>
      <c r="V2655" s="74"/>
      <c r="W2655" s="75"/>
      <c r="X2655" s="74"/>
      <c r="Y2655" s="74"/>
      <c r="Z2655" s="74"/>
      <c r="AA2655" s="74"/>
      <c r="AB2655" s="74"/>
      <c r="AC2655" s="74"/>
      <c r="AD2655" s="74"/>
      <c r="AE2655" s="74"/>
      <c r="AF2655" s="74"/>
      <c r="AG2655" s="74"/>
      <c r="AH2655" s="74"/>
    </row>
    <row r="2656" s="73" customFormat="1" spans="1:34">
      <c r="A2656" s="74"/>
      <c r="B2656" s="74"/>
      <c r="C2656" s="74"/>
      <c r="D2656" s="74"/>
      <c r="E2656" s="74"/>
      <c r="F2656" s="74"/>
      <c r="G2656" s="74"/>
      <c r="H2656" s="74"/>
      <c r="I2656" s="74"/>
      <c r="J2656" s="74"/>
      <c r="K2656" s="74"/>
      <c r="L2656" s="74"/>
      <c r="M2656" s="74"/>
      <c r="N2656" s="74"/>
      <c r="O2656" s="75"/>
      <c r="P2656" s="74"/>
      <c r="Q2656" s="75"/>
      <c r="R2656" s="74"/>
      <c r="S2656" s="74"/>
      <c r="T2656" s="74"/>
      <c r="U2656" s="75"/>
      <c r="V2656" s="74"/>
      <c r="W2656" s="75"/>
      <c r="X2656" s="74"/>
      <c r="Y2656" s="74"/>
      <c r="Z2656" s="74"/>
      <c r="AA2656" s="74"/>
      <c r="AB2656" s="74"/>
      <c r="AC2656" s="74"/>
      <c r="AD2656" s="74"/>
      <c r="AE2656" s="74"/>
      <c r="AF2656" s="74"/>
      <c r="AG2656" s="74"/>
      <c r="AH2656" s="74"/>
    </row>
    <row r="2657" s="73" customFormat="1" spans="1:34">
      <c r="A2657" s="74"/>
      <c r="B2657" s="74"/>
      <c r="C2657" s="74"/>
      <c r="D2657" s="74"/>
      <c r="E2657" s="74"/>
      <c r="F2657" s="74"/>
      <c r="G2657" s="74"/>
      <c r="H2657" s="74"/>
      <c r="I2657" s="74"/>
      <c r="J2657" s="74"/>
      <c r="K2657" s="74"/>
      <c r="L2657" s="74"/>
      <c r="M2657" s="74"/>
      <c r="N2657" s="74"/>
      <c r="O2657" s="75"/>
      <c r="P2657" s="74"/>
      <c r="Q2657" s="75"/>
      <c r="R2657" s="74"/>
      <c r="S2657" s="74"/>
      <c r="T2657" s="74"/>
      <c r="U2657" s="75"/>
      <c r="V2657" s="74"/>
      <c r="W2657" s="75"/>
      <c r="X2657" s="74"/>
      <c r="Y2657" s="74"/>
      <c r="Z2657" s="74"/>
      <c r="AA2657" s="74"/>
      <c r="AB2657" s="74"/>
      <c r="AC2657" s="74"/>
      <c r="AD2657" s="74"/>
      <c r="AE2657" s="74"/>
      <c r="AF2657" s="74"/>
      <c r="AG2657" s="74"/>
      <c r="AH2657" s="74"/>
    </row>
    <row r="2658" s="73" customFormat="1" spans="1:34">
      <c r="A2658" s="74"/>
      <c r="B2658" s="74"/>
      <c r="C2658" s="74"/>
      <c r="D2658" s="74"/>
      <c r="E2658" s="74"/>
      <c r="F2658" s="74"/>
      <c r="G2658" s="74"/>
      <c r="H2658" s="74"/>
      <c r="I2658" s="74"/>
      <c r="J2658" s="74"/>
      <c r="K2658" s="74"/>
      <c r="L2658" s="74"/>
      <c r="M2658" s="74"/>
      <c r="N2658" s="74"/>
      <c r="O2658" s="75"/>
      <c r="P2658" s="74"/>
      <c r="Q2658" s="75"/>
      <c r="R2658" s="74"/>
      <c r="S2658" s="74"/>
      <c r="T2658" s="74"/>
      <c r="U2658" s="75"/>
      <c r="V2658" s="74"/>
      <c r="W2658" s="75"/>
      <c r="X2658" s="74"/>
      <c r="Y2658" s="74"/>
      <c r="Z2658" s="74"/>
      <c r="AA2658" s="74"/>
      <c r="AB2658" s="74"/>
      <c r="AC2658" s="74"/>
      <c r="AD2658" s="74"/>
      <c r="AE2658" s="74"/>
      <c r="AF2658" s="74"/>
      <c r="AG2658" s="74"/>
      <c r="AH2658" s="74"/>
    </row>
    <row r="2659" s="73" customFormat="1" spans="1:34">
      <c r="A2659" s="74"/>
      <c r="B2659" s="74"/>
      <c r="C2659" s="74"/>
      <c r="D2659" s="74"/>
      <c r="E2659" s="74"/>
      <c r="F2659" s="74"/>
      <c r="G2659" s="74"/>
      <c r="H2659" s="74"/>
      <c r="I2659" s="74"/>
      <c r="J2659" s="74"/>
      <c r="K2659" s="74"/>
      <c r="L2659" s="74"/>
      <c r="M2659" s="74"/>
      <c r="N2659" s="74"/>
      <c r="O2659" s="75"/>
      <c r="P2659" s="74"/>
      <c r="Q2659" s="75"/>
      <c r="R2659" s="74"/>
      <c r="S2659" s="74"/>
      <c r="T2659" s="74"/>
      <c r="U2659" s="75"/>
      <c r="V2659" s="74"/>
      <c r="W2659" s="75"/>
      <c r="X2659" s="74"/>
      <c r="Y2659" s="74"/>
      <c r="Z2659" s="74"/>
      <c r="AA2659" s="74"/>
      <c r="AB2659" s="74"/>
      <c r="AC2659" s="74"/>
      <c r="AD2659" s="74"/>
      <c r="AE2659" s="74"/>
      <c r="AF2659" s="74"/>
      <c r="AG2659" s="74"/>
      <c r="AH2659" s="74"/>
    </row>
    <row r="2660" s="73" customFormat="1" spans="1:34">
      <c r="A2660" s="74"/>
      <c r="B2660" s="74"/>
      <c r="C2660" s="74"/>
      <c r="D2660" s="74"/>
      <c r="E2660" s="74"/>
      <c r="F2660" s="74"/>
      <c r="G2660" s="74"/>
      <c r="H2660" s="74"/>
      <c r="I2660" s="74"/>
      <c r="J2660" s="74"/>
      <c r="K2660" s="74"/>
      <c r="L2660" s="74"/>
      <c r="M2660" s="74"/>
      <c r="N2660" s="74"/>
      <c r="O2660" s="75"/>
      <c r="P2660" s="74"/>
      <c r="Q2660" s="75"/>
      <c r="R2660" s="74"/>
      <c r="S2660" s="74"/>
      <c r="T2660" s="74"/>
      <c r="U2660" s="75"/>
      <c r="V2660" s="74"/>
      <c r="W2660" s="75"/>
      <c r="X2660" s="74"/>
      <c r="Y2660" s="74"/>
      <c r="Z2660" s="74"/>
      <c r="AA2660" s="74"/>
      <c r="AB2660" s="74"/>
      <c r="AC2660" s="74"/>
      <c r="AD2660" s="74"/>
      <c r="AE2660" s="74"/>
      <c r="AF2660" s="74"/>
      <c r="AG2660" s="74"/>
      <c r="AH2660" s="74"/>
    </row>
    <row r="2661" s="73" customFormat="1" spans="1:34">
      <c r="A2661" s="74"/>
      <c r="B2661" s="74"/>
      <c r="C2661" s="74"/>
      <c r="D2661" s="74"/>
      <c r="E2661" s="74"/>
      <c r="F2661" s="74"/>
      <c r="G2661" s="74"/>
      <c r="H2661" s="74"/>
      <c r="I2661" s="74"/>
      <c r="J2661" s="74"/>
      <c r="K2661" s="74"/>
      <c r="L2661" s="74"/>
      <c r="M2661" s="74"/>
      <c r="N2661" s="74"/>
      <c r="O2661" s="75"/>
      <c r="P2661" s="74"/>
      <c r="Q2661" s="75"/>
      <c r="R2661" s="74"/>
      <c r="S2661" s="74"/>
      <c r="T2661" s="74"/>
      <c r="U2661" s="75"/>
      <c r="V2661" s="74"/>
      <c r="W2661" s="75"/>
      <c r="X2661" s="74"/>
      <c r="Y2661" s="74"/>
      <c r="Z2661" s="74"/>
      <c r="AA2661" s="74"/>
      <c r="AB2661" s="74"/>
      <c r="AC2661" s="74"/>
      <c r="AD2661" s="74"/>
      <c r="AE2661" s="74"/>
      <c r="AF2661" s="74"/>
      <c r="AG2661" s="74"/>
      <c r="AH2661" s="74"/>
    </row>
    <row r="2662" s="73" customFormat="1" spans="1:34">
      <c r="A2662" s="74"/>
      <c r="B2662" s="74"/>
      <c r="C2662" s="74"/>
      <c r="D2662" s="74"/>
      <c r="E2662" s="74"/>
      <c r="F2662" s="74"/>
      <c r="G2662" s="74"/>
      <c r="H2662" s="74"/>
      <c r="I2662" s="74"/>
      <c r="J2662" s="74"/>
      <c r="K2662" s="74"/>
      <c r="L2662" s="74"/>
      <c r="M2662" s="74"/>
      <c r="N2662" s="74"/>
      <c r="O2662" s="75"/>
      <c r="P2662" s="74"/>
      <c r="Q2662" s="75"/>
      <c r="R2662" s="74"/>
      <c r="S2662" s="74"/>
      <c r="T2662" s="74"/>
      <c r="U2662" s="75"/>
      <c r="V2662" s="74"/>
      <c r="W2662" s="75"/>
      <c r="X2662" s="74"/>
      <c r="Y2662" s="74"/>
      <c r="Z2662" s="74"/>
      <c r="AA2662" s="74"/>
      <c r="AB2662" s="74"/>
      <c r="AC2662" s="74"/>
      <c r="AD2662" s="74"/>
      <c r="AE2662" s="74"/>
      <c r="AF2662" s="74"/>
      <c r="AG2662" s="74"/>
      <c r="AH2662" s="74"/>
    </row>
    <row r="2663" s="73" customFormat="1" spans="1:34">
      <c r="A2663" s="74"/>
      <c r="B2663" s="74"/>
      <c r="C2663" s="74"/>
      <c r="D2663" s="74"/>
      <c r="E2663" s="74"/>
      <c r="F2663" s="74"/>
      <c r="G2663" s="74"/>
      <c r="H2663" s="74"/>
      <c r="I2663" s="74"/>
      <c r="J2663" s="74"/>
      <c r="K2663" s="74"/>
      <c r="L2663" s="74"/>
      <c r="M2663" s="74"/>
      <c r="N2663" s="74"/>
      <c r="O2663" s="75"/>
      <c r="P2663" s="74"/>
      <c r="Q2663" s="75"/>
      <c r="R2663" s="74"/>
      <c r="S2663" s="74"/>
      <c r="T2663" s="74"/>
      <c r="U2663" s="75"/>
      <c r="V2663" s="74"/>
      <c r="W2663" s="75"/>
      <c r="X2663" s="74"/>
      <c r="Y2663" s="74"/>
      <c r="Z2663" s="74"/>
      <c r="AA2663" s="74"/>
      <c r="AB2663" s="74"/>
      <c r="AC2663" s="74"/>
      <c r="AD2663" s="74"/>
      <c r="AE2663" s="74"/>
      <c r="AF2663" s="74"/>
      <c r="AG2663" s="74"/>
      <c r="AH2663" s="74"/>
    </row>
    <row r="2664" s="73" customFormat="1" spans="1:34">
      <c r="A2664" s="74"/>
      <c r="B2664" s="74"/>
      <c r="C2664" s="74"/>
      <c r="D2664" s="74"/>
      <c r="E2664" s="74"/>
      <c r="F2664" s="74"/>
      <c r="G2664" s="74"/>
      <c r="H2664" s="74"/>
      <c r="I2664" s="74"/>
      <c r="J2664" s="74"/>
      <c r="K2664" s="74"/>
      <c r="L2664" s="74"/>
      <c r="M2664" s="74"/>
      <c r="N2664" s="74"/>
      <c r="O2664" s="75"/>
      <c r="P2664" s="74"/>
      <c r="Q2664" s="75"/>
      <c r="R2664" s="74"/>
      <c r="S2664" s="74"/>
      <c r="T2664" s="74"/>
      <c r="U2664" s="75"/>
      <c r="V2664" s="74"/>
      <c r="W2664" s="75"/>
      <c r="X2664" s="74"/>
      <c r="Y2664" s="74"/>
      <c r="Z2664" s="74"/>
      <c r="AA2664" s="74"/>
      <c r="AB2664" s="74"/>
      <c r="AC2664" s="74"/>
      <c r="AD2664" s="74"/>
      <c r="AE2664" s="74"/>
      <c r="AF2664" s="74"/>
      <c r="AG2664" s="74"/>
      <c r="AH2664" s="74"/>
    </row>
    <row r="2665" s="73" customFormat="1" spans="1:34">
      <c r="A2665" s="74"/>
      <c r="B2665" s="74"/>
      <c r="C2665" s="74"/>
      <c r="D2665" s="74"/>
      <c r="E2665" s="74"/>
      <c r="F2665" s="74"/>
      <c r="G2665" s="74"/>
      <c r="H2665" s="74"/>
      <c r="I2665" s="74"/>
      <c r="J2665" s="74"/>
      <c r="K2665" s="74"/>
      <c r="L2665" s="74"/>
      <c r="M2665" s="74"/>
      <c r="N2665" s="74"/>
      <c r="O2665" s="75"/>
      <c r="P2665" s="74"/>
      <c r="Q2665" s="75"/>
      <c r="R2665" s="74"/>
      <c r="S2665" s="74"/>
      <c r="T2665" s="74"/>
      <c r="U2665" s="75"/>
      <c r="V2665" s="74"/>
      <c r="W2665" s="75"/>
      <c r="X2665" s="74"/>
      <c r="Y2665" s="74"/>
      <c r="Z2665" s="74"/>
      <c r="AA2665" s="74"/>
      <c r="AB2665" s="74"/>
      <c r="AC2665" s="74"/>
      <c r="AD2665" s="74"/>
      <c r="AE2665" s="74"/>
      <c r="AF2665" s="74"/>
      <c r="AG2665" s="74"/>
      <c r="AH2665" s="74"/>
    </row>
    <row r="2666" s="73" customFormat="1" spans="1:34">
      <c r="A2666" s="74"/>
      <c r="B2666" s="74"/>
      <c r="C2666" s="74"/>
      <c r="D2666" s="74"/>
      <c r="E2666" s="74"/>
      <c r="F2666" s="74"/>
      <c r="G2666" s="74"/>
      <c r="H2666" s="74"/>
      <c r="I2666" s="74"/>
      <c r="J2666" s="74"/>
      <c r="K2666" s="74"/>
      <c r="L2666" s="74"/>
      <c r="M2666" s="74"/>
      <c r="N2666" s="74"/>
      <c r="O2666" s="75"/>
      <c r="P2666" s="74"/>
      <c r="Q2666" s="75"/>
      <c r="R2666" s="74"/>
      <c r="S2666" s="74"/>
      <c r="T2666" s="74"/>
      <c r="U2666" s="75"/>
      <c r="V2666" s="74"/>
      <c r="W2666" s="75"/>
      <c r="X2666" s="74"/>
      <c r="Y2666" s="74"/>
      <c r="Z2666" s="74"/>
      <c r="AA2666" s="74"/>
      <c r="AB2666" s="74"/>
      <c r="AC2666" s="74"/>
      <c r="AD2666" s="74"/>
      <c r="AE2666" s="74"/>
      <c r="AF2666" s="74"/>
      <c r="AG2666" s="74"/>
      <c r="AH2666" s="74"/>
    </row>
    <row r="2667" s="73" customFormat="1" spans="1:34">
      <c r="A2667" s="74"/>
      <c r="B2667" s="74"/>
      <c r="C2667" s="74"/>
      <c r="D2667" s="74"/>
      <c r="E2667" s="74"/>
      <c r="F2667" s="74"/>
      <c r="G2667" s="74"/>
      <c r="H2667" s="74"/>
      <c r="I2667" s="74"/>
      <c r="J2667" s="74"/>
      <c r="K2667" s="74"/>
      <c r="L2667" s="74"/>
      <c r="M2667" s="74"/>
      <c r="N2667" s="74"/>
      <c r="O2667" s="75"/>
      <c r="P2667" s="74"/>
      <c r="Q2667" s="75"/>
      <c r="R2667" s="74"/>
      <c r="S2667" s="74"/>
      <c r="T2667" s="74"/>
      <c r="U2667" s="75"/>
      <c r="V2667" s="74"/>
      <c r="W2667" s="75"/>
      <c r="X2667" s="74"/>
      <c r="Y2667" s="74"/>
      <c r="Z2667" s="74"/>
      <c r="AA2667" s="74"/>
      <c r="AB2667" s="74"/>
      <c r="AC2667" s="74"/>
      <c r="AD2667" s="74"/>
      <c r="AE2667" s="74"/>
      <c r="AF2667" s="74"/>
      <c r="AG2667" s="74"/>
      <c r="AH2667" s="74"/>
    </row>
    <row r="2668" s="73" customFormat="1" spans="1:34">
      <c r="A2668" s="74"/>
      <c r="B2668" s="74"/>
      <c r="C2668" s="74"/>
      <c r="D2668" s="74"/>
      <c r="E2668" s="74"/>
      <c r="F2668" s="74"/>
      <c r="G2668" s="74"/>
      <c r="H2668" s="74"/>
      <c r="I2668" s="74"/>
      <c r="J2668" s="74"/>
      <c r="K2668" s="74"/>
      <c r="L2668" s="74"/>
      <c r="M2668" s="74"/>
      <c r="N2668" s="74"/>
      <c r="O2668" s="75"/>
      <c r="P2668" s="74"/>
      <c r="Q2668" s="75"/>
      <c r="R2668" s="74"/>
      <c r="S2668" s="74"/>
      <c r="T2668" s="74"/>
      <c r="U2668" s="75"/>
      <c r="V2668" s="74"/>
      <c r="W2668" s="75"/>
      <c r="X2668" s="74"/>
      <c r="Y2668" s="74"/>
      <c r="Z2668" s="74"/>
      <c r="AA2668" s="74"/>
      <c r="AB2668" s="74"/>
      <c r="AC2668" s="74"/>
      <c r="AD2668" s="74"/>
      <c r="AE2668" s="74"/>
      <c r="AF2668" s="74"/>
      <c r="AG2668" s="74"/>
      <c r="AH2668" s="74"/>
    </row>
    <row r="2669" s="73" customFormat="1" spans="1:34">
      <c r="A2669" s="74"/>
      <c r="B2669" s="74"/>
      <c r="C2669" s="74"/>
      <c r="D2669" s="74"/>
      <c r="E2669" s="74"/>
      <c r="F2669" s="74"/>
      <c r="G2669" s="74"/>
      <c r="H2669" s="74"/>
      <c r="I2669" s="74"/>
      <c r="J2669" s="74"/>
      <c r="K2669" s="74"/>
      <c r="L2669" s="74"/>
      <c r="M2669" s="74"/>
      <c r="N2669" s="74"/>
      <c r="O2669" s="75"/>
      <c r="P2669" s="74"/>
      <c r="Q2669" s="75"/>
      <c r="R2669" s="74"/>
      <c r="S2669" s="74"/>
      <c r="T2669" s="74"/>
      <c r="U2669" s="75"/>
      <c r="V2669" s="74"/>
      <c r="W2669" s="75"/>
      <c r="X2669" s="74"/>
      <c r="Y2669" s="74"/>
      <c r="Z2669" s="74"/>
      <c r="AA2669" s="74"/>
      <c r="AB2669" s="74"/>
      <c r="AC2669" s="74"/>
      <c r="AD2669" s="74"/>
      <c r="AE2669" s="74"/>
      <c r="AF2669" s="74"/>
      <c r="AG2669" s="74"/>
      <c r="AH2669" s="74"/>
    </row>
    <row r="2670" s="73" customFormat="1" spans="1:34">
      <c r="A2670" s="74"/>
      <c r="B2670" s="74"/>
      <c r="C2670" s="74"/>
      <c r="D2670" s="74"/>
      <c r="E2670" s="74"/>
      <c r="F2670" s="74"/>
      <c r="G2670" s="74"/>
      <c r="H2670" s="74"/>
      <c r="I2670" s="74"/>
      <c r="J2670" s="74"/>
      <c r="K2670" s="74"/>
      <c r="L2670" s="74"/>
      <c r="M2670" s="74"/>
      <c r="N2670" s="74"/>
      <c r="O2670" s="75"/>
      <c r="P2670" s="74"/>
      <c r="Q2670" s="75"/>
      <c r="R2670" s="74"/>
      <c r="S2670" s="74"/>
      <c r="T2670" s="74"/>
      <c r="U2670" s="75"/>
      <c r="V2670" s="74"/>
      <c r="W2670" s="75"/>
      <c r="X2670" s="74"/>
      <c r="Y2670" s="74"/>
      <c r="Z2670" s="74"/>
      <c r="AA2670" s="74"/>
      <c r="AB2670" s="74"/>
      <c r="AC2670" s="74"/>
      <c r="AD2670" s="74"/>
      <c r="AE2670" s="74"/>
      <c r="AF2670" s="74"/>
      <c r="AG2670" s="74"/>
      <c r="AH2670" s="74"/>
    </row>
    <row r="2671" s="73" customFormat="1" spans="1:34">
      <c r="A2671" s="74"/>
      <c r="B2671" s="74"/>
      <c r="C2671" s="74"/>
      <c r="D2671" s="74"/>
      <c r="E2671" s="74"/>
      <c r="F2671" s="74"/>
      <c r="G2671" s="74"/>
      <c r="H2671" s="74"/>
      <c r="I2671" s="74"/>
      <c r="J2671" s="74"/>
      <c r="K2671" s="74"/>
      <c r="L2671" s="74"/>
      <c r="M2671" s="74"/>
      <c r="N2671" s="74"/>
      <c r="O2671" s="75"/>
      <c r="P2671" s="74"/>
      <c r="Q2671" s="75"/>
      <c r="R2671" s="74"/>
      <c r="S2671" s="74"/>
      <c r="T2671" s="74"/>
      <c r="U2671" s="75"/>
      <c r="V2671" s="74"/>
      <c r="W2671" s="75"/>
      <c r="X2671" s="74"/>
      <c r="Y2671" s="74"/>
      <c r="Z2671" s="74"/>
      <c r="AA2671" s="74"/>
      <c r="AB2671" s="74"/>
      <c r="AC2671" s="74"/>
      <c r="AD2671" s="74"/>
      <c r="AE2671" s="74"/>
      <c r="AF2671" s="74"/>
      <c r="AG2671" s="74"/>
      <c r="AH2671" s="74"/>
    </row>
    <row r="2672" s="73" customFormat="1" spans="1:34">
      <c r="A2672" s="74"/>
      <c r="B2672" s="74"/>
      <c r="C2672" s="74"/>
      <c r="D2672" s="74"/>
      <c r="E2672" s="74"/>
      <c r="F2672" s="74"/>
      <c r="G2672" s="74"/>
      <c r="H2672" s="74"/>
      <c r="I2672" s="74"/>
      <c r="J2672" s="74"/>
      <c r="K2672" s="74"/>
      <c r="L2672" s="74"/>
      <c r="M2672" s="74"/>
      <c r="N2672" s="74"/>
      <c r="O2672" s="75"/>
      <c r="P2672" s="74"/>
      <c r="Q2672" s="75"/>
      <c r="R2672" s="74"/>
      <c r="S2672" s="74"/>
      <c r="T2672" s="74"/>
      <c r="U2672" s="75"/>
      <c r="V2672" s="74"/>
      <c r="W2672" s="75"/>
      <c r="X2672" s="74"/>
      <c r="Y2672" s="74"/>
      <c r="Z2672" s="74"/>
      <c r="AA2672" s="74"/>
      <c r="AB2672" s="74"/>
      <c r="AC2672" s="74"/>
      <c r="AD2672" s="74"/>
      <c r="AE2672" s="74"/>
      <c r="AF2672" s="74"/>
      <c r="AG2672" s="74"/>
      <c r="AH2672" s="74"/>
    </row>
    <row r="2673" s="73" customFormat="1" spans="1:34">
      <c r="A2673" s="74"/>
      <c r="B2673" s="74"/>
      <c r="C2673" s="74"/>
      <c r="D2673" s="74"/>
      <c r="E2673" s="74"/>
      <c r="F2673" s="74"/>
      <c r="G2673" s="74"/>
      <c r="H2673" s="74"/>
      <c r="I2673" s="74"/>
      <c r="J2673" s="74"/>
      <c r="K2673" s="74"/>
      <c r="L2673" s="74"/>
      <c r="M2673" s="74"/>
      <c r="N2673" s="74"/>
      <c r="O2673" s="75"/>
      <c r="P2673" s="74"/>
      <c r="Q2673" s="75"/>
      <c r="R2673" s="74"/>
      <c r="S2673" s="74"/>
      <c r="T2673" s="74"/>
      <c r="U2673" s="75"/>
      <c r="V2673" s="74"/>
      <c r="W2673" s="75"/>
      <c r="X2673" s="74"/>
      <c r="Y2673" s="74"/>
      <c r="Z2673" s="74"/>
      <c r="AA2673" s="74"/>
      <c r="AB2673" s="74"/>
      <c r="AC2673" s="74"/>
      <c r="AD2673" s="74"/>
      <c r="AE2673" s="74"/>
      <c r="AF2673" s="74"/>
      <c r="AG2673" s="74"/>
      <c r="AH2673" s="74"/>
    </row>
    <row r="2674" s="73" customFormat="1" spans="1:34">
      <c r="A2674" s="74"/>
      <c r="B2674" s="74"/>
      <c r="C2674" s="74"/>
      <c r="D2674" s="74"/>
      <c r="E2674" s="74"/>
      <c r="F2674" s="74"/>
      <c r="G2674" s="74"/>
      <c r="H2674" s="74"/>
      <c r="I2674" s="74"/>
      <c r="J2674" s="74"/>
      <c r="K2674" s="74"/>
      <c r="L2674" s="74"/>
      <c r="M2674" s="74"/>
      <c r="N2674" s="74"/>
      <c r="O2674" s="75"/>
      <c r="P2674" s="74"/>
      <c r="Q2674" s="75"/>
      <c r="R2674" s="74"/>
      <c r="S2674" s="74"/>
      <c r="T2674" s="74"/>
      <c r="U2674" s="75"/>
      <c r="V2674" s="74"/>
      <c r="W2674" s="75"/>
      <c r="X2674" s="74"/>
      <c r="Y2674" s="74"/>
      <c r="Z2674" s="74"/>
      <c r="AA2674" s="74"/>
      <c r="AB2674" s="74"/>
      <c r="AC2674" s="74"/>
      <c r="AD2674" s="74"/>
      <c r="AE2674" s="74"/>
      <c r="AF2674" s="74"/>
      <c r="AG2674" s="74"/>
      <c r="AH2674" s="74"/>
    </row>
    <row r="2675" s="73" customFormat="1" spans="1:34">
      <c r="A2675" s="74"/>
      <c r="B2675" s="74"/>
      <c r="C2675" s="74"/>
      <c r="D2675" s="74"/>
      <c r="E2675" s="74"/>
      <c r="F2675" s="74"/>
      <c r="G2675" s="74"/>
      <c r="H2675" s="74"/>
      <c r="I2675" s="74"/>
      <c r="J2675" s="74"/>
      <c r="K2675" s="74"/>
      <c r="L2675" s="74"/>
      <c r="M2675" s="74"/>
      <c r="N2675" s="74"/>
      <c r="O2675" s="75"/>
      <c r="P2675" s="74"/>
      <c r="Q2675" s="75"/>
      <c r="R2675" s="74"/>
      <c r="S2675" s="74"/>
      <c r="T2675" s="74"/>
      <c r="U2675" s="75"/>
      <c r="V2675" s="74"/>
      <c r="W2675" s="75"/>
      <c r="X2675" s="74"/>
      <c r="Y2675" s="74"/>
      <c r="Z2675" s="74"/>
      <c r="AA2675" s="74"/>
      <c r="AB2675" s="74"/>
      <c r="AC2675" s="74"/>
      <c r="AD2675" s="74"/>
      <c r="AE2675" s="74"/>
      <c r="AF2675" s="74"/>
      <c r="AG2675" s="74"/>
      <c r="AH2675" s="74"/>
    </row>
    <row r="2676" s="73" customFormat="1" spans="1:34">
      <c r="A2676" s="74"/>
      <c r="B2676" s="74"/>
      <c r="C2676" s="74"/>
      <c r="D2676" s="74"/>
      <c r="E2676" s="74"/>
      <c r="F2676" s="74"/>
      <c r="G2676" s="74"/>
      <c r="H2676" s="74"/>
      <c r="I2676" s="74"/>
      <c r="J2676" s="74"/>
      <c r="K2676" s="74"/>
      <c r="L2676" s="74"/>
      <c r="M2676" s="74"/>
      <c r="N2676" s="74"/>
      <c r="O2676" s="75"/>
      <c r="P2676" s="74"/>
      <c r="Q2676" s="75"/>
      <c r="R2676" s="74"/>
      <c r="S2676" s="74"/>
      <c r="T2676" s="74"/>
      <c r="U2676" s="75"/>
      <c r="V2676" s="74"/>
      <c r="W2676" s="75"/>
      <c r="X2676" s="74"/>
      <c r="Y2676" s="74"/>
      <c r="Z2676" s="74"/>
      <c r="AA2676" s="74"/>
      <c r="AB2676" s="74"/>
      <c r="AC2676" s="74"/>
      <c r="AD2676" s="74"/>
      <c r="AE2676" s="74"/>
      <c r="AF2676" s="74"/>
      <c r="AG2676" s="74"/>
      <c r="AH2676" s="74"/>
    </row>
    <row r="2677" s="73" customFormat="1" spans="1:34">
      <c r="A2677" s="74"/>
      <c r="B2677" s="74"/>
      <c r="C2677" s="74"/>
      <c r="D2677" s="74"/>
      <c r="E2677" s="74"/>
      <c r="F2677" s="74"/>
      <c r="G2677" s="74"/>
      <c r="H2677" s="74"/>
      <c r="I2677" s="74"/>
      <c r="J2677" s="74"/>
      <c r="K2677" s="74"/>
      <c r="L2677" s="74"/>
      <c r="M2677" s="74"/>
      <c r="N2677" s="74"/>
      <c r="O2677" s="75"/>
      <c r="P2677" s="74"/>
      <c r="Q2677" s="75"/>
      <c r="R2677" s="74"/>
      <c r="S2677" s="74"/>
      <c r="T2677" s="74"/>
      <c r="U2677" s="75"/>
      <c r="V2677" s="74"/>
      <c r="W2677" s="75"/>
      <c r="X2677" s="74"/>
      <c r="Y2677" s="74"/>
      <c r="Z2677" s="74"/>
      <c r="AA2677" s="74"/>
      <c r="AB2677" s="74"/>
      <c r="AC2677" s="74"/>
      <c r="AD2677" s="74"/>
      <c r="AE2677" s="74"/>
      <c r="AF2677" s="74"/>
      <c r="AG2677" s="74"/>
      <c r="AH2677" s="74"/>
    </row>
    <row r="2678" s="73" customFormat="1" spans="1:34">
      <c r="A2678" s="74"/>
      <c r="B2678" s="74"/>
      <c r="C2678" s="74"/>
      <c r="D2678" s="74"/>
      <c r="E2678" s="74"/>
      <c r="F2678" s="74"/>
      <c r="G2678" s="74"/>
      <c r="H2678" s="74"/>
      <c r="I2678" s="74"/>
      <c r="J2678" s="74"/>
      <c r="K2678" s="74"/>
      <c r="L2678" s="74"/>
      <c r="M2678" s="74"/>
      <c r="N2678" s="74"/>
      <c r="O2678" s="75"/>
      <c r="P2678" s="74"/>
      <c r="Q2678" s="75"/>
      <c r="R2678" s="74"/>
      <c r="S2678" s="74"/>
      <c r="T2678" s="74"/>
      <c r="U2678" s="75"/>
      <c r="V2678" s="74"/>
      <c r="W2678" s="75"/>
      <c r="X2678" s="74"/>
      <c r="Y2678" s="74"/>
      <c r="Z2678" s="74"/>
      <c r="AA2678" s="74"/>
      <c r="AB2678" s="74"/>
      <c r="AC2678" s="74"/>
      <c r="AD2678" s="74"/>
      <c r="AE2678" s="74"/>
      <c r="AF2678" s="74"/>
      <c r="AG2678" s="74"/>
      <c r="AH2678" s="74"/>
    </row>
    <row r="2679" s="73" customFormat="1" spans="1:34">
      <c r="A2679" s="74"/>
      <c r="B2679" s="74"/>
      <c r="C2679" s="74"/>
      <c r="D2679" s="74"/>
      <c r="E2679" s="74"/>
      <c r="F2679" s="74"/>
      <c r="G2679" s="74"/>
      <c r="H2679" s="74"/>
      <c r="I2679" s="74"/>
      <c r="J2679" s="74"/>
      <c r="K2679" s="74"/>
      <c r="L2679" s="74"/>
      <c r="M2679" s="74"/>
      <c r="N2679" s="74"/>
      <c r="O2679" s="75"/>
      <c r="P2679" s="74"/>
      <c r="Q2679" s="75"/>
      <c r="R2679" s="74"/>
      <c r="S2679" s="74"/>
      <c r="T2679" s="74"/>
      <c r="U2679" s="75"/>
      <c r="V2679" s="74"/>
      <c r="W2679" s="74"/>
      <c r="X2679" s="74"/>
      <c r="Y2679" s="74"/>
      <c r="Z2679" s="74"/>
      <c r="AA2679" s="74"/>
      <c r="AB2679" s="74"/>
      <c r="AC2679" s="74"/>
      <c r="AD2679" s="74"/>
      <c r="AE2679" s="74"/>
      <c r="AF2679" s="74"/>
      <c r="AG2679" s="74"/>
      <c r="AH2679" s="74"/>
    </row>
    <row r="2680" s="73" customFormat="1" spans="1:34">
      <c r="A2680" s="74"/>
      <c r="B2680" s="74"/>
      <c r="C2680" s="74"/>
      <c r="D2680" s="74"/>
      <c r="E2680" s="74"/>
      <c r="F2680" s="74"/>
      <c r="G2680" s="74"/>
      <c r="H2680" s="74"/>
      <c r="I2680" s="74"/>
      <c r="J2680" s="74"/>
      <c r="K2680" s="74"/>
      <c r="L2680" s="74"/>
      <c r="M2680" s="74"/>
      <c r="N2680" s="74"/>
      <c r="O2680" s="75"/>
      <c r="P2680" s="74"/>
      <c r="Q2680" s="75"/>
      <c r="R2680" s="74"/>
      <c r="S2680" s="74"/>
      <c r="T2680" s="74"/>
      <c r="U2680" s="75"/>
      <c r="V2680" s="74"/>
      <c r="W2680" s="75"/>
      <c r="X2680" s="74"/>
      <c r="Y2680" s="74"/>
      <c r="Z2680" s="74"/>
      <c r="AA2680" s="74"/>
      <c r="AB2680" s="74"/>
      <c r="AC2680" s="74"/>
      <c r="AD2680" s="74"/>
      <c r="AE2680" s="74"/>
      <c r="AF2680" s="74"/>
      <c r="AG2680" s="74"/>
      <c r="AH2680" s="74"/>
    </row>
    <row r="2682" s="73" customFormat="1" spans="1:34">
      <c r="A2682" s="74"/>
      <c r="B2682" s="74"/>
      <c r="C2682" s="74"/>
      <c r="D2682" s="74"/>
      <c r="E2682" s="74"/>
      <c r="F2682" s="74"/>
      <c r="G2682" s="74"/>
      <c r="H2682" s="74"/>
      <c r="I2682" s="74"/>
      <c r="J2682" s="74"/>
      <c r="K2682" s="74"/>
      <c r="L2682" s="74"/>
      <c r="M2682" s="74"/>
      <c r="N2682" s="74"/>
      <c r="O2682" s="75"/>
      <c r="P2682" s="74"/>
      <c r="Q2682" s="75"/>
      <c r="R2682" s="74"/>
      <c r="S2682" s="74"/>
      <c r="T2682" s="74"/>
      <c r="U2682" s="75"/>
      <c r="V2682" s="74"/>
      <c r="W2682" s="75"/>
      <c r="X2682" s="74"/>
      <c r="Y2682" s="74"/>
      <c r="Z2682" s="74"/>
      <c r="AA2682" s="74"/>
      <c r="AB2682" s="74"/>
      <c r="AC2682" s="74"/>
      <c r="AD2682" s="74"/>
      <c r="AE2682" s="74"/>
      <c r="AF2682" s="74"/>
      <c r="AG2682" s="74"/>
      <c r="AH2682" s="74"/>
    </row>
    <row r="2683" s="73" customFormat="1" spans="1:34">
      <c r="A2683" s="74"/>
      <c r="B2683" s="74"/>
      <c r="C2683" s="74"/>
      <c r="D2683" s="74"/>
      <c r="E2683" s="74"/>
      <c r="F2683" s="74"/>
      <c r="G2683" s="74"/>
      <c r="H2683" s="74"/>
      <c r="I2683" s="74"/>
      <c r="J2683" s="74"/>
      <c r="K2683" s="74"/>
      <c r="L2683" s="74"/>
      <c r="M2683" s="74"/>
      <c r="N2683" s="74"/>
      <c r="O2683" s="75"/>
      <c r="P2683" s="74"/>
      <c r="Q2683" s="75"/>
      <c r="R2683" s="74"/>
      <c r="S2683" s="74"/>
      <c r="T2683" s="74"/>
      <c r="U2683" s="75"/>
      <c r="V2683" s="74"/>
      <c r="W2683" s="75"/>
      <c r="X2683" s="74"/>
      <c r="Y2683" s="74"/>
      <c r="Z2683" s="74"/>
      <c r="AA2683" s="74"/>
      <c r="AB2683" s="74"/>
      <c r="AC2683" s="74"/>
      <c r="AD2683" s="74"/>
      <c r="AE2683" s="74"/>
      <c r="AF2683" s="74"/>
      <c r="AG2683" s="74"/>
      <c r="AH2683" s="74"/>
    </row>
    <row r="2684" s="73" customFormat="1" spans="1:34">
      <c r="A2684" s="74"/>
      <c r="B2684" s="74"/>
      <c r="C2684" s="74"/>
      <c r="D2684" s="74"/>
      <c r="E2684" s="74"/>
      <c r="F2684" s="74"/>
      <c r="G2684" s="74"/>
      <c r="H2684" s="74"/>
      <c r="I2684" s="74"/>
      <c r="J2684" s="74"/>
      <c r="K2684" s="74"/>
      <c r="L2684" s="74"/>
      <c r="M2684" s="74"/>
      <c r="N2684" s="74"/>
      <c r="O2684" s="75"/>
      <c r="P2684" s="74"/>
      <c r="Q2684" s="75"/>
      <c r="R2684" s="74"/>
      <c r="S2684" s="74"/>
      <c r="T2684" s="74"/>
      <c r="U2684" s="75"/>
      <c r="V2684" s="74"/>
      <c r="W2684" s="75"/>
      <c r="X2684" s="74"/>
      <c r="Y2684" s="74"/>
      <c r="Z2684" s="74"/>
      <c r="AA2684" s="74"/>
      <c r="AB2684" s="74"/>
      <c r="AC2684" s="74"/>
      <c r="AD2684" s="74"/>
      <c r="AE2684" s="74"/>
      <c r="AF2684" s="74"/>
      <c r="AG2684" s="74"/>
      <c r="AH2684" s="74"/>
    </row>
    <row r="2685" s="73" customFormat="1" spans="1:34">
      <c r="A2685" s="74"/>
      <c r="B2685" s="74"/>
      <c r="C2685" s="74"/>
      <c r="D2685" s="74"/>
      <c r="E2685" s="74"/>
      <c r="F2685" s="74"/>
      <c r="G2685" s="74"/>
      <c r="H2685" s="74"/>
      <c r="I2685" s="74"/>
      <c r="J2685" s="74"/>
      <c r="K2685" s="74"/>
      <c r="L2685" s="74"/>
      <c r="M2685" s="74"/>
      <c r="N2685" s="74"/>
      <c r="O2685" s="75"/>
      <c r="P2685" s="74"/>
      <c r="Q2685" s="75"/>
      <c r="R2685" s="74"/>
      <c r="S2685" s="74"/>
      <c r="T2685" s="74"/>
      <c r="U2685" s="75"/>
      <c r="V2685" s="74"/>
      <c r="W2685" s="75"/>
      <c r="X2685" s="74"/>
      <c r="Y2685" s="74"/>
      <c r="Z2685" s="74"/>
      <c r="AA2685" s="74"/>
      <c r="AB2685" s="74"/>
      <c r="AC2685" s="74"/>
      <c r="AD2685" s="74"/>
      <c r="AE2685" s="74"/>
      <c r="AF2685" s="74"/>
      <c r="AG2685" s="74"/>
      <c r="AH2685" s="74"/>
    </row>
    <row r="2686" s="73" customFormat="1" spans="1:34">
      <c r="A2686" s="74"/>
      <c r="B2686" s="74"/>
      <c r="C2686" s="74"/>
      <c r="D2686" s="74"/>
      <c r="E2686" s="74"/>
      <c r="F2686" s="74"/>
      <c r="G2686" s="74"/>
      <c r="H2686" s="74"/>
      <c r="I2686" s="74"/>
      <c r="J2686" s="74"/>
      <c r="K2686" s="74"/>
      <c r="L2686" s="74"/>
      <c r="M2686" s="74"/>
      <c r="N2686" s="74"/>
      <c r="O2686" s="75"/>
      <c r="P2686" s="74"/>
      <c r="Q2686" s="75"/>
      <c r="R2686" s="74"/>
      <c r="S2686" s="74"/>
      <c r="T2686" s="74"/>
      <c r="U2686" s="75"/>
      <c r="V2686" s="74"/>
      <c r="W2686" s="75"/>
      <c r="X2686" s="74"/>
      <c r="Y2686" s="74"/>
      <c r="Z2686" s="74"/>
      <c r="AA2686" s="74"/>
      <c r="AB2686" s="74"/>
      <c r="AC2686" s="74"/>
      <c r="AD2686" s="74"/>
      <c r="AE2686" s="74"/>
      <c r="AF2686" s="74"/>
      <c r="AG2686" s="74"/>
      <c r="AH2686" s="74"/>
    </row>
    <row r="2687" s="73" customFormat="1" spans="1:34">
      <c r="A2687" s="74"/>
      <c r="B2687" s="74"/>
      <c r="C2687" s="74"/>
      <c r="D2687" s="74"/>
      <c r="E2687" s="74"/>
      <c r="F2687" s="74"/>
      <c r="G2687" s="74"/>
      <c r="H2687" s="74"/>
      <c r="I2687" s="74"/>
      <c r="J2687" s="74"/>
      <c r="K2687" s="74"/>
      <c r="L2687" s="74"/>
      <c r="M2687" s="74"/>
      <c r="N2687" s="74"/>
      <c r="O2687" s="75"/>
      <c r="P2687" s="74"/>
      <c r="Q2687" s="75"/>
      <c r="R2687" s="74"/>
      <c r="S2687" s="74"/>
      <c r="T2687" s="74"/>
      <c r="U2687" s="75"/>
      <c r="V2687" s="74"/>
      <c r="W2687" s="75"/>
      <c r="X2687" s="74"/>
      <c r="Y2687" s="74"/>
      <c r="Z2687" s="74"/>
      <c r="AA2687" s="74"/>
      <c r="AB2687" s="74"/>
      <c r="AC2687" s="74"/>
      <c r="AD2687" s="74"/>
      <c r="AE2687" s="74"/>
      <c r="AF2687" s="74"/>
      <c r="AG2687" s="74"/>
      <c r="AH2687" s="74"/>
    </row>
    <row r="2688" s="73" customFormat="1" spans="1:34">
      <c r="A2688" s="74"/>
      <c r="B2688" s="74"/>
      <c r="C2688" s="74"/>
      <c r="D2688" s="74"/>
      <c r="E2688" s="74"/>
      <c r="F2688" s="74"/>
      <c r="G2688" s="74"/>
      <c r="H2688" s="74"/>
      <c r="I2688" s="74"/>
      <c r="J2688" s="74"/>
      <c r="K2688" s="74"/>
      <c r="L2688" s="74"/>
      <c r="M2688" s="74"/>
      <c r="N2688" s="74"/>
      <c r="O2688" s="75"/>
      <c r="P2688" s="74"/>
      <c r="Q2688" s="75"/>
      <c r="R2688" s="74"/>
      <c r="S2688" s="74"/>
      <c r="T2688" s="74"/>
      <c r="U2688" s="75"/>
      <c r="V2688" s="74"/>
      <c r="W2688" s="75"/>
      <c r="X2688" s="74"/>
      <c r="Y2688" s="74"/>
      <c r="Z2688" s="74"/>
      <c r="AA2688" s="74"/>
      <c r="AB2688" s="74"/>
      <c r="AC2688" s="74"/>
      <c r="AD2688" s="74"/>
      <c r="AE2688" s="74"/>
      <c r="AF2688" s="74"/>
      <c r="AG2688" s="74"/>
      <c r="AH2688" s="74"/>
    </row>
    <row r="2689" s="73" customFormat="1" spans="1:34">
      <c r="A2689" s="74"/>
      <c r="B2689" s="74"/>
      <c r="C2689" s="74"/>
      <c r="D2689" s="74"/>
      <c r="E2689" s="74"/>
      <c r="F2689" s="74"/>
      <c r="G2689" s="74"/>
      <c r="H2689" s="74"/>
      <c r="I2689" s="74"/>
      <c r="J2689" s="74"/>
      <c r="K2689" s="74"/>
      <c r="L2689" s="74"/>
      <c r="M2689" s="74"/>
      <c r="N2689" s="74"/>
      <c r="O2689" s="75"/>
      <c r="P2689" s="74"/>
      <c r="Q2689" s="75"/>
      <c r="R2689" s="74"/>
      <c r="S2689" s="74"/>
      <c r="T2689" s="74"/>
      <c r="U2689" s="75"/>
      <c r="V2689" s="74"/>
      <c r="W2689" s="75"/>
      <c r="X2689" s="74"/>
      <c r="Y2689" s="74"/>
      <c r="Z2689" s="74"/>
      <c r="AA2689" s="74"/>
      <c r="AB2689" s="74"/>
      <c r="AC2689" s="74"/>
      <c r="AD2689" s="74"/>
      <c r="AE2689" s="74"/>
      <c r="AF2689" s="74"/>
      <c r="AG2689" s="74"/>
      <c r="AH2689" s="74"/>
    </row>
    <row r="2690" s="73" customFormat="1" spans="1:34">
      <c r="A2690" s="74"/>
      <c r="B2690" s="74"/>
      <c r="C2690" s="74"/>
      <c r="D2690" s="74"/>
      <c r="E2690" s="74"/>
      <c r="F2690" s="74"/>
      <c r="G2690" s="74"/>
      <c r="H2690" s="74"/>
      <c r="I2690" s="74"/>
      <c r="J2690" s="74"/>
      <c r="K2690" s="74"/>
      <c r="L2690" s="74"/>
      <c r="M2690" s="74"/>
      <c r="N2690" s="74"/>
      <c r="O2690" s="75"/>
      <c r="P2690" s="74"/>
      <c r="Q2690" s="75"/>
      <c r="R2690" s="74"/>
      <c r="S2690" s="74"/>
      <c r="T2690" s="74"/>
      <c r="U2690" s="75"/>
      <c r="V2690" s="74"/>
      <c r="W2690" s="75"/>
      <c r="X2690" s="74"/>
      <c r="Y2690" s="74"/>
      <c r="Z2690" s="74"/>
      <c r="AA2690" s="74"/>
      <c r="AB2690" s="74"/>
      <c r="AC2690" s="74"/>
      <c r="AD2690" s="74"/>
      <c r="AE2690" s="74"/>
      <c r="AF2690" s="74"/>
      <c r="AG2690" s="74"/>
      <c r="AH2690" s="74"/>
    </row>
    <row r="2691" s="73" customFormat="1" spans="1:34">
      <c r="A2691" s="74"/>
      <c r="B2691" s="74"/>
      <c r="C2691" s="74"/>
      <c r="D2691" s="74"/>
      <c r="E2691" s="74"/>
      <c r="F2691" s="74"/>
      <c r="G2691" s="74"/>
      <c r="H2691" s="74"/>
      <c r="I2691" s="74"/>
      <c r="J2691" s="74"/>
      <c r="K2691" s="74"/>
      <c r="L2691" s="74"/>
      <c r="M2691" s="74"/>
      <c r="N2691" s="74"/>
      <c r="O2691" s="75"/>
      <c r="P2691" s="74"/>
      <c r="Q2691" s="75"/>
      <c r="R2691" s="74"/>
      <c r="S2691" s="74"/>
      <c r="T2691" s="74"/>
      <c r="U2691" s="75"/>
      <c r="V2691" s="74"/>
      <c r="W2691" s="75"/>
      <c r="X2691" s="74"/>
      <c r="Y2691" s="74"/>
      <c r="Z2691" s="74"/>
      <c r="AA2691" s="74"/>
      <c r="AB2691" s="74"/>
      <c r="AC2691" s="74"/>
      <c r="AD2691" s="74"/>
      <c r="AE2691" s="74"/>
      <c r="AF2691" s="74"/>
      <c r="AG2691" s="74"/>
      <c r="AH2691" s="74"/>
    </row>
    <row r="2692" s="73" customFormat="1" spans="1:34">
      <c r="A2692" s="74"/>
      <c r="B2692" s="74"/>
      <c r="C2692" s="74"/>
      <c r="D2692" s="74"/>
      <c r="E2692" s="74"/>
      <c r="F2692" s="74"/>
      <c r="G2692" s="74"/>
      <c r="H2692" s="74"/>
      <c r="I2692" s="74"/>
      <c r="J2692" s="74"/>
      <c r="K2692" s="74"/>
      <c r="L2692" s="74"/>
      <c r="M2692" s="74"/>
      <c r="N2692" s="74"/>
      <c r="O2692" s="75"/>
      <c r="P2692" s="74"/>
      <c r="Q2692" s="75"/>
      <c r="R2692" s="74"/>
      <c r="S2692" s="74"/>
      <c r="T2692" s="74"/>
      <c r="U2692" s="75"/>
      <c r="V2692" s="74"/>
      <c r="W2692" s="75"/>
      <c r="X2692" s="74"/>
      <c r="Y2692" s="74"/>
      <c r="Z2692" s="74"/>
      <c r="AA2692" s="74"/>
      <c r="AB2692" s="74"/>
      <c r="AC2692" s="74"/>
      <c r="AD2692" s="74"/>
      <c r="AE2692" s="74"/>
      <c r="AF2692" s="74"/>
      <c r="AG2692" s="74"/>
      <c r="AH2692" s="74"/>
    </row>
    <row r="2693" s="73" customFormat="1" spans="1:34">
      <c r="A2693" s="74"/>
      <c r="B2693" s="74"/>
      <c r="C2693" s="74"/>
      <c r="D2693" s="74"/>
      <c r="E2693" s="74"/>
      <c r="F2693" s="74"/>
      <c r="G2693" s="74"/>
      <c r="H2693" s="74"/>
      <c r="I2693" s="74"/>
      <c r="J2693" s="74"/>
      <c r="K2693" s="74"/>
      <c r="L2693" s="74"/>
      <c r="M2693" s="74"/>
      <c r="N2693" s="74"/>
      <c r="O2693" s="75"/>
      <c r="P2693" s="74"/>
      <c r="Q2693" s="75"/>
      <c r="R2693" s="74"/>
      <c r="S2693" s="74"/>
      <c r="T2693" s="74"/>
      <c r="U2693" s="75"/>
      <c r="V2693" s="74"/>
      <c r="W2693" s="75"/>
      <c r="X2693" s="74"/>
      <c r="Y2693" s="74"/>
      <c r="Z2693" s="74"/>
      <c r="AA2693" s="74"/>
      <c r="AB2693" s="74"/>
      <c r="AC2693" s="74"/>
      <c r="AD2693" s="74"/>
      <c r="AE2693" s="74"/>
      <c r="AF2693" s="74"/>
      <c r="AG2693" s="74"/>
      <c r="AH2693" s="74"/>
    </row>
    <row r="2694" s="73" customFormat="1" spans="1:34">
      <c r="A2694" s="74"/>
      <c r="B2694" s="74"/>
      <c r="C2694" s="74"/>
      <c r="D2694" s="74"/>
      <c r="E2694" s="74"/>
      <c r="F2694" s="74"/>
      <c r="G2694" s="74"/>
      <c r="H2694" s="74"/>
      <c r="I2694" s="74"/>
      <c r="J2694" s="74"/>
      <c r="K2694" s="74"/>
      <c r="L2694" s="74"/>
      <c r="M2694" s="74"/>
      <c r="N2694" s="74"/>
      <c r="O2694" s="75"/>
      <c r="P2694" s="74"/>
      <c r="Q2694" s="75"/>
      <c r="R2694" s="74"/>
      <c r="S2694" s="74"/>
      <c r="T2694" s="74"/>
      <c r="U2694" s="75"/>
      <c r="V2694" s="74"/>
      <c r="W2694" s="75"/>
      <c r="X2694" s="74"/>
      <c r="Y2694" s="74"/>
      <c r="Z2694" s="74"/>
      <c r="AA2694" s="74"/>
      <c r="AB2694" s="74"/>
      <c r="AC2694" s="74"/>
      <c r="AD2694" s="74"/>
      <c r="AE2694" s="74"/>
      <c r="AF2694" s="74"/>
      <c r="AG2694" s="74"/>
      <c r="AH2694" s="74"/>
    </row>
    <row r="2695" s="73" customFormat="1" spans="1:34">
      <c r="A2695" s="74"/>
      <c r="B2695" s="74"/>
      <c r="C2695" s="74"/>
      <c r="D2695" s="74"/>
      <c r="E2695" s="74"/>
      <c r="F2695" s="74"/>
      <c r="G2695" s="74"/>
      <c r="H2695" s="74"/>
      <c r="I2695" s="74"/>
      <c r="J2695" s="74"/>
      <c r="K2695" s="74"/>
      <c r="L2695" s="74"/>
      <c r="M2695" s="74"/>
      <c r="N2695" s="74"/>
      <c r="O2695" s="75"/>
      <c r="P2695" s="74"/>
      <c r="Q2695" s="75"/>
      <c r="R2695" s="74"/>
      <c r="S2695" s="74"/>
      <c r="T2695" s="74"/>
      <c r="U2695" s="75"/>
      <c r="V2695" s="74"/>
      <c r="W2695" s="75"/>
      <c r="X2695" s="74"/>
      <c r="Y2695" s="74"/>
      <c r="Z2695" s="74"/>
      <c r="AA2695" s="74"/>
      <c r="AB2695" s="74"/>
      <c r="AC2695" s="74"/>
      <c r="AD2695" s="74"/>
      <c r="AE2695" s="74"/>
      <c r="AF2695" s="74"/>
      <c r="AG2695" s="74"/>
      <c r="AH2695" s="74"/>
    </row>
    <row r="2696" s="73" customFormat="1" spans="1:34">
      <c r="A2696" s="74"/>
      <c r="B2696" s="74"/>
      <c r="C2696" s="74"/>
      <c r="D2696" s="74"/>
      <c r="E2696" s="74"/>
      <c r="F2696" s="74"/>
      <c r="G2696" s="74"/>
      <c r="H2696" s="74"/>
      <c r="I2696" s="74"/>
      <c r="J2696" s="74"/>
      <c r="K2696" s="74"/>
      <c r="L2696" s="74"/>
      <c r="M2696" s="74"/>
      <c r="N2696" s="74"/>
      <c r="O2696" s="75"/>
      <c r="P2696" s="74"/>
      <c r="Q2696" s="75"/>
      <c r="R2696" s="74"/>
      <c r="S2696" s="74"/>
      <c r="T2696" s="74"/>
      <c r="U2696" s="75"/>
      <c r="V2696" s="74"/>
      <c r="W2696" s="75"/>
      <c r="X2696" s="74"/>
      <c r="Y2696" s="74"/>
      <c r="Z2696" s="74"/>
      <c r="AA2696" s="74"/>
      <c r="AB2696" s="74"/>
      <c r="AC2696" s="74"/>
      <c r="AD2696" s="74"/>
      <c r="AE2696" s="74"/>
      <c r="AF2696" s="74"/>
      <c r="AG2696" s="74"/>
      <c r="AH2696" s="74"/>
    </row>
    <row r="2697" s="73" customFormat="1" spans="1:34">
      <c r="A2697" s="74"/>
      <c r="B2697" s="74"/>
      <c r="C2697" s="74"/>
      <c r="D2697" s="74"/>
      <c r="E2697" s="74"/>
      <c r="F2697" s="74"/>
      <c r="G2697" s="74"/>
      <c r="H2697" s="74"/>
      <c r="I2697" s="74"/>
      <c r="J2697" s="74"/>
      <c r="K2697" s="74"/>
      <c r="L2697" s="74"/>
      <c r="M2697" s="74"/>
      <c r="N2697" s="74"/>
      <c r="O2697" s="75"/>
      <c r="P2697" s="74"/>
      <c r="Q2697" s="75"/>
      <c r="R2697" s="74"/>
      <c r="S2697" s="74"/>
      <c r="T2697" s="74"/>
      <c r="U2697" s="75"/>
      <c r="V2697" s="74"/>
      <c r="W2697" s="75"/>
      <c r="X2697" s="74"/>
      <c r="Y2697" s="74"/>
      <c r="Z2697" s="74"/>
      <c r="AA2697" s="74"/>
      <c r="AB2697" s="74"/>
      <c r="AC2697" s="74"/>
      <c r="AD2697" s="74"/>
      <c r="AE2697" s="74"/>
      <c r="AF2697" s="74"/>
      <c r="AG2697" s="74"/>
      <c r="AH2697" s="74"/>
    </row>
    <row r="2698" s="73" customFormat="1" spans="1:34">
      <c r="A2698" s="74"/>
      <c r="B2698" s="74"/>
      <c r="C2698" s="74"/>
      <c r="D2698" s="74"/>
      <c r="E2698" s="74"/>
      <c r="F2698" s="74"/>
      <c r="G2698" s="74"/>
      <c r="H2698" s="74"/>
      <c r="I2698" s="74"/>
      <c r="J2698" s="74"/>
      <c r="K2698" s="74"/>
      <c r="L2698" s="74"/>
      <c r="M2698" s="74"/>
      <c r="N2698" s="74"/>
      <c r="O2698" s="75"/>
      <c r="P2698" s="74"/>
      <c r="Q2698" s="75"/>
      <c r="R2698" s="74"/>
      <c r="S2698" s="74"/>
      <c r="T2698" s="74"/>
      <c r="U2698" s="75"/>
      <c r="V2698" s="74"/>
      <c r="W2698" s="75"/>
      <c r="X2698" s="74"/>
      <c r="Y2698" s="74"/>
      <c r="Z2698" s="74"/>
      <c r="AA2698" s="74"/>
      <c r="AB2698" s="74"/>
      <c r="AC2698" s="74"/>
      <c r="AD2698" s="74"/>
      <c r="AE2698" s="74"/>
      <c r="AF2698" s="74"/>
      <c r="AG2698" s="74"/>
      <c r="AH2698" s="74"/>
    </row>
    <row r="2699" s="73" customFormat="1" spans="1:34">
      <c r="A2699" s="74"/>
      <c r="B2699" s="74"/>
      <c r="C2699" s="74"/>
      <c r="D2699" s="74"/>
      <c r="E2699" s="74"/>
      <c r="F2699" s="74"/>
      <c r="G2699" s="74"/>
      <c r="H2699" s="74"/>
      <c r="I2699" s="74"/>
      <c r="J2699" s="74"/>
      <c r="K2699" s="74"/>
      <c r="L2699" s="74"/>
      <c r="M2699" s="74"/>
      <c r="N2699" s="74"/>
      <c r="O2699" s="75"/>
      <c r="P2699" s="74"/>
      <c r="Q2699" s="75"/>
      <c r="R2699" s="74"/>
      <c r="S2699" s="74"/>
      <c r="T2699" s="74"/>
      <c r="U2699" s="75"/>
      <c r="V2699" s="74"/>
      <c r="W2699" s="75"/>
      <c r="X2699" s="74"/>
      <c r="Y2699" s="74"/>
      <c r="Z2699" s="74"/>
      <c r="AA2699" s="74"/>
      <c r="AB2699" s="74"/>
      <c r="AC2699" s="74"/>
      <c r="AD2699" s="74"/>
      <c r="AE2699" s="74"/>
      <c r="AF2699" s="74"/>
      <c r="AG2699" s="74"/>
      <c r="AH2699" s="74"/>
    </row>
    <row r="2700" s="73" customFormat="1" spans="1:34">
      <c r="A2700" s="74"/>
      <c r="B2700" s="74"/>
      <c r="C2700" s="74"/>
      <c r="D2700" s="74"/>
      <c r="E2700" s="74"/>
      <c r="F2700" s="74"/>
      <c r="G2700" s="74"/>
      <c r="H2700" s="74"/>
      <c r="I2700" s="74"/>
      <c r="J2700" s="74"/>
      <c r="K2700" s="74"/>
      <c r="L2700" s="74"/>
      <c r="M2700" s="74"/>
      <c r="N2700" s="74"/>
      <c r="O2700" s="75"/>
      <c r="P2700" s="74"/>
      <c r="Q2700" s="75"/>
      <c r="R2700" s="74"/>
      <c r="S2700" s="74"/>
      <c r="T2700" s="74"/>
      <c r="U2700" s="75"/>
      <c r="V2700" s="74"/>
      <c r="W2700" s="75"/>
      <c r="X2700" s="74"/>
      <c r="Y2700" s="74"/>
      <c r="Z2700" s="74"/>
      <c r="AA2700" s="74"/>
      <c r="AB2700" s="74"/>
      <c r="AC2700" s="74"/>
      <c r="AD2700" s="74"/>
      <c r="AE2700" s="74"/>
      <c r="AF2700" s="74"/>
      <c r="AG2700" s="74"/>
      <c r="AH2700" s="74"/>
    </row>
    <row r="2701" s="73" customFormat="1" spans="1:34">
      <c r="A2701" s="74"/>
      <c r="B2701" s="74"/>
      <c r="C2701" s="74"/>
      <c r="D2701" s="74"/>
      <c r="E2701" s="74"/>
      <c r="F2701" s="74"/>
      <c r="G2701" s="74"/>
      <c r="H2701" s="74"/>
      <c r="I2701" s="74"/>
      <c r="J2701" s="74"/>
      <c r="K2701" s="74"/>
      <c r="L2701" s="74"/>
      <c r="M2701" s="74"/>
      <c r="N2701" s="74"/>
      <c r="O2701" s="75"/>
      <c r="P2701" s="74"/>
      <c r="Q2701" s="75"/>
      <c r="R2701" s="74"/>
      <c r="S2701" s="74"/>
      <c r="T2701" s="74"/>
      <c r="U2701" s="75"/>
      <c r="V2701" s="74"/>
      <c r="W2701" s="75"/>
      <c r="X2701" s="74"/>
      <c r="Y2701" s="74"/>
      <c r="Z2701" s="74"/>
      <c r="AA2701" s="74"/>
      <c r="AB2701" s="74"/>
      <c r="AC2701" s="74"/>
      <c r="AD2701" s="74"/>
      <c r="AE2701" s="74"/>
      <c r="AF2701" s="74"/>
      <c r="AG2701" s="74"/>
      <c r="AH2701" s="74"/>
    </row>
    <row r="2702" s="73" customFormat="1" spans="1:34">
      <c r="A2702" s="74"/>
      <c r="B2702" s="74"/>
      <c r="C2702" s="74"/>
      <c r="D2702" s="74"/>
      <c r="E2702" s="74"/>
      <c r="F2702" s="74"/>
      <c r="G2702" s="74"/>
      <c r="H2702" s="74"/>
      <c r="I2702" s="74"/>
      <c r="J2702" s="74"/>
      <c r="K2702" s="74"/>
      <c r="L2702" s="74"/>
      <c r="M2702" s="74"/>
      <c r="N2702" s="74"/>
      <c r="O2702" s="75"/>
      <c r="P2702" s="74"/>
      <c r="Q2702" s="75"/>
      <c r="R2702" s="74"/>
      <c r="S2702" s="74"/>
      <c r="T2702" s="74"/>
      <c r="U2702" s="75"/>
      <c r="V2702" s="74"/>
      <c r="W2702" s="75"/>
      <c r="X2702" s="74"/>
      <c r="Y2702" s="74"/>
      <c r="Z2702" s="74"/>
      <c r="AA2702" s="74"/>
      <c r="AB2702" s="74"/>
      <c r="AC2702" s="74"/>
      <c r="AD2702" s="74"/>
      <c r="AE2702" s="74"/>
      <c r="AF2702" s="74"/>
      <c r="AG2702" s="74"/>
      <c r="AH2702" s="74"/>
    </row>
    <row r="2703" s="73" customFormat="1" spans="1:34">
      <c r="A2703" s="74"/>
      <c r="B2703" s="74"/>
      <c r="C2703" s="74"/>
      <c r="D2703" s="74"/>
      <c r="E2703" s="74"/>
      <c r="F2703" s="74"/>
      <c r="G2703" s="74"/>
      <c r="H2703" s="74"/>
      <c r="I2703" s="74"/>
      <c r="J2703" s="74"/>
      <c r="K2703" s="74"/>
      <c r="L2703" s="74"/>
      <c r="M2703" s="74"/>
      <c r="N2703" s="74"/>
      <c r="O2703" s="75"/>
      <c r="P2703" s="74"/>
      <c r="Q2703" s="75"/>
      <c r="R2703" s="74"/>
      <c r="S2703" s="74"/>
      <c r="T2703" s="74"/>
      <c r="U2703" s="75"/>
      <c r="V2703" s="74"/>
      <c r="W2703" s="75"/>
      <c r="X2703" s="74"/>
      <c r="Y2703" s="74"/>
      <c r="Z2703" s="74"/>
      <c r="AA2703" s="74"/>
      <c r="AB2703" s="74"/>
      <c r="AC2703" s="74"/>
      <c r="AD2703" s="74"/>
      <c r="AE2703" s="74"/>
      <c r="AF2703" s="74"/>
      <c r="AG2703" s="74"/>
      <c r="AH2703" s="74"/>
    </row>
    <row r="2704" s="73" customFormat="1" spans="1:34">
      <c r="A2704" s="74"/>
      <c r="B2704" s="74"/>
      <c r="C2704" s="74"/>
      <c r="D2704" s="74"/>
      <c r="E2704" s="74"/>
      <c r="F2704" s="74"/>
      <c r="G2704" s="74"/>
      <c r="H2704" s="74"/>
      <c r="I2704" s="74"/>
      <c r="J2704" s="74"/>
      <c r="K2704" s="74"/>
      <c r="L2704" s="74"/>
      <c r="M2704" s="74"/>
      <c r="N2704" s="74"/>
      <c r="O2704" s="75"/>
      <c r="P2704" s="74"/>
      <c r="Q2704" s="75"/>
      <c r="R2704" s="74"/>
      <c r="S2704" s="74"/>
      <c r="T2704" s="74"/>
      <c r="U2704" s="75"/>
      <c r="V2704" s="74"/>
      <c r="W2704" s="75"/>
      <c r="X2704" s="74"/>
      <c r="Y2704" s="74"/>
      <c r="Z2704" s="74"/>
      <c r="AA2704" s="74"/>
      <c r="AB2704" s="74"/>
      <c r="AC2704" s="74"/>
      <c r="AD2704" s="74"/>
      <c r="AE2704" s="74"/>
      <c r="AF2704" s="74"/>
      <c r="AG2704" s="74"/>
      <c r="AH2704" s="74"/>
    </row>
    <row r="2705" s="73" customFormat="1" spans="1:34">
      <c r="A2705" s="74"/>
      <c r="B2705" s="74"/>
      <c r="C2705" s="74"/>
      <c r="D2705" s="74"/>
      <c r="E2705" s="74"/>
      <c r="F2705" s="74"/>
      <c r="G2705" s="74"/>
      <c r="H2705" s="74"/>
      <c r="I2705" s="74"/>
      <c r="J2705" s="74"/>
      <c r="K2705" s="74"/>
      <c r="L2705" s="74"/>
      <c r="M2705" s="74"/>
      <c r="N2705" s="74"/>
      <c r="O2705" s="75"/>
      <c r="P2705" s="74"/>
      <c r="Q2705" s="75"/>
      <c r="R2705" s="74"/>
      <c r="S2705" s="74"/>
      <c r="T2705" s="74"/>
      <c r="U2705" s="75"/>
      <c r="V2705" s="74"/>
      <c r="W2705" s="75"/>
      <c r="X2705" s="74"/>
      <c r="Y2705" s="74"/>
      <c r="Z2705" s="74"/>
      <c r="AA2705" s="74"/>
      <c r="AB2705" s="74"/>
      <c r="AC2705" s="74"/>
      <c r="AD2705" s="74"/>
      <c r="AE2705" s="74"/>
      <c r="AF2705" s="74"/>
      <c r="AG2705" s="74"/>
      <c r="AH2705" s="74"/>
    </row>
    <row r="2706" s="73" customFormat="1" spans="1:34">
      <c r="A2706" s="74"/>
      <c r="B2706" s="74"/>
      <c r="C2706" s="74"/>
      <c r="D2706" s="74"/>
      <c r="E2706" s="74"/>
      <c r="F2706" s="74"/>
      <c r="G2706" s="74"/>
      <c r="H2706" s="74"/>
      <c r="I2706" s="74"/>
      <c r="J2706" s="74"/>
      <c r="K2706" s="74"/>
      <c r="L2706" s="74"/>
      <c r="M2706" s="74"/>
      <c r="N2706" s="74"/>
      <c r="O2706" s="75"/>
      <c r="P2706" s="74"/>
      <c r="Q2706" s="75"/>
      <c r="R2706" s="74"/>
      <c r="S2706" s="74"/>
      <c r="T2706" s="74"/>
      <c r="U2706" s="75"/>
      <c r="V2706" s="74"/>
      <c r="W2706" s="75"/>
      <c r="X2706" s="74"/>
      <c r="Y2706" s="74"/>
      <c r="Z2706" s="74"/>
      <c r="AA2706" s="74"/>
      <c r="AB2706" s="74"/>
      <c r="AC2706" s="74"/>
      <c r="AD2706" s="74"/>
      <c r="AE2706" s="74"/>
      <c r="AF2706" s="74"/>
      <c r="AG2706" s="74"/>
      <c r="AH2706" s="74"/>
    </row>
    <row r="2707" s="73" customFormat="1" spans="1:34">
      <c r="A2707" s="74"/>
      <c r="B2707" s="74"/>
      <c r="C2707" s="74"/>
      <c r="D2707" s="74"/>
      <c r="E2707" s="74"/>
      <c r="F2707" s="74"/>
      <c r="G2707" s="74"/>
      <c r="H2707" s="74"/>
      <c r="I2707" s="74"/>
      <c r="J2707" s="74"/>
      <c r="K2707" s="74"/>
      <c r="L2707" s="74"/>
      <c r="M2707" s="74"/>
      <c r="N2707" s="74"/>
      <c r="O2707" s="75"/>
      <c r="P2707" s="74"/>
      <c r="Q2707" s="75"/>
      <c r="R2707" s="74"/>
      <c r="S2707" s="74"/>
      <c r="T2707" s="74"/>
      <c r="U2707" s="75"/>
      <c r="V2707" s="74"/>
      <c r="W2707" s="75"/>
      <c r="X2707" s="74"/>
      <c r="Y2707" s="74"/>
      <c r="Z2707" s="74"/>
      <c r="AA2707" s="74"/>
      <c r="AB2707" s="74"/>
      <c r="AC2707" s="74"/>
      <c r="AD2707" s="74"/>
      <c r="AE2707" s="74"/>
      <c r="AF2707" s="74"/>
      <c r="AG2707" s="74"/>
      <c r="AH2707" s="74"/>
    </row>
    <row r="2708" s="73" customFormat="1" spans="1:34">
      <c r="A2708" s="74"/>
      <c r="B2708" s="74"/>
      <c r="C2708" s="74"/>
      <c r="D2708" s="74"/>
      <c r="E2708" s="74"/>
      <c r="F2708" s="74"/>
      <c r="G2708" s="74"/>
      <c r="H2708" s="74"/>
      <c r="I2708" s="74"/>
      <c r="J2708" s="74"/>
      <c r="K2708" s="74"/>
      <c r="L2708" s="74"/>
      <c r="M2708" s="74"/>
      <c r="N2708" s="74"/>
      <c r="O2708" s="75"/>
      <c r="P2708" s="74"/>
      <c r="Q2708" s="75"/>
      <c r="R2708" s="74"/>
      <c r="S2708" s="74"/>
      <c r="T2708" s="74"/>
      <c r="U2708" s="75"/>
      <c r="V2708" s="74"/>
      <c r="W2708" s="75"/>
      <c r="X2708" s="74"/>
      <c r="Y2708" s="74"/>
      <c r="Z2708" s="74"/>
      <c r="AA2708" s="74"/>
      <c r="AB2708" s="74"/>
      <c r="AC2708" s="74"/>
      <c r="AD2708" s="74"/>
      <c r="AE2708" s="74"/>
      <c r="AF2708" s="74"/>
      <c r="AG2708" s="74"/>
      <c r="AH2708" s="74"/>
    </row>
    <row r="2709" s="73" customFormat="1" spans="1:34">
      <c r="A2709" s="74"/>
      <c r="B2709" s="74"/>
      <c r="C2709" s="74"/>
      <c r="D2709" s="74"/>
      <c r="E2709" s="74"/>
      <c r="F2709" s="74"/>
      <c r="G2709" s="74"/>
      <c r="H2709" s="74"/>
      <c r="I2709" s="74"/>
      <c r="J2709" s="74"/>
      <c r="K2709" s="74"/>
      <c r="L2709" s="74"/>
      <c r="M2709" s="74"/>
      <c r="N2709" s="74"/>
      <c r="O2709" s="75"/>
      <c r="P2709" s="74"/>
      <c r="Q2709" s="75"/>
      <c r="R2709" s="74"/>
      <c r="S2709" s="74"/>
      <c r="T2709" s="74"/>
      <c r="U2709" s="75"/>
      <c r="V2709" s="74"/>
      <c r="W2709" s="75"/>
      <c r="X2709" s="74"/>
      <c r="Y2709" s="74"/>
      <c r="Z2709" s="74"/>
      <c r="AA2709" s="74"/>
      <c r="AB2709" s="74"/>
      <c r="AC2709" s="74"/>
      <c r="AD2709" s="74"/>
      <c r="AE2709" s="74"/>
      <c r="AF2709" s="74"/>
      <c r="AG2709" s="74"/>
      <c r="AH2709" s="74"/>
    </row>
    <row r="2710" s="73" customFormat="1" spans="1:34">
      <c r="A2710" s="74"/>
      <c r="B2710" s="74"/>
      <c r="C2710" s="74"/>
      <c r="D2710" s="74"/>
      <c r="E2710" s="74"/>
      <c r="F2710" s="74"/>
      <c r="G2710" s="74"/>
      <c r="H2710" s="74"/>
      <c r="I2710" s="74"/>
      <c r="J2710" s="74"/>
      <c r="K2710" s="74"/>
      <c r="L2710" s="74"/>
      <c r="M2710" s="74"/>
      <c r="N2710" s="74"/>
      <c r="O2710" s="75"/>
      <c r="P2710" s="74"/>
      <c r="Q2710" s="75"/>
      <c r="R2710" s="74"/>
      <c r="S2710" s="74"/>
      <c r="T2710" s="74"/>
      <c r="U2710" s="75"/>
      <c r="V2710" s="74"/>
      <c r="W2710" s="75"/>
      <c r="X2710" s="74"/>
      <c r="Y2710" s="74"/>
      <c r="Z2710" s="74"/>
      <c r="AA2710" s="74"/>
      <c r="AB2710" s="74"/>
      <c r="AC2710" s="74"/>
      <c r="AD2710" s="74"/>
      <c r="AE2710" s="74"/>
      <c r="AF2710" s="74"/>
      <c r="AG2710" s="74"/>
      <c r="AH2710" s="74"/>
    </row>
    <row r="2711" s="73" customFormat="1" spans="1:34">
      <c r="A2711" s="74"/>
      <c r="B2711" s="74"/>
      <c r="C2711" s="74"/>
      <c r="D2711" s="74"/>
      <c r="E2711" s="74"/>
      <c r="F2711" s="74"/>
      <c r="G2711" s="74"/>
      <c r="H2711" s="74"/>
      <c r="I2711" s="74"/>
      <c r="J2711" s="74"/>
      <c r="K2711" s="74"/>
      <c r="L2711" s="74"/>
      <c r="M2711" s="74"/>
      <c r="N2711" s="74"/>
      <c r="O2711" s="75"/>
      <c r="P2711" s="74"/>
      <c r="Q2711" s="75"/>
      <c r="R2711" s="74"/>
      <c r="S2711" s="74"/>
      <c r="T2711" s="74"/>
      <c r="U2711" s="75"/>
      <c r="V2711" s="74"/>
      <c r="W2711" s="75"/>
      <c r="X2711" s="74"/>
      <c r="Y2711" s="74"/>
      <c r="Z2711" s="74"/>
      <c r="AA2711" s="74"/>
      <c r="AB2711" s="74"/>
      <c r="AC2711" s="74"/>
      <c r="AD2711" s="74"/>
      <c r="AE2711" s="74"/>
      <c r="AF2711" s="74"/>
      <c r="AG2711" s="74"/>
      <c r="AH2711" s="74"/>
    </row>
    <row r="2712" s="73" customFormat="1" spans="1:34">
      <c r="A2712" s="74"/>
      <c r="B2712" s="74"/>
      <c r="C2712" s="74"/>
      <c r="D2712" s="74"/>
      <c r="E2712" s="74"/>
      <c r="F2712" s="74"/>
      <c r="G2712" s="74"/>
      <c r="H2712" s="74"/>
      <c r="I2712" s="74"/>
      <c r="J2712" s="74"/>
      <c r="K2712" s="74"/>
      <c r="L2712" s="74"/>
      <c r="M2712" s="74"/>
      <c r="N2712" s="74"/>
      <c r="O2712" s="75"/>
      <c r="P2712" s="74"/>
      <c r="Q2712" s="75"/>
      <c r="R2712" s="74"/>
      <c r="S2712" s="74"/>
      <c r="T2712" s="74"/>
      <c r="U2712" s="75"/>
      <c r="V2712" s="74"/>
      <c r="W2712" s="75"/>
      <c r="X2712" s="74"/>
      <c r="Y2712" s="74"/>
      <c r="Z2712" s="74"/>
      <c r="AA2712" s="74"/>
      <c r="AB2712" s="74"/>
      <c r="AC2712" s="74"/>
      <c r="AD2712" s="74"/>
      <c r="AE2712" s="74"/>
      <c r="AF2712" s="74"/>
      <c r="AG2712" s="74"/>
      <c r="AH2712" s="74"/>
    </row>
    <row r="2713" s="73" customFormat="1" spans="1:34">
      <c r="A2713" s="74"/>
      <c r="B2713" s="74"/>
      <c r="C2713" s="74"/>
      <c r="D2713" s="74"/>
      <c r="E2713" s="74"/>
      <c r="F2713" s="74"/>
      <c r="G2713" s="74"/>
      <c r="H2713" s="74"/>
      <c r="I2713" s="74"/>
      <c r="J2713" s="74"/>
      <c r="K2713" s="74"/>
      <c r="L2713" s="74"/>
      <c r="M2713" s="74"/>
      <c r="N2713" s="74"/>
      <c r="O2713" s="75"/>
      <c r="P2713" s="74"/>
      <c r="Q2713" s="75"/>
      <c r="R2713" s="74"/>
      <c r="S2713" s="74"/>
      <c r="T2713" s="74"/>
      <c r="U2713" s="75"/>
      <c r="V2713" s="74"/>
      <c r="W2713" s="75"/>
      <c r="X2713" s="74"/>
      <c r="Y2713" s="74"/>
      <c r="Z2713" s="74"/>
      <c r="AA2713" s="74"/>
      <c r="AB2713" s="74"/>
      <c r="AC2713" s="74"/>
      <c r="AD2713" s="74"/>
      <c r="AE2713" s="74"/>
      <c r="AF2713" s="74"/>
      <c r="AG2713" s="74"/>
      <c r="AH2713" s="74"/>
    </row>
    <row r="2714" s="73" customFormat="1" spans="1:34">
      <c r="A2714" s="74"/>
      <c r="B2714" s="74"/>
      <c r="C2714" s="74"/>
      <c r="D2714" s="74"/>
      <c r="E2714" s="74"/>
      <c r="F2714" s="74"/>
      <c r="G2714" s="74"/>
      <c r="H2714" s="74"/>
      <c r="I2714" s="74"/>
      <c r="J2714" s="74"/>
      <c r="K2714" s="74"/>
      <c r="L2714" s="74"/>
      <c r="M2714" s="74"/>
      <c r="N2714" s="74"/>
      <c r="O2714" s="75"/>
      <c r="P2714" s="74"/>
      <c r="Q2714" s="75"/>
      <c r="R2714" s="74"/>
      <c r="S2714" s="74"/>
      <c r="T2714" s="74"/>
      <c r="U2714" s="75"/>
      <c r="V2714" s="74"/>
      <c r="W2714" s="75"/>
      <c r="X2714" s="74"/>
      <c r="Y2714" s="74"/>
      <c r="Z2714" s="74"/>
      <c r="AA2714" s="74"/>
      <c r="AB2714" s="74"/>
      <c r="AC2714" s="74"/>
      <c r="AD2714" s="74"/>
      <c r="AE2714" s="74"/>
      <c r="AF2714" s="74"/>
      <c r="AG2714" s="74"/>
      <c r="AH2714" s="74"/>
    </row>
    <row r="2715" s="73" customFormat="1" spans="1:34">
      <c r="A2715" s="74"/>
      <c r="B2715" s="74"/>
      <c r="C2715" s="74"/>
      <c r="D2715" s="74"/>
      <c r="E2715" s="74"/>
      <c r="F2715" s="74"/>
      <c r="G2715" s="74"/>
      <c r="H2715" s="74"/>
      <c r="I2715" s="74"/>
      <c r="J2715" s="74"/>
      <c r="K2715" s="74"/>
      <c r="L2715" s="74"/>
      <c r="M2715" s="74"/>
      <c r="N2715" s="74"/>
      <c r="O2715" s="75"/>
      <c r="P2715" s="74"/>
      <c r="Q2715" s="75"/>
      <c r="R2715" s="74"/>
      <c r="S2715" s="74"/>
      <c r="T2715" s="74"/>
      <c r="U2715" s="75"/>
      <c r="V2715" s="74"/>
      <c r="W2715" s="75"/>
      <c r="X2715" s="74"/>
      <c r="Y2715" s="74"/>
      <c r="Z2715" s="74"/>
      <c r="AA2715" s="74"/>
      <c r="AB2715" s="74"/>
      <c r="AC2715" s="74"/>
      <c r="AD2715" s="74"/>
      <c r="AE2715" s="74"/>
      <c r="AF2715" s="74"/>
      <c r="AG2715" s="74"/>
      <c r="AH2715" s="74"/>
    </row>
    <row r="2716" s="73" customFormat="1" spans="1:34">
      <c r="A2716" s="74"/>
      <c r="B2716" s="74"/>
      <c r="C2716" s="74"/>
      <c r="D2716" s="74"/>
      <c r="E2716" s="74"/>
      <c r="F2716" s="74"/>
      <c r="G2716" s="74"/>
      <c r="H2716" s="74"/>
      <c r="I2716" s="74"/>
      <c r="J2716" s="74"/>
      <c r="K2716" s="74"/>
      <c r="L2716" s="74"/>
      <c r="M2716" s="74"/>
      <c r="N2716" s="74"/>
      <c r="O2716" s="75"/>
      <c r="P2716" s="74"/>
      <c r="Q2716" s="75"/>
      <c r="R2716" s="74"/>
      <c r="S2716" s="74"/>
      <c r="T2716" s="74"/>
      <c r="U2716" s="75"/>
      <c r="V2716" s="74"/>
      <c r="W2716" s="75"/>
      <c r="X2716" s="74"/>
      <c r="Y2716" s="74"/>
      <c r="Z2716" s="74"/>
      <c r="AA2716" s="74"/>
      <c r="AB2716" s="74"/>
      <c r="AC2716" s="74"/>
      <c r="AD2716" s="74"/>
      <c r="AE2716" s="74"/>
      <c r="AF2716" s="74"/>
      <c r="AG2716" s="74"/>
      <c r="AH2716" s="74"/>
    </row>
    <row r="2717" s="73" customFormat="1" spans="1:34">
      <c r="A2717" s="74"/>
      <c r="B2717" s="74"/>
      <c r="C2717" s="74"/>
      <c r="D2717" s="74"/>
      <c r="E2717" s="74"/>
      <c r="F2717" s="74"/>
      <c r="G2717" s="74"/>
      <c r="H2717" s="74"/>
      <c r="I2717" s="74"/>
      <c r="J2717" s="74"/>
      <c r="K2717" s="74"/>
      <c r="L2717" s="74"/>
      <c r="M2717" s="74"/>
      <c r="N2717" s="74"/>
      <c r="O2717" s="75"/>
      <c r="P2717" s="74"/>
      <c r="Q2717" s="75"/>
      <c r="R2717" s="74"/>
      <c r="S2717" s="74"/>
      <c r="T2717" s="74"/>
      <c r="U2717" s="75"/>
      <c r="V2717" s="74"/>
      <c r="W2717" s="75"/>
      <c r="X2717" s="74"/>
      <c r="Y2717" s="74"/>
      <c r="Z2717" s="74"/>
      <c r="AA2717" s="74"/>
      <c r="AB2717" s="74"/>
      <c r="AC2717" s="74"/>
      <c r="AD2717" s="74"/>
      <c r="AE2717" s="74"/>
      <c r="AF2717" s="74"/>
      <c r="AG2717" s="74"/>
      <c r="AH2717" s="74"/>
    </row>
    <row r="2718" s="73" customFormat="1" spans="1:34">
      <c r="A2718" s="74"/>
      <c r="B2718" s="74"/>
      <c r="C2718" s="74"/>
      <c r="D2718" s="74"/>
      <c r="E2718" s="74"/>
      <c r="F2718" s="74"/>
      <c r="G2718" s="74"/>
      <c r="H2718" s="74"/>
      <c r="I2718" s="74"/>
      <c r="J2718" s="74"/>
      <c r="K2718" s="74"/>
      <c r="L2718" s="74"/>
      <c r="M2718" s="74"/>
      <c r="N2718" s="74"/>
      <c r="O2718" s="75"/>
      <c r="P2718" s="74"/>
      <c r="Q2718" s="75"/>
      <c r="R2718" s="74"/>
      <c r="S2718" s="74"/>
      <c r="T2718" s="74"/>
      <c r="U2718" s="75"/>
      <c r="V2718" s="74"/>
      <c r="W2718" s="75"/>
      <c r="X2718" s="74"/>
      <c r="Y2718" s="74"/>
      <c r="Z2718" s="74"/>
      <c r="AA2718" s="74"/>
      <c r="AB2718" s="74"/>
      <c r="AC2718" s="74"/>
      <c r="AD2718" s="74"/>
      <c r="AE2718" s="74"/>
      <c r="AF2718" s="74"/>
      <c r="AG2718" s="74"/>
      <c r="AH2718" s="74"/>
    </row>
    <row r="2719" s="73" customFormat="1" spans="1:34">
      <c r="A2719" s="74"/>
      <c r="B2719" s="74"/>
      <c r="C2719" s="74"/>
      <c r="D2719" s="74"/>
      <c r="E2719" s="74"/>
      <c r="F2719" s="74"/>
      <c r="G2719" s="74"/>
      <c r="H2719" s="74"/>
      <c r="I2719" s="74"/>
      <c r="J2719" s="74"/>
      <c r="K2719" s="74"/>
      <c r="L2719" s="74"/>
      <c r="M2719" s="74"/>
      <c r="N2719" s="74"/>
      <c r="O2719" s="75"/>
      <c r="P2719" s="74"/>
      <c r="Q2719" s="75"/>
      <c r="R2719" s="74"/>
      <c r="S2719" s="74"/>
      <c r="T2719" s="74"/>
      <c r="U2719" s="75"/>
      <c r="V2719" s="74"/>
      <c r="W2719" s="75"/>
      <c r="X2719" s="74"/>
      <c r="Y2719" s="74"/>
      <c r="Z2719" s="74"/>
      <c r="AA2719" s="74"/>
      <c r="AB2719" s="74"/>
      <c r="AC2719" s="74"/>
      <c r="AD2719" s="74"/>
      <c r="AE2719" s="74"/>
      <c r="AF2719" s="74"/>
      <c r="AG2719" s="74"/>
      <c r="AH2719" s="74"/>
    </row>
    <row r="2720" s="73" customFormat="1" spans="1:34">
      <c r="A2720" s="74"/>
      <c r="B2720" s="74"/>
      <c r="C2720" s="74"/>
      <c r="D2720" s="74"/>
      <c r="E2720" s="74"/>
      <c r="F2720" s="74"/>
      <c r="G2720" s="74"/>
      <c r="H2720" s="74"/>
      <c r="I2720" s="74"/>
      <c r="J2720" s="74"/>
      <c r="K2720" s="74"/>
      <c r="L2720" s="74"/>
      <c r="M2720" s="74"/>
      <c r="N2720" s="74"/>
      <c r="O2720" s="75"/>
      <c r="P2720" s="74"/>
      <c r="Q2720" s="75"/>
      <c r="R2720" s="74"/>
      <c r="S2720" s="74"/>
      <c r="T2720" s="74"/>
      <c r="U2720" s="75"/>
      <c r="V2720" s="74"/>
      <c r="W2720" s="75"/>
      <c r="X2720" s="74"/>
      <c r="Y2720" s="74"/>
      <c r="Z2720" s="74"/>
      <c r="AA2720" s="74"/>
      <c r="AB2720" s="74"/>
      <c r="AC2720" s="74"/>
      <c r="AD2720" s="74"/>
      <c r="AE2720" s="74"/>
      <c r="AF2720" s="74"/>
      <c r="AG2720" s="74"/>
      <c r="AH2720" s="74"/>
    </row>
    <row r="2721" s="73" customFormat="1" spans="1:34">
      <c r="A2721" s="74"/>
      <c r="B2721" s="74"/>
      <c r="C2721" s="74"/>
      <c r="D2721" s="74"/>
      <c r="E2721" s="74"/>
      <c r="F2721" s="74"/>
      <c r="G2721" s="74"/>
      <c r="H2721" s="74"/>
      <c r="I2721" s="74"/>
      <c r="J2721" s="74"/>
      <c r="K2721" s="74"/>
      <c r="L2721" s="74"/>
      <c r="M2721" s="74"/>
      <c r="N2721" s="74"/>
      <c r="O2721" s="75"/>
      <c r="P2721" s="74"/>
      <c r="Q2721" s="75"/>
      <c r="R2721" s="74"/>
      <c r="S2721" s="74"/>
      <c r="T2721" s="74"/>
      <c r="U2721" s="75"/>
      <c r="V2721" s="74"/>
      <c r="W2721" s="75"/>
      <c r="X2721" s="74"/>
      <c r="Y2721" s="74"/>
      <c r="Z2721" s="74"/>
      <c r="AA2721" s="74"/>
      <c r="AB2721" s="74"/>
      <c r="AC2721" s="74"/>
      <c r="AD2721" s="74"/>
      <c r="AE2721" s="74"/>
      <c r="AF2721" s="74"/>
      <c r="AG2721" s="74"/>
      <c r="AH2721" s="74"/>
    </row>
    <row r="2722" s="73" customFormat="1" spans="1:34">
      <c r="A2722" s="74"/>
      <c r="B2722" s="74"/>
      <c r="C2722" s="74"/>
      <c r="D2722" s="74"/>
      <c r="E2722" s="74"/>
      <c r="F2722" s="74"/>
      <c r="G2722" s="74"/>
      <c r="H2722" s="74"/>
      <c r="I2722" s="74"/>
      <c r="J2722" s="74"/>
      <c r="K2722" s="74"/>
      <c r="L2722" s="74"/>
      <c r="M2722" s="74"/>
      <c r="N2722" s="74"/>
      <c r="O2722" s="75"/>
      <c r="P2722" s="74"/>
      <c r="Q2722" s="75"/>
      <c r="R2722" s="74"/>
      <c r="S2722" s="74"/>
      <c r="T2722" s="74"/>
      <c r="U2722" s="75"/>
      <c r="V2722" s="74"/>
      <c r="W2722" s="75"/>
      <c r="X2722" s="74"/>
      <c r="Y2722" s="74"/>
      <c r="Z2722" s="74"/>
      <c r="AA2722" s="74"/>
      <c r="AB2722" s="74"/>
      <c r="AC2722" s="74"/>
      <c r="AD2722" s="74"/>
      <c r="AE2722" s="74"/>
      <c r="AF2722" s="74"/>
      <c r="AG2722" s="74"/>
      <c r="AH2722" s="74"/>
    </row>
    <row r="2724" s="73" customFormat="1" spans="1:34">
      <c r="A2724" s="74"/>
      <c r="B2724" s="74"/>
      <c r="C2724" s="74"/>
      <c r="D2724" s="74"/>
      <c r="E2724" s="74"/>
      <c r="F2724" s="74"/>
      <c r="G2724" s="74"/>
      <c r="H2724" s="74"/>
      <c r="I2724" s="74"/>
      <c r="J2724" s="74"/>
      <c r="K2724" s="74"/>
      <c r="L2724" s="74"/>
      <c r="M2724" s="74"/>
      <c r="N2724" s="74"/>
      <c r="O2724" s="75"/>
      <c r="P2724" s="74"/>
      <c r="Q2724" s="75"/>
      <c r="R2724" s="74"/>
      <c r="S2724" s="74"/>
      <c r="T2724" s="74"/>
      <c r="U2724" s="75"/>
      <c r="V2724" s="74"/>
      <c r="W2724" s="75"/>
      <c r="X2724" s="74"/>
      <c r="Y2724" s="74"/>
      <c r="Z2724" s="74"/>
      <c r="AA2724" s="74"/>
      <c r="AB2724" s="74"/>
      <c r="AC2724" s="74"/>
      <c r="AD2724" s="74"/>
      <c r="AE2724" s="74"/>
      <c r="AF2724" s="74"/>
      <c r="AG2724" s="74"/>
      <c r="AH2724" s="74"/>
    </row>
    <row r="2725" s="73" customFormat="1" spans="1:34">
      <c r="A2725" s="74"/>
      <c r="B2725" s="74"/>
      <c r="C2725" s="74"/>
      <c r="D2725" s="74"/>
      <c r="E2725" s="74"/>
      <c r="F2725" s="74"/>
      <c r="G2725" s="74"/>
      <c r="H2725" s="74"/>
      <c r="I2725" s="74"/>
      <c r="J2725" s="74"/>
      <c r="K2725" s="74"/>
      <c r="L2725" s="74"/>
      <c r="M2725" s="74"/>
      <c r="N2725" s="74"/>
      <c r="O2725" s="75"/>
      <c r="P2725" s="74"/>
      <c r="Q2725" s="75"/>
      <c r="R2725" s="74"/>
      <c r="S2725" s="74"/>
      <c r="T2725" s="74"/>
      <c r="U2725" s="75"/>
      <c r="V2725" s="74"/>
      <c r="W2725" s="75"/>
      <c r="X2725" s="74"/>
      <c r="Y2725" s="74"/>
      <c r="Z2725" s="74"/>
      <c r="AA2725" s="74"/>
      <c r="AB2725" s="74"/>
      <c r="AC2725" s="74"/>
      <c r="AD2725" s="74"/>
      <c r="AE2725" s="74"/>
      <c r="AF2725" s="74"/>
      <c r="AG2725" s="74"/>
      <c r="AH2725" s="74"/>
    </row>
    <row r="2726" s="73" customFormat="1" spans="1:34">
      <c r="A2726" s="74"/>
      <c r="B2726" s="74"/>
      <c r="C2726" s="74"/>
      <c r="D2726" s="74"/>
      <c r="E2726" s="74"/>
      <c r="F2726" s="74"/>
      <c r="G2726" s="74"/>
      <c r="H2726" s="74"/>
      <c r="I2726" s="74"/>
      <c r="J2726" s="74"/>
      <c r="K2726" s="74"/>
      <c r="L2726" s="74"/>
      <c r="M2726" s="74"/>
      <c r="N2726" s="74"/>
      <c r="O2726" s="75"/>
      <c r="P2726" s="74"/>
      <c r="Q2726" s="75"/>
      <c r="R2726" s="74"/>
      <c r="S2726" s="74"/>
      <c r="T2726" s="74"/>
      <c r="U2726" s="75"/>
      <c r="V2726" s="74"/>
      <c r="W2726" s="75"/>
      <c r="X2726" s="74"/>
      <c r="Y2726" s="74"/>
      <c r="Z2726" s="74"/>
      <c r="AA2726" s="74"/>
      <c r="AB2726" s="74"/>
      <c r="AC2726" s="74"/>
      <c r="AD2726" s="74"/>
      <c r="AE2726" s="74"/>
      <c r="AF2726" s="74"/>
      <c r="AG2726" s="74"/>
      <c r="AH2726" s="74"/>
    </row>
    <row r="2727" s="73" customFormat="1" spans="1:34">
      <c r="A2727" s="74"/>
      <c r="B2727" s="74"/>
      <c r="C2727" s="74"/>
      <c r="D2727" s="74"/>
      <c r="E2727" s="74"/>
      <c r="F2727" s="74"/>
      <c r="G2727" s="74"/>
      <c r="H2727" s="74"/>
      <c r="I2727" s="74"/>
      <c r="J2727" s="74"/>
      <c r="K2727" s="74"/>
      <c r="L2727" s="74"/>
      <c r="M2727" s="74"/>
      <c r="N2727" s="74"/>
      <c r="O2727" s="75"/>
      <c r="P2727" s="74"/>
      <c r="Q2727" s="75"/>
      <c r="R2727" s="74"/>
      <c r="S2727" s="74"/>
      <c r="T2727" s="74"/>
      <c r="U2727" s="75"/>
      <c r="V2727" s="74"/>
      <c r="W2727" s="75"/>
      <c r="X2727" s="74"/>
      <c r="Y2727" s="74"/>
      <c r="Z2727" s="74"/>
      <c r="AA2727" s="74"/>
      <c r="AB2727" s="74"/>
      <c r="AC2727" s="74"/>
      <c r="AD2727" s="74"/>
      <c r="AE2727" s="74"/>
      <c r="AF2727" s="74"/>
      <c r="AG2727" s="74"/>
      <c r="AH2727" s="74"/>
    </row>
    <row r="2728" s="73" customFormat="1" spans="1:34">
      <c r="A2728" s="74"/>
      <c r="B2728" s="74"/>
      <c r="C2728" s="74"/>
      <c r="D2728" s="74"/>
      <c r="E2728" s="74"/>
      <c r="F2728" s="74"/>
      <c r="G2728" s="74"/>
      <c r="H2728" s="74"/>
      <c r="I2728" s="74"/>
      <c r="J2728" s="74"/>
      <c r="K2728" s="74"/>
      <c r="L2728" s="74"/>
      <c r="M2728" s="74"/>
      <c r="N2728" s="74"/>
      <c r="O2728" s="75"/>
      <c r="P2728" s="74"/>
      <c r="Q2728" s="75"/>
      <c r="R2728" s="74"/>
      <c r="S2728" s="74"/>
      <c r="T2728" s="74"/>
      <c r="U2728" s="75"/>
      <c r="V2728" s="74"/>
      <c r="W2728" s="75"/>
      <c r="X2728" s="74"/>
      <c r="Y2728" s="74"/>
      <c r="Z2728" s="74"/>
      <c r="AA2728" s="74"/>
      <c r="AB2728" s="74"/>
      <c r="AC2728" s="74"/>
      <c r="AD2728" s="74"/>
      <c r="AE2728" s="74"/>
      <c r="AF2728" s="74"/>
      <c r="AG2728" s="74"/>
      <c r="AH2728" s="74"/>
    </row>
    <row r="2729" s="73" customFormat="1" spans="1:34">
      <c r="A2729" s="74"/>
      <c r="B2729" s="74"/>
      <c r="C2729" s="74"/>
      <c r="D2729" s="74"/>
      <c r="E2729" s="74"/>
      <c r="F2729" s="74"/>
      <c r="G2729" s="74"/>
      <c r="H2729" s="74"/>
      <c r="I2729" s="74"/>
      <c r="J2729" s="74"/>
      <c r="K2729" s="74"/>
      <c r="L2729" s="74"/>
      <c r="M2729" s="74"/>
      <c r="N2729" s="74"/>
      <c r="O2729" s="75"/>
      <c r="P2729" s="74"/>
      <c r="Q2729" s="75"/>
      <c r="R2729" s="74"/>
      <c r="S2729" s="74"/>
      <c r="T2729" s="74"/>
      <c r="U2729" s="75"/>
      <c r="V2729" s="74"/>
      <c r="W2729" s="75"/>
      <c r="X2729" s="74"/>
      <c r="Y2729" s="74"/>
      <c r="Z2729" s="74"/>
      <c r="AA2729" s="74"/>
      <c r="AB2729" s="74"/>
      <c r="AC2729" s="74"/>
      <c r="AD2729" s="74"/>
      <c r="AE2729" s="74"/>
      <c r="AF2729" s="74"/>
      <c r="AG2729" s="74"/>
      <c r="AH2729" s="74"/>
    </row>
    <row r="2730" s="73" customFormat="1" spans="1:34">
      <c r="A2730" s="74"/>
      <c r="B2730" s="74"/>
      <c r="C2730" s="74"/>
      <c r="D2730" s="74"/>
      <c r="E2730" s="74"/>
      <c r="F2730" s="74"/>
      <c r="G2730" s="74"/>
      <c r="H2730" s="74"/>
      <c r="I2730" s="74"/>
      <c r="J2730" s="74"/>
      <c r="K2730" s="74"/>
      <c r="L2730" s="74"/>
      <c r="M2730" s="74"/>
      <c r="N2730" s="74"/>
      <c r="O2730" s="75"/>
      <c r="P2730" s="74"/>
      <c r="Q2730" s="75"/>
      <c r="R2730" s="74"/>
      <c r="S2730" s="74"/>
      <c r="T2730" s="74"/>
      <c r="U2730" s="75"/>
      <c r="V2730" s="74"/>
      <c r="W2730" s="75"/>
      <c r="X2730" s="74"/>
      <c r="Y2730" s="74"/>
      <c r="Z2730" s="74"/>
      <c r="AA2730" s="74"/>
      <c r="AB2730" s="74"/>
      <c r="AC2730" s="74"/>
      <c r="AD2730" s="74"/>
      <c r="AE2730" s="74"/>
      <c r="AF2730" s="74"/>
      <c r="AG2730" s="74"/>
      <c r="AH2730" s="74"/>
    </row>
    <row r="2731" s="73" customFormat="1" spans="1:34">
      <c r="A2731" s="74"/>
      <c r="B2731" s="74"/>
      <c r="C2731" s="74"/>
      <c r="D2731" s="74"/>
      <c r="E2731" s="74"/>
      <c r="F2731" s="74"/>
      <c r="G2731" s="74"/>
      <c r="H2731" s="74"/>
      <c r="I2731" s="74"/>
      <c r="J2731" s="74"/>
      <c r="K2731" s="74"/>
      <c r="L2731" s="74"/>
      <c r="M2731" s="74"/>
      <c r="N2731" s="74"/>
      <c r="O2731" s="75"/>
      <c r="P2731" s="74"/>
      <c r="Q2731" s="75"/>
      <c r="R2731" s="74"/>
      <c r="S2731" s="74"/>
      <c r="T2731" s="74"/>
      <c r="U2731" s="75"/>
      <c r="V2731" s="74"/>
      <c r="W2731" s="75"/>
      <c r="X2731" s="74"/>
      <c r="Y2731" s="74"/>
      <c r="Z2731" s="74"/>
      <c r="AA2731" s="74"/>
      <c r="AB2731" s="74"/>
      <c r="AC2731" s="74"/>
      <c r="AD2731" s="74"/>
      <c r="AE2731" s="74"/>
      <c r="AF2731" s="74"/>
      <c r="AG2731" s="74"/>
      <c r="AH2731" s="74"/>
    </row>
    <row r="2732" s="73" customFormat="1" spans="1:34">
      <c r="A2732" s="74"/>
      <c r="B2732" s="74"/>
      <c r="C2732" s="74"/>
      <c r="D2732" s="74"/>
      <c r="E2732" s="74"/>
      <c r="F2732" s="74"/>
      <c r="G2732" s="74"/>
      <c r="H2732" s="74"/>
      <c r="I2732" s="74"/>
      <c r="J2732" s="74"/>
      <c r="K2732" s="74"/>
      <c r="L2732" s="74"/>
      <c r="M2732" s="74"/>
      <c r="N2732" s="74"/>
      <c r="O2732" s="75"/>
      <c r="P2732" s="74"/>
      <c r="Q2732" s="75"/>
      <c r="R2732" s="74"/>
      <c r="S2732" s="74"/>
      <c r="T2732" s="74"/>
      <c r="U2732" s="75"/>
      <c r="V2732" s="74"/>
      <c r="W2732" s="75"/>
      <c r="X2732" s="74"/>
      <c r="Y2732" s="74"/>
      <c r="Z2732" s="74"/>
      <c r="AA2732" s="74"/>
      <c r="AB2732" s="74"/>
      <c r="AC2732" s="74"/>
      <c r="AD2732" s="74"/>
      <c r="AE2732" s="74"/>
      <c r="AF2732" s="74"/>
      <c r="AG2732" s="74"/>
      <c r="AH2732" s="74"/>
    </row>
    <row r="2733" s="73" customFormat="1" spans="1:34">
      <c r="A2733" s="74"/>
      <c r="B2733" s="74"/>
      <c r="C2733" s="74"/>
      <c r="D2733" s="74"/>
      <c r="E2733" s="74"/>
      <c r="F2733" s="74"/>
      <c r="G2733" s="74"/>
      <c r="H2733" s="74"/>
      <c r="I2733" s="74"/>
      <c r="J2733" s="74"/>
      <c r="K2733" s="74"/>
      <c r="L2733" s="74"/>
      <c r="M2733" s="74"/>
      <c r="N2733" s="74"/>
      <c r="O2733" s="75"/>
      <c r="P2733" s="74"/>
      <c r="Q2733" s="75"/>
      <c r="R2733" s="74"/>
      <c r="S2733" s="74"/>
      <c r="T2733" s="74"/>
      <c r="U2733" s="75"/>
      <c r="V2733" s="74"/>
      <c r="W2733" s="75"/>
      <c r="X2733" s="74"/>
      <c r="Y2733" s="74"/>
      <c r="Z2733" s="74"/>
      <c r="AA2733" s="74"/>
      <c r="AB2733" s="74"/>
      <c r="AC2733" s="74"/>
      <c r="AD2733" s="74"/>
      <c r="AE2733" s="74"/>
      <c r="AF2733" s="74"/>
      <c r="AG2733" s="74"/>
      <c r="AH2733" s="74"/>
    </row>
    <row r="2734" s="73" customFormat="1" spans="1:34">
      <c r="A2734" s="74"/>
      <c r="B2734" s="74"/>
      <c r="C2734" s="74"/>
      <c r="D2734" s="74"/>
      <c r="E2734" s="74"/>
      <c r="F2734" s="74"/>
      <c r="G2734" s="74"/>
      <c r="H2734" s="74"/>
      <c r="I2734" s="74"/>
      <c r="J2734" s="74"/>
      <c r="K2734" s="74"/>
      <c r="L2734" s="74"/>
      <c r="M2734" s="74"/>
      <c r="N2734" s="74"/>
      <c r="O2734" s="75"/>
      <c r="P2734" s="74"/>
      <c r="Q2734" s="75"/>
      <c r="R2734" s="74"/>
      <c r="S2734" s="74"/>
      <c r="T2734" s="74"/>
      <c r="U2734" s="75"/>
      <c r="V2734" s="74"/>
      <c r="W2734" s="75"/>
      <c r="X2734" s="74"/>
      <c r="Y2734" s="74"/>
      <c r="Z2734" s="74"/>
      <c r="AA2734" s="74"/>
      <c r="AB2734" s="74"/>
      <c r="AC2734" s="74"/>
      <c r="AD2734" s="74"/>
      <c r="AE2734" s="74"/>
      <c r="AF2734" s="74"/>
      <c r="AG2734" s="74"/>
      <c r="AH2734" s="74"/>
    </row>
    <row r="2735" s="73" customFormat="1" spans="1:34">
      <c r="A2735" s="74"/>
      <c r="B2735" s="74"/>
      <c r="C2735" s="74"/>
      <c r="D2735" s="74"/>
      <c r="E2735" s="74"/>
      <c r="F2735" s="74"/>
      <c r="G2735" s="74"/>
      <c r="H2735" s="74"/>
      <c r="I2735" s="74"/>
      <c r="J2735" s="74"/>
      <c r="K2735" s="74"/>
      <c r="L2735" s="74"/>
      <c r="M2735" s="74"/>
      <c r="N2735" s="74"/>
      <c r="O2735" s="75"/>
      <c r="P2735" s="74"/>
      <c r="Q2735" s="75"/>
      <c r="R2735" s="74"/>
      <c r="S2735" s="74"/>
      <c r="T2735" s="74"/>
      <c r="U2735" s="75"/>
      <c r="V2735" s="74"/>
      <c r="W2735" s="75"/>
      <c r="X2735" s="74"/>
      <c r="Y2735" s="74"/>
      <c r="Z2735" s="74"/>
      <c r="AA2735" s="74"/>
      <c r="AB2735" s="74"/>
      <c r="AC2735" s="74"/>
      <c r="AD2735" s="74"/>
      <c r="AE2735" s="74"/>
      <c r="AF2735" s="74"/>
      <c r="AG2735" s="74"/>
      <c r="AH2735" s="74"/>
    </row>
    <row r="2736" s="73" customFormat="1" spans="1:34">
      <c r="A2736" s="74"/>
      <c r="B2736" s="74"/>
      <c r="C2736" s="74"/>
      <c r="D2736" s="74"/>
      <c r="E2736" s="74"/>
      <c r="F2736" s="74"/>
      <c r="G2736" s="74"/>
      <c r="H2736" s="74"/>
      <c r="I2736" s="74"/>
      <c r="J2736" s="74"/>
      <c r="K2736" s="74"/>
      <c r="L2736" s="74"/>
      <c r="M2736" s="74"/>
      <c r="N2736" s="74"/>
      <c r="O2736" s="75"/>
      <c r="P2736" s="74"/>
      <c r="Q2736" s="75"/>
      <c r="R2736" s="74"/>
      <c r="S2736" s="74"/>
      <c r="T2736" s="74"/>
      <c r="U2736" s="75"/>
      <c r="V2736" s="74"/>
      <c r="W2736" s="75"/>
      <c r="X2736" s="74"/>
      <c r="Y2736" s="74"/>
      <c r="Z2736" s="74"/>
      <c r="AA2736" s="74"/>
      <c r="AB2736" s="74"/>
      <c r="AC2736" s="74"/>
      <c r="AD2736" s="74"/>
      <c r="AE2736" s="74"/>
      <c r="AF2736" s="74"/>
      <c r="AG2736" s="74"/>
      <c r="AH2736" s="74"/>
    </row>
    <row r="2737" s="73" customFormat="1" spans="1:34">
      <c r="A2737" s="74"/>
      <c r="B2737" s="74"/>
      <c r="C2737" s="74"/>
      <c r="D2737" s="74"/>
      <c r="E2737" s="74"/>
      <c r="F2737" s="74"/>
      <c r="G2737" s="74"/>
      <c r="H2737" s="74"/>
      <c r="I2737" s="74"/>
      <c r="J2737" s="74"/>
      <c r="K2737" s="74"/>
      <c r="L2737" s="74"/>
      <c r="M2737" s="74"/>
      <c r="N2737" s="74"/>
      <c r="O2737" s="75"/>
      <c r="P2737" s="74"/>
      <c r="Q2737" s="75"/>
      <c r="R2737" s="74"/>
      <c r="S2737" s="74"/>
      <c r="T2737" s="74"/>
      <c r="U2737" s="75"/>
      <c r="V2737" s="74"/>
      <c r="W2737" s="75"/>
      <c r="X2737" s="74"/>
      <c r="Y2737" s="74"/>
      <c r="Z2737" s="74"/>
      <c r="AA2737" s="74"/>
      <c r="AB2737" s="74"/>
      <c r="AC2737" s="74"/>
      <c r="AD2737" s="74"/>
      <c r="AE2737" s="74"/>
      <c r="AF2737" s="74"/>
      <c r="AG2737" s="74"/>
      <c r="AH2737" s="74"/>
    </row>
    <row r="2738" s="73" customFormat="1" spans="1:34">
      <c r="A2738" s="74"/>
      <c r="B2738" s="74"/>
      <c r="C2738" s="74"/>
      <c r="D2738" s="74"/>
      <c r="E2738" s="74"/>
      <c r="F2738" s="74"/>
      <c r="G2738" s="74"/>
      <c r="H2738" s="74"/>
      <c r="I2738" s="74"/>
      <c r="J2738" s="74"/>
      <c r="K2738" s="74"/>
      <c r="L2738" s="74"/>
      <c r="M2738" s="74"/>
      <c r="N2738" s="74"/>
      <c r="O2738" s="75"/>
      <c r="P2738" s="74"/>
      <c r="Q2738" s="75"/>
      <c r="R2738" s="74"/>
      <c r="S2738" s="74"/>
      <c r="T2738" s="74"/>
      <c r="U2738" s="75"/>
      <c r="V2738" s="74"/>
      <c r="W2738" s="75"/>
      <c r="X2738" s="74"/>
      <c r="Y2738" s="74"/>
      <c r="Z2738" s="74"/>
      <c r="AA2738" s="74"/>
      <c r="AB2738" s="74"/>
      <c r="AC2738" s="74"/>
      <c r="AD2738" s="74"/>
      <c r="AE2738" s="74"/>
      <c r="AF2738" s="74"/>
      <c r="AG2738" s="74"/>
      <c r="AH2738" s="74"/>
    </row>
    <row r="2739" s="73" customFormat="1" spans="1:34">
      <c r="A2739" s="74"/>
      <c r="B2739" s="74"/>
      <c r="C2739" s="74"/>
      <c r="D2739" s="74"/>
      <c r="E2739" s="74"/>
      <c r="F2739" s="74"/>
      <c r="G2739" s="74"/>
      <c r="H2739" s="74"/>
      <c r="I2739" s="74"/>
      <c r="J2739" s="74"/>
      <c r="K2739" s="74"/>
      <c r="L2739" s="74"/>
      <c r="M2739" s="74"/>
      <c r="N2739" s="74"/>
      <c r="O2739" s="75"/>
      <c r="P2739" s="74"/>
      <c r="Q2739" s="75"/>
      <c r="R2739" s="74"/>
      <c r="S2739" s="74"/>
      <c r="T2739" s="74"/>
      <c r="U2739" s="75"/>
      <c r="V2739" s="74"/>
      <c r="W2739" s="75"/>
      <c r="X2739" s="74"/>
      <c r="Y2739" s="74"/>
      <c r="Z2739" s="74"/>
      <c r="AA2739" s="74"/>
      <c r="AB2739" s="74"/>
      <c r="AC2739" s="74"/>
      <c r="AD2739" s="74"/>
      <c r="AE2739" s="74"/>
      <c r="AF2739" s="74"/>
      <c r="AG2739" s="74"/>
      <c r="AH2739" s="74"/>
    </row>
    <row r="2740" s="73" customFormat="1" spans="1:34">
      <c r="A2740" s="74"/>
      <c r="B2740" s="74"/>
      <c r="C2740" s="74"/>
      <c r="D2740" s="74"/>
      <c r="E2740" s="74"/>
      <c r="F2740" s="74"/>
      <c r="G2740" s="74"/>
      <c r="H2740" s="74"/>
      <c r="I2740" s="74"/>
      <c r="J2740" s="74"/>
      <c r="K2740" s="74"/>
      <c r="L2740" s="74"/>
      <c r="M2740" s="74"/>
      <c r="N2740" s="74"/>
      <c r="O2740" s="75"/>
      <c r="P2740" s="74"/>
      <c r="Q2740" s="75"/>
      <c r="R2740" s="74"/>
      <c r="S2740" s="74"/>
      <c r="T2740" s="74"/>
      <c r="U2740" s="75"/>
      <c r="V2740" s="74"/>
      <c r="W2740" s="75"/>
      <c r="X2740" s="74"/>
      <c r="Y2740" s="74"/>
      <c r="Z2740" s="74"/>
      <c r="AA2740" s="74"/>
      <c r="AB2740" s="74"/>
      <c r="AC2740" s="74"/>
      <c r="AD2740" s="74"/>
      <c r="AE2740" s="74"/>
      <c r="AF2740" s="74"/>
      <c r="AG2740" s="74"/>
      <c r="AH2740" s="74"/>
    </row>
    <row r="2741" s="73" customFormat="1" spans="1:34">
      <c r="A2741" s="74"/>
      <c r="B2741" s="74"/>
      <c r="C2741" s="74"/>
      <c r="D2741" s="74"/>
      <c r="E2741" s="74"/>
      <c r="F2741" s="74"/>
      <c r="G2741" s="74"/>
      <c r="H2741" s="74"/>
      <c r="I2741" s="74"/>
      <c r="J2741" s="74"/>
      <c r="K2741" s="74"/>
      <c r="L2741" s="74"/>
      <c r="M2741" s="74"/>
      <c r="N2741" s="74"/>
      <c r="O2741" s="75"/>
      <c r="P2741" s="74"/>
      <c r="Q2741" s="75"/>
      <c r="R2741" s="74"/>
      <c r="S2741" s="74"/>
      <c r="T2741" s="74"/>
      <c r="U2741" s="75"/>
      <c r="V2741" s="74"/>
      <c r="W2741" s="75"/>
      <c r="X2741" s="74"/>
      <c r="Y2741" s="74"/>
      <c r="Z2741" s="74"/>
      <c r="AA2741" s="74"/>
      <c r="AB2741" s="74"/>
      <c r="AC2741" s="74"/>
      <c r="AD2741" s="74"/>
      <c r="AE2741" s="74"/>
      <c r="AF2741" s="74"/>
      <c r="AG2741" s="74"/>
      <c r="AH2741" s="74"/>
    </row>
    <row r="2742" s="73" customFormat="1" spans="1:34">
      <c r="A2742" s="74"/>
      <c r="B2742" s="74"/>
      <c r="C2742" s="74"/>
      <c r="D2742" s="74"/>
      <c r="E2742" s="74"/>
      <c r="F2742" s="74"/>
      <c r="G2742" s="74"/>
      <c r="H2742" s="74"/>
      <c r="I2742" s="74"/>
      <c r="J2742" s="74"/>
      <c r="K2742" s="74"/>
      <c r="L2742" s="74"/>
      <c r="M2742" s="74"/>
      <c r="N2742" s="74"/>
      <c r="O2742" s="75"/>
      <c r="P2742" s="74"/>
      <c r="Q2742" s="75"/>
      <c r="R2742" s="74"/>
      <c r="S2742" s="74"/>
      <c r="T2742" s="74"/>
      <c r="U2742" s="75"/>
      <c r="V2742" s="74"/>
      <c r="W2742" s="75"/>
      <c r="X2742" s="74"/>
      <c r="Y2742" s="74"/>
      <c r="Z2742" s="74"/>
      <c r="AA2742" s="74"/>
      <c r="AB2742" s="74"/>
      <c r="AC2742" s="74"/>
      <c r="AD2742" s="74"/>
      <c r="AE2742" s="74"/>
      <c r="AF2742" s="74"/>
      <c r="AG2742" s="74"/>
      <c r="AH2742" s="74"/>
    </row>
    <row r="2743" s="73" customFormat="1" spans="1:34">
      <c r="A2743" s="74"/>
      <c r="B2743" s="74"/>
      <c r="C2743" s="74"/>
      <c r="D2743" s="74"/>
      <c r="E2743" s="74"/>
      <c r="F2743" s="74"/>
      <c r="G2743" s="74"/>
      <c r="H2743" s="74"/>
      <c r="I2743" s="74"/>
      <c r="J2743" s="74"/>
      <c r="K2743" s="74"/>
      <c r="L2743" s="74"/>
      <c r="M2743" s="74"/>
      <c r="N2743" s="74"/>
      <c r="O2743" s="75"/>
      <c r="P2743" s="74"/>
      <c r="Q2743" s="75"/>
      <c r="R2743" s="74"/>
      <c r="S2743" s="74"/>
      <c r="T2743" s="74"/>
      <c r="U2743" s="75"/>
      <c r="V2743" s="74"/>
      <c r="W2743" s="75"/>
      <c r="X2743" s="74"/>
      <c r="Y2743" s="74"/>
      <c r="Z2743" s="74"/>
      <c r="AA2743" s="74"/>
      <c r="AB2743" s="74"/>
      <c r="AC2743" s="74"/>
      <c r="AD2743" s="74"/>
      <c r="AE2743" s="74"/>
      <c r="AF2743" s="74"/>
      <c r="AG2743" s="74"/>
      <c r="AH2743" s="74"/>
    </row>
    <row r="2744" s="73" customFormat="1" spans="1:34">
      <c r="A2744" s="74"/>
      <c r="B2744" s="74"/>
      <c r="C2744" s="74"/>
      <c r="D2744" s="74"/>
      <c r="E2744" s="74"/>
      <c r="F2744" s="74"/>
      <c r="G2744" s="74"/>
      <c r="H2744" s="74"/>
      <c r="I2744" s="74"/>
      <c r="J2744" s="74"/>
      <c r="K2744" s="74"/>
      <c r="L2744" s="74"/>
      <c r="M2744" s="74"/>
      <c r="N2744" s="74"/>
      <c r="O2744" s="75"/>
      <c r="P2744" s="74"/>
      <c r="Q2744" s="75"/>
      <c r="R2744" s="74"/>
      <c r="S2744" s="74"/>
      <c r="T2744" s="74"/>
      <c r="U2744" s="75"/>
      <c r="V2744" s="74"/>
      <c r="W2744" s="75"/>
      <c r="X2744" s="74"/>
      <c r="Y2744" s="74"/>
      <c r="Z2744" s="74"/>
      <c r="AA2744" s="74"/>
      <c r="AB2744" s="74"/>
      <c r="AC2744" s="74"/>
      <c r="AD2744" s="74"/>
      <c r="AE2744" s="74"/>
      <c r="AF2744" s="74"/>
      <c r="AG2744" s="74"/>
      <c r="AH2744" s="74"/>
    </row>
    <row r="2745" s="73" customFormat="1" spans="1:34">
      <c r="A2745" s="74"/>
      <c r="B2745" s="74"/>
      <c r="C2745" s="74"/>
      <c r="D2745" s="74"/>
      <c r="E2745" s="74"/>
      <c r="F2745" s="74"/>
      <c r="G2745" s="74"/>
      <c r="H2745" s="74"/>
      <c r="I2745" s="74"/>
      <c r="J2745" s="74"/>
      <c r="K2745" s="74"/>
      <c r="L2745" s="74"/>
      <c r="M2745" s="74"/>
      <c r="N2745" s="74"/>
      <c r="O2745" s="75"/>
      <c r="P2745" s="74"/>
      <c r="Q2745" s="75"/>
      <c r="R2745" s="74"/>
      <c r="S2745" s="74"/>
      <c r="T2745" s="74"/>
      <c r="U2745" s="75"/>
      <c r="V2745" s="74"/>
      <c r="W2745" s="75"/>
      <c r="X2745" s="74"/>
      <c r="Y2745" s="74"/>
      <c r="Z2745" s="74"/>
      <c r="AA2745" s="74"/>
      <c r="AB2745" s="74"/>
      <c r="AC2745" s="74"/>
      <c r="AD2745" s="74"/>
      <c r="AE2745" s="74"/>
      <c r="AF2745" s="74"/>
      <c r="AG2745" s="74"/>
      <c r="AH2745" s="74"/>
    </row>
    <row r="2746" s="73" customFormat="1" spans="1:34">
      <c r="A2746" s="74"/>
      <c r="B2746" s="74"/>
      <c r="C2746" s="74"/>
      <c r="D2746" s="74"/>
      <c r="E2746" s="74"/>
      <c r="F2746" s="74"/>
      <c r="G2746" s="74"/>
      <c r="H2746" s="74"/>
      <c r="I2746" s="74"/>
      <c r="J2746" s="74"/>
      <c r="K2746" s="74"/>
      <c r="L2746" s="74"/>
      <c r="M2746" s="74"/>
      <c r="N2746" s="74"/>
      <c r="O2746" s="75"/>
      <c r="P2746" s="74"/>
      <c r="Q2746" s="75"/>
      <c r="R2746" s="74"/>
      <c r="S2746" s="74"/>
      <c r="T2746" s="74"/>
      <c r="U2746" s="75"/>
      <c r="V2746" s="74"/>
      <c r="W2746" s="75"/>
      <c r="X2746" s="74"/>
      <c r="Y2746" s="74"/>
      <c r="Z2746" s="74"/>
      <c r="AA2746" s="74"/>
      <c r="AB2746" s="74"/>
      <c r="AC2746" s="74"/>
      <c r="AD2746" s="74"/>
      <c r="AE2746" s="74"/>
      <c r="AF2746" s="74"/>
      <c r="AG2746" s="74"/>
      <c r="AH2746" s="74"/>
    </row>
    <row r="2747" s="73" customFormat="1" spans="1:34">
      <c r="A2747" s="74"/>
      <c r="B2747" s="74"/>
      <c r="C2747" s="74"/>
      <c r="D2747" s="74"/>
      <c r="E2747" s="74"/>
      <c r="F2747" s="74"/>
      <c r="G2747" s="74"/>
      <c r="H2747" s="74"/>
      <c r="I2747" s="74"/>
      <c r="J2747" s="74"/>
      <c r="K2747" s="74"/>
      <c r="L2747" s="74"/>
      <c r="M2747" s="74"/>
      <c r="N2747" s="74"/>
      <c r="O2747" s="75"/>
      <c r="P2747" s="74"/>
      <c r="Q2747" s="75"/>
      <c r="R2747" s="74"/>
      <c r="S2747" s="74"/>
      <c r="T2747" s="74"/>
      <c r="U2747" s="75"/>
      <c r="V2747" s="74"/>
      <c r="W2747" s="75"/>
      <c r="X2747" s="74"/>
      <c r="Y2747" s="74"/>
      <c r="Z2747" s="74"/>
      <c r="AA2747" s="74"/>
      <c r="AB2747" s="74"/>
      <c r="AC2747" s="74"/>
      <c r="AD2747" s="74"/>
      <c r="AE2747" s="74"/>
      <c r="AF2747" s="74"/>
      <c r="AG2747" s="74"/>
      <c r="AH2747" s="74"/>
    </row>
    <row r="2748" s="73" customFormat="1" spans="1:34">
      <c r="A2748" s="74"/>
      <c r="B2748" s="74"/>
      <c r="C2748" s="74"/>
      <c r="D2748" s="74"/>
      <c r="E2748" s="74"/>
      <c r="F2748" s="74"/>
      <c r="G2748" s="74"/>
      <c r="H2748" s="74"/>
      <c r="I2748" s="74"/>
      <c r="J2748" s="74"/>
      <c r="K2748" s="74"/>
      <c r="L2748" s="74"/>
      <c r="M2748" s="74"/>
      <c r="N2748" s="74"/>
      <c r="O2748" s="75"/>
      <c r="P2748" s="74"/>
      <c r="Q2748" s="75"/>
      <c r="R2748" s="74"/>
      <c r="S2748" s="74"/>
      <c r="T2748" s="74"/>
      <c r="U2748" s="75"/>
      <c r="V2748" s="74"/>
      <c r="W2748" s="75"/>
      <c r="X2748" s="74"/>
      <c r="Y2748" s="74"/>
      <c r="Z2748" s="74"/>
      <c r="AA2748" s="74"/>
      <c r="AB2748" s="74"/>
      <c r="AC2748" s="74"/>
      <c r="AD2748" s="74"/>
      <c r="AE2748" s="74"/>
      <c r="AF2748" s="74"/>
      <c r="AG2748" s="74"/>
      <c r="AH2748" s="74"/>
    </row>
    <row r="2749" s="73" customFormat="1" spans="1:34">
      <c r="A2749" s="74"/>
      <c r="B2749" s="74"/>
      <c r="C2749" s="74"/>
      <c r="D2749" s="74"/>
      <c r="E2749" s="74"/>
      <c r="F2749" s="74"/>
      <c r="G2749" s="74"/>
      <c r="H2749" s="74"/>
      <c r="I2749" s="74"/>
      <c r="J2749" s="74"/>
      <c r="K2749" s="74"/>
      <c r="L2749" s="74"/>
      <c r="M2749" s="74"/>
      <c r="N2749" s="74"/>
      <c r="O2749" s="75"/>
      <c r="P2749" s="74"/>
      <c r="Q2749" s="75"/>
      <c r="R2749" s="74"/>
      <c r="S2749" s="74"/>
      <c r="T2749" s="74"/>
      <c r="U2749" s="75"/>
      <c r="V2749" s="74"/>
      <c r="W2749" s="75"/>
      <c r="X2749" s="74"/>
      <c r="Y2749" s="74"/>
      <c r="Z2749" s="74"/>
      <c r="AA2749" s="74"/>
      <c r="AB2749" s="74"/>
      <c r="AC2749" s="74"/>
      <c r="AD2749" s="74"/>
      <c r="AE2749" s="74"/>
      <c r="AF2749" s="74"/>
      <c r="AG2749" s="74"/>
      <c r="AH2749" s="74"/>
    </row>
    <row r="2750" s="73" customFormat="1" spans="1:34">
      <c r="A2750" s="74"/>
      <c r="B2750" s="74"/>
      <c r="C2750" s="74"/>
      <c r="D2750" s="74"/>
      <c r="E2750" s="74"/>
      <c r="F2750" s="74"/>
      <c r="G2750" s="74"/>
      <c r="H2750" s="74"/>
      <c r="I2750" s="74"/>
      <c r="J2750" s="74"/>
      <c r="K2750" s="74"/>
      <c r="L2750" s="74"/>
      <c r="M2750" s="74"/>
      <c r="N2750" s="74"/>
      <c r="O2750" s="75"/>
      <c r="P2750" s="74"/>
      <c r="Q2750" s="75"/>
      <c r="R2750" s="74"/>
      <c r="S2750" s="74"/>
      <c r="T2750" s="74"/>
      <c r="U2750" s="75"/>
      <c r="V2750" s="74"/>
      <c r="W2750" s="75"/>
      <c r="X2750" s="74"/>
      <c r="Y2750" s="74"/>
      <c r="Z2750" s="74"/>
      <c r="AA2750" s="74"/>
      <c r="AB2750" s="74"/>
      <c r="AC2750" s="74"/>
      <c r="AD2750" s="74"/>
      <c r="AE2750" s="74"/>
      <c r="AF2750" s="74"/>
      <c r="AG2750" s="74"/>
      <c r="AH2750" s="74"/>
    </row>
    <row r="2751" s="73" customFormat="1" spans="1:34">
      <c r="A2751" s="74"/>
      <c r="B2751" s="74"/>
      <c r="C2751" s="74"/>
      <c r="D2751" s="74"/>
      <c r="E2751" s="74"/>
      <c r="F2751" s="74"/>
      <c r="G2751" s="74"/>
      <c r="H2751" s="74"/>
      <c r="I2751" s="74"/>
      <c r="J2751" s="74"/>
      <c r="K2751" s="74"/>
      <c r="L2751" s="74"/>
      <c r="M2751" s="74"/>
      <c r="N2751" s="74"/>
      <c r="O2751" s="75"/>
      <c r="P2751" s="74"/>
      <c r="Q2751" s="75"/>
      <c r="R2751" s="74"/>
      <c r="S2751" s="74"/>
      <c r="T2751" s="74"/>
      <c r="U2751" s="75"/>
      <c r="V2751" s="74"/>
      <c r="W2751" s="75"/>
      <c r="X2751" s="74"/>
      <c r="Y2751" s="74"/>
      <c r="Z2751" s="74"/>
      <c r="AA2751" s="74"/>
      <c r="AB2751" s="74"/>
      <c r="AC2751" s="74"/>
      <c r="AD2751" s="74"/>
      <c r="AE2751" s="74"/>
      <c r="AF2751" s="74"/>
      <c r="AG2751" s="74"/>
      <c r="AH2751" s="74"/>
    </row>
    <row r="2752" s="73" customFormat="1" spans="1:34">
      <c r="A2752" s="74"/>
      <c r="B2752" s="74"/>
      <c r="C2752" s="74"/>
      <c r="D2752" s="74"/>
      <c r="E2752" s="74"/>
      <c r="F2752" s="74"/>
      <c r="G2752" s="74"/>
      <c r="H2752" s="74"/>
      <c r="I2752" s="74"/>
      <c r="J2752" s="74"/>
      <c r="K2752" s="74"/>
      <c r="L2752" s="74"/>
      <c r="M2752" s="74"/>
      <c r="N2752" s="74"/>
      <c r="O2752" s="75"/>
      <c r="P2752" s="74"/>
      <c r="Q2752" s="75"/>
      <c r="R2752" s="74"/>
      <c r="S2752" s="74"/>
      <c r="T2752" s="74"/>
      <c r="U2752" s="75"/>
      <c r="V2752" s="74"/>
      <c r="W2752" s="75"/>
      <c r="X2752" s="74"/>
      <c r="Y2752" s="74"/>
      <c r="Z2752" s="74"/>
      <c r="AA2752" s="74"/>
      <c r="AB2752" s="74"/>
      <c r="AC2752" s="74"/>
      <c r="AD2752" s="74"/>
      <c r="AE2752" s="74"/>
      <c r="AF2752" s="74"/>
      <c r="AG2752" s="74"/>
      <c r="AH2752" s="74"/>
    </row>
    <row r="2753" s="73" customFormat="1" spans="1:34">
      <c r="A2753" s="74"/>
      <c r="B2753" s="74"/>
      <c r="C2753" s="74"/>
      <c r="D2753" s="74"/>
      <c r="E2753" s="74"/>
      <c r="F2753" s="74"/>
      <c r="G2753" s="74"/>
      <c r="H2753" s="74"/>
      <c r="I2753" s="74"/>
      <c r="J2753" s="74"/>
      <c r="K2753" s="74"/>
      <c r="L2753" s="74"/>
      <c r="M2753" s="74"/>
      <c r="N2753" s="74"/>
      <c r="O2753" s="75"/>
      <c r="P2753" s="74"/>
      <c r="Q2753" s="75"/>
      <c r="R2753" s="74"/>
      <c r="S2753" s="74"/>
      <c r="T2753" s="74"/>
      <c r="U2753" s="75"/>
      <c r="V2753" s="74"/>
      <c r="W2753" s="75"/>
      <c r="X2753" s="74"/>
      <c r="Y2753" s="74"/>
      <c r="Z2753" s="74"/>
      <c r="AA2753" s="74"/>
      <c r="AB2753" s="74"/>
      <c r="AC2753" s="74"/>
      <c r="AD2753" s="74"/>
      <c r="AE2753" s="74"/>
      <c r="AF2753" s="74"/>
      <c r="AG2753" s="74"/>
      <c r="AH2753" s="74"/>
    </row>
    <row r="2754" s="73" customFormat="1" spans="1:34">
      <c r="A2754" s="74"/>
      <c r="B2754" s="74"/>
      <c r="C2754" s="74"/>
      <c r="D2754" s="74"/>
      <c r="E2754" s="74"/>
      <c r="F2754" s="74"/>
      <c r="G2754" s="74"/>
      <c r="H2754" s="74"/>
      <c r="I2754" s="74"/>
      <c r="J2754" s="74"/>
      <c r="K2754" s="74"/>
      <c r="L2754" s="74"/>
      <c r="M2754" s="74"/>
      <c r="N2754" s="74"/>
      <c r="O2754" s="75"/>
      <c r="P2754" s="74"/>
      <c r="Q2754" s="75"/>
      <c r="R2754" s="74"/>
      <c r="S2754" s="74"/>
      <c r="T2754" s="74"/>
      <c r="U2754" s="75"/>
      <c r="V2754" s="74"/>
      <c r="W2754" s="75"/>
      <c r="X2754" s="74"/>
      <c r="Y2754" s="74"/>
      <c r="Z2754" s="74"/>
      <c r="AA2754" s="74"/>
      <c r="AB2754" s="74"/>
      <c r="AC2754" s="74"/>
      <c r="AD2754" s="74"/>
      <c r="AE2754" s="74"/>
      <c r="AF2754" s="74"/>
      <c r="AG2754" s="74"/>
      <c r="AH2754" s="74"/>
    </row>
    <row r="2755" s="73" customFormat="1" spans="1:34">
      <c r="A2755" s="74"/>
      <c r="B2755" s="74"/>
      <c r="C2755" s="74"/>
      <c r="D2755" s="74"/>
      <c r="E2755" s="74"/>
      <c r="F2755" s="74"/>
      <c r="G2755" s="74"/>
      <c r="H2755" s="74"/>
      <c r="I2755" s="74"/>
      <c r="J2755" s="74"/>
      <c r="K2755" s="74"/>
      <c r="L2755" s="74"/>
      <c r="M2755" s="74"/>
      <c r="N2755" s="74"/>
      <c r="O2755" s="75"/>
      <c r="P2755" s="74"/>
      <c r="Q2755" s="75"/>
      <c r="R2755" s="74"/>
      <c r="S2755" s="74"/>
      <c r="T2755" s="74"/>
      <c r="U2755" s="75"/>
      <c r="V2755" s="74"/>
      <c r="W2755" s="75"/>
      <c r="X2755" s="74"/>
      <c r="Y2755" s="74"/>
      <c r="Z2755" s="74"/>
      <c r="AA2755" s="74"/>
      <c r="AB2755" s="74"/>
      <c r="AC2755" s="74"/>
      <c r="AD2755" s="74"/>
      <c r="AE2755" s="74"/>
      <c r="AF2755" s="74"/>
      <c r="AG2755" s="74"/>
      <c r="AH2755" s="74"/>
    </row>
    <row r="2756" s="73" customFormat="1" spans="1:34">
      <c r="A2756" s="74"/>
      <c r="B2756" s="74"/>
      <c r="C2756" s="74"/>
      <c r="D2756" s="74"/>
      <c r="E2756" s="74"/>
      <c r="F2756" s="74"/>
      <c r="G2756" s="74"/>
      <c r="H2756" s="74"/>
      <c r="I2756" s="74"/>
      <c r="J2756" s="74"/>
      <c r="K2756" s="74"/>
      <c r="L2756" s="74"/>
      <c r="M2756" s="74"/>
      <c r="N2756" s="74"/>
      <c r="O2756" s="75"/>
      <c r="P2756" s="74"/>
      <c r="Q2756" s="75"/>
      <c r="R2756" s="74"/>
      <c r="S2756" s="74"/>
      <c r="T2756" s="74"/>
      <c r="U2756" s="75"/>
      <c r="V2756" s="74"/>
      <c r="W2756" s="75"/>
      <c r="X2756" s="74"/>
      <c r="Y2756" s="74"/>
      <c r="Z2756" s="74"/>
      <c r="AA2756" s="74"/>
      <c r="AB2756" s="74"/>
      <c r="AC2756" s="74"/>
      <c r="AD2756" s="74"/>
      <c r="AE2756" s="74"/>
      <c r="AF2756" s="74"/>
      <c r="AG2756" s="74"/>
      <c r="AH2756" s="74"/>
    </row>
    <row r="2757" s="73" customFormat="1" spans="1:34">
      <c r="A2757" s="74"/>
      <c r="B2757" s="74"/>
      <c r="C2757" s="74"/>
      <c r="D2757" s="74"/>
      <c r="E2757" s="74"/>
      <c r="F2757" s="74"/>
      <c r="G2757" s="74"/>
      <c r="H2757" s="74"/>
      <c r="I2757" s="74"/>
      <c r="J2757" s="74"/>
      <c r="K2757" s="74"/>
      <c r="L2757" s="74"/>
      <c r="M2757" s="74"/>
      <c r="N2757" s="74"/>
      <c r="O2757" s="75"/>
      <c r="P2757" s="74"/>
      <c r="Q2757" s="75"/>
      <c r="R2757" s="74"/>
      <c r="S2757" s="74"/>
      <c r="T2757" s="74"/>
      <c r="U2757" s="75"/>
      <c r="V2757" s="74"/>
      <c r="W2757" s="75"/>
      <c r="X2757" s="74"/>
      <c r="Y2757" s="74"/>
      <c r="Z2757" s="74"/>
      <c r="AA2757" s="74"/>
      <c r="AB2757" s="74"/>
      <c r="AC2757" s="74"/>
      <c r="AD2757" s="74"/>
      <c r="AE2757" s="74"/>
      <c r="AF2757" s="74"/>
      <c r="AG2757" s="74"/>
      <c r="AH2757" s="74"/>
    </row>
    <row r="2758" s="73" customFormat="1" spans="1:34">
      <c r="A2758" s="74"/>
      <c r="B2758" s="74"/>
      <c r="C2758" s="74"/>
      <c r="D2758" s="74"/>
      <c r="E2758" s="74"/>
      <c r="F2758" s="74"/>
      <c r="G2758" s="74"/>
      <c r="H2758" s="74"/>
      <c r="I2758" s="74"/>
      <c r="J2758" s="74"/>
      <c r="K2758" s="74"/>
      <c r="L2758" s="74"/>
      <c r="M2758" s="74"/>
      <c r="N2758" s="74"/>
      <c r="O2758" s="75"/>
      <c r="P2758" s="74"/>
      <c r="Q2758" s="75"/>
      <c r="R2758" s="74"/>
      <c r="S2758" s="74"/>
      <c r="T2758" s="74"/>
      <c r="U2758" s="75"/>
      <c r="V2758" s="74"/>
      <c r="W2758" s="75"/>
      <c r="X2758" s="74"/>
      <c r="Y2758" s="74"/>
      <c r="Z2758" s="74"/>
      <c r="AA2758" s="74"/>
      <c r="AB2758" s="74"/>
      <c r="AC2758" s="74"/>
      <c r="AD2758" s="74"/>
      <c r="AE2758" s="74"/>
      <c r="AF2758" s="74"/>
      <c r="AG2758" s="74"/>
      <c r="AH2758" s="74"/>
    </row>
    <row r="2759" s="73" customFormat="1" spans="1:34">
      <c r="A2759" s="74"/>
      <c r="B2759" s="74"/>
      <c r="C2759" s="74"/>
      <c r="D2759" s="74"/>
      <c r="E2759" s="74"/>
      <c r="F2759" s="74"/>
      <c r="G2759" s="74"/>
      <c r="H2759" s="74"/>
      <c r="I2759" s="74"/>
      <c r="J2759" s="74"/>
      <c r="K2759" s="74"/>
      <c r="L2759" s="74"/>
      <c r="M2759" s="74"/>
      <c r="N2759" s="74"/>
      <c r="O2759" s="75"/>
      <c r="P2759" s="74"/>
      <c r="Q2759" s="75"/>
      <c r="R2759" s="74"/>
      <c r="S2759" s="74"/>
      <c r="T2759" s="74"/>
      <c r="U2759" s="75"/>
      <c r="V2759" s="74"/>
      <c r="W2759" s="75"/>
      <c r="X2759" s="74"/>
      <c r="Y2759" s="74"/>
      <c r="Z2759" s="74"/>
      <c r="AA2759" s="74"/>
      <c r="AB2759" s="74"/>
      <c r="AC2759" s="74"/>
      <c r="AD2759" s="74"/>
      <c r="AE2759" s="74"/>
      <c r="AF2759" s="74"/>
      <c r="AG2759" s="74"/>
      <c r="AH2759" s="74"/>
    </row>
    <row r="2760" s="73" customFormat="1" spans="1:34">
      <c r="A2760" s="74"/>
      <c r="B2760" s="74"/>
      <c r="C2760" s="74"/>
      <c r="D2760" s="74"/>
      <c r="E2760" s="74"/>
      <c r="F2760" s="74"/>
      <c r="G2760" s="74"/>
      <c r="H2760" s="74"/>
      <c r="I2760" s="74"/>
      <c r="J2760" s="74"/>
      <c r="K2760" s="74"/>
      <c r="L2760" s="74"/>
      <c r="M2760" s="74"/>
      <c r="N2760" s="74"/>
      <c r="O2760" s="75"/>
      <c r="P2760" s="74"/>
      <c r="Q2760" s="75"/>
      <c r="R2760" s="74"/>
      <c r="S2760" s="74"/>
      <c r="T2760" s="74"/>
      <c r="U2760" s="75"/>
      <c r="V2760" s="74"/>
      <c r="W2760" s="75"/>
      <c r="X2760" s="74"/>
      <c r="Y2760" s="74"/>
      <c r="Z2760" s="74"/>
      <c r="AA2760" s="74"/>
      <c r="AB2760" s="74"/>
      <c r="AC2760" s="74"/>
      <c r="AD2760" s="74"/>
      <c r="AE2760" s="74"/>
      <c r="AF2760" s="74"/>
      <c r="AG2760" s="74"/>
      <c r="AH2760" s="74"/>
    </row>
    <row r="2761" s="73" customFormat="1" spans="1:34">
      <c r="A2761" s="74"/>
      <c r="B2761" s="74"/>
      <c r="C2761" s="74"/>
      <c r="D2761" s="74"/>
      <c r="E2761" s="74"/>
      <c r="F2761" s="74"/>
      <c r="G2761" s="74"/>
      <c r="H2761" s="74"/>
      <c r="I2761" s="74"/>
      <c r="J2761" s="74"/>
      <c r="K2761" s="74"/>
      <c r="L2761" s="74"/>
      <c r="M2761" s="74"/>
      <c r="N2761" s="74"/>
      <c r="O2761" s="75"/>
      <c r="P2761" s="74"/>
      <c r="Q2761" s="75"/>
      <c r="R2761" s="74"/>
      <c r="S2761" s="74"/>
      <c r="T2761" s="74"/>
      <c r="U2761" s="75"/>
      <c r="V2761" s="74"/>
      <c r="W2761" s="75"/>
      <c r="X2761" s="74"/>
      <c r="Y2761" s="74"/>
      <c r="Z2761" s="74"/>
      <c r="AA2761" s="74"/>
      <c r="AB2761" s="74"/>
      <c r="AC2761" s="74"/>
      <c r="AD2761" s="74"/>
      <c r="AE2761" s="74"/>
      <c r="AF2761" s="74"/>
      <c r="AG2761" s="74"/>
      <c r="AH2761" s="74"/>
    </row>
    <row r="2762" s="73" customFormat="1" spans="1:34">
      <c r="A2762" s="74"/>
      <c r="B2762" s="74"/>
      <c r="C2762" s="74"/>
      <c r="D2762" s="74"/>
      <c r="E2762" s="74"/>
      <c r="F2762" s="74"/>
      <c r="G2762" s="74"/>
      <c r="H2762" s="74"/>
      <c r="I2762" s="74"/>
      <c r="J2762" s="74"/>
      <c r="K2762" s="74"/>
      <c r="L2762" s="74"/>
      <c r="M2762" s="74"/>
      <c r="N2762" s="74"/>
      <c r="O2762" s="75"/>
      <c r="P2762" s="74"/>
      <c r="Q2762" s="75"/>
      <c r="R2762" s="74"/>
      <c r="S2762" s="74"/>
      <c r="T2762" s="74"/>
      <c r="U2762" s="75"/>
      <c r="V2762" s="74"/>
      <c r="W2762" s="75"/>
      <c r="X2762" s="74"/>
      <c r="Y2762" s="74"/>
      <c r="Z2762" s="74"/>
      <c r="AA2762" s="74"/>
      <c r="AB2762" s="74"/>
      <c r="AC2762" s="74"/>
      <c r="AD2762" s="74"/>
      <c r="AE2762" s="74"/>
      <c r="AF2762" s="74"/>
      <c r="AG2762" s="74"/>
      <c r="AH2762" s="74"/>
    </row>
    <row r="2763" s="73" customFormat="1" spans="1:34">
      <c r="A2763" s="74"/>
      <c r="B2763" s="74"/>
      <c r="C2763" s="74"/>
      <c r="D2763" s="74"/>
      <c r="E2763" s="74"/>
      <c r="F2763" s="74"/>
      <c r="G2763" s="74"/>
      <c r="H2763" s="74"/>
      <c r="I2763" s="74"/>
      <c r="J2763" s="74"/>
      <c r="K2763" s="74"/>
      <c r="L2763" s="74"/>
      <c r="M2763" s="74"/>
      <c r="N2763" s="74"/>
      <c r="O2763" s="75"/>
      <c r="P2763" s="74"/>
      <c r="Q2763" s="75"/>
      <c r="R2763" s="74"/>
      <c r="S2763" s="74"/>
      <c r="T2763" s="74"/>
      <c r="U2763" s="75"/>
      <c r="V2763" s="74"/>
      <c r="W2763" s="75"/>
      <c r="X2763" s="74"/>
      <c r="Y2763" s="74"/>
      <c r="Z2763" s="74"/>
      <c r="AA2763" s="74"/>
      <c r="AB2763" s="74"/>
      <c r="AC2763" s="74"/>
      <c r="AD2763" s="74"/>
      <c r="AE2763" s="74"/>
      <c r="AF2763" s="74"/>
      <c r="AG2763" s="74"/>
      <c r="AH2763" s="74"/>
    </row>
    <row r="2764" s="73" customFormat="1" spans="1:34">
      <c r="A2764" s="74"/>
      <c r="B2764" s="74"/>
      <c r="C2764" s="74"/>
      <c r="D2764" s="74"/>
      <c r="E2764" s="74"/>
      <c r="F2764" s="74"/>
      <c r="G2764" s="74"/>
      <c r="H2764" s="74"/>
      <c r="I2764" s="74"/>
      <c r="J2764" s="74"/>
      <c r="K2764" s="74"/>
      <c r="L2764" s="74"/>
      <c r="M2764" s="74"/>
      <c r="N2764" s="74"/>
      <c r="O2764" s="75"/>
      <c r="P2764" s="74"/>
      <c r="Q2764" s="75"/>
      <c r="R2764" s="74"/>
      <c r="S2764" s="74"/>
      <c r="T2764" s="74"/>
      <c r="U2764" s="75"/>
      <c r="V2764" s="74"/>
      <c r="W2764" s="75"/>
      <c r="X2764" s="74"/>
      <c r="Y2764" s="74"/>
      <c r="Z2764" s="74"/>
      <c r="AA2764" s="74"/>
      <c r="AB2764" s="74"/>
      <c r="AC2764" s="74"/>
      <c r="AD2764" s="74"/>
      <c r="AE2764" s="74"/>
      <c r="AF2764" s="74"/>
      <c r="AG2764" s="74"/>
      <c r="AH2764" s="74"/>
    </row>
    <row r="2765" s="73" customFormat="1" spans="1:34">
      <c r="A2765" s="74"/>
      <c r="B2765" s="74"/>
      <c r="C2765" s="74"/>
      <c r="D2765" s="74"/>
      <c r="E2765" s="74"/>
      <c r="F2765" s="74"/>
      <c r="G2765" s="74"/>
      <c r="H2765" s="74"/>
      <c r="I2765" s="74"/>
      <c r="J2765" s="74"/>
      <c r="K2765" s="74"/>
      <c r="L2765" s="74"/>
      <c r="M2765" s="74"/>
      <c r="N2765" s="74"/>
      <c r="O2765" s="75"/>
      <c r="P2765" s="74"/>
      <c r="Q2765" s="75"/>
      <c r="R2765" s="74"/>
      <c r="S2765" s="74"/>
      <c r="T2765" s="74"/>
      <c r="U2765" s="75"/>
      <c r="V2765" s="74"/>
      <c r="W2765" s="75"/>
      <c r="X2765" s="74"/>
      <c r="Y2765" s="74"/>
      <c r="Z2765" s="74"/>
      <c r="AA2765" s="74"/>
      <c r="AB2765" s="74"/>
      <c r="AC2765" s="74"/>
      <c r="AD2765" s="74"/>
      <c r="AE2765" s="74"/>
      <c r="AF2765" s="74"/>
      <c r="AG2765" s="74"/>
      <c r="AH2765" s="74"/>
    </row>
    <row r="2766" s="73" customFormat="1" spans="1:34">
      <c r="A2766" s="74"/>
      <c r="B2766" s="74"/>
      <c r="C2766" s="74"/>
      <c r="D2766" s="74"/>
      <c r="E2766" s="74"/>
      <c r="F2766" s="74"/>
      <c r="G2766" s="74"/>
      <c r="H2766" s="74"/>
      <c r="I2766" s="74"/>
      <c r="J2766" s="74"/>
      <c r="K2766" s="74"/>
      <c r="L2766" s="74"/>
      <c r="M2766" s="74"/>
      <c r="N2766" s="74"/>
      <c r="O2766" s="75"/>
      <c r="P2766" s="74"/>
      <c r="Q2766" s="75"/>
      <c r="R2766" s="74"/>
      <c r="S2766" s="74"/>
      <c r="T2766" s="74"/>
      <c r="U2766" s="75"/>
      <c r="V2766" s="74"/>
      <c r="W2766" s="75"/>
      <c r="X2766" s="74"/>
      <c r="Y2766" s="74"/>
      <c r="Z2766" s="74"/>
      <c r="AA2766" s="74"/>
      <c r="AB2766" s="74"/>
      <c r="AC2766" s="74"/>
      <c r="AD2766" s="74"/>
      <c r="AE2766" s="74"/>
      <c r="AF2766" s="74"/>
      <c r="AG2766" s="74"/>
      <c r="AH2766" s="74"/>
    </row>
    <row r="2767" s="73" customFormat="1" spans="1:34">
      <c r="A2767" s="74"/>
      <c r="B2767" s="74"/>
      <c r="C2767" s="74"/>
      <c r="D2767" s="74"/>
      <c r="E2767" s="74"/>
      <c r="F2767" s="74"/>
      <c r="G2767" s="74"/>
      <c r="H2767" s="74"/>
      <c r="I2767" s="74"/>
      <c r="J2767" s="74"/>
      <c r="K2767" s="74"/>
      <c r="L2767" s="74"/>
      <c r="M2767" s="74"/>
      <c r="N2767" s="74"/>
      <c r="O2767" s="75"/>
      <c r="P2767" s="74"/>
      <c r="Q2767" s="75"/>
      <c r="R2767" s="74"/>
      <c r="S2767" s="74"/>
      <c r="T2767" s="74"/>
      <c r="U2767" s="75"/>
      <c r="V2767" s="74"/>
      <c r="W2767" s="75"/>
      <c r="X2767" s="74"/>
      <c r="Y2767" s="74"/>
      <c r="Z2767" s="74"/>
      <c r="AA2767" s="74"/>
      <c r="AB2767" s="74"/>
      <c r="AC2767" s="74"/>
      <c r="AD2767" s="74"/>
      <c r="AE2767" s="74"/>
      <c r="AF2767" s="74"/>
      <c r="AG2767" s="74"/>
      <c r="AH2767" s="74"/>
    </row>
    <row r="2768" s="73" customFormat="1" spans="1:34">
      <c r="A2768" s="74"/>
      <c r="B2768" s="74"/>
      <c r="C2768" s="74"/>
      <c r="D2768" s="74"/>
      <c r="E2768" s="74"/>
      <c r="F2768" s="74"/>
      <c r="G2768" s="74"/>
      <c r="H2768" s="74"/>
      <c r="I2768" s="74"/>
      <c r="J2768" s="74"/>
      <c r="K2768" s="74"/>
      <c r="L2768" s="74"/>
      <c r="M2768" s="74"/>
      <c r="N2768" s="74"/>
      <c r="O2768" s="75"/>
      <c r="P2768" s="74"/>
      <c r="Q2768" s="75"/>
      <c r="R2768" s="74"/>
      <c r="S2768" s="74"/>
      <c r="T2768" s="74"/>
      <c r="U2768" s="75"/>
      <c r="V2768" s="74"/>
      <c r="W2768" s="75"/>
      <c r="X2768" s="74"/>
      <c r="Y2768" s="74"/>
      <c r="Z2768" s="74"/>
      <c r="AA2768" s="74"/>
      <c r="AB2768" s="74"/>
      <c r="AC2768" s="74"/>
      <c r="AD2768" s="74"/>
      <c r="AE2768" s="74"/>
      <c r="AF2768" s="74"/>
      <c r="AG2768" s="74"/>
      <c r="AH2768" s="74"/>
    </row>
    <row r="2769" s="73" customFormat="1" spans="1:34">
      <c r="A2769" s="74"/>
      <c r="B2769" s="74"/>
      <c r="C2769" s="74"/>
      <c r="D2769" s="74"/>
      <c r="E2769" s="74"/>
      <c r="F2769" s="74"/>
      <c r="G2769" s="74"/>
      <c r="H2769" s="74"/>
      <c r="I2769" s="74"/>
      <c r="J2769" s="74"/>
      <c r="K2769" s="74"/>
      <c r="L2769" s="74"/>
      <c r="M2769" s="74"/>
      <c r="N2769" s="74"/>
      <c r="O2769" s="75"/>
      <c r="P2769" s="74"/>
      <c r="Q2769" s="75"/>
      <c r="R2769" s="74"/>
      <c r="S2769" s="74"/>
      <c r="T2769" s="74"/>
      <c r="U2769" s="75"/>
      <c r="V2769" s="74"/>
      <c r="W2769" s="75"/>
      <c r="X2769" s="74"/>
      <c r="Y2769" s="74"/>
      <c r="Z2769" s="74"/>
      <c r="AA2769" s="74"/>
      <c r="AB2769" s="74"/>
      <c r="AC2769" s="74"/>
      <c r="AD2769" s="74"/>
      <c r="AE2769" s="74"/>
      <c r="AF2769" s="74"/>
      <c r="AG2769" s="74"/>
      <c r="AH2769" s="74"/>
    </row>
    <row r="2770" s="73" customFormat="1" spans="1:34">
      <c r="A2770" s="74"/>
      <c r="B2770" s="74"/>
      <c r="C2770" s="74"/>
      <c r="D2770" s="74"/>
      <c r="E2770" s="74"/>
      <c r="F2770" s="74"/>
      <c r="G2770" s="74"/>
      <c r="H2770" s="74"/>
      <c r="I2770" s="74"/>
      <c r="J2770" s="74"/>
      <c r="K2770" s="74"/>
      <c r="L2770" s="74"/>
      <c r="M2770" s="74"/>
      <c r="N2770" s="74"/>
      <c r="O2770" s="75"/>
      <c r="P2770" s="74"/>
      <c r="Q2770" s="75"/>
      <c r="R2770" s="74"/>
      <c r="S2770" s="74"/>
      <c r="T2770" s="74"/>
      <c r="U2770" s="75"/>
      <c r="V2770" s="74"/>
      <c r="W2770" s="75"/>
      <c r="X2770" s="74"/>
      <c r="Y2770" s="74"/>
      <c r="Z2770" s="74"/>
      <c r="AA2770" s="74"/>
      <c r="AB2770" s="74"/>
      <c r="AC2770" s="74"/>
      <c r="AD2770" s="74"/>
      <c r="AE2770" s="74"/>
      <c r="AF2770" s="74"/>
      <c r="AG2770" s="74"/>
      <c r="AH2770" s="74"/>
    </row>
    <row r="2771" s="73" customFormat="1" spans="1:34">
      <c r="A2771" s="74"/>
      <c r="B2771" s="74"/>
      <c r="C2771" s="74"/>
      <c r="D2771" s="74"/>
      <c r="E2771" s="74"/>
      <c r="F2771" s="74"/>
      <c r="G2771" s="74"/>
      <c r="H2771" s="74"/>
      <c r="I2771" s="74"/>
      <c r="J2771" s="74"/>
      <c r="K2771" s="74"/>
      <c r="L2771" s="74"/>
      <c r="M2771" s="74"/>
      <c r="N2771" s="74"/>
      <c r="O2771" s="75"/>
      <c r="P2771" s="74"/>
      <c r="Q2771" s="75"/>
      <c r="R2771" s="74"/>
      <c r="S2771" s="74"/>
      <c r="T2771" s="74"/>
      <c r="U2771" s="75"/>
      <c r="V2771" s="74"/>
      <c r="W2771" s="75"/>
      <c r="X2771" s="74"/>
      <c r="Y2771" s="74"/>
      <c r="Z2771" s="74"/>
      <c r="AA2771" s="74"/>
      <c r="AB2771" s="74"/>
      <c r="AC2771" s="74"/>
      <c r="AD2771" s="74"/>
      <c r="AE2771" s="74"/>
      <c r="AF2771" s="74"/>
      <c r="AG2771" s="74"/>
      <c r="AH2771" s="74"/>
    </row>
    <row r="2772" s="73" customFormat="1" spans="1:34">
      <c r="A2772" s="74"/>
      <c r="B2772" s="74"/>
      <c r="C2772" s="74"/>
      <c r="D2772" s="74"/>
      <c r="E2772" s="74"/>
      <c r="F2772" s="74"/>
      <c r="G2772" s="74"/>
      <c r="H2772" s="74"/>
      <c r="I2772" s="74"/>
      <c r="J2772" s="74"/>
      <c r="K2772" s="74"/>
      <c r="L2772" s="74"/>
      <c r="M2772" s="74"/>
      <c r="N2772" s="74"/>
      <c r="O2772" s="75"/>
      <c r="P2772" s="74"/>
      <c r="Q2772" s="75"/>
      <c r="R2772" s="74"/>
      <c r="S2772" s="74"/>
      <c r="T2772" s="74"/>
      <c r="U2772" s="75"/>
      <c r="V2772" s="74"/>
      <c r="W2772" s="75"/>
      <c r="X2772" s="74"/>
      <c r="Y2772" s="74"/>
      <c r="Z2772" s="74"/>
      <c r="AA2772" s="74"/>
      <c r="AB2772" s="74"/>
      <c r="AC2772" s="74"/>
      <c r="AD2772" s="74"/>
      <c r="AE2772" s="74"/>
      <c r="AF2772" s="74"/>
      <c r="AG2772" s="74"/>
      <c r="AH2772" s="74"/>
    </row>
    <row r="2773" s="73" customFormat="1" spans="1:34">
      <c r="A2773" s="74"/>
      <c r="B2773" s="74"/>
      <c r="C2773" s="74"/>
      <c r="D2773" s="74"/>
      <c r="E2773" s="74"/>
      <c r="F2773" s="74"/>
      <c r="G2773" s="74"/>
      <c r="H2773" s="74"/>
      <c r="I2773" s="74"/>
      <c r="J2773" s="74"/>
      <c r="K2773" s="74"/>
      <c r="L2773" s="74"/>
      <c r="M2773" s="74"/>
      <c r="N2773" s="74"/>
      <c r="O2773" s="75"/>
      <c r="P2773" s="74"/>
      <c r="Q2773" s="75"/>
      <c r="R2773" s="74"/>
      <c r="S2773" s="74"/>
      <c r="T2773" s="74"/>
      <c r="U2773" s="75"/>
      <c r="V2773" s="74"/>
      <c r="W2773" s="75"/>
      <c r="X2773" s="74"/>
      <c r="Y2773" s="74"/>
      <c r="Z2773" s="74"/>
      <c r="AA2773" s="74"/>
      <c r="AB2773" s="74"/>
      <c r="AC2773" s="74"/>
      <c r="AD2773" s="74"/>
      <c r="AE2773" s="74"/>
      <c r="AF2773" s="74"/>
      <c r="AG2773" s="74"/>
      <c r="AH2773" s="74"/>
    </row>
    <row r="2774" s="73" customFormat="1" spans="1:34">
      <c r="A2774" s="74"/>
      <c r="B2774" s="74"/>
      <c r="C2774" s="74"/>
      <c r="D2774" s="74"/>
      <c r="E2774" s="74"/>
      <c r="F2774" s="74"/>
      <c r="G2774" s="74"/>
      <c r="H2774" s="74"/>
      <c r="I2774" s="74"/>
      <c r="J2774" s="74"/>
      <c r="K2774" s="74"/>
      <c r="L2774" s="74"/>
      <c r="M2774" s="74"/>
      <c r="N2774" s="74"/>
      <c r="O2774" s="75"/>
      <c r="P2774" s="74"/>
      <c r="Q2774" s="75"/>
      <c r="R2774" s="74"/>
      <c r="S2774" s="74"/>
      <c r="T2774" s="74"/>
      <c r="U2774" s="75"/>
      <c r="V2774" s="74"/>
      <c r="W2774" s="75"/>
      <c r="X2774" s="74"/>
      <c r="Y2774" s="74"/>
      <c r="Z2774" s="74"/>
      <c r="AA2774" s="74"/>
      <c r="AB2774" s="74"/>
      <c r="AC2774" s="74"/>
      <c r="AD2774" s="74"/>
      <c r="AE2774" s="74"/>
      <c r="AF2774" s="74"/>
      <c r="AG2774" s="74"/>
      <c r="AH2774" s="74"/>
    </row>
    <row r="2775" s="73" customFormat="1" spans="1:34">
      <c r="A2775" s="74"/>
      <c r="B2775" s="74"/>
      <c r="C2775" s="74"/>
      <c r="D2775" s="74"/>
      <c r="E2775" s="74"/>
      <c r="F2775" s="74"/>
      <c r="G2775" s="74"/>
      <c r="H2775" s="74"/>
      <c r="I2775" s="74"/>
      <c r="J2775" s="74"/>
      <c r="K2775" s="74"/>
      <c r="L2775" s="74"/>
      <c r="M2775" s="74"/>
      <c r="N2775" s="74"/>
      <c r="O2775" s="75"/>
      <c r="P2775" s="74"/>
      <c r="Q2775" s="75"/>
      <c r="R2775" s="74"/>
      <c r="S2775" s="74"/>
      <c r="T2775" s="74"/>
      <c r="U2775" s="75"/>
      <c r="V2775" s="74"/>
      <c r="W2775" s="75"/>
      <c r="X2775" s="74"/>
      <c r="Y2775" s="74"/>
      <c r="Z2775" s="74"/>
      <c r="AA2775" s="74"/>
      <c r="AB2775" s="74"/>
      <c r="AC2775" s="74"/>
      <c r="AD2775" s="74"/>
      <c r="AE2775" s="74"/>
      <c r="AF2775" s="74"/>
      <c r="AG2775" s="74"/>
      <c r="AH2775" s="74"/>
    </row>
    <row r="2776" s="73" customFormat="1" spans="1:34">
      <c r="A2776" s="74"/>
      <c r="B2776" s="74"/>
      <c r="C2776" s="74"/>
      <c r="D2776" s="74"/>
      <c r="E2776" s="74"/>
      <c r="F2776" s="74"/>
      <c r="G2776" s="74"/>
      <c r="H2776" s="74"/>
      <c r="I2776" s="74"/>
      <c r="J2776" s="74"/>
      <c r="K2776" s="74"/>
      <c r="L2776" s="74"/>
      <c r="M2776" s="74"/>
      <c r="N2776" s="74"/>
      <c r="O2776" s="75"/>
      <c r="P2776" s="74"/>
      <c r="Q2776" s="75"/>
      <c r="R2776" s="74"/>
      <c r="S2776" s="74"/>
      <c r="T2776" s="74"/>
      <c r="U2776" s="75"/>
      <c r="V2776" s="74"/>
      <c r="W2776" s="75"/>
      <c r="X2776" s="74"/>
      <c r="Y2776" s="74"/>
      <c r="Z2776" s="74"/>
      <c r="AA2776" s="74"/>
      <c r="AB2776" s="74"/>
      <c r="AC2776" s="74"/>
      <c r="AD2776" s="74"/>
      <c r="AE2776" s="74"/>
      <c r="AF2776" s="74"/>
      <c r="AG2776" s="74"/>
      <c r="AH2776" s="74"/>
    </row>
    <row r="2777" s="73" customFormat="1" spans="1:34">
      <c r="A2777" s="74"/>
      <c r="B2777" s="74"/>
      <c r="C2777" s="74"/>
      <c r="D2777" s="74"/>
      <c r="E2777" s="74"/>
      <c r="F2777" s="74"/>
      <c r="G2777" s="74"/>
      <c r="H2777" s="74"/>
      <c r="I2777" s="74"/>
      <c r="J2777" s="74"/>
      <c r="K2777" s="74"/>
      <c r="L2777" s="74"/>
      <c r="M2777" s="74"/>
      <c r="N2777" s="74"/>
      <c r="O2777" s="75"/>
      <c r="P2777" s="74"/>
      <c r="Q2777" s="75"/>
      <c r="R2777" s="74"/>
      <c r="S2777" s="74"/>
      <c r="T2777" s="74"/>
      <c r="U2777" s="75"/>
      <c r="V2777" s="74"/>
      <c r="W2777" s="75"/>
      <c r="X2777" s="74"/>
      <c r="Y2777" s="74"/>
      <c r="Z2777" s="74"/>
      <c r="AA2777" s="74"/>
      <c r="AB2777" s="74"/>
      <c r="AC2777" s="74"/>
      <c r="AD2777" s="74"/>
      <c r="AE2777" s="74"/>
      <c r="AF2777" s="74"/>
      <c r="AG2777" s="74"/>
      <c r="AH2777" s="74"/>
    </row>
    <row r="2778" s="73" customFormat="1" spans="1:34">
      <c r="A2778" s="74"/>
      <c r="B2778" s="74"/>
      <c r="C2778" s="74"/>
      <c r="D2778" s="74"/>
      <c r="E2778" s="74"/>
      <c r="F2778" s="74"/>
      <c r="G2778" s="74"/>
      <c r="H2778" s="74"/>
      <c r="I2778" s="74"/>
      <c r="J2778" s="74"/>
      <c r="K2778" s="74"/>
      <c r="L2778" s="74"/>
      <c r="M2778" s="74"/>
      <c r="N2778" s="74"/>
      <c r="O2778" s="75"/>
      <c r="P2778" s="74"/>
      <c r="Q2778" s="75"/>
      <c r="R2778" s="74"/>
      <c r="S2778" s="74"/>
      <c r="T2778" s="74"/>
      <c r="U2778" s="75"/>
      <c r="V2778" s="74"/>
      <c r="W2778" s="75"/>
      <c r="X2778" s="74"/>
      <c r="Y2778" s="74"/>
      <c r="Z2778" s="74"/>
      <c r="AA2778" s="74"/>
      <c r="AB2778" s="74"/>
      <c r="AC2778" s="74"/>
      <c r="AD2778" s="74"/>
      <c r="AE2778" s="74"/>
      <c r="AF2778" s="74"/>
      <c r="AG2778" s="74"/>
      <c r="AH2778" s="74"/>
    </row>
    <row r="2779" s="73" customFormat="1" spans="1:34">
      <c r="A2779" s="74"/>
      <c r="B2779" s="74"/>
      <c r="C2779" s="74"/>
      <c r="D2779" s="74"/>
      <c r="E2779" s="74"/>
      <c r="F2779" s="74"/>
      <c r="G2779" s="74"/>
      <c r="H2779" s="74"/>
      <c r="I2779" s="74"/>
      <c r="J2779" s="74"/>
      <c r="K2779" s="74"/>
      <c r="L2779" s="74"/>
      <c r="M2779" s="74"/>
      <c r="N2779" s="74"/>
      <c r="O2779" s="75"/>
      <c r="P2779" s="74"/>
      <c r="Q2779" s="75"/>
      <c r="R2779" s="74"/>
      <c r="S2779" s="74"/>
      <c r="T2779" s="74"/>
      <c r="U2779" s="75"/>
      <c r="V2779" s="74"/>
      <c r="W2779" s="75"/>
      <c r="X2779" s="74"/>
      <c r="Y2779" s="74"/>
      <c r="Z2779" s="74"/>
      <c r="AA2779" s="74"/>
      <c r="AB2779" s="74"/>
      <c r="AC2779" s="74"/>
      <c r="AD2779" s="74"/>
      <c r="AE2779" s="74"/>
      <c r="AF2779" s="74"/>
      <c r="AG2779" s="74"/>
      <c r="AH2779" s="74"/>
    </row>
    <row r="2780" s="73" customFormat="1" spans="1:34">
      <c r="A2780" s="74"/>
      <c r="B2780" s="74"/>
      <c r="C2780" s="74"/>
      <c r="D2780" s="74"/>
      <c r="E2780" s="74"/>
      <c r="F2780" s="74"/>
      <c r="G2780" s="74"/>
      <c r="H2780" s="74"/>
      <c r="I2780" s="74"/>
      <c r="J2780" s="74"/>
      <c r="K2780" s="74"/>
      <c r="L2780" s="74"/>
      <c r="M2780" s="74"/>
      <c r="N2780" s="74"/>
      <c r="O2780" s="75"/>
      <c r="P2780" s="74"/>
      <c r="Q2780" s="75"/>
      <c r="R2780" s="74"/>
      <c r="S2780" s="74"/>
      <c r="T2780" s="74"/>
      <c r="U2780" s="75"/>
      <c r="V2780" s="74"/>
      <c r="W2780" s="75"/>
      <c r="X2780" s="74"/>
      <c r="Y2780" s="74"/>
      <c r="Z2780" s="74"/>
      <c r="AA2780" s="74"/>
      <c r="AB2780" s="74"/>
      <c r="AC2780" s="74"/>
      <c r="AD2780" s="74"/>
      <c r="AE2780" s="74"/>
      <c r="AF2780" s="74"/>
      <c r="AG2780" s="74"/>
      <c r="AH2780" s="74"/>
    </row>
    <row r="2781" s="73" customFormat="1" spans="1:34">
      <c r="A2781" s="74"/>
      <c r="B2781" s="74"/>
      <c r="C2781" s="74"/>
      <c r="D2781" s="74"/>
      <c r="E2781" s="74"/>
      <c r="F2781" s="74"/>
      <c r="G2781" s="74"/>
      <c r="H2781" s="74"/>
      <c r="I2781" s="74"/>
      <c r="J2781" s="74"/>
      <c r="K2781" s="74"/>
      <c r="L2781" s="74"/>
      <c r="M2781" s="74"/>
      <c r="N2781" s="74"/>
      <c r="O2781" s="75"/>
      <c r="P2781" s="74"/>
      <c r="Q2781" s="75"/>
      <c r="R2781" s="74"/>
      <c r="S2781" s="74"/>
      <c r="T2781" s="74"/>
      <c r="U2781" s="75"/>
      <c r="V2781" s="74"/>
      <c r="W2781" s="75"/>
      <c r="X2781" s="74"/>
      <c r="Y2781" s="74"/>
      <c r="Z2781" s="74"/>
      <c r="AA2781" s="74"/>
      <c r="AB2781" s="74"/>
      <c r="AC2781" s="74"/>
      <c r="AD2781" s="74"/>
      <c r="AE2781" s="74"/>
      <c r="AF2781" s="74"/>
      <c r="AG2781" s="74"/>
      <c r="AH2781" s="74"/>
    </row>
    <row r="2782" s="73" customFormat="1" spans="1:34">
      <c r="A2782" s="74"/>
      <c r="B2782" s="74"/>
      <c r="C2782" s="74"/>
      <c r="D2782" s="74"/>
      <c r="E2782" s="74"/>
      <c r="F2782" s="74"/>
      <c r="G2782" s="74"/>
      <c r="H2782" s="74"/>
      <c r="I2782" s="74"/>
      <c r="J2782" s="74"/>
      <c r="K2782" s="74"/>
      <c r="L2782" s="74"/>
      <c r="M2782" s="74"/>
      <c r="N2782" s="74"/>
      <c r="O2782" s="75"/>
      <c r="P2782" s="74"/>
      <c r="Q2782" s="75"/>
      <c r="R2782" s="74"/>
      <c r="S2782" s="74"/>
      <c r="T2782" s="74"/>
      <c r="U2782" s="75"/>
      <c r="V2782" s="74"/>
      <c r="W2782" s="75"/>
      <c r="X2782" s="74"/>
      <c r="Y2782" s="74"/>
      <c r="Z2782" s="74"/>
      <c r="AA2782" s="74"/>
      <c r="AB2782" s="74"/>
      <c r="AC2782" s="74"/>
      <c r="AD2782" s="74"/>
      <c r="AE2782" s="74"/>
      <c r="AF2782" s="74"/>
      <c r="AG2782" s="74"/>
      <c r="AH2782" s="74"/>
    </row>
    <row r="2783" s="73" customFormat="1" spans="1:34">
      <c r="A2783" s="74"/>
      <c r="B2783" s="74"/>
      <c r="C2783" s="74"/>
      <c r="D2783" s="74"/>
      <c r="E2783" s="74"/>
      <c r="F2783" s="74"/>
      <c r="G2783" s="74"/>
      <c r="H2783" s="74"/>
      <c r="I2783" s="74"/>
      <c r="J2783" s="74"/>
      <c r="K2783" s="74"/>
      <c r="L2783" s="74"/>
      <c r="M2783" s="74"/>
      <c r="N2783" s="74"/>
      <c r="O2783" s="75"/>
      <c r="P2783" s="74"/>
      <c r="Q2783" s="75"/>
      <c r="R2783" s="74"/>
      <c r="S2783" s="74"/>
      <c r="T2783" s="74"/>
      <c r="U2783" s="75"/>
      <c r="V2783" s="74"/>
      <c r="W2783" s="75"/>
      <c r="X2783" s="74"/>
      <c r="Y2783" s="74"/>
      <c r="Z2783" s="74"/>
      <c r="AA2783" s="74"/>
      <c r="AB2783" s="74"/>
      <c r="AC2783" s="74"/>
      <c r="AD2783" s="74"/>
      <c r="AE2783" s="74"/>
      <c r="AF2783" s="74"/>
      <c r="AG2783" s="74"/>
      <c r="AH2783" s="74"/>
    </row>
    <row r="2784" s="73" customFormat="1" spans="1:34">
      <c r="A2784" s="74"/>
      <c r="B2784" s="74"/>
      <c r="C2784" s="74"/>
      <c r="D2784" s="74"/>
      <c r="E2784" s="74"/>
      <c r="F2784" s="74"/>
      <c r="G2784" s="74"/>
      <c r="H2784" s="74"/>
      <c r="I2784" s="74"/>
      <c r="J2784" s="74"/>
      <c r="K2784" s="74"/>
      <c r="L2784" s="74"/>
      <c r="M2784" s="74"/>
      <c r="N2784" s="74"/>
      <c r="O2784" s="75"/>
      <c r="P2784" s="74"/>
      <c r="Q2784" s="75"/>
      <c r="R2784" s="74"/>
      <c r="S2784" s="74"/>
      <c r="T2784" s="74"/>
      <c r="U2784" s="75"/>
      <c r="V2784" s="74"/>
      <c r="W2784" s="75"/>
      <c r="X2784" s="74"/>
      <c r="Y2784" s="74"/>
      <c r="Z2784" s="74"/>
      <c r="AA2784" s="74"/>
      <c r="AB2784" s="74"/>
      <c r="AC2784" s="74"/>
      <c r="AD2784" s="74"/>
      <c r="AE2784" s="74"/>
      <c r="AF2784" s="74"/>
      <c r="AG2784" s="74"/>
      <c r="AH2784" s="74"/>
    </row>
    <row r="2785" s="73" customFormat="1" spans="1:34">
      <c r="A2785" s="74"/>
      <c r="B2785" s="74"/>
      <c r="C2785" s="74"/>
      <c r="D2785" s="74"/>
      <c r="E2785" s="74"/>
      <c r="F2785" s="74"/>
      <c r="G2785" s="74"/>
      <c r="H2785" s="74"/>
      <c r="I2785" s="74"/>
      <c r="J2785" s="74"/>
      <c r="K2785" s="74"/>
      <c r="L2785" s="74"/>
      <c r="M2785" s="74"/>
      <c r="N2785" s="74"/>
      <c r="O2785" s="75"/>
      <c r="P2785" s="74"/>
      <c r="Q2785" s="75"/>
      <c r="R2785" s="74"/>
      <c r="S2785" s="74"/>
      <c r="T2785" s="74"/>
      <c r="U2785" s="75"/>
      <c r="V2785" s="74"/>
      <c r="W2785" s="75"/>
      <c r="X2785" s="74"/>
      <c r="Y2785" s="74"/>
      <c r="Z2785" s="74"/>
      <c r="AA2785" s="74"/>
      <c r="AB2785" s="74"/>
      <c r="AC2785" s="74"/>
      <c r="AD2785" s="74"/>
      <c r="AE2785" s="74"/>
      <c r="AF2785" s="74"/>
      <c r="AG2785" s="74"/>
      <c r="AH2785" s="74"/>
    </row>
    <row r="2786" s="73" customFormat="1" spans="1:34">
      <c r="A2786" s="74"/>
      <c r="B2786" s="74"/>
      <c r="C2786" s="74"/>
      <c r="D2786" s="74"/>
      <c r="E2786" s="74"/>
      <c r="F2786" s="74"/>
      <c r="G2786" s="74"/>
      <c r="H2786" s="74"/>
      <c r="I2786" s="74"/>
      <c r="J2786" s="74"/>
      <c r="K2786" s="74"/>
      <c r="L2786" s="74"/>
      <c r="M2786" s="74"/>
      <c r="N2786" s="74"/>
      <c r="O2786" s="75"/>
      <c r="P2786" s="74"/>
      <c r="Q2786" s="75"/>
      <c r="R2786" s="74"/>
      <c r="S2786" s="74"/>
      <c r="T2786" s="74"/>
      <c r="U2786" s="75"/>
      <c r="V2786" s="74"/>
      <c r="W2786" s="75"/>
      <c r="X2786" s="74"/>
      <c r="Y2786" s="74"/>
      <c r="Z2786" s="74"/>
      <c r="AA2786" s="74"/>
      <c r="AB2786" s="74"/>
      <c r="AC2786" s="74"/>
      <c r="AD2786" s="74"/>
      <c r="AE2786" s="74"/>
      <c r="AF2786" s="74"/>
      <c r="AG2786" s="74"/>
      <c r="AH2786" s="74"/>
    </row>
    <row r="2787" s="73" customFormat="1" spans="1:34">
      <c r="A2787" s="74"/>
      <c r="B2787" s="74"/>
      <c r="C2787" s="74"/>
      <c r="D2787" s="74"/>
      <c r="E2787" s="74"/>
      <c r="F2787" s="74"/>
      <c r="G2787" s="74"/>
      <c r="H2787" s="74"/>
      <c r="I2787" s="74"/>
      <c r="J2787" s="74"/>
      <c r="K2787" s="74"/>
      <c r="L2787" s="74"/>
      <c r="M2787" s="74"/>
      <c r="N2787" s="74"/>
      <c r="O2787" s="75"/>
      <c r="P2787" s="74"/>
      <c r="Q2787" s="75"/>
      <c r="R2787" s="74"/>
      <c r="S2787" s="74"/>
      <c r="T2787" s="74"/>
      <c r="U2787" s="75"/>
      <c r="V2787" s="74"/>
      <c r="W2787" s="74"/>
      <c r="X2787" s="74"/>
      <c r="Y2787" s="74"/>
      <c r="Z2787" s="74"/>
      <c r="AA2787" s="74"/>
      <c r="AB2787" s="74"/>
      <c r="AC2787" s="74"/>
      <c r="AD2787" s="74"/>
      <c r="AE2787" s="74"/>
      <c r="AF2787" s="74"/>
      <c r="AG2787" s="74"/>
      <c r="AH2787" s="74"/>
    </row>
    <row r="2788" s="73" customFormat="1" spans="1:34">
      <c r="A2788" s="74"/>
      <c r="B2788" s="74"/>
      <c r="C2788" s="74"/>
      <c r="D2788" s="74"/>
      <c r="E2788" s="74"/>
      <c r="F2788" s="74"/>
      <c r="G2788" s="74"/>
      <c r="H2788" s="74"/>
      <c r="I2788" s="74"/>
      <c r="J2788" s="74"/>
      <c r="K2788" s="74"/>
      <c r="L2788" s="74"/>
      <c r="M2788" s="74"/>
      <c r="N2788" s="74"/>
      <c r="O2788" s="75"/>
      <c r="P2788" s="74"/>
      <c r="Q2788" s="75"/>
      <c r="R2788" s="74"/>
      <c r="S2788" s="74"/>
      <c r="T2788" s="74"/>
      <c r="U2788" s="75"/>
      <c r="V2788" s="74"/>
      <c r="W2788" s="75"/>
      <c r="X2788" s="74"/>
      <c r="Y2788" s="74"/>
      <c r="Z2788" s="74"/>
      <c r="AA2788" s="74"/>
      <c r="AB2788" s="74"/>
      <c r="AC2788" s="74"/>
      <c r="AD2788" s="74"/>
      <c r="AE2788" s="74"/>
      <c r="AF2788" s="74"/>
      <c r="AG2788" s="74"/>
      <c r="AH2788" s="74"/>
    </row>
    <row r="2789" s="73" customFormat="1" spans="1:34">
      <c r="A2789" s="74"/>
      <c r="B2789" s="74"/>
      <c r="C2789" s="74"/>
      <c r="D2789" s="74"/>
      <c r="E2789" s="74"/>
      <c r="F2789" s="74"/>
      <c r="G2789" s="74"/>
      <c r="H2789" s="74"/>
      <c r="I2789" s="74"/>
      <c r="J2789" s="74"/>
      <c r="K2789" s="74"/>
      <c r="L2789" s="74"/>
      <c r="M2789" s="74"/>
      <c r="N2789" s="74"/>
      <c r="O2789" s="75"/>
      <c r="P2789" s="74"/>
      <c r="Q2789" s="75"/>
      <c r="R2789" s="74"/>
      <c r="S2789" s="74"/>
      <c r="T2789" s="74"/>
      <c r="U2789" s="75"/>
      <c r="V2789" s="74"/>
      <c r="W2789" s="75"/>
      <c r="X2789" s="74"/>
      <c r="Y2789" s="74"/>
      <c r="Z2789" s="74"/>
      <c r="AA2789" s="74"/>
      <c r="AB2789" s="74"/>
      <c r="AC2789" s="74"/>
      <c r="AD2789" s="74"/>
      <c r="AE2789" s="74"/>
      <c r="AF2789" s="74"/>
      <c r="AG2789" s="74"/>
      <c r="AH2789" s="74"/>
    </row>
    <row r="2790" s="73" customFormat="1" spans="1:34">
      <c r="A2790" s="74"/>
      <c r="B2790" s="74"/>
      <c r="C2790" s="74"/>
      <c r="D2790" s="74"/>
      <c r="E2790" s="74"/>
      <c r="F2790" s="74"/>
      <c r="G2790" s="74"/>
      <c r="H2790" s="74"/>
      <c r="I2790" s="74"/>
      <c r="J2790" s="74"/>
      <c r="K2790" s="74"/>
      <c r="L2790" s="74"/>
      <c r="M2790" s="74"/>
      <c r="N2790" s="74"/>
      <c r="O2790" s="75"/>
      <c r="P2790" s="74"/>
      <c r="Q2790" s="75"/>
      <c r="R2790" s="74"/>
      <c r="S2790" s="74"/>
      <c r="T2790" s="74"/>
      <c r="U2790" s="75"/>
      <c r="V2790" s="74"/>
      <c r="W2790" s="75"/>
      <c r="X2790" s="74"/>
      <c r="Y2790" s="74"/>
      <c r="Z2790" s="74"/>
      <c r="AA2790" s="74"/>
      <c r="AB2790" s="74"/>
      <c r="AC2790" s="74"/>
      <c r="AD2790" s="74"/>
      <c r="AE2790" s="74"/>
      <c r="AF2790" s="74"/>
      <c r="AG2790" s="74"/>
      <c r="AH2790" s="74"/>
    </row>
    <row r="2791" s="73" customFormat="1" spans="1:34">
      <c r="A2791" s="74"/>
      <c r="B2791" s="74"/>
      <c r="C2791" s="74"/>
      <c r="D2791" s="74"/>
      <c r="E2791" s="74"/>
      <c r="F2791" s="74"/>
      <c r="G2791" s="74"/>
      <c r="H2791" s="74"/>
      <c r="I2791" s="74"/>
      <c r="J2791" s="74"/>
      <c r="K2791" s="74"/>
      <c r="L2791" s="74"/>
      <c r="M2791" s="74"/>
      <c r="N2791" s="74"/>
      <c r="O2791" s="75"/>
      <c r="P2791" s="74"/>
      <c r="Q2791" s="75"/>
      <c r="R2791" s="74"/>
      <c r="S2791" s="74"/>
      <c r="T2791" s="74"/>
      <c r="U2791" s="75"/>
      <c r="V2791" s="74"/>
      <c r="W2791" s="75"/>
      <c r="X2791" s="74"/>
      <c r="Y2791" s="74"/>
      <c r="Z2791" s="74"/>
      <c r="AA2791" s="74"/>
      <c r="AB2791" s="74"/>
      <c r="AC2791" s="74"/>
      <c r="AD2791" s="74"/>
      <c r="AE2791" s="74"/>
      <c r="AF2791" s="74"/>
      <c r="AG2791" s="74"/>
      <c r="AH2791" s="74"/>
    </row>
    <row r="2792" s="73" customFormat="1" spans="1:34">
      <c r="A2792" s="74"/>
      <c r="B2792" s="74"/>
      <c r="C2792" s="74"/>
      <c r="D2792" s="74"/>
      <c r="E2792" s="74"/>
      <c r="F2792" s="74"/>
      <c r="G2792" s="74"/>
      <c r="H2792" s="74"/>
      <c r="I2792" s="74"/>
      <c r="J2792" s="74"/>
      <c r="K2792" s="74"/>
      <c r="L2792" s="74"/>
      <c r="M2792" s="74"/>
      <c r="N2792" s="74"/>
      <c r="O2792" s="75"/>
      <c r="P2792" s="74"/>
      <c r="Q2792" s="75"/>
      <c r="R2792" s="74"/>
      <c r="S2792" s="74"/>
      <c r="T2792" s="74"/>
      <c r="U2792" s="75"/>
      <c r="V2792" s="74"/>
      <c r="W2792" s="75"/>
      <c r="X2792" s="74"/>
      <c r="Y2792" s="74"/>
      <c r="Z2792" s="74"/>
      <c r="AA2792" s="74"/>
      <c r="AB2792" s="74"/>
      <c r="AC2792" s="74"/>
      <c r="AD2792" s="74"/>
      <c r="AE2792" s="74"/>
      <c r="AF2792" s="74"/>
      <c r="AG2792" s="74"/>
      <c r="AH2792" s="74"/>
    </row>
    <row r="2793" s="73" customFormat="1" spans="1:34">
      <c r="A2793" s="74"/>
      <c r="B2793" s="74"/>
      <c r="C2793" s="74"/>
      <c r="D2793" s="74"/>
      <c r="E2793" s="74"/>
      <c r="F2793" s="74"/>
      <c r="G2793" s="74"/>
      <c r="H2793" s="74"/>
      <c r="I2793" s="74"/>
      <c r="J2793" s="74"/>
      <c r="K2793" s="74"/>
      <c r="L2793" s="74"/>
      <c r="M2793" s="74"/>
      <c r="N2793" s="74"/>
      <c r="O2793" s="75"/>
      <c r="P2793" s="74"/>
      <c r="Q2793" s="75"/>
      <c r="R2793" s="74"/>
      <c r="S2793" s="74"/>
      <c r="T2793" s="74"/>
      <c r="U2793" s="75"/>
      <c r="V2793" s="74"/>
      <c r="W2793" s="75"/>
      <c r="X2793" s="74"/>
      <c r="Y2793" s="74"/>
      <c r="Z2793" s="74"/>
      <c r="AA2793" s="74"/>
      <c r="AB2793" s="74"/>
      <c r="AC2793" s="74"/>
      <c r="AD2793" s="74"/>
      <c r="AE2793" s="74"/>
      <c r="AF2793" s="74"/>
      <c r="AG2793" s="74"/>
      <c r="AH2793" s="74"/>
    </row>
    <row r="2794" s="73" customFormat="1" spans="1:34">
      <c r="A2794" s="74"/>
      <c r="B2794" s="74"/>
      <c r="C2794" s="74"/>
      <c r="D2794" s="74"/>
      <c r="E2794" s="74"/>
      <c r="F2794" s="74"/>
      <c r="G2794" s="74"/>
      <c r="H2794" s="74"/>
      <c r="I2794" s="74"/>
      <c r="J2794" s="74"/>
      <c r="K2794" s="74"/>
      <c r="L2794" s="74"/>
      <c r="M2794" s="74"/>
      <c r="N2794" s="74"/>
      <c r="O2794" s="75"/>
      <c r="P2794" s="74"/>
      <c r="Q2794" s="75"/>
      <c r="R2794" s="74"/>
      <c r="S2794" s="74"/>
      <c r="T2794" s="74"/>
      <c r="U2794" s="75"/>
      <c r="V2794" s="74"/>
      <c r="W2794" s="75"/>
      <c r="X2794" s="74"/>
      <c r="Y2794" s="74"/>
      <c r="Z2794" s="74"/>
      <c r="AA2794" s="74"/>
      <c r="AB2794" s="74"/>
      <c r="AC2794" s="74"/>
      <c r="AD2794" s="74"/>
      <c r="AE2794" s="74"/>
      <c r="AF2794" s="74"/>
      <c r="AG2794" s="74"/>
      <c r="AH2794" s="74"/>
    </row>
    <row r="2795" s="73" customFormat="1" spans="1:34">
      <c r="A2795" s="74"/>
      <c r="B2795" s="74"/>
      <c r="C2795" s="74"/>
      <c r="D2795" s="74"/>
      <c r="E2795" s="74"/>
      <c r="F2795" s="74"/>
      <c r="G2795" s="74"/>
      <c r="H2795" s="74"/>
      <c r="I2795" s="74"/>
      <c r="J2795" s="74"/>
      <c r="K2795" s="74"/>
      <c r="L2795" s="74"/>
      <c r="M2795" s="74"/>
      <c r="N2795" s="74"/>
      <c r="O2795" s="75"/>
      <c r="P2795" s="74"/>
      <c r="Q2795" s="75"/>
      <c r="R2795" s="74"/>
      <c r="S2795" s="74"/>
      <c r="T2795" s="74"/>
      <c r="U2795" s="75"/>
      <c r="V2795" s="74"/>
      <c r="W2795" s="75"/>
      <c r="X2795" s="74"/>
      <c r="Y2795" s="74"/>
      <c r="Z2795" s="74"/>
      <c r="AA2795" s="74"/>
      <c r="AB2795" s="74"/>
      <c r="AC2795" s="74"/>
      <c r="AD2795" s="74"/>
      <c r="AE2795" s="74"/>
      <c r="AF2795" s="74"/>
      <c r="AG2795" s="74"/>
      <c r="AH2795" s="74"/>
    </row>
    <row r="2796" s="73" customFormat="1" spans="1:34">
      <c r="A2796" s="74"/>
      <c r="B2796" s="74"/>
      <c r="C2796" s="74"/>
      <c r="D2796" s="74"/>
      <c r="E2796" s="74"/>
      <c r="F2796" s="74"/>
      <c r="G2796" s="74"/>
      <c r="H2796" s="74"/>
      <c r="I2796" s="74"/>
      <c r="J2796" s="74"/>
      <c r="K2796" s="74"/>
      <c r="L2796" s="74"/>
      <c r="M2796" s="74"/>
      <c r="N2796" s="74"/>
      <c r="O2796" s="75"/>
      <c r="P2796" s="74"/>
      <c r="Q2796" s="75"/>
      <c r="R2796" s="74"/>
      <c r="S2796" s="74"/>
      <c r="T2796" s="74"/>
      <c r="U2796" s="75"/>
      <c r="V2796" s="74"/>
      <c r="W2796" s="75"/>
      <c r="X2796" s="74"/>
      <c r="Y2796" s="74"/>
      <c r="Z2796" s="74"/>
      <c r="AA2796" s="74"/>
      <c r="AB2796" s="74"/>
      <c r="AC2796" s="74"/>
      <c r="AD2796" s="74"/>
      <c r="AE2796" s="74"/>
      <c r="AF2796" s="74"/>
      <c r="AG2796" s="74"/>
      <c r="AH2796" s="74"/>
    </row>
    <row r="2797" s="73" customFormat="1" spans="1:34">
      <c r="A2797" s="74"/>
      <c r="B2797" s="74"/>
      <c r="C2797" s="74"/>
      <c r="D2797" s="74"/>
      <c r="E2797" s="74"/>
      <c r="F2797" s="74"/>
      <c r="G2797" s="74"/>
      <c r="H2797" s="74"/>
      <c r="I2797" s="74"/>
      <c r="J2797" s="74"/>
      <c r="K2797" s="74"/>
      <c r="L2797" s="74"/>
      <c r="M2797" s="74"/>
      <c r="N2797" s="74"/>
      <c r="O2797" s="75"/>
      <c r="P2797" s="74"/>
      <c r="Q2797" s="75"/>
      <c r="R2797" s="74"/>
      <c r="S2797" s="74"/>
      <c r="T2797" s="74"/>
      <c r="U2797" s="75"/>
      <c r="V2797" s="74"/>
      <c r="W2797" s="75"/>
      <c r="X2797" s="74"/>
      <c r="Y2797" s="74"/>
      <c r="Z2797" s="74"/>
      <c r="AA2797" s="74"/>
      <c r="AB2797" s="74"/>
      <c r="AC2797" s="74"/>
      <c r="AD2797" s="74"/>
      <c r="AE2797" s="74"/>
      <c r="AF2797" s="74"/>
      <c r="AG2797" s="74"/>
      <c r="AH2797" s="74"/>
    </row>
    <row r="2798" s="73" customFormat="1" spans="1:34">
      <c r="A2798" s="74"/>
      <c r="B2798" s="74"/>
      <c r="C2798" s="74"/>
      <c r="D2798" s="74"/>
      <c r="E2798" s="74"/>
      <c r="F2798" s="74"/>
      <c r="G2798" s="74"/>
      <c r="H2798" s="74"/>
      <c r="I2798" s="74"/>
      <c r="J2798" s="74"/>
      <c r="K2798" s="74"/>
      <c r="L2798" s="74"/>
      <c r="M2798" s="74"/>
      <c r="N2798" s="74"/>
      <c r="O2798" s="75"/>
      <c r="P2798" s="74"/>
      <c r="Q2798" s="75"/>
      <c r="R2798" s="74"/>
      <c r="S2798" s="74"/>
      <c r="T2798" s="74"/>
      <c r="U2798" s="75"/>
      <c r="V2798" s="74"/>
      <c r="W2798" s="75"/>
      <c r="X2798" s="74"/>
      <c r="Y2798" s="74"/>
      <c r="Z2798" s="74"/>
      <c r="AA2798" s="74"/>
      <c r="AB2798" s="74"/>
      <c r="AC2798" s="74"/>
      <c r="AD2798" s="74"/>
      <c r="AE2798" s="74"/>
      <c r="AF2798" s="74"/>
      <c r="AG2798" s="74"/>
      <c r="AH2798" s="74"/>
    </row>
    <row r="2799" s="73" customFormat="1" spans="1:34">
      <c r="A2799" s="74"/>
      <c r="B2799" s="74"/>
      <c r="C2799" s="74"/>
      <c r="D2799" s="74"/>
      <c r="E2799" s="74"/>
      <c r="F2799" s="74"/>
      <c r="G2799" s="74"/>
      <c r="H2799" s="74"/>
      <c r="I2799" s="74"/>
      <c r="J2799" s="74"/>
      <c r="K2799" s="74"/>
      <c r="L2799" s="74"/>
      <c r="M2799" s="74"/>
      <c r="N2799" s="74"/>
      <c r="O2799" s="75"/>
      <c r="P2799" s="74"/>
      <c r="Q2799" s="75"/>
      <c r="R2799" s="74"/>
      <c r="S2799" s="74"/>
      <c r="T2799" s="74"/>
      <c r="U2799" s="75"/>
      <c r="V2799" s="74"/>
      <c r="W2799" s="75"/>
      <c r="X2799" s="74"/>
      <c r="Y2799" s="74"/>
      <c r="Z2799" s="74"/>
      <c r="AA2799" s="74"/>
      <c r="AB2799" s="74"/>
      <c r="AC2799" s="74"/>
      <c r="AD2799" s="74"/>
      <c r="AE2799" s="74"/>
      <c r="AF2799" s="74"/>
      <c r="AG2799" s="74"/>
      <c r="AH2799" s="74"/>
    </row>
    <row r="2800" s="73" customFormat="1" spans="1:34">
      <c r="A2800" s="74"/>
      <c r="B2800" s="74"/>
      <c r="C2800" s="74"/>
      <c r="D2800" s="74"/>
      <c r="E2800" s="74"/>
      <c r="F2800" s="74"/>
      <c r="G2800" s="74"/>
      <c r="H2800" s="74"/>
      <c r="I2800" s="74"/>
      <c r="J2800" s="74"/>
      <c r="K2800" s="74"/>
      <c r="L2800" s="74"/>
      <c r="M2800" s="74"/>
      <c r="N2800" s="74"/>
      <c r="O2800" s="75"/>
      <c r="P2800" s="74"/>
      <c r="Q2800" s="75"/>
      <c r="R2800" s="74"/>
      <c r="S2800" s="74"/>
      <c r="T2800" s="74"/>
      <c r="U2800" s="75"/>
      <c r="V2800" s="74"/>
      <c r="W2800" s="75"/>
      <c r="X2800" s="74"/>
      <c r="Y2800" s="74"/>
      <c r="Z2800" s="74"/>
      <c r="AA2800" s="74"/>
      <c r="AB2800" s="74"/>
      <c r="AC2800" s="74"/>
      <c r="AD2800" s="74"/>
      <c r="AE2800" s="74"/>
      <c r="AF2800" s="74"/>
      <c r="AG2800" s="74"/>
      <c r="AH2800" s="74"/>
    </row>
    <row r="2801" s="73" customFormat="1" spans="1:34">
      <c r="A2801" s="74"/>
      <c r="B2801" s="74"/>
      <c r="C2801" s="74"/>
      <c r="D2801" s="74"/>
      <c r="E2801" s="74"/>
      <c r="F2801" s="74"/>
      <c r="G2801" s="74"/>
      <c r="H2801" s="74"/>
      <c r="I2801" s="74"/>
      <c r="J2801" s="74"/>
      <c r="K2801" s="74"/>
      <c r="L2801" s="74"/>
      <c r="M2801" s="74"/>
      <c r="N2801" s="74"/>
      <c r="O2801" s="75"/>
      <c r="P2801" s="74"/>
      <c r="Q2801" s="75"/>
      <c r="R2801" s="74"/>
      <c r="S2801" s="74"/>
      <c r="T2801" s="74"/>
      <c r="U2801" s="75"/>
      <c r="V2801" s="74"/>
      <c r="W2801" s="75"/>
      <c r="X2801" s="74"/>
      <c r="Y2801" s="74"/>
      <c r="Z2801" s="74"/>
      <c r="AA2801" s="74"/>
      <c r="AB2801" s="74"/>
      <c r="AC2801" s="74"/>
      <c r="AD2801" s="74"/>
      <c r="AE2801" s="74"/>
      <c r="AF2801" s="74"/>
      <c r="AG2801" s="74"/>
      <c r="AH2801" s="74"/>
    </row>
    <row r="2802" s="73" customFormat="1" spans="1:34">
      <c r="A2802" s="74"/>
      <c r="B2802" s="74"/>
      <c r="C2802" s="74"/>
      <c r="D2802" s="74"/>
      <c r="E2802" s="74"/>
      <c r="F2802" s="74"/>
      <c r="G2802" s="74"/>
      <c r="H2802" s="74"/>
      <c r="I2802" s="74"/>
      <c r="J2802" s="74"/>
      <c r="K2802" s="74"/>
      <c r="L2802" s="74"/>
      <c r="M2802" s="74"/>
      <c r="N2802" s="74"/>
      <c r="O2802" s="75"/>
      <c r="P2802" s="74"/>
      <c r="Q2802" s="75"/>
      <c r="R2802" s="74"/>
      <c r="S2802" s="74"/>
      <c r="T2802" s="74"/>
      <c r="U2802" s="75"/>
      <c r="V2802" s="74"/>
      <c r="W2802" s="75"/>
      <c r="X2802" s="74"/>
      <c r="Y2802" s="74"/>
      <c r="Z2802" s="74"/>
      <c r="AA2802" s="74"/>
      <c r="AB2802" s="74"/>
      <c r="AC2802" s="74"/>
      <c r="AD2802" s="74"/>
      <c r="AE2802" s="74"/>
      <c r="AF2802" s="74"/>
      <c r="AG2802" s="74"/>
      <c r="AH2802" s="74"/>
    </row>
    <row r="2803" s="73" customFormat="1" spans="1:34">
      <c r="A2803" s="74"/>
      <c r="B2803" s="74"/>
      <c r="C2803" s="74"/>
      <c r="D2803" s="74"/>
      <c r="E2803" s="74"/>
      <c r="F2803" s="74"/>
      <c r="G2803" s="74"/>
      <c r="H2803" s="74"/>
      <c r="I2803" s="74"/>
      <c r="J2803" s="74"/>
      <c r="K2803" s="74"/>
      <c r="L2803" s="74"/>
      <c r="M2803" s="74"/>
      <c r="N2803" s="74"/>
      <c r="O2803" s="75"/>
      <c r="P2803" s="74"/>
      <c r="Q2803" s="75"/>
      <c r="R2803" s="74"/>
      <c r="S2803" s="74"/>
      <c r="T2803" s="74"/>
      <c r="U2803" s="75"/>
      <c r="V2803" s="74"/>
      <c r="W2803" s="75"/>
      <c r="X2803" s="74"/>
      <c r="Y2803" s="74"/>
      <c r="Z2803" s="74"/>
      <c r="AA2803" s="74"/>
      <c r="AB2803" s="74"/>
      <c r="AC2803" s="74"/>
      <c r="AD2803" s="74"/>
      <c r="AE2803" s="74"/>
      <c r="AF2803" s="74"/>
      <c r="AG2803" s="74"/>
      <c r="AH2803" s="74"/>
    </row>
    <row r="2804" s="73" customFormat="1" spans="1:34">
      <c r="A2804" s="74"/>
      <c r="B2804" s="74"/>
      <c r="C2804" s="74"/>
      <c r="D2804" s="74"/>
      <c r="E2804" s="74"/>
      <c r="F2804" s="74"/>
      <c r="G2804" s="74"/>
      <c r="H2804" s="74"/>
      <c r="I2804" s="74"/>
      <c r="J2804" s="74"/>
      <c r="K2804" s="74"/>
      <c r="L2804" s="74"/>
      <c r="M2804" s="74"/>
      <c r="N2804" s="74"/>
      <c r="O2804" s="75"/>
      <c r="P2804" s="74"/>
      <c r="Q2804" s="75"/>
      <c r="R2804" s="74"/>
      <c r="S2804" s="74"/>
      <c r="T2804" s="74"/>
      <c r="U2804" s="75"/>
      <c r="V2804" s="74"/>
      <c r="W2804" s="75"/>
      <c r="X2804" s="74"/>
      <c r="Y2804" s="74"/>
      <c r="Z2804" s="74"/>
      <c r="AA2804" s="74"/>
      <c r="AB2804" s="74"/>
      <c r="AC2804" s="74"/>
      <c r="AD2804" s="74"/>
      <c r="AE2804" s="74"/>
      <c r="AF2804" s="74"/>
      <c r="AG2804" s="74"/>
      <c r="AH2804" s="74"/>
    </row>
    <row r="2805" s="73" customFormat="1" spans="1:34">
      <c r="A2805" s="74"/>
      <c r="B2805" s="74"/>
      <c r="C2805" s="74"/>
      <c r="D2805" s="74"/>
      <c r="E2805" s="74"/>
      <c r="F2805" s="74"/>
      <c r="G2805" s="74"/>
      <c r="H2805" s="74"/>
      <c r="I2805" s="74"/>
      <c r="J2805" s="74"/>
      <c r="K2805" s="74"/>
      <c r="L2805" s="74"/>
      <c r="M2805" s="74"/>
      <c r="N2805" s="74"/>
      <c r="O2805" s="75"/>
      <c r="P2805" s="74"/>
      <c r="Q2805" s="75"/>
      <c r="R2805" s="74"/>
      <c r="S2805" s="74"/>
      <c r="T2805" s="74"/>
      <c r="U2805" s="75"/>
      <c r="V2805" s="74"/>
      <c r="W2805" s="75"/>
      <c r="X2805" s="74"/>
      <c r="Y2805" s="74"/>
      <c r="Z2805" s="74"/>
      <c r="AA2805" s="74"/>
      <c r="AB2805" s="74"/>
      <c r="AC2805" s="74"/>
      <c r="AD2805" s="74"/>
      <c r="AE2805" s="74"/>
      <c r="AF2805" s="74"/>
      <c r="AG2805" s="74"/>
      <c r="AH2805" s="74"/>
    </row>
    <row r="2806" s="73" customFormat="1" spans="1:34">
      <c r="A2806" s="74"/>
      <c r="B2806" s="74"/>
      <c r="C2806" s="74"/>
      <c r="D2806" s="74"/>
      <c r="E2806" s="74"/>
      <c r="F2806" s="74"/>
      <c r="G2806" s="74"/>
      <c r="H2806" s="74"/>
      <c r="I2806" s="74"/>
      <c r="J2806" s="74"/>
      <c r="K2806" s="74"/>
      <c r="L2806" s="74"/>
      <c r="M2806" s="74"/>
      <c r="N2806" s="74"/>
      <c r="O2806" s="75"/>
      <c r="P2806" s="74"/>
      <c r="Q2806" s="75"/>
      <c r="R2806" s="74"/>
      <c r="S2806" s="74"/>
      <c r="T2806" s="74"/>
      <c r="U2806" s="75"/>
      <c r="V2806" s="74"/>
      <c r="W2806" s="75"/>
      <c r="X2806" s="74"/>
      <c r="Y2806" s="74"/>
      <c r="Z2806" s="74"/>
      <c r="AA2806" s="74"/>
      <c r="AB2806" s="74"/>
      <c r="AC2806" s="74"/>
      <c r="AD2806" s="74"/>
      <c r="AE2806" s="74"/>
      <c r="AF2806" s="74"/>
      <c r="AG2806" s="74"/>
      <c r="AH2806" s="74"/>
    </row>
    <row r="2807" s="73" customFormat="1" spans="1:34">
      <c r="A2807" s="74"/>
      <c r="B2807" s="74"/>
      <c r="C2807" s="74"/>
      <c r="D2807" s="74"/>
      <c r="E2807" s="74"/>
      <c r="F2807" s="74"/>
      <c r="G2807" s="74"/>
      <c r="H2807" s="74"/>
      <c r="I2807" s="74"/>
      <c r="J2807" s="74"/>
      <c r="K2807" s="74"/>
      <c r="L2807" s="74"/>
      <c r="M2807" s="74"/>
      <c r="N2807" s="74"/>
      <c r="O2807" s="75"/>
      <c r="P2807" s="74"/>
      <c r="Q2807" s="75"/>
      <c r="R2807" s="74"/>
      <c r="S2807" s="74"/>
      <c r="T2807" s="74"/>
      <c r="U2807" s="75"/>
      <c r="V2807" s="74"/>
      <c r="W2807" s="75"/>
      <c r="X2807" s="74"/>
      <c r="Y2807" s="74"/>
      <c r="Z2807" s="74"/>
      <c r="AA2807" s="74"/>
      <c r="AB2807" s="74"/>
      <c r="AC2807" s="74"/>
      <c r="AD2807" s="74"/>
      <c r="AE2807" s="74"/>
      <c r="AF2807" s="74"/>
      <c r="AG2807" s="74"/>
      <c r="AH2807" s="74"/>
    </row>
    <row r="2808" s="73" customFormat="1" spans="1:34">
      <c r="A2808" s="74"/>
      <c r="B2808" s="74"/>
      <c r="C2808" s="74"/>
      <c r="D2808" s="74"/>
      <c r="E2808" s="74"/>
      <c r="F2808" s="74"/>
      <c r="G2808" s="74"/>
      <c r="H2808" s="74"/>
      <c r="I2808" s="74"/>
      <c r="J2808" s="74"/>
      <c r="K2808" s="74"/>
      <c r="L2808" s="74"/>
      <c r="M2808" s="74"/>
      <c r="N2808" s="74"/>
      <c r="O2808" s="75"/>
      <c r="P2808" s="74"/>
      <c r="Q2808" s="75"/>
      <c r="R2808" s="74"/>
      <c r="S2808" s="74"/>
      <c r="T2808" s="74"/>
      <c r="U2808" s="75"/>
      <c r="V2808" s="74"/>
      <c r="W2808" s="75"/>
      <c r="X2808" s="74"/>
      <c r="Y2808" s="74"/>
      <c r="Z2808" s="74"/>
      <c r="AA2808" s="74"/>
      <c r="AB2808" s="74"/>
      <c r="AC2808" s="74"/>
      <c r="AD2808" s="74"/>
      <c r="AE2808" s="74"/>
      <c r="AF2808" s="74"/>
      <c r="AG2808" s="74"/>
      <c r="AH2808" s="74"/>
    </row>
    <row r="2809" s="73" customFormat="1" spans="1:34">
      <c r="A2809" s="74"/>
      <c r="B2809" s="74"/>
      <c r="C2809" s="74"/>
      <c r="D2809" s="74"/>
      <c r="E2809" s="74"/>
      <c r="F2809" s="74"/>
      <c r="G2809" s="74"/>
      <c r="H2809" s="74"/>
      <c r="I2809" s="74"/>
      <c r="J2809" s="74"/>
      <c r="K2809" s="74"/>
      <c r="L2809" s="74"/>
      <c r="M2809" s="74"/>
      <c r="N2809" s="74"/>
      <c r="O2809" s="75"/>
      <c r="P2809" s="74"/>
      <c r="Q2809" s="75"/>
      <c r="R2809" s="74"/>
      <c r="S2809" s="74"/>
      <c r="T2809" s="74"/>
      <c r="U2809" s="75"/>
      <c r="V2809" s="74"/>
      <c r="W2809" s="75"/>
      <c r="X2809" s="74"/>
      <c r="Y2809" s="74"/>
      <c r="Z2809" s="74"/>
      <c r="AA2809" s="74"/>
      <c r="AB2809" s="74"/>
      <c r="AC2809" s="74"/>
      <c r="AD2809" s="74"/>
      <c r="AE2809" s="74"/>
      <c r="AF2809" s="74"/>
      <c r="AG2809" s="74"/>
      <c r="AH2809" s="74"/>
    </row>
    <row r="2810" s="73" customFormat="1" spans="1:34">
      <c r="A2810" s="74"/>
      <c r="B2810" s="74"/>
      <c r="C2810" s="74"/>
      <c r="D2810" s="74"/>
      <c r="E2810" s="74"/>
      <c r="F2810" s="74"/>
      <c r="G2810" s="74"/>
      <c r="H2810" s="74"/>
      <c r="I2810" s="74"/>
      <c r="J2810" s="74"/>
      <c r="K2810" s="74"/>
      <c r="L2810" s="74"/>
      <c r="M2810" s="74"/>
      <c r="N2810" s="74"/>
      <c r="O2810" s="75"/>
      <c r="P2810" s="74"/>
      <c r="Q2810" s="75"/>
      <c r="R2810" s="74"/>
      <c r="S2810" s="74"/>
      <c r="T2810" s="74"/>
      <c r="U2810" s="75"/>
      <c r="V2810" s="74"/>
      <c r="W2810" s="75"/>
      <c r="X2810" s="74"/>
      <c r="Y2810" s="74"/>
      <c r="Z2810" s="74"/>
      <c r="AA2810" s="74"/>
      <c r="AB2810" s="74"/>
      <c r="AC2810" s="74"/>
      <c r="AD2810" s="74"/>
      <c r="AE2810" s="74"/>
      <c r="AF2810" s="74"/>
      <c r="AG2810" s="74"/>
      <c r="AH2810" s="74"/>
    </row>
    <row r="2811" s="73" customFormat="1" spans="1:34">
      <c r="A2811" s="74"/>
      <c r="B2811" s="74"/>
      <c r="C2811" s="74"/>
      <c r="D2811" s="74"/>
      <c r="E2811" s="74"/>
      <c r="F2811" s="74"/>
      <c r="G2811" s="74"/>
      <c r="H2811" s="74"/>
      <c r="I2811" s="74"/>
      <c r="J2811" s="74"/>
      <c r="K2811" s="74"/>
      <c r="L2811" s="74"/>
      <c r="M2811" s="74"/>
      <c r="N2811" s="74"/>
      <c r="O2811" s="75"/>
      <c r="P2811" s="74"/>
      <c r="Q2811" s="75"/>
      <c r="R2811" s="74"/>
      <c r="S2811" s="74"/>
      <c r="T2811" s="74"/>
      <c r="U2811" s="75"/>
      <c r="V2811" s="74"/>
      <c r="W2811" s="75"/>
      <c r="X2811" s="74"/>
      <c r="Y2811" s="74"/>
      <c r="Z2811" s="74"/>
      <c r="AA2811" s="74"/>
      <c r="AB2811" s="74"/>
      <c r="AC2811" s="74"/>
      <c r="AD2811" s="74"/>
      <c r="AE2811" s="74"/>
      <c r="AF2811" s="74"/>
      <c r="AG2811" s="74"/>
      <c r="AH2811" s="74"/>
    </row>
    <row r="2812" s="73" customFormat="1" spans="1:34">
      <c r="A2812" s="74"/>
      <c r="B2812" s="74"/>
      <c r="C2812" s="74"/>
      <c r="D2812" s="74"/>
      <c r="E2812" s="74"/>
      <c r="F2812" s="74"/>
      <c r="G2812" s="74"/>
      <c r="H2812" s="74"/>
      <c r="I2812" s="74"/>
      <c r="J2812" s="74"/>
      <c r="K2812" s="74"/>
      <c r="L2812" s="74"/>
      <c r="M2812" s="74"/>
      <c r="N2812" s="74"/>
      <c r="O2812" s="75"/>
      <c r="P2812" s="74"/>
      <c r="Q2812" s="75"/>
      <c r="R2812" s="74"/>
      <c r="S2812" s="74"/>
      <c r="T2812" s="74"/>
      <c r="U2812" s="75"/>
      <c r="V2812" s="74"/>
      <c r="W2812" s="75"/>
      <c r="X2812" s="74"/>
      <c r="Y2812" s="74"/>
      <c r="Z2812" s="74"/>
      <c r="AA2812" s="74"/>
      <c r="AB2812" s="74"/>
      <c r="AC2812" s="74"/>
      <c r="AD2812" s="74"/>
      <c r="AE2812" s="74"/>
      <c r="AF2812" s="74"/>
      <c r="AG2812" s="74"/>
      <c r="AH2812" s="74"/>
    </row>
    <row r="2813" s="73" customFormat="1" spans="1:34">
      <c r="A2813" s="74"/>
      <c r="B2813" s="74"/>
      <c r="C2813" s="74"/>
      <c r="D2813" s="74"/>
      <c r="E2813" s="74"/>
      <c r="F2813" s="74"/>
      <c r="G2813" s="74"/>
      <c r="H2813" s="74"/>
      <c r="I2813" s="74"/>
      <c r="J2813" s="74"/>
      <c r="K2813" s="74"/>
      <c r="L2813" s="74"/>
      <c r="M2813" s="74"/>
      <c r="N2813" s="74"/>
      <c r="O2813" s="75"/>
      <c r="P2813" s="74"/>
      <c r="Q2813" s="75"/>
      <c r="R2813" s="74"/>
      <c r="S2813" s="74"/>
      <c r="T2813" s="74"/>
      <c r="U2813" s="75"/>
      <c r="V2813" s="74"/>
      <c r="W2813" s="75"/>
      <c r="X2813" s="74"/>
      <c r="Y2813" s="74"/>
      <c r="Z2813" s="74"/>
      <c r="AA2813" s="74"/>
      <c r="AB2813" s="74"/>
      <c r="AC2813" s="74"/>
      <c r="AD2813" s="74"/>
      <c r="AE2813" s="74"/>
      <c r="AF2813" s="74"/>
      <c r="AG2813" s="74"/>
      <c r="AH2813" s="74"/>
    </row>
    <row r="2814" s="73" customFormat="1" spans="1:34">
      <c r="A2814" s="74"/>
      <c r="B2814" s="74"/>
      <c r="C2814" s="74"/>
      <c r="D2814" s="74"/>
      <c r="E2814" s="74"/>
      <c r="F2814" s="74"/>
      <c r="G2814" s="74"/>
      <c r="H2814" s="74"/>
      <c r="I2814" s="74"/>
      <c r="J2814" s="74"/>
      <c r="K2814" s="74"/>
      <c r="L2814" s="74"/>
      <c r="M2814" s="74"/>
      <c r="N2814" s="74"/>
      <c r="O2814" s="75"/>
      <c r="P2814" s="74"/>
      <c r="Q2814" s="75"/>
      <c r="R2814" s="74"/>
      <c r="S2814" s="74"/>
      <c r="T2814" s="74"/>
      <c r="U2814" s="75"/>
      <c r="V2814" s="74"/>
      <c r="W2814" s="75"/>
      <c r="X2814" s="74"/>
      <c r="Y2814" s="74"/>
      <c r="Z2814" s="74"/>
      <c r="AA2814" s="74"/>
      <c r="AB2814" s="74"/>
      <c r="AC2814" s="74"/>
      <c r="AD2814" s="74"/>
      <c r="AE2814" s="74"/>
      <c r="AF2814" s="74"/>
      <c r="AG2814" s="74"/>
      <c r="AH2814" s="74"/>
    </row>
    <row r="2815" s="73" customFormat="1" spans="1:34">
      <c r="A2815" s="74"/>
      <c r="B2815" s="74"/>
      <c r="C2815" s="74"/>
      <c r="D2815" s="74"/>
      <c r="E2815" s="74"/>
      <c r="F2815" s="74"/>
      <c r="G2815" s="74"/>
      <c r="H2815" s="74"/>
      <c r="I2815" s="74"/>
      <c r="J2815" s="74"/>
      <c r="K2815" s="74"/>
      <c r="L2815" s="74"/>
      <c r="M2815" s="74"/>
      <c r="N2815" s="74"/>
      <c r="O2815" s="75"/>
      <c r="P2815" s="74"/>
      <c r="Q2815" s="75"/>
      <c r="R2815" s="74"/>
      <c r="S2815" s="74"/>
      <c r="T2815" s="74"/>
      <c r="U2815" s="75"/>
      <c r="V2815" s="74"/>
      <c r="W2815" s="75"/>
      <c r="X2815" s="74"/>
      <c r="Y2815" s="74"/>
      <c r="Z2815" s="74"/>
      <c r="AA2815" s="74"/>
      <c r="AB2815" s="74"/>
      <c r="AC2815" s="74"/>
      <c r="AD2815" s="74"/>
      <c r="AE2815" s="74"/>
      <c r="AF2815" s="74"/>
      <c r="AG2815" s="74"/>
      <c r="AH2815" s="74"/>
    </row>
    <row r="2816" s="73" customFormat="1" spans="1:34">
      <c r="A2816" s="74"/>
      <c r="B2816" s="74"/>
      <c r="C2816" s="74"/>
      <c r="D2816" s="74"/>
      <c r="E2816" s="74"/>
      <c r="F2816" s="74"/>
      <c r="G2816" s="74"/>
      <c r="H2816" s="74"/>
      <c r="I2816" s="74"/>
      <c r="J2816" s="74"/>
      <c r="K2816" s="74"/>
      <c r="L2816" s="74"/>
      <c r="M2816" s="74"/>
      <c r="N2816" s="74"/>
      <c r="O2816" s="75"/>
      <c r="P2816" s="74"/>
      <c r="Q2816" s="75"/>
      <c r="R2816" s="74"/>
      <c r="S2816" s="74"/>
      <c r="T2816" s="74"/>
      <c r="U2816" s="75"/>
      <c r="V2816" s="74"/>
      <c r="W2816" s="75"/>
      <c r="X2816" s="74"/>
      <c r="Y2816" s="74"/>
      <c r="Z2816" s="74"/>
      <c r="AA2816" s="74"/>
      <c r="AB2816" s="74"/>
      <c r="AC2816" s="74"/>
      <c r="AD2816" s="74"/>
      <c r="AE2816" s="74"/>
      <c r="AF2816" s="74"/>
      <c r="AG2816" s="74"/>
      <c r="AH2816" s="74"/>
    </row>
    <row r="2817" s="73" customFormat="1" spans="1:34">
      <c r="A2817" s="74"/>
      <c r="B2817" s="74"/>
      <c r="C2817" s="74"/>
      <c r="D2817" s="74"/>
      <c r="E2817" s="74"/>
      <c r="F2817" s="74"/>
      <c r="G2817" s="74"/>
      <c r="H2817" s="74"/>
      <c r="I2817" s="74"/>
      <c r="J2817" s="74"/>
      <c r="K2817" s="74"/>
      <c r="L2817" s="74"/>
      <c r="M2817" s="74"/>
      <c r="N2817" s="74"/>
      <c r="O2817" s="75"/>
      <c r="P2817" s="74"/>
      <c r="Q2817" s="75"/>
      <c r="R2817" s="74"/>
      <c r="S2817" s="74"/>
      <c r="T2817" s="74"/>
      <c r="U2817" s="75"/>
      <c r="V2817" s="74"/>
      <c r="W2817" s="75"/>
      <c r="X2817" s="74"/>
      <c r="Y2817" s="74"/>
      <c r="Z2817" s="74"/>
      <c r="AA2817" s="74"/>
      <c r="AB2817" s="74"/>
      <c r="AC2817" s="74"/>
      <c r="AD2817" s="74"/>
      <c r="AE2817" s="74"/>
      <c r="AF2817" s="74"/>
      <c r="AG2817" s="74"/>
      <c r="AH2817" s="74"/>
    </row>
    <row r="2818" s="73" customFormat="1" spans="1:34">
      <c r="A2818" s="74"/>
      <c r="B2818" s="74"/>
      <c r="C2818" s="74"/>
      <c r="D2818" s="74"/>
      <c r="E2818" s="74"/>
      <c r="F2818" s="74"/>
      <c r="G2818" s="74"/>
      <c r="H2818" s="74"/>
      <c r="I2818" s="74"/>
      <c r="J2818" s="74"/>
      <c r="K2818" s="74"/>
      <c r="L2818" s="74"/>
      <c r="M2818" s="74"/>
      <c r="N2818" s="74"/>
      <c r="O2818" s="75"/>
      <c r="P2818" s="74"/>
      <c r="Q2818" s="75"/>
      <c r="R2818" s="74"/>
      <c r="S2818" s="74"/>
      <c r="T2818" s="74"/>
      <c r="U2818" s="75"/>
      <c r="V2818" s="74"/>
      <c r="W2818" s="75"/>
      <c r="X2818" s="74"/>
      <c r="Y2818" s="74"/>
      <c r="Z2818" s="74"/>
      <c r="AA2818" s="74"/>
      <c r="AB2818" s="74"/>
      <c r="AC2818" s="74"/>
      <c r="AD2818" s="74"/>
      <c r="AE2818" s="74"/>
      <c r="AF2818" s="74"/>
      <c r="AG2818" s="74"/>
      <c r="AH2818" s="74"/>
    </row>
    <row r="2819" s="73" customFormat="1" spans="1:34">
      <c r="A2819" s="74"/>
      <c r="B2819" s="74"/>
      <c r="C2819" s="74"/>
      <c r="D2819" s="74"/>
      <c r="E2819" s="74"/>
      <c r="F2819" s="74"/>
      <c r="G2819" s="74"/>
      <c r="H2819" s="74"/>
      <c r="I2819" s="74"/>
      <c r="J2819" s="74"/>
      <c r="K2819" s="74"/>
      <c r="L2819" s="74"/>
      <c r="M2819" s="74"/>
      <c r="N2819" s="74"/>
      <c r="O2819" s="75"/>
      <c r="P2819" s="74"/>
      <c r="Q2819" s="75"/>
      <c r="R2819" s="74"/>
      <c r="S2819" s="74"/>
      <c r="T2819" s="74"/>
      <c r="U2819" s="75"/>
      <c r="V2819" s="74"/>
      <c r="W2819" s="75"/>
      <c r="X2819" s="74"/>
      <c r="Y2819" s="74"/>
      <c r="Z2819" s="74"/>
      <c r="AA2819" s="74"/>
      <c r="AB2819" s="74"/>
      <c r="AC2819" s="74"/>
      <c r="AD2819" s="74"/>
      <c r="AE2819" s="74"/>
      <c r="AF2819" s="74"/>
      <c r="AG2819" s="74"/>
      <c r="AH2819" s="74"/>
    </row>
    <row r="2821" s="73" customFormat="1" spans="1:34">
      <c r="A2821" s="74"/>
      <c r="B2821" s="74"/>
      <c r="C2821" s="74"/>
      <c r="D2821" s="74"/>
      <c r="E2821" s="74"/>
      <c r="F2821" s="74"/>
      <c r="G2821" s="74"/>
      <c r="H2821" s="74"/>
      <c r="I2821" s="74"/>
      <c r="J2821" s="74"/>
      <c r="K2821" s="74"/>
      <c r="L2821" s="74"/>
      <c r="M2821" s="74"/>
      <c r="N2821" s="74"/>
      <c r="O2821" s="75"/>
      <c r="P2821" s="74"/>
      <c r="Q2821" s="75"/>
      <c r="R2821" s="74"/>
      <c r="S2821" s="74"/>
      <c r="T2821" s="74"/>
      <c r="U2821" s="75"/>
      <c r="V2821" s="74"/>
      <c r="W2821" s="75"/>
      <c r="X2821" s="74"/>
      <c r="Y2821" s="74"/>
      <c r="Z2821" s="74"/>
      <c r="AA2821" s="74"/>
      <c r="AB2821" s="74"/>
      <c r="AC2821" s="74"/>
      <c r="AD2821" s="74"/>
      <c r="AE2821" s="74"/>
      <c r="AF2821" s="74"/>
      <c r="AG2821" s="74"/>
      <c r="AH2821" s="74"/>
    </row>
    <row r="2822" s="73" customFormat="1" spans="1:34">
      <c r="A2822" s="74"/>
      <c r="B2822" s="74"/>
      <c r="C2822" s="74"/>
      <c r="D2822" s="74"/>
      <c r="E2822" s="74"/>
      <c r="F2822" s="74"/>
      <c r="G2822" s="74"/>
      <c r="H2822" s="74"/>
      <c r="I2822" s="74"/>
      <c r="J2822" s="74"/>
      <c r="K2822" s="74"/>
      <c r="L2822" s="74"/>
      <c r="M2822" s="74"/>
      <c r="N2822" s="74"/>
      <c r="O2822" s="75"/>
      <c r="P2822" s="74"/>
      <c r="Q2822" s="75"/>
      <c r="R2822" s="74"/>
      <c r="S2822" s="74"/>
      <c r="T2822" s="74"/>
      <c r="U2822" s="75"/>
      <c r="V2822" s="74"/>
      <c r="W2822" s="75"/>
      <c r="X2822" s="74"/>
      <c r="Y2822" s="74"/>
      <c r="Z2822" s="74"/>
      <c r="AA2822" s="74"/>
      <c r="AB2822" s="74"/>
      <c r="AC2822" s="74"/>
      <c r="AD2822" s="74"/>
      <c r="AE2822" s="74"/>
      <c r="AF2822" s="74"/>
      <c r="AG2822" s="74"/>
      <c r="AH2822" s="74"/>
    </row>
    <row r="2823" s="73" customFormat="1" spans="1:34">
      <c r="A2823" s="74"/>
      <c r="B2823" s="74"/>
      <c r="C2823" s="74"/>
      <c r="D2823" s="74"/>
      <c r="E2823" s="74"/>
      <c r="F2823" s="74"/>
      <c r="G2823" s="74"/>
      <c r="H2823" s="74"/>
      <c r="I2823" s="74"/>
      <c r="J2823" s="74"/>
      <c r="K2823" s="74"/>
      <c r="L2823" s="74"/>
      <c r="M2823" s="74"/>
      <c r="N2823" s="74"/>
      <c r="O2823" s="75"/>
      <c r="P2823" s="74"/>
      <c r="Q2823" s="75"/>
      <c r="R2823" s="74"/>
      <c r="S2823" s="74"/>
      <c r="T2823" s="74"/>
      <c r="U2823" s="75"/>
      <c r="V2823" s="74"/>
      <c r="W2823" s="75"/>
      <c r="X2823" s="74"/>
      <c r="Y2823" s="74"/>
      <c r="Z2823" s="74"/>
      <c r="AA2823" s="74"/>
      <c r="AB2823" s="74"/>
      <c r="AC2823" s="74"/>
      <c r="AD2823" s="74"/>
      <c r="AE2823" s="74"/>
      <c r="AF2823" s="74"/>
      <c r="AG2823" s="74"/>
      <c r="AH2823" s="74"/>
    </row>
    <row r="2824" s="73" customFormat="1" spans="1:34">
      <c r="A2824" s="74"/>
      <c r="B2824" s="74"/>
      <c r="C2824" s="74"/>
      <c r="D2824" s="74"/>
      <c r="E2824" s="74"/>
      <c r="F2824" s="74"/>
      <c r="G2824" s="74"/>
      <c r="H2824" s="74"/>
      <c r="I2824" s="74"/>
      <c r="J2824" s="74"/>
      <c r="K2824" s="74"/>
      <c r="L2824" s="74"/>
      <c r="M2824" s="74"/>
      <c r="N2824" s="74"/>
      <c r="O2824" s="75"/>
      <c r="P2824" s="74"/>
      <c r="Q2824" s="75"/>
      <c r="R2824" s="74"/>
      <c r="S2824" s="74"/>
      <c r="T2824" s="74"/>
      <c r="U2824" s="75"/>
      <c r="V2824" s="74"/>
      <c r="W2824" s="75"/>
      <c r="X2824" s="74"/>
      <c r="Y2824" s="74"/>
      <c r="Z2824" s="74"/>
      <c r="AA2824" s="74"/>
      <c r="AB2824" s="74"/>
      <c r="AC2824" s="74"/>
      <c r="AD2824" s="74"/>
      <c r="AE2824" s="74"/>
      <c r="AF2824" s="74"/>
      <c r="AG2824" s="74"/>
      <c r="AH2824" s="74"/>
    </row>
    <row r="2825" s="73" customFormat="1" spans="1:34">
      <c r="A2825" s="74"/>
      <c r="B2825" s="74"/>
      <c r="C2825" s="74"/>
      <c r="D2825" s="74"/>
      <c r="E2825" s="74"/>
      <c r="F2825" s="74"/>
      <c r="G2825" s="74"/>
      <c r="H2825" s="74"/>
      <c r="I2825" s="74"/>
      <c r="J2825" s="74"/>
      <c r="K2825" s="74"/>
      <c r="L2825" s="74"/>
      <c r="M2825" s="74"/>
      <c r="N2825" s="74"/>
      <c r="O2825" s="75"/>
      <c r="P2825" s="74"/>
      <c r="Q2825" s="75"/>
      <c r="R2825" s="74"/>
      <c r="S2825" s="74"/>
      <c r="T2825" s="74"/>
      <c r="U2825" s="75"/>
      <c r="V2825" s="74"/>
      <c r="W2825" s="75"/>
      <c r="X2825" s="74"/>
      <c r="Y2825" s="74"/>
      <c r="Z2825" s="74"/>
      <c r="AA2825" s="74"/>
      <c r="AB2825" s="74"/>
      <c r="AC2825" s="74"/>
      <c r="AD2825" s="74"/>
      <c r="AE2825" s="74"/>
      <c r="AF2825" s="74"/>
      <c r="AG2825" s="74"/>
      <c r="AH2825" s="74"/>
    </row>
    <row r="2826" s="73" customFormat="1" spans="1:34">
      <c r="A2826" s="74"/>
      <c r="B2826" s="74"/>
      <c r="C2826" s="74"/>
      <c r="D2826" s="74"/>
      <c r="E2826" s="74"/>
      <c r="F2826" s="74"/>
      <c r="G2826" s="74"/>
      <c r="H2826" s="74"/>
      <c r="I2826" s="74"/>
      <c r="J2826" s="74"/>
      <c r="K2826" s="74"/>
      <c r="L2826" s="74"/>
      <c r="M2826" s="74"/>
      <c r="N2826" s="74"/>
      <c r="O2826" s="75"/>
      <c r="P2826" s="74"/>
      <c r="Q2826" s="75"/>
      <c r="R2826" s="74"/>
      <c r="S2826" s="74"/>
      <c r="T2826" s="74"/>
      <c r="U2826" s="75"/>
      <c r="V2826" s="74"/>
      <c r="W2826" s="75"/>
      <c r="X2826" s="74"/>
      <c r="Y2826" s="74"/>
      <c r="Z2826" s="74"/>
      <c r="AA2826" s="74"/>
      <c r="AB2826" s="74"/>
      <c r="AC2826" s="74"/>
      <c r="AD2826" s="74"/>
      <c r="AE2826" s="74"/>
      <c r="AF2826" s="74"/>
      <c r="AG2826" s="74"/>
      <c r="AH2826" s="74"/>
    </row>
    <row r="2828" s="73" customFormat="1" spans="1:34">
      <c r="A2828" s="74"/>
      <c r="B2828" s="74"/>
      <c r="C2828" s="74"/>
      <c r="D2828" s="74"/>
      <c r="E2828" s="74"/>
      <c r="F2828" s="74"/>
      <c r="G2828" s="74"/>
      <c r="H2828" s="74"/>
      <c r="I2828" s="74"/>
      <c r="J2828" s="74"/>
      <c r="K2828" s="74"/>
      <c r="L2828" s="74"/>
      <c r="M2828" s="74"/>
      <c r="N2828" s="74"/>
      <c r="O2828" s="75"/>
      <c r="P2828" s="74"/>
      <c r="Q2828" s="75"/>
      <c r="R2828" s="74"/>
      <c r="S2828" s="74"/>
      <c r="T2828" s="74"/>
      <c r="U2828" s="75"/>
      <c r="V2828" s="74"/>
      <c r="W2828" s="75"/>
      <c r="X2828" s="74"/>
      <c r="Y2828" s="74"/>
      <c r="Z2828" s="74"/>
      <c r="AA2828" s="74"/>
      <c r="AB2828" s="74"/>
      <c r="AC2828" s="74"/>
      <c r="AD2828" s="74"/>
      <c r="AE2828" s="74"/>
      <c r="AF2828" s="74"/>
      <c r="AG2828" s="74"/>
      <c r="AH2828" s="74"/>
    </row>
    <row r="2829" s="73" customFormat="1" spans="1:34">
      <c r="A2829" s="74"/>
      <c r="B2829" s="74"/>
      <c r="C2829" s="74"/>
      <c r="D2829" s="74"/>
      <c r="E2829" s="74"/>
      <c r="F2829" s="74"/>
      <c r="G2829" s="74"/>
      <c r="H2829" s="74"/>
      <c r="I2829" s="74"/>
      <c r="J2829" s="74"/>
      <c r="K2829" s="74"/>
      <c r="L2829" s="74"/>
      <c r="M2829" s="74"/>
      <c r="N2829" s="74"/>
      <c r="O2829" s="75"/>
      <c r="P2829" s="74"/>
      <c r="Q2829" s="75"/>
      <c r="R2829" s="74"/>
      <c r="S2829" s="74"/>
      <c r="T2829" s="74"/>
      <c r="U2829" s="75"/>
      <c r="V2829" s="74"/>
      <c r="W2829" s="75"/>
      <c r="X2829" s="74"/>
      <c r="Y2829" s="74"/>
      <c r="Z2829" s="74"/>
      <c r="AA2829" s="74"/>
      <c r="AB2829" s="74"/>
      <c r="AC2829" s="74"/>
      <c r="AD2829" s="74"/>
      <c r="AE2829" s="74"/>
      <c r="AF2829" s="74"/>
      <c r="AG2829" s="74"/>
      <c r="AH2829" s="74"/>
    </row>
    <row r="2830" s="73" customFormat="1" spans="1:34">
      <c r="A2830" s="74"/>
      <c r="B2830" s="74"/>
      <c r="C2830" s="74"/>
      <c r="D2830" s="74"/>
      <c r="E2830" s="74"/>
      <c r="F2830" s="74"/>
      <c r="G2830" s="74"/>
      <c r="H2830" s="74"/>
      <c r="I2830" s="74"/>
      <c r="J2830" s="74"/>
      <c r="K2830" s="74"/>
      <c r="L2830" s="74"/>
      <c r="M2830" s="74"/>
      <c r="N2830" s="74"/>
      <c r="O2830" s="75"/>
      <c r="P2830" s="74"/>
      <c r="Q2830" s="75"/>
      <c r="R2830" s="74"/>
      <c r="S2830" s="74"/>
      <c r="T2830" s="74"/>
      <c r="U2830" s="75"/>
      <c r="V2830" s="74"/>
      <c r="W2830" s="75"/>
      <c r="X2830" s="74"/>
      <c r="Y2830" s="74"/>
      <c r="Z2830" s="74"/>
      <c r="AA2830" s="74"/>
      <c r="AB2830" s="74"/>
      <c r="AC2830" s="74"/>
      <c r="AD2830" s="74"/>
      <c r="AE2830" s="74"/>
      <c r="AF2830" s="74"/>
      <c r="AG2830" s="74"/>
      <c r="AH2830" s="74"/>
    </row>
    <row r="2831" s="73" customFormat="1" spans="1:34">
      <c r="A2831" s="74"/>
      <c r="B2831" s="74"/>
      <c r="C2831" s="74"/>
      <c r="D2831" s="74"/>
      <c r="E2831" s="74"/>
      <c r="F2831" s="74"/>
      <c r="G2831" s="74"/>
      <c r="H2831" s="74"/>
      <c r="I2831" s="74"/>
      <c r="J2831" s="74"/>
      <c r="K2831" s="74"/>
      <c r="L2831" s="74"/>
      <c r="M2831" s="74"/>
      <c r="N2831" s="74"/>
      <c r="O2831" s="75"/>
      <c r="P2831" s="74"/>
      <c r="Q2831" s="75"/>
      <c r="R2831" s="74"/>
      <c r="S2831" s="74"/>
      <c r="T2831" s="74"/>
      <c r="U2831" s="75"/>
      <c r="V2831" s="74"/>
      <c r="W2831" s="75"/>
      <c r="X2831" s="74"/>
      <c r="Y2831" s="74"/>
      <c r="Z2831" s="74"/>
      <c r="AA2831" s="74"/>
      <c r="AB2831" s="74"/>
      <c r="AC2831" s="74"/>
      <c r="AD2831" s="74"/>
      <c r="AE2831" s="74"/>
      <c r="AF2831" s="74"/>
      <c r="AG2831" s="74"/>
      <c r="AH2831" s="74"/>
    </row>
    <row r="2832" s="73" customFormat="1" spans="1:34">
      <c r="A2832" s="74"/>
      <c r="B2832" s="74"/>
      <c r="C2832" s="74"/>
      <c r="D2832" s="74"/>
      <c r="E2832" s="74"/>
      <c r="F2832" s="74"/>
      <c r="G2832" s="74"/>
      <c r="H2832" s="74"/>
      <c r="I2832" s="74"/>
      <c r="J2832" s="74"/>
      <c r="K2832" s="74"/>
      <c r="L2832" s="74"/>
      <c r="M2832" s="74"/>
      <c r="N2832" s="74"/>
      <c r="O2832" s="75"/>
      <c r="P2832" s="74"/>
      <c r="Q2832" s="75"/>
      <c r="R2832" s="74"/>
      <c r="S2832" s="74"/>
      <c r="T2832" s="74"/>
      <c r="U2832" s="75"/>
      <c r="V2832" s="74"/>
      <c r="W2832" s="75"/>
      <c r="X2832" s="74"/>
      <c r="Y2832" s="74"/>
      <c r="Z2832" s="74"/>
      <c r="AA2832" s="74"/>
      <c r="AB2832" s="74"/>
      <c r="AC2832" s="74"/>
      <c r="AD2832" s="74"/>
      <c r="AE2832" s="74"/>
      <c r="AF2832" s="74"/>
      <c r="AG2832" s="74"/>
      <c r="AH2832" s="74"/>
    </row>
    <row r="2833" s="73" customFormat="1" spans="1:34">
      <c r="A2833" s="74"/>
      <c r="B2833" s="74"/>
      <c r="C2833" s="74"/>
      <c r="D2833" s="74"/>
      <c r="E2833" s="74"/>
      <c r="F2833" s="74"/>
      <c r="G2833" s="74"/>
      <c r="H2833" s="74"/>
      <c r="I2833" s="74"/>
      <c r="J2833" s="74"/>
      <c r="K2833" s="74"/>
      <c r="L2833" s="74"/>
      <c r="M2833" s="74"/>
      <c r="N2833" s="74"/>
      <c r="O2833" s="75"/>
      <c r="P2833" s="74"/>
      <c r="Q2833" s="75"/>
      <c r="R2833" s="74"/>
      <c r="S2833" s="74"/>
      <c r="T2833" s="74"/>
      <c r="U2833" s="75"/>
      <c r="V2833" s="74"/>
      <c r="W2833" s="75"/>
      <c r="X2833" s="74"/>
      <c r="Y2833" s="74"/>
      <c r="Z2833" s="74"/>
      <c r="AA2833" s="74"/>
      <c r="AB2833" s="74"/>
      <c r="AC2833" s="74"/>
      <c r="AD2833" s="74"/>
      <c r="AE2833" s="74"/>
      <c r="AF2833" s="74"/>
      <c r="AG2833" s="74"/>
      <c r="AH2833" s="74"/>
    </row>
    <row r="2834" s="73" customFormat="1" spans="1:34">
      <c r="A2834" s="74"/>
      <c r="B2834" s="74"/>
      <c r="C2834" s="74"/>
      <c r="D2834" s="74"/>
      <c r="E2834" s="74"/>
      <c r="F2834" s="74"/>
      <c r="G2834" s="74"/>
      <c r="H2834" s="74"/>
      <c r="I2834" s="74"/>
      <c r="J2834" s="74"/>
      <c r="K2834" s="74"/>
      <c r="L2834" s="74"/>
      <c r="M2834" s="74"/>
      <c r="N2834" s="74"/>
      <c r="O2834" s="75"/>
      <c r="P2834" s="74"/>
      <c r="Q2834" s="75"/>
      <c r="R2834" s="74"/>
      <c r="S2834" s="74"/>
      <c r="T2834" s="74"/>
      <c r="U2834" s="75"/>
      <c r="V2834" s="74"/>
      <c r="W2834" s="75"/>
      <c r="X2834" s="74"/>
      <c r="Y2834" s="74"/>
      <c r="Z2834" s="74"/>
      <c r="AA2834" s="74"/>
      <c r="AB2834" s="74"/>
      <c r="AC2834" s="74"/>
      <c r="AD2834" s="74"/>
      <c r="AE2834" s="74"/>
      <c r="AF2834" s="74"/>
      <c r="AG2834" s="74"/>
      <c r="AH2834" s="74"/>
    </row>
    <row r="2835" s="73" customFormat="1" spans="1:34">
      <c r="A2835" s="74"/>
      <c r="B2835" s="74"/>
      <c r="C2835" s="74"/>
      <c r="D2835" s="74"/>
      <c r="E2835" s="74"/>
      <c r="F2835" s="74"/>
      <c r="G2835" s="74"/>
      <c r="H2835" s="74"/>
      <c r="I2835" s="74"/>
      <c r="J2835" s="74"/>
      <c r="K2835" s="74"/>
      <c r="L2835" s="74"/>
      <c r="M2835" s="74"/>
      <c r="N2835" s="74"/>
      <c r="O2835" s="75"/>
      <c r="P2835" s="74"/>
      <c r="Q2835" s="75"/>
      <c r="R2835" s="74"/>
      <c r="S2835" s="74"/>
      <c r="T2835" s="74"/>
      <c r="U2835" s="75"/>
      <c r="V2835" s="74"/>
      <c r="W2835" s="75"/>
      <c r="X2835" s="74"/>
      <c r="Y2835" s="74"/>
      <c r="Z2835" s="74"/>
      <c r="AA2835" s="74"/>
      <c r="AB2835" s="74"/>
      <c r="AC2835" s="74"/>
      <c r="AD2835" s="74"/>
      <c r="AE2835" s="74"/>
      <c r="AF2835" s="74"/>
      <c r="AG2835" s="74"/>
      <c r="AH2835" s="74"/>
    </row>
    <row r="2836" s="73" customFormat="1" spans="1:34">
      <c r="A2836" s="74"/>
      <c r="B2836" s="74"/>
      <c r="C2836" s="74"/>
      <c r="D2836" s="74"/>
      <c r="E2836" s="74"/>
      <c r="F2836" s="74"/>
      <c r="G2836" s="74"/>
      <c r="H2836" s="74"/>
      <c r="I2836" s="74"/>
      <c r="J2836" s="74"/>
      <c r="K2836" s="74"/>
      <c r="L2836" s="74"/>
      <c r="M2836" s="74"/>
      <c r="N2836" s="74"/>
      <c r="O2836" s="75"/>
      <c r="P2836" s="74"/>
      <c r="Q2836" s="75"/>
      <c r="R2836" s="74"/>
      <c r="S2836" s="74"/>
      <c r="T2836" s="74"/>
      <c r="U2836" s="75"/>
      <c r="V2836" s="74"/>
      <c r="W2836" s="75"/>
      <c r="X2836" s="74"/>
      <c r="Y2836" s="74"/>
      <c r="Z2836" s="74"/>
      <c r="AA2836" s="74"/>
      <c r="AB2836" s="74"/>
      <c r="AC2836" s="74"/>
      <c r="AD2836" s="74"/>
      <c r="AE2836" s="74"/>
      <c r="AF2836" s="74"/>
      <c r="AG2836" s="74"/>
      <c r="AH2836" s="74"/>
    </row>
    <row r="2837" s="73" customFormat="1" spans="1:34">
      <c r="A2837" s="74"/>
      <c r="B2837" s="74"/>
      <c r="C2837" s="74"/>
      <c r="D2837" s="74"/>
      <c r="E2837" s="74"/>
      <c r="F2837" s="74"/>
      <c r="G2837" s="74"/>
      <c r="H2837" s="74"/>
      <c r="I2837" s="74"/>
      <c r="J2837" s="74"/>
      <c r="K2837" s="74"/>
      <c r="L2837" s="74"/>
      <c r="M2837" s="74"/>
      <c r="N2837" s="74"/>
      <c r="O2837" s="75"/>
      <c r="P2837" s="74"/>
      <c r="Q2837" s="75"/>
      <c r="R2837" s="74"/>
      <c r="S2837" s="74"/>
      <c r="T2837" s="74"/>
      <c r="U2837" s="75"/>
      <c r="V2837" s="74"/>
      <c r="W2837" s="75"/>
      <c r="X2837" s="74"/>
      <c r="Y2837" s="74"/>
      <c r="Z2837" s="74"/>
      <c r="AA2837" s="74"/>
      <c r="AB2837" s="74"/>
      <c r="AC2837" s="74"/>
      <c r="AD2837" s="74"/>
      <c r="AE2837" s="74"/>
      <c r="AF2837" s="74"/>
      <c r="AG2837" s="74"/>
      <c r="AH2837" s="74"/>
    </row>
    <row r="2838" s="73" customFormat="1" spans="1:34">
      <c r="A2838" s="74"/>
      <c r="B2838" s="74"/>
      <c r="C2838" s="74"/>
      <c r="D2838" s="74"/>
      <c r="E2838" s="74"/>
      <c r="F2838" s="74"/>
      <c r="G2838" s="74"/>
      <c r="H2838" s="74"/>
      <c r="I2838" s="74"/>
      <c r="J2838" s="74"/>
      <c r="K2838" s="74"/>
      <c r="L2838" s="74"/>
      <c r="M2838" s="74"/>
      <c r="N2838" s="74"/>
      <c r="O2838" s="75"/>
      <c r="P2838" s="74"/>
      <c r="Q2838" s="75"/>
      <c r="R2838" s="74"/>
      <c r="S2838" s="74"/>
      <c r="T2838" s="74"/>
      <c r="U2838" s="75"/>
      <c r="V2838" s="74"/>
      <c r="W2838" s="75"/>
      <c r="X2838" s="74"/>
      <c r="Y2838" s="74"/>
      <c r="Z2838" s="74"/>
      <c r="AA2838" s="74"/>
      <c r="AB2838" s="74"/>
      <c r="AC2838" s="74"/>
      <c r="AD2838" s="74"/>
      <c r="AE2838" s="74"/>
      <c r="AF2838" s="74"/>
      <c r="AG2838" s="74"/>
      <c r="AH2838" s="74"/>
    </row>
    <row r="2839" s="73" customFormat="1" spans="1:34">
      <c r="A2839" s="74"/>
      <c r="B2839" s="74"/>
      <c r="C2839" s="74"/>
      <c r="D2839" s="74"/>
      <c r="E2839" s="74"/>
      <c r="F2839" s="74"/>
      <c r="G2839" s="74"/>
      <c r="H2839" s="74"/>
      <c r="I2839" s="74"/>
      <c r="J2839" s="74"/>
      <c r="K2839" s="74"/>
      <c r="L2839" s="74"/>
      <c r="M2839" s="74"/>
      <c r="N2839" s="74"/>
      <c r="O2839" s="75"/>
      <c r="P2839" s="74"/>
      <c r="Q2839" s="75"/>
      <c r="R2839" s="74"/>
      <c r="S2839" s="74"/>
      <c r="T2839" s="74"/>
      <c r="U2839" s="75"/>
      <c r="V2839" s="74"/>
      <c r="W2839" s="75"/>
      <c r="X2839" s="74"/>
      <c r="Y2839" s="74"/>
      <c r="Z2839" s="74"/>
      <c r="AA2839" s="74"/>
      <c r="AB2839" s="74"/>
      <c r="AC2839" s="74"/>
      <c r="AD2839" s="74"/>
      <c r="AE2839" s="74"/>
      <c r="AF2839" s="74"/>
      <c r="AG2839" s="74"/>
      <c r="AH2839" s="74"/>
    </row>
    <row r="2840" s="73" customFormat="1" spans="1:34">
      <c r="A2840" s="74"/>
      <c r="B2840" s="74"/>
      <c r="C2840" s="74"/>
      <c r="D2840" s="74"/>
      <c r="E2840" s="74"/>
      <c r="F2840" s="74"/>
      <c r="G2840" s="74"/>
      <c r="H2840" s="74"/>
      <c r="I2840" s="74"/>
      <c r="J2840" s="74"/>
      <c r="K2840" s="74"/>
      <c r="L2840" s="74"/>
      <c r="M2840" s="74"/>
      <c r="N2840" s="74"/>
      <c r="O2840" s="75"/>
      <c r="P2840" s="74"/>
      <c r="Q2840" s="75"/>
      <c r="R2840" s="74"/>
      <c r="S2840" s="74"/>
      <c r="T2840" s="74"/>
      <c r="U2840" s="75"/>
      <c r="V2840" s="74"/>
      <c r="W2840" s="75"/>
      <c r="X2840" s="74"/>
      <c r="Y2840" s="74"/>
      <c r="Z2840" s="74"/>
      <c r="AA2840" s="74"/>
      <c r="AB2840" s="74"/>
      <c r="AC2840" s="74"/>
      <c r="AD2840" s="74"/>
      <c r="AE2840" s="74"/>
      <c r="AF2840" s="74"/>
      <c r="AG2840" s="74"/>
      <c r="AH2840" s="74"/>
    </row>
    <row r="2841" s="73" customFormat="1" spans="1:34">
      <c r="A2841" s="74"/>
      <c r="B2841" s="74"/>
      <c r="C2841" s="74"/>
      <c r="D2841" s="74"/>
      <c r="E2841" s="74"/>
      <c r="F2841" s="74"/>
      <c r="G2841" s="74"/>
      <c r="H2841" s="74"/>
      <c r="I2841" s="74"/>
      <c r="J2841" s="74"/>
      <c r="K2841" s="74"/>
      <c r="L2841" s="74"/>
      <c r="M2841" s="74"/>
      <c r="N2841" s="74"/>
      <c r="O2841" s="75"/>
      <c r="P2841" s="74"/>
      <c r="Q2841" s="75"/>
      <c r="R2841" s="74"/>
      <c r="S2841" s="74"/>
      <c r="T2841" s="74"/>
      <c r="U2841" s="75"/>
      <c r="V2841" s="74"/>
      <c r="W2841" s="75"/>
      <c r="X2841" s="74"/>
      <c r="Y2841" s="74"/>
      <c r="Z2841" s="74"/>
      <c r="AA2841" s="74"/>
      <c r="AB2841" s="74"/>
      <c r="AC2841" s="74"/>
      <c r="AD2841" s="74"/>
      <c r="AE2841" s="74"/>
      <c r="AF2841" s="74"/>
      <c r="AG2841" s="74"/>
      <c r="AH2841" s="74"/>
    </row>
    <row r="2842" s="73" customFormat="1" spans="1:34">
      <c r="A2842" s="74"/>
      <c r="B2842" s="74"/>
      <c r="C2842" s="74"/>
      <c r="D2842" s="74"/>
      <c r="E2842" s="74"/>
      <c r="F2842" s="74"/>
      <c r="G2842" s="74"/>
      <c r="H2842" s="74"/>
      <c r="I2842" s="74"/>
      <c r="J2842" s="74"/>
      <c r="K2842" s="74"/>
      <c r="L2842" s="74"/>
      <c r="M2842" s="74"/>
      <c r="N2842" s="74"/>
      <c r="O2842" s="75"/>
      <c r="P2842" s="74"/>
      <c r="Q2842" s="75"/>
      <c r="R2842" s="74"/>
      <c r="S2842" s="74"/>
      <c r="T2842" s="74"/>
      <c r="U2842" s="75"/>
      <c r="V2842" s="74"/>
      <c r="W2842" s="75"/>
      <c r="X2842" s="74"/>
      <c r="Y2842" s="74"/>
      <c r="Z2842" s="74"/>
      <c r="AA2842" s="74"/>
      <c r="AB2842" s="74"/>
      <c r="AC2842" s="74"/>
      <c r="AD2842" s="74"/>
      <c r="AE2842" s="74"/>
      <c r="AF2842" s="74"/>
      <c r="AG2842" s="74"/>
      <c r="AH2842" s="74"/>
    </row>
    <row r="2843" s="73" customFormat="1" spans="1:34">
      <c r="A2843" s="74"/>
      <c r="B2843" s="74"/>
      <c r="C2843" s="74"/>
      <c r="D2843" s="74"/>
      <c r="E2843" s="74"/>
      <c r="F2843" s="74"/>
      <c r="G2843" s="74"/>
      <c r="H2843" s="74"/>
      <c r="I2843" s="74"/>
      <c r="J2843" s="74"/>
      <c r="K2843" s="74"/>
      <c r="L2843" s="74"/>
      <c r="M2843" s="74"/>
      <c r="N2843" s="74"/>
      <c r="O2843" s="75"/>
      <c r="P2843" s="74"/>
      <c r="Q2843" s="75"/>
      <c r="R2843" s="74"/>
      <c r="S2843" s="74"/>
      <c r="T2843" s="74"/>
      <c r="U2843" s="75"/>
      <c r="V2843" s="74"/>
      <c r="W2843" s="75"/>
      <c r="X2843" s="74"/>
      <c r="Y2843" s="74"/>
      <c r="Z2843" s="74"/>
      <c r="AA2843" s="74"/>
      <c r="AB2843" s="74"/>
      <c r="AC2843" s="74"/>
      <c r="AD2843" s="74"/>
      <c r="AE2843" s="74"/>
      <c r="AF2843" s="74"/>
      <c r="AG2843" s="74"/>
      <c r="AH2843" s="74"/>
    </row>
    <row r="2844" s="73" customFormat="1" spans="1:34">
      <c r="A2844" s="74"/>
      <c r="B2844" s="74"/>
      <c r="C2844" s="74"/>
      <c r="D2844" s="74"/>
      <c r="E2844" s="74"/>
      <c r="F2844" s="74"/>
      <c r="G2844" s="74"/>
      <c r="H2844" s="74"/>
      <c r="I2844" s="74"/>
      <c r="J2844" s="74"/>
      <c r="K2844" s="74"/>
      <c r="L2844" s="74"/>
      <c r="M2844" s="74"/>
      <c r="N2844" s="74"/>
      <c r="O2844" s="75"/>
      <c r="P2844" s="74"/>
      <c r="Q2844" s="75"/>
      <c r="R2844" s="74"/>
      <c r="S2844" s="74"/>
      <c r="T2844" s="74"/>
      <c r="U2844" s="75"/>
      <c r="V2844" s="74"/>
      <c r="W2844" s="75"/>
      <c r="X2844" s="74"/>
      <c r="Y2844" s="74"/>
      <c r="Z2844" s="74"/>
      <c r="AA2844" s="74"/>
      <c r="AB2844" s="74"/>
      <c r="AC2844" s="74"/>
      <c r="AD2844" s="74"/>
      <c r="AE2844" s="74"/>
      <c r="AF2844" s="74"/>
      <c r="AG2844" s="74"/>
      <c r="AH2844" s="74"/>
    </row>
    <row r="2845" s="73" customFormat="1" spans="1:34">
      <c r="A2845" s="74"/>
      <c r="B2845" s="74"/>
      <c r="C2845" s="74"/>
      <c r="D2845" s="74"/>
      <c r="E2845" s="74"/>
      <c r="F2845" s="74"/>
      <c r="G2845" s="74"/>
      <c r="H2845" s="74"/>
      <c r="I2845" s="74"/>
      <c r="J2845" s="74"/>
      <c r="K2845" s="74"/>
      <c r="L2845" s="74"/>
      <c r="M2845" s="74"/>
      <c r="N2845" s="74"/>
      <c r="O2845" s="75"/>
      <c r="P2845" s="74"/>
      <c r="Q2845" s="75"/>
      <c r="R2845" s="74"/>
      <c r="S2845" s="74"/>
      <c r="T2845" s="74"/>
      <c r="U2845" s="75"/>
      <c r="V2845" s="74"/>
      <c r="W2845" s="75"/>
      <c r="X2845" s="74"/>
      <c r="Y2845" s="74"/>
      <c r="Z2845" s="74"/>
      <c r="AA2845" s="74"/>
      <c r="AB2845" s="74"/>
      <c r="AC2845" s="74"/>
      <c r="AD2845" s="74"/>
      <c r="AE2845" s="74"/>
      <c r="AF2845" s="74"/>
      <c r="AG2845" s="74"/>
      <c r="AH2845" s="74"/>
    </row>
    <row r="2846" s="73" customFormat="1" spans="1:34">
      <c r="A2846" s="74"/>
      <c r="B2846" s="74"/>
      <c r="C2846" s="74"/>
      <c r="D2846" s="74"/>
      <c r="E2846" s="74"/>
      <c r="F2846" s="74"/>
      <c r="G2846" s="74"/>
      <c r="H2846" s="74"/>
      <c r="I2846" s="74"/>
      <c r="J2846" s="74"/>
      <c r="K2846" s="74"/>
      <c r="L2846" s="74"/>
      <c r="M2846" s="74"/>
      <c r="N2846" s="74"/>
      <c r="O2846" s="75"/>
      <c r="P2846" s="74"/>
      <c r="Q2846" s="75"/>
      <c r="R2846" s="74"/>
      <c r="S2846" s="74"/>
      <c r="T2846" s="74"/>
      <c r="U2846" s="75"/>
      <c r="V2846" s="74"/>
      <c r="W2846" s="75"/>
      <c r="X2846" s="74"/>
      <c r="Y2846" s="74"/>
      <c r="Z2846" s="74"/>
      <c r="AA2846" s="74"/>
      <c r="AB2846" s="74"/>
      <c r="AC2846" s="74"/>
      <c r="AD2846" s="74"/>
      <c r="AE2846" s="74"/>
      <c r="AF2846" s="74"/>
      <c r="AG2846" s="74"/>
      <c r="AH2846" s="74"/>
    </row>
    <row r="2847" s="73" customFormat="1" spans="1:34">
      <c r="A2847" s="74"/>
      <c r="B2847" s="74"/>
      <c r="C2847" s="74"/>
      <c r="D2847" s="74"/>
      <c r="E2847" s="74"/>
      <c r="F2847" s="74"/>
      <c r="G2847" s="74"/>
      <c r="H2847" s="74"/>
      <c r="I2847" s="74"/>
      <c r="J2847" s="74"/>
      <c r="K2847" s="74"/>
      <c r="L2847" s="74"/>
      <c r="M2847" s="74"/>
      <c r="N2847" s="74"/>
      <c r="O2847" s="75"/>
      <c r="P2847" s="74"/>
      <c r="Q2847" s="75"/>
      <c r="R2847" s="74"/>
      <c r="S2847" s="74"/>
      <c r="T2847" s="74"/>
      <c r="U2847" s="75"/>
      <c r="V2847" s="74"/>
      <c r="W2847" s="75"/>
      <c r="X2847" s="74"/>
      <c r="Y2847" s="74"/>
      <c r="Z2847" s="74"/>
      <c r="AA2847" s="74"/>
      <c r="AB2847" s="74"/>
      <c r="AC2847" s="74"/>
      <c r="AD2847" s="74"/>
      <c r="AE2847" s="74"/>
      <c r="AF2847" s="74"/>
      <c r="AG2847" s="74"/>
      <c r="AH2847" s="74"/>
    </row>
    <row r="2848" s="73" customFormat="1" spans="1:34">
      <c r="A2848" s="74"/>
      <c r="B2848" s="74"/>
      <c r="C2848" s="74"/>
      <c r="D2848" s="74"/>
      <c r="E2848" s="74"/>
      <c r="F2848" s="74"/>
      <c r="G2848" s="74"/>
      <c r="H2848" s="74"/>
      <c r="I2848" s="74"/>
      <c r="J2848" s="74"/>
      <c r="K2848" s="74"/>
      <c r="L2848" s="74"/>
      <c r="M2848" s="74"/>
      <c r="N2848" s="74"/>
      <c r="O2848" s="75"/>
      <c r="P2848" s="74"/>
      <c r="Q2848" s="75"/>
      <c r="R2848" s="74"/>
      <c r="S2848" s="74"/>
      <c r="T2848" s="74"/>
      <c r="U2848" s="75"/>
      <c r="V2848" s="74"/>
      <c r="W2848" s="75"/>
      <c r="X2848" s="74"/>
      <c r="Y2848" s="74"/>
      <c r="Z2848" s="74"/>
      <c r="AA2848" s="74"/>
      <c r="AB2848" s="74"/>
      <c r="AC2848" s="74"/>
      <c r="AD2848" s="74"/>
      <c r="AE2848" s="74"/>
      <c r="AF2848" s="74"/>
      <c r="AG2848" s="74"/>
      <c r="AH2848" s="74"/>
    </row>
    <row r="2849" s="73" customFormat="1" spans="1:34">
      <c r="A2849" s="74"/>
      <c r="B2849" s="74"/>
      <c r="C2849" s="74"/>
      <c r="D2849" s="74"/>
      <c r="E2849" s="74"/>
      <c r="F2849" s="74"/>
      <c r="G2849" s="74"/>
      <c r="H2849" s="74"/>
      <c r="I2849" s="74"/>
      <c r="J2849" s="74"/>
      <c r="K2849" s="74"/>
      <c r="L2849" s="74"/>
      <c r="M2849" s="74"/>
      <c r="N2849" s="74"/>
      <c r="O2849" s="75"/>
      <c r="P2849" s="74"/>
      <c r="Q2849" s="75"/>
      <c r="R2849" s="74"/>
      <c r="S2849" s="74"/>
      <c r="T2849" s="74"/>
      <c r="U2849" s="75"/>
      <c r="V2849" s="74"/>
      <c r="W2849" s="75"/>
      <c r="X2849" s="74"/>
      <c r="Y2849" s="74"/>
      <c r="Z2849" s="74"/>
      <c r="AA2849" s="74"/>
      <c r="AB2849" s="74"/>
      <c r="AC2849" s="74"/>
      <c r="AD2849" s="74"/>
      <c r="AE2849" s="74"/>
      <c r="AF2849" s="74"/>
      <c r="AG2849" s="74"/>
      <c r="AH2849" s="74"/>
    </row>
    <row r="2850" s="73" customFormat="1" spans="1:34">
      <c r="A2850" s="74"/>
      <c r="B2850" s="74"/>
      <c r="C2850" s="74"/>
      <c r="D2850" s="74"/>
      <c r="E2850" s="74"/>
      <c r="F2850" s="74"/>
      <c r="G2850" s="74"/>
      <c r="H2850" s="74"/>
      <c r="I2850" s="74"/>
      <c r="J2850" s="74"/>
      <c r="K2850" s="74"/>
      <c r="L2850" s="74"/>
      <c r="M2850" s="74"/>
      <c r="N2850" s="74"/>
      <c r="O2850" s="75"/>
      <c r="P2850" s="74"/>
      <c r="Q2850" s="75"/>
      <c r="R2850" s="74"/>
      <c r="S2850" s="74"/>
      <c r="T2850" s="74"/>
      <c r="U2850" s="75"/>
      <c r="V2850" s="74"/>
      <c r="W2850" s="75"/>
      <c r="X2850" s="74"/>
      <c r="Y2850" s="74"/>
      <c r="Z2850" s="74"/>
      <c r="AA2850" s="74"/>
      <c r="AB2850" s="74"/>
      <c r="AC2850" s="74"/>
      <c r="AD2850" s="74"/>
      <c r="AE2850" s="74"/>
      <c r="AF2850" s="74"/>
      <c r="AG2850" s="74"/>
      <c r="AH2850" s="74"/>
    </row>
    <row r="2851" s="73" customFormat="1" spans="1:34">
      <c r="A2851" s="74"/>
      <c r="B2851" s="74"/>
      <c r="C2851" s="74"/>
      <c r="D2851" s="74"/>
      <c r="E2851" s="74"/>
      <c r="F2851" s="74"/>
      <c r="G2851" s="74"/>
      <c r="H2851" s="74"/>
      <c r="I2851" s="74"/>
      <c r="J2851" s="74"/>
      <c r="K2851" s="74"/>
      <c r="L2851" s="74"/>
      <c r="M2851" s="74"/>
      <c r="N2851" s="74"/>
      <c r="O2851" s="75"/>
      <c r="P2851" s="74"/>
      <c r="Q2851" s="75"/>
      <c r="R2851" s="74"/>
      <c r="S2851" s="74"/>
      <c r="T2851" s="74"/>
      <c r="U2851" s="75"/>
      <c r="V2851" s="74"/>
      <c r="W2851" s="75"/>
      <c r="X2851" s="74"/>
      <c r="Y2851" s="74"/>
      <c r="Z2851" s="74"/>
      <c r="AA2851" s="74"/>
      <c r="AB2851" s="74"/>
      <c r="AC2851" s="74"/>
      <c r="AD2851" s="74"/>
      <c r="AE2851" s="74"/>
      <c r="AF2851" s="74"/>
      <c r="AG2851" s="74"/>
      <c r="AH2851" s="74"/>
    </row>
    <row r="2852" s="73" customFormat="1" spans="1:34">
      <c r="A2852" s="74"/>
      <c r="B2852" s="74"/>
      <c r="C2852" s="74"/>
      <c r="D2852" s="74"/>
      <c r="E2852" s="74"/>
      <c r="F2852" s="74"/>
      <c r="G2852" s="74"/>
      <c r="H2852" s="74"/>
      <c r="I2852" s="74"/>
      <c r="J2852" s="74"/>
      <c r="K2852" s="74"/>
      <c r="L2852" s="74"/>
      <c r="M2852" s="74"/>
      <c r="N2852" s="74"/>
      <c r="O2852" s="75"/>
      <c r="P2852" s="74"/>
      <c r="Q2852" s="75"/>
      <c r="R2852" s="74"/>
      <c r="S2852" s="74"/>
      <c r="T2852" s="74"/>
      <c r="U2852" s="75"/>
      <c r="V2852" s="74"/>
      <c r="W2852" s="75"/>
      <c r="X2852" s="74"/>
      <c r="Y2852" s="74"/>
      <c r="Z2852" s="74"/>
      <c r="AA2852" s="74"/>
      <c r="AB2852" s="74"/>
      <c r="AC2852" s="74"/>
      <c r="AD2852" s="74"/>
      <c r="AE2852" s="74"/>
      <c r="AF2852" s="74"/>
      <c r="AG2852" s="74"/>
      <c r="AH2852" s="74"/>
    </row>
    <row r="2853" s="73" customFormat="1" spans="1:34">
      <c r="A2853" s="74"/>
      <c r="B2853" s="74"/>
      <c r="C2853" s="74"/>
      <c r="D2853" s="74"/>
      <c r="E2853" s="74"/>
      <c r="F2853" s="74"/>
      <c r="G2853" s="74"/>
      <c r="H2853" s="74"/>
      <c r="I2853" s="74"/>
      <c r="J2853" s="74"/>
      <c r="K2853" s="74"/>
      <c r="L2853" s="74"/>
      <c r="M2853" s="74"/>
      <c r="N2853" s="74"/>
      <c r="O2853" s="75"/>
      <c r="P2853" s="74"/>
      <c r="Q2853" s="75"/>
      <c r="R2853" s="74"/>
      <c r="S2853" s="74"/>
      <c r="T2853" s="74"/>
      <c r="U2853" s="75"/>
      <c r="V2853" s="74"/>
      <c r="W2853" s="75"/>
      <c r="X2853" s="74"/>
      <c r="Y2853" s="74"/>
      <c r="Z2853" s="74"/>
      <c r="AA2853" s="74"/>
      <c r="AB2853" s="74"/>
      <c r="AC2853" s="74"/>
      <c r="AD2853" s="74"/>
      <c r="AE2853" s="74"/>
      <c r="AF2853" s="74"/>
      <c r="AG2853" s="74"/>
      <c r="AH2853" s="74"/>
    </row>
    <row r="2854" s="73" customFormat="1" spans="1:34">
      <c r="A2854" s="74"/>
      <c r="B2854" s="74"/>
      <c r="C2854" s="74"/>
      <c r="D2854" s="74"/>
      <c r="E2854" s="74"/>
      <c r="F2854" s="74"/>
      <c r="G2854" s="74"/>
      <c r="H2854" s="74"/>
      <c r="I2854" s="74"/>
      <c r="J2854" s="74"/>
      <c r="K2854" s="74"/>
      <c r="L2854" s="74"/>
      <c r="M2854" s="74"/>
      <c r="N2854" s="74"/>
      <c r="O2854" s="75"/>
      <c r="P2854" s="74"/>
      <c r="Q2854" s="75"/>
      <c r="R2854" s="74"/>
      <c r="S2854" s="74"/>
      <c r="T2854" s="74"/>
      <c r="U2854" s="75"/>
      <c r="V2854" s="74"/>
      <c r="W2854" s="75"/>
      <c r="X2854" s="74"/>
      <c r="Y2854" s="74"/>
      <c r="Z2854" s="74"/>
      <c r="AA2854" s="74"/>
      <c r="AB2854" s="74"/>
      <c r="AC2854" s="74"/>
      <c r="AD2854" s="74"/>
      <c r="AE2854" s="74"/>
      <c r="AF2854" s="74"/>
      <c r="AG2854" s="74"/>
      <c r="AH2854" s="74"/>
    </row>
    <row r="2855" s="73" customFormat="1" spans="1:34">
      <c r="A2855" s="74"/>
      <c r="B2855" s="74"/>
      <c r="C2855" s="74"/>
      <c r="D2855" s="74"/>
      <c r="E2855" s="74"/>
      <c r="F2855" s="74"/>
      <c r="G2855" s="74"/>
      <c r="H2855" s="74"/>
      <c r="I2855" s="74"/>
      <c r="J2855" s="74"/>
      <c r="K2855" s="74"/>
      <c r="L2855" s="74"/>
      <c r="M2855" s="74"/>
      <c r="N2855" s="74"/>
      <c r="O2855" s="75"/>
      <c r="P2855" s="74"/>
      <c r="Q2855" s="75"/>
      <c r="R2855" s="74"/>
      <c r="S2855" s="74"/>
      <c r="T2855" s="74"/>
      <c r="U2855" s="75"/>
      <c r="V2855" s="74"/>
      <c r="W2855" s="75"/>
      <c r="X2855" s="74"/>
      <c r="Y2855" s="74"/>
      <c r="Z2855" s="74"/>
      <c r="AA2855" s="74"/>
      <c r="AB2855" s="74"/>
      <c r="AC2855" s="74"/>
      <c r="AD2855" s="74"/>
      <c r="AE2855" s="74"/>
      <c r="AF2855" s="74"/>
      <c r="AG2855" s="74"/>
      <c r="AH2855" s="74"/>
    </row>
    <row r="2856" s="73" customFormat="1" spans="1:34">
      <c r="A2856" s="74"/>
      <c r="B2856" s="74"/>
      <c r="C2856" s="74"/>
      <c r="D2856" s="74"/>
      <c r="E2856" s="74"/>
      <c r="F2856" s="74"/>
      <c r="G2856" s="74"/>
      <c r="H2856" s="74"/>
      <c r="I2856" s="74"/>
      <c r="J2856" s="74"/>
      <c r="K2856" s="74"/>
      <c r="L2856" s="74"/>
      <c r="M2856" s="74"/>
      <c r="N2856" s="74"/>
      <c r="O2856" s="75"/>
      <c r="P2856" s="74"/>
      <c r="Q2856" s="75"/>
      <c r="R2856" s="74"/>
      <c r="S2856" s="74"/>
      <c r="T2856" s="74"/>
      <c r="U2856" s="75"/>
      <c r="V2856" s="74"/>
      <c r="W2856" s="75"/>
      <c r="X2856" s="74"/>
      <c r="Y2856" s="74"/>
      <c r="Z2856" s="74"/>
      <c r="AA2856" s="74"/>
      <c r="AB2856" s="74"/>
      <c r="AC2856" s="74"/>
      <c r="AD2856" s="74"/>
      <c r="AE2856" s="74"/>
      <c r="AF2856" s="74"/>
      <c r="AG2856" s="74"/>
      <c r="AH2856" s="74"/>
    </row>
    <row r="2857" s="73" customFormat="1" spans="1:34">
      <c r="A2857" s="74"/>
      <c r="B2857" s="74"/>
      <c r="C2857" s="74"/>
      <c r="D2857" s="74"/>
      <c r="E2857" s="74"/>
      <c r="F2857" s="74"/>
      <c r="G2857" s="74"/>
      <c r="H2857" s="74"/>
      <c r="I2857" s="74"/>
      <c r="J2857" s="74"/>
      <c r="K2857" s="74"/>
      <c r="L2857" s="74"/>
      <c r="M2857" s="74"/>
      <c r="N2857" s="74"/>
      <c r="O2857" s="75"/>
      <c r="P2857" s="74"/>
      <c r="Q2857" s="75"/>
      <c r="R2857" s="74"/>
      <c r="S2857" s="74"/>
      <c r="T2857" s="74"/>
      <c r="U2857" s="75"/>
      <c r="V2857" s="74"/>
      <c r="W2857" s="75"/>
      <c r="X2857" s="74"/>
      <c r="Y2857" s="74"/>
      <c r="Z2857" s="74"/>
      <c r="AA2857" s="74"/>
      <c r="AB2857" s="74"/>
      <c r="AC2857" s="74"/>
      <c r="AD2857" s="74"/>
      <c r="AE2857" s="74"/>
      <c r="AF2857" s="74"/>
      <c r="AG2857" s="74"/>
      <c r="AH2857" s="74"/>
    </row>
    <row r="2858" s="73" customFormat="1" spans="1:34">
      <c r="A2858" s="74"/>
      <c r="B2858" s="74"/>
      <c r="C2858" s="74"/>
      <c r="D2858" s="74"/>
      <c r="E2858" s="74"/>
      <c r="F2858" s="74"/>
      <c r="G2858" s="74"/>
      <c r="H2858" s="74"/>
      <c r="I2858" s="74"/>
      <c r="J2858" s="74"/>
      <c r="K2858" s="74"/>
      <c r="L2858" s="74"/>
      <c r="M2858" s="74"/>
      <c r="N2858" s="74"/>
      <c r="O2858" s="75"/>
      <c r="P2858" s="74"/>
      <c r="Q2858" s="75"/>
      <c r="R2858" s="74"/>
      <c r="S2858" s="74"/>
      <c r="T2858" s="74"/>
      <c r="U2858" s="75"/>
      <c r="V2858" s="74"/>
      <c r="W2858" s="75"/>
      <c r="X2858" s="74"/>
      <c r="Y2858" s="74"/>
      <c r="Z2858" s="74"/>
      <c r="AA2858" s="74"/>
      <c r="AB2858" s="74"/>
      <c r="AC2858" s="74"/>
      <c r="AD2858" s="74"/>
      <c r="AE2858" s="74"/>
      <c r="AF2858" s="74"/>
      <c r="AG2858" s="74"/>
      <c r="AH2858" s="74"/>
    </row>
    <row r="2859" s="73" customFormat="1" spans="1:34">
      <c r="A2859" s="74"/>
      <c r="B2859" s="74"/>
      <c r="C2859" s="74"/>
      <c r="D2859" s="74"/>
      <c r="E2859" s="74"/>
      <c r="F2859" s="74"/>
      <c r="G2859" s="74"/>
      <c r="H2859" s="74"/>
      <c r="I2859" s="74"/>
      <c r="J2859" s="74"/>
      <c r="K2859" s="74"/>
      <c r="L2859" s="74"/>
      <c r="M2859" s="74"/>
      <c r="N2859" s="74"/>
      <c r="O2859" s="75"/>
      <c r="P2859" s="74"/>
      <c r="Q2859" s="75"/>
      <c r="R2859" s="74"/>
      <c r="S2859" s="74"/>
      <c r="T2859" s="74"/>
      <c r="U2859" s="75"/>
      <c r="V2859" s="74"/>
      <c r="W2859" s="75"/>
      <c r="X2859" s="74"/>
      <c r="Y2859" s="74"/>
      <c r="Z2859" s="74"/>
      <c r="AA2859" s="74"/>
      <c r="AB2859" s="74"/>
      <c r="AC2859" s="74"/>
      <c r="AD2859" s="74"/>
      <c r="AE2859" s="74"/>
      <c r="AF2859" s="74"/>
      <c r="AG2859" s="74"/>
      <c r="AH2859" s="74"/>
    </row>
    <row r="2860" s="73" customFormat="1" spans="1:34">
      <c r="A2860" s="74"/>
      <c r="B2860" s="74"/>
      <c r="C2860" s="74"/>
      <c r="D2860" s="74"/>
      <c r="E2860" s="74"/>
      <c r="F2860" s="74"/>
      <c r="G2860" s="74"/>
      <c r="H2860" s="74"/>
      <c r="I2860" s="74"/>
      <c r="J2860" s="74"/>
      <c r="K2860" s="74"/>
      <c r="L2860" s="74"/>
      <c r="M2860" s="74"/>
      <c r="N2860" s="74"/>
      <c r="O2860" s="75"/>
      <c r="P2860" s="74"/>
      <c r="Q2860" s="75"/>
      <c r="R2860" s="74"/>
      <c r="S2860" s="74"/>
      <c r="T2860" s="74"/>
      <c r="U2860" s="75"/>
      <c r="V2860" s="74"/>
      <c r="W2860" s="75"/>
      <c r="X2860" s="74"/>
      <c r="Y2860" s="74"/>
      <c r="Z2860" s="74"/>
      <c r="AA2860" s="74"/>
      <c r="AB2860" s="74"/>
      <c r="AC2860" s="74"/>
      <c r="AD2860" s="74"/>
      <c r="AE2860" s="74"/>
      <c r="AF2860" s="74"/>
      <c r="AG2860" s="74"/>
      <c r="AH2860" s="74"/>
    </row>
    <row r="2861" s="73" customFormat="1" spans="1:34">
      <c r="A2861" s="74"/>
      <c r="B2861" s="74"/>
      <c r="C2861" s="74"/>
      <c r="D2861" s="74"/>
      <c r="E2861" s="74"/>
      <c r="F2861" s="74"/>
      <c r="G2861" s="74"/>
      <c r="H2861" s="74"/>
      <c r="I2861" s="74"/>
      <c r="J2861" s="74"/>
      <c r="K2861" s="74"/>
      <c r="L2861" s="74"/>
      <c r="M2861" s="74"/>
      <c r="N2861" s="74"/>
      <c r="O2861" s="75"/>
      <c r="P2861" s="74"/>
      <c r="Q2861" s="75"/>
      <c r="R2861" s="74"/>
      <c r="S2861" s="74"/>
      <c r="T2861" s="74"/>
      <c r="U2861" s="75"/>
      <c r="V2861" s="74"/>
      <c r="W2861" s="75"/>
      <c r="X2861" s="74"/>
      <c r="Y2861" s="74"/>
      <c r="Z2861" s="74"/>
      <c r="AA2861" s="74"/>
      <c r="AB2861" s="74"/>
      <c r="AC2861" s="74"/>
      <c r="AD2861" s="74"/>
      <c r="AE2861" s="74"/>
      <c r="AF2861" s="74"/>
      <c r="AG2861" s="74"/>
      <c r="AH2861" s="74"/>
    </row>
    <row r="2862" s="73" customFormat="1" spans="1:34">
      <c r="A2862" s="74"/>
      <c r="B2862" s="74"/>
      <c r="C2862" s="74"/>
      <c r="D2862" s="74"/>
      <c r="E2862" s="74"/>
      <c r="F2862" s="74"/>
      <c r="G2862" s="74"/>
      <c r="H2862" s="74"/>
      <c r="I2862" s="74"/>
      <c r="J2862" s="74"/>
      <c r="K2862" s="74"/>
      <c r="L2862" s="74"/>
      <c r="M2862" s="74"/>
      <c r="N2862" s="74"/>
      <c r="O2862" s="75"/>
      <c r="P2862" s="74"/>
      <c r="Q2862" s="75"/>
      <c r="R2862" s="74"/>
      <c r="S2862" s="74"/>
      <c r="T2862" s="74"/>
      <c r="U2862" s="75"/>
      <c r="V2862" s="74"/>
      <c r="W2862" s="75"/>
      <c r="X2862" s="74"/>
      <c r="Y2862" s="74"/>
      <c r="Z2862" s="74"/>
      <c r="AA2862" s="74"/>
      <c r="AB2862" s="74"/>
      <c r="AC2862" s="74"/>
      <c r="AD2862" s="74"/>
      <c r="AE2862" s="74"/>
      <c r="AF2862" s="74"/>
      <c r="AG2862" s="74"/>
      <c r="AH2862" s="74"/>
    </row>
    <row r="2863" s="73" customFormat="1" spans="1:34">
      <c r="A2863" s="74"/>
      <c r="B2863" s="74"/>
      <c r="C2863" s="74"/>
      <c r="D2863" s="74"/>
      <c r="E2863" s="74"/>
      <c r="F2863" s="74"/>
      <c r="G2863" s="74"/>
      <c r="H2863" s="74"/>
      <c r="I2863" s="74"/>
      <c r="J2863" s="74"/>
      <c r="K2863" s="74"/>
      <c r="L2863" s="74"/>
      <c r="M2863" s="74"/>
      <c r="N2863" s="74"/>
      <c r="O2863" s="75"/>
      <c r="P2863" s="74"/>
      <c r="Q2863" s="75"/>
      <c r="R2863" s="74"/>
      <c r="S2863" s="74"/>
      <c r="T2863" s="74"/>
      <c r="U2863" s="75"/>
      <c r="V2863" s="74"/>
      <c r="W2863" s="75"/>
      <c r="X2863" s="74"/>
      <c r="Y2863" s="74"/>
      <c r="Z2863" s="74"/>
      <c r="AA2863" s="74"/>
      <c r="AB2863" s="74"/>
      <c r="AC2863" s="74"/>
      <c r="AD2863" s="74"/>
      <c r="AE2863" s="74"/>
      <c r="AF2863" s="74"/>
      <c r="AG2863" s="74"/>
      <c r="AH2863" s="74"/>
    </row>
    <row r="2865" s="73" customFormat="1" spans="1:34">
      <c r="A2865" s="74"/>
      <c r="B2865" s="74"/>
      <c r="C2865" s="74"/>
      <c r="D2865" s="74"/>
      <c r="E2865" s="74"/>
      <c r="F2865" s="74"/>
      <c r="G2865" s="74"/>
      <c r="H2865" s="74"/>
      <c r="I2865" s="74"/>
      <c r="J2865" s="74"/>
      <c r="K2865" s="74"/>
      <c r="L2865" s="74"/>
      <c r="M2865" s="74"/>
      <c r="N2865" s="74"/>
      <c r="O2865" s="75"/>
      <c r="P2865" s="74"/>
      <c r="Q2865" s="75"/>
      <c r="R2865" s="74"/>
      <c r="S2865" s="74"/>
      <c r="T2865" s="74"/>
      <c r="U2865" s="75"/>
      <c r="V2865" s="74"/>
      <c r="W2865" s="75"/>
      <c r="X2865" s="74"/>
      <c r="Y2865" s="74"/>
      <c r="Z2865" s="74"/>
      <c r="AA2865" s="74"/>
      <c r="AB2865" s="74"/>
      <c r="AC2865" s="74"/>
      <c r="AD2865" s="74"/>
      <c r="AE2865" s="74"/>
      <c r="AF2865" s="74"/>
      <c r="AG2865" s="74"/>
      <c r="AH2865" s="74"/>
    </row>
    <row r="2866" s="73" customFormat="1" spans="1:34">
      <c r="A2866" s="74"/>
      <c r="B2866" s="74"/>
      <c r="C2866" s="74"/>
      <c r="D2866" s="74"/>
      <c r="E2866" s="74"/>
      <c r="F2866" s="74"/>
      <c r="G2866" s="74"/>
      <c r="H2866" s="74"/>
      <c r="I2866" s="74"/>
      <c r="J2866" s="74"/>
      <c r="K2866" s="74"/>
      <c r="L2866" s="74"/>
      <c r="M2866" s="74"/>
      <c r="N2866" s="74"/>
      <c r="O2866" s="75"/>
      <c r="P2866" s="74"/>
      <c r="Q2866" s="75"/>
      <c r="R2866" s="74"/>
      <c r="S2866" s="74"/>
      <c r="T2866" s="74"/>
      <c r="U2866" s="75"/>
      <c r="V2866" s="74"/>
      <c r="W2866" s="75"/>
      <c r="X2866" s="74"/>
      <c r="Y2866" s="74"/>
      <c r="Z2866" s="74"/>
      <c r="AA2866" s="74"/>
      <c r="AB2866" s="74"/>
      <c r="AC2866" s="74"/>
      <c r="AD2866" s="74"/>
      <c r="AE2866" s="74"/>
      <c r="AF2866" s="74"/>
      <c r="AG2866" s="74"/>
      <c r="AH2866" s="74"/>
    </row>
    <row r="2867" s="73" customFormat="1" spans="1:34">
      <c r="A2867" s="74"/>
      <c r="B2867" s="74"/>
      <c r="C2867" s="74"/>
      <c r="D2867" s="74"/>
      <c r="E2867" s="74"/>
      <c r="F2867" s="74"/>
      <c r="G2867" s="74"/>
      <c r="H2867" s="74"/>
      <c r="I2867" s="74"/>
      <c r="J2867" s="74"/>
      <c r="K2867" s="74"/>
      <c r="L2867" s="74"/>
      <c r="M2867" s="74"/>
      <c r="N2867" s="74"/>
      <c r="O2867" s="75"/>
      <c r="P2867" s="74"/>
      <c r="Q2867" s="75"/>
      <c r="R2867" s="74"/>
      <c r="S2867" s="74"/>
      <c r="T2867" s="74"/>
      <c r="U2867" s="75"/>
      <c r="V2867" s="74"/>
      <c r="W2867" s="75"/>
      <c r="X2867" s="74"/>
      <c r="Y2867" s="74"/>
      <c r="Z2867" s="74"/>
      <c r="AA2867" s="74"/>
      <c r="AB2867" s="74"/>
      <c r="AC2867" s="74"/>
      <c r="AD2867" s="74"/>
      <c r="AE2867" s="74"/>
      <c r="AF2867" s="74"/>
      <c r="AG2867" s="74"/>
      <c r="AH2867" s="74"/>
    </row>
    <row r="2868" s="73" customFormat="1" spans="1:34">
      <c r="A2868" s="74"/>
      <c r="B2868" s="74"/>
      <c r="C2868" s="74"/>
      <c r="D2868" s="74"/>
      <c r="E2868" s="74"/>
      <c r="F2868" s="74"/>
      <c r="G2868" s="74"/>
      <c r="H2868" s="74"/>
      <c r="I2868" s="74"/>
      <c r="J2868" s="74"/>
      <c r="K2868" s="74"/>
      <c r="L2868" s="74"/>
      <c r="M2868" s="74"/>
      <c r="N2868" s="74"/>
      <c r="O2868" s="75"/>
      <c r="P2868" s="74"/>
      <c r="Q2868" s="75"/>
      <c r="R2868" s="74"/>
      <c r="S2868" s="74"/>
      <c r="T2868" s="74"/>
      <c r="U2868" s="75"/>
      <c r="V2868" s="74"/>
      <c r="W2868" s="75"/>
      <c r="X2868" s="74"/>
      <c r="Y2868" s="74"/>
      <c r="Z2868" s="74"/>
      <c r="AA2868" s="74"/>
      <c r="AB2868" s="74"/>
      <c r="AC2868" s="74"/>
      <c r="AD2868" s="74"/>
      <c r="AE2868" s="74"/>
      <c r="AF2868" s="74"/>
      <c r="AG2868" s="74"/>
      <c r="AH2868" s="74"/>
    </row>
    <row r="2869" s="73" customFormat="1" spans="1:34">
      <c r="A2869" s="74"/>
      <c r="B2869" s="74"/>
      <c r="C2869" s="74"/>
      <c r="D2869" s="74"/>
      <c r="E2869" s="74"/>
      <c r="F2869" s="74"/>
      <c r="G2869" s="74"/>
      <c r="H2869" s="74"/>
      <c r="I2869" s="74"/>
      <c r="J2869" s="74"/>
      <c r="K2869" s="74"/>
      <c r="L2869" s="74"/>
      <c r="M2869" s="74"/>
      <c r="N2869" s="74"/>
      <c r="O2869" s="75"/>
      <c r="P2869" s="74"/>
      <c r="Q2869" s="75"/>
      <c r="R2869" s="74"/>
      <c r="S2869" s="74"/>
      <c r="T2869" s="74"/>
      <c r="U2869" s="75"/>
      <c r="V2869" s="74"/>
      <c r="W2869" s="75"/>
      <c r="X2869" s="74"/>
      <c r="Y2869" s="74"/>
      <c r="Z2869" s="74"/>
      <c r="AA2869" s="74"/>
      <c r="AB2869" s="74"/>
      <c r="AC2869" s="74"/>
      <c r="AD2869" s="74"/>
      <c r="AE2869" s="74"/>
      <c r="AF2869" s="74"/>
      <c r="AG2869" s="74"/>
      <c r="AH2869" s="74"/>
    </row>
    <row r="2870" s="73" customFormat="1" spans="1:34">
      <c r="A2870" s="74"/>
      <c r="B2870" s="74"/>
      <c r="C2870" s="74"/>
      <c r="D2870" s="74"/>
      <c r="E2870" s="74"/>
      <c r="F2870" s="74"/>
      <c r="G2870" s="74"/>
      <c r="H2870" s="74"/>
      <c r="I2870" s="74"/>
      <c r="J2870" s="74"/>
      <c r="K2870" s="74"/>
      <c r="L2870" s="74"/>
      <c r="M2870" s="74"/>
      <c r="N2870" s="74"/>
      <c r="O2870" s="75"/>
      <c r="P2870" s="74"/>
      <c r="Q2870" s="75"/>
      <c r="R2870" s="74"/>
      <c r="S2870" s="74"/>
      <c r="T2870" s="74"/>
      <c r="U2870" s="75"/>
      <c r="V2870" s="74"/>
      <c r="W2870" s="75"/>
      <c r="X2870" s="74"/>
      <c r="Y2870" s="74"/>
      <c r="Z2870" s="74"/>
      <c r="AA2870" s="74"/>
      <c r="AB2870" s="74"/>
      <c r="AC2870" s="74"/>
      <c r="AD2870" s="74"/>
      <c r="AE2870" s="74"/>
      <c r="AF2870" s="74"/>
      <c r="AG2870" s="74"/>
      <c r="AH2870" s="74"/>
    </row>
    <row r="2871" s="73" customFormat="1" spans="1:34">
      <c r="A2871" s="74"/>
      <c r="B2871" s="74"/>
      <c r="C2871" s="74"/>
      <c r="D2871" s="74"/>
      <c r="E2871" s="74"/>
      <c r="F2871" s="74"/>
      <c r="G2871" s="74"/>
      <c r="H2871" s="74"/>
      <c r="I2871" s="74"/>
      <c r="J2871" s="74"/>
      <c r="K2871" s="74"/>
      <c r="L2871" s="74"/>
      <c r="M2871" s="74"/>
      <c r="N2871" s="74"/>
      <c r="O2871" s="75"/>
      <c r="P2871" s="74"/>
      <c r="Q2871" s="75"/>
      <c r="R2871" s="74"/>
      <c r="S2871" s="74"/>
      <c r="T2871" s="74"/>
      <c r="U2871" s="75"/>
      <c r="V2871" s="74"/>
      <c r="W2871" s="75"/>
      <c r="X2871" s="74"/>
      <c r="Y2871" s="74"/>
      <c r="Z2871" s="74"/>
      <c r="AA2871" s="74"/>
      <c r="AB2871" s="74"/>
      <c r="AC2871" s="74"/>
      <c r="AD2871" s="74"/>
      <c r="AE2871" s="74"/>
      <c r="AF2871" s="74"/>
      <c r="AG2871" s="74"/>
      <c r="AH2871" s="74"/>
    </row>
    <row r="2872" s="73" customFormat="1" spans="1:34">
      <c r="A2872" s="74"/>
      <c r="B2872" s="74"/>
      <c r="C2872" s="74"/>
      <c r="D2872" s="74"/>
      <c r="E2872" s="74"/>
      <c r="F2872" s="74"/>
      <c r="G2872" s="74"/>
      <c r="H2872" s="74"/>
      <c r="I2872" s="74"/>
      <c r="J2872" s="74"/>
      <c r="K2872" s="74"/>
      <c r="L2872" s="74"/>
      <c r="M2872" s="74"/>
      <c r="N2872" s="74"/>
      <c r="O2872" s="75"/>
      <c r="P2872" s="74"/>
      <c r="Q2872" s="75"/>
      <c r="R2872" s="74"/>
      <c r="S2872" s="74"/>
      <c r="T2872" s="74"/>
      <c r="U2872" s="75"/>
      <c r="V2872" s="74"/>
      <c r="W2872" s="75"/>
      <c r="X2872" s="74"/>
      <c r="Y2872" s="74"/>
      <c r="Z2872" s="74"/>
      <c r="AA2872" s="74"/>
      <c r="AB2872" s="74"/>
      <c r="AC2872" s="74"/>
      <c r="AD2872" s="74"/>
      <c r="AE2872" s="74"/>
      <c r="AF2872" s="74"/>
      <c r="AG2872" s="74"/>
      <c r="AH2872" s="74"/>
    </row>
    <row r="2873" s="73" customFormat="1" spans="1:34">
      <c r="A2873" s="74"/>
      <c r="B2873" s="74"/>
      <c r="C2873" s="74"/>
      <c r="D2873" s="74"/>
      <c r="E2873" s="74"/>
      <c r="F2873" s="74"/>
      <c r="G2873" s="74"/>
      <c r="H2873" s="74"/>
      <c r="I2873" s="74"/>
      <c r="J2873" s="74"/>
      <c r="K2873" s="74"/>
      <c r="L2873" s="74"/>
      <c r="M2873" s="74"/>
      <c r="N2873" s="74"/>
      <c r="O2873" s="75"/>
      <c r="P2873" s="74"/>
      <c r="Q2873" s="75"/>
      <c r="R2873" s="74"/>
      <c r="S2873" s="74"/>
      <c r="T2873" s="74"/>
      <c r="U2873" s="75"/>
      <c r="V2873" s="74"/>
      <c r="W2873" s="75"/>
      <c r="X2873" s="74"/>
      <c r="Y2873" s="74"/>
      <c r="Z2873" s="74"/>
      <c r="AA2873" s="74"/>
      <c r="AB2873" s="74"/>
      <c r="AC2873" s="74"/>
      <c r="AD2873" s="74"/>
      <c r="AE2873" s="74"/>
      <c r="AF2873" s="74"/>
      <c r="AG2873" s="74"/>
      <c r="AH2873" s="74"/>
    </row>
    <row r="2874" s="73" customFormat="1" spans="1:34">
      <c r="A2874" s="74"/>
      <c r="B2874" s="74"/>
      <c r="C2874" s="74"/>
      <c r="D2874" s="74"/>
      <c r="E2874" s="74"/>
      <c r="F2874" s="74"/>
      <c r="G2874" s="74"/>
      <c r="H2874" s="74"/>
      <c r="I2874" s="74"/>
      <c r="J2874" s="74"/>
      <c r="K2874" s="74"/>
      <c r="L2874" s="74"/>
      <c r="M2874" s="74"/>
      <c r="N2874" s="74"/>
      <c r="O2874" s="75"/>
      <c r="P2874" s="74"/>
      <c r="Q2874" s="75"/>
      <c r="R2874" s="74"/>
      <c r="S2874" s="74"/>
      <c r="T2874" s="74"/>
      <c r="U2874" s="75"/>
      <c r="V2874" s="74"/>
      <c r="W2874" s="75"/>
      <c r="X2874" s="74"/>
      <c r="Y2874" s="74"/>
      <c r="Z2874" s="74"/>
      <c r="AA2874" s="74"/>
      <c r="AB2874" s="74"/>
      <c r="AC2874" s="74"/>
      <c r="AD2874" s="74"/>
      <c r="AE2874" s="74"/>
      <c r="AF2874" s="74"/>
      <c r="AG2874" s="74"/>
      <c r="AH2874" s="74"/>
    </row>
    <row r="2875" s="73" customFormat="1" spans="1:34">
      <c r="A2875" s="74"/>
      <c r="B2875" s="74"/>
      <c r="C2875" s="74"/>
      <c r="D2875" s="74"/>
      <c r="E2875" s="74"/>
      <c r="F2875" s="74"/>
      <c r="G2875" s="74"/>
      <c r="H2875" s="74"/>
      <c r="I2875" s="74"/>
      <c r="J2875" s="74"/>
      <c r="K2875" s="74"/>
      <c r="L2875" s="74"/>
      <c r="M2875" s="74"/>
      <c r="N2875" s="74"/>
      <c r="O2875" s="75"/>
      <c r="P2875" s="74"/>
      <c r="Q2875" s="75"/>
      <c r="R2875" s="74"/>
      <c r="S2875" s="74"/>
      <c r="T2875" s="74"/>
      <c r="U2875" s="75"/>
      <c r="V2875" s="74"/>
      <c r="W2875" s="75"/>
      <c r="X2875" s="74"/>
      <c r="Y2875" s="74"/>
      <c r="Z2875" s="74"/>
      <c r="AA2875" s="74"/>
      <c r="AB2875" s="74"/>
      <c r="AC2875" s="74"/>
      <c r="AD2875" s="74"/>
      <c r="AE2875" s="74"/>
      <c r="AF2875" s="74"/>
      <c r="AG2875" s="74"/>
      <c r="AH2875" s="74"/>
    </row>
    <row r="2876" s="73" customFormat="1" spans="1:34">
      <c r="A2876" s="74"/>
      <c r="B2876" s="74"/>
      <c r="C2876" s="74"/>
      <c r="D2876" s="74"/>
      <c r="E2876" s="74"/>
      <c r="F2876" s="74"/>
      <c r="G2876" s="74"/>
      <c r="H2876" s="74"/>
      <c r="I2876" s="74"/>
      <c r="J2876" s="74"/>
      <c r="K2876" s="74"/>
      <c r="L2876" s="74"/>
      <c r="M2876" s="74"/>
      <c r="N2876" s="74"/>
      <c r="O2876" s="75"/>
      <c r="P2876" s="74"/>
      <c r="Q2876" s="75"/>
      <c r="R2876" s="74"/>
      <c r="S2876" s="74"/>
      <c r="T2876" s="74"/>
      <c r="U2876" s="75"/>
      <c r="V2876" s="74"/>
      <c r="W2876" s="75"/>
      <c r="X2876" s="74"/>
      <c r="Y2876" s="74"/>
      <c r="Z2876" s="74"/>
      <c r="AA2876" s="74"/>
      <c r="AB2876" s="74"/>
      <c r="AC2876" s="74"/>
      <c r="AD2876" s="74"/>
      <c r="AE2876" s="74"/>
      <c r="AF2876" s="74"/>
      <c r="AG2876" s="74"/>
      <c r="AH2876" s="74"/>
    </row>
    <row r="2877" s="73" customFormat="1" spans="1:34">
      <c r="A2877" s="74"/>
      <c r="B2877" s="74"/>
      <c r="C2877" s="74"/>
      <c r="D2877" s="74"/>
      <c r="E2877" s="74"/>
      <c r="F2877" s="74"/>
      <c r="G2877" s="74"/>
      <c r="H2877" s="74"/>
      <c r="I2877" s="74"/>
      <c r="J2877" s="74"/>
      <c r="K2877" s="74"/>
      <c r="L2877" s="74"/>
      <c r="M2877" s="74"/>
      <c r="N2877" s="74"/>
      <c r="O2877" s="75"/>
      <c r="P2877" s="74"/>
      <c r="Q2877" s="75"/>
      <c r="R2877" s="74"/>
      <c r="S2877" s="74"/>
      <c r="T2877" s="74"/>
      <c r="U2877" s="75"/>
      <c r="V2877" s="74"/>
      <c r="W2877" s="75"/>
      <c r="X2877" s="74"/>
      <c r="Y2877" s="74"/>
      <c r="Z2877" s="74"/>
      <c r="AA2877" s="74"/>
      <c r="AB2877" s="74"/>
      <c r="AC2877" s="74"/>
      <c r="AD2877" s="74"/>
      <c r="AE2877" s="74"/>
      <c r="AF2877" s="74"/>
      <c r="AG2877" s="74"/>
      <c r="AH2877" s="74"/>
    </row>
    <row r="2878" s="73" customFormat="1" spans="1:34">
      <c r="A2878" s="74"/>
      <c r="B2878" s="74"/>
      <c r="C2878" s="74"/>
      <c r="D2878" s="74"/>
      <c r="E2878" s="74"/>
      <c r="F2878" s="74"/>
      <c r="G2878" s="74"/>
      <c r="H2878" s="74"/>
      <c r="I2878" s="74"/>
      <c r="J2878" s="74"/>
      <c r="K2878" s="74"/>
      <c r="L2878" s="74"/>
      <c r="M2878" s="74"/>
      <c r="N2878" s="74"/>
      <c r="O2878" s="75"/>
      <c r="P2878" s="74"/>
      <c r="Q2878" s="75"/>
      <c r="R2878" s="74"/>
      <c r="S2878" s="74"/>
      <c r="T2878" s="74"/>
      <c r="U2878" s="75"/>
      <c r="V2878" s="74"/>
      <c r="W2878" s="75"/>
      <c r="X2878" s="74"/>
      <c r="Y2878" s="74"/>
      <c r="Z2878" s="74"/>
      <c r="AA2878" s="74"/>
      <c r="AB2878" s="74"/>
      <c r="AC2878" s="74"/>
      <c r="AD2878" s="74"/>
      <c r="AE2878" s="74"/>
      <c r="AF2878" s="74"/>
      <c r="AG2878" s="74"/>
      <c r="AH2878" s="74"/>
    </row>
    <row r="2879" s="73" customFormat="1" spans="1:34">
      <c r="A2879" s="74"/>
      <c r="B2879" s="74"/>
      <c r="C2879" s="74"/>
      <c r="D2879" s="74"/>
      <c r="E2879" s="74"/>
      <c r="F2879" s="74"/>
      <c r="G2879" s="74"/>
      <c r="H2879" s="74"/>
      <c r="I2879" s="74"/>
      <c r="J2879" s="74"/>
      <c r="K2879" s="74"/>
      <c r="L2879" s="74"/>
      <c r="M2879" s="74"/>
      <c r="N2879" s="74"/>
      <c r="O2879" s="75"/>
      <c r="P2879" s="74"/>
      <c r="Q2879" s="75"/>
      <c r="R2879" s="74"/>
      <c r="S2879" s="74"/>
      <c r="T2879" s="74"/>
      <c r="U2879" s="75"/>
      <c r="V2879" s="74"/>
      <c r="W2879" s="75"/>
      <c r="X2879" s="74"/>
      <c r="Y2879" s="74"/>
      <c r="Z2879" s="74"/>
      <c r="AA2879" s="74"/>
      <c r="AB2879" s="74"/>
      <c r="AC2879" s="74"/>
      <c r="AD2879" s="74"/>
      <c r="AE2879" s="74"/>
      <c r="AF2879" s="74"/>
      <c r="AG2879" s="74"/>
      <c r="AH2879" s="74"/>
    </row>
    <row r="2880" s="73" customFormat="1" spans="1:34">
      <c r="A2880" s="74"/>
      <c r="B2880" s="74"/>
      <c r="C2880" s="74"/>
      <c r="D2880" s="74"/>
      <c r="E2880" s="74"/>
      <c r="F2880" s="74"/>
      <c r="G2880" s="74"/>
      <c r="H2880" s="74"/>
      <c r="I2880" s="74"/>
      <c r="J2880" s="74"/>
      <c r="K2880" s="74"/>
      <c r="L2880" s="74"/>
      <c r="M2880" s="74"/>
      <c r="N2880" s="74"/>
      <c r="O2880" s="75"/>
      <c r="P2880" s="74"/>
      <c r="Q2880" s="75"/>
      <c r="R2880" s="74"/>
      <c r="S2880" s="74"/>
      <c r="T2880" s="74"/>
      <c r="U2880" s="75"/>
      <c r="V2880" s="74"/>
      <c r="W2880" s="75"/>
      <c r="X2880" s="74"/>
      <c r="Y2880" s="74"/>
      <c r="Z2880" s="74"/>
      <c r="AA2880" s="74"/>
      <c r="AB2880" s="74"/>
      <c r="AC2880" s="74"/>
      <c r="AD2880" s="74"/>
      <c r="AE2880" s="74"/>
      <c r="AF2880" s="74"/>
      <c r="AG2880" s="74"/>
      <c r="AH2880" s="74"/>
    </row>
    <row r="2881" s="73" customFormat="1" spans="1:34">
      <c r="A2881" s="74"/>
      <c r="B2881" s="74"/>
      <c r="C2881" s="74"/>
      <c r="D2881" s="74"/>
      <c r="E2881" s="74"/>
      <c r="F2881" s="74"/>
      <c r="G2881" s="74"/>
      <c r="H2881" s="74"/>
      <c r="I2881" s="74"/>
      <c r="J2881" s="74"/>
      <c r="K2881" s="74"/>
      <c r="L2881" s="74"/>
      <c r="M2881" s="74"/>
      <c r="N2881" s="74"/>
      <c r="O2881" s="75"/>
      <c r="P2881" s="74"/>
      <c r="Q2881" s="75"/>
      <c r="R2881" s="74"/>
      <c r="S2881" s="74"/>
      <c r="T2881" s="74"/>
      <c r="U2881" s="75"/>
      <c r="V2881" s="74"/>
      <c r="W2881" s="75"/>
      <c r="X2881" s="74"/>
      <c r="Y2881" s="74"/>
      <c r="Z2881" s="74"/>
      <c r="AA2881" s="74"/>
      <c r="AB2881" s="74"/>
      <c r="AC2881" s="74"/>
      <c r="AD2881" s="74"/>
      <c r="AE2881" s="74"/>
      <c r="AF2881" s="74"/>
      <c r="AG2881" s="74"/>
      <c r="AH2881" s="74"/>
    </row>
    <row r="2882" s="73" customFormat="1" spans="1:34">
      <c r="A2882" s="74"/>
      <c r="B2882" s="74"/>
      <c r="C2882" s="74"/>
      <c r="D2882" s="74"/>
      <c r="E2882" s="74"/>
      <c r="F2882" s="74"/>
      <c r="G2882" s="74"/>
      <c r="H2882" s="74"/>
      <c r="I2882" s="74"/>
      <c r="J2882" s="74"/>
      <c r="K2882" s="74"/>
      <c r="L2882" s="74"/>
      <c r="M2882" s="74"/>
      <c r="N2882" s="74"/>
      <c r="O2882" s="75"/>
      <c r="P2882" s="74"/>
      <c r="Q2882" s="75"/>
      <c r="R2882" s="74"/>
      <c r="S2882" s="74"/>
      <c r="T2882" s="74"/>
      <c r="U2882" s="75"/>
      <c r="V2882" s="74"/>
      <c r="W2882" s="75"/>
      <c r="X2882" s="74"/>
      <c r="Y2882" s="74"/>
      <c r="Z2882" s="74"/>
      <c r="AA2882" s="74"/>
      <c r="AB2882" s="74"/>
      <c r="AC2882" s="74"/>
      <c r="AD2882" s="74"/>
      <c r="AE2882" s="74"/>
      <c r="AF2882" s="74"/>
      <c r="AG2882" s="74"/>
      <c r="AH2882" s="74"/>
    </row>
    <row r="2883" s="73" customFormat="1" spans="1:34">
      <c r="A2883" s="74"/>
      <c r="B2883" s="74"/>
      <c r="C2883" s="74"/>
      <c r="D2883" s="74"/>
      <c r="E2883" s="74"/>
      <c r="F2883" s="74"/>
      <c r="G2883" s="74"/>
      <c r="H2883" s="74"/>
      <c r="I2883" s="74"/>
      <c r="J2883" s="74"/>
      <c r="K2883" s="74"/>
      <c r="L2883" s="74"/>
      <c r="M2883" s="74"/>
      <c r="N2883" s="74"/>
      <c r="O2883" s="75"/>
      <c r="P2883" s="74"/>
      <c r="Q2883" s="75"/>
      <c r="R2883" s="74"/>
      <c r="S2883" s="74"/>
      <c r="T2883" s="74"/>
      <c r="U2883" s="75"/>
      <c r="V2883" s="74"/>
      <c r="W2883" s="75"/>
      <c r="X2883" s="74"/>
      <c r="Y2883" s="74"/>
      <c r="Z2883" s="74"/>
      <c r="AA2883" s="74"/>
      <c r="AB2883" s="74"/>
      <c r="AC2883" s="74"/>
      <c r="AD2883" s="74"/>
      <c r="AE2883" s="74"/>
      <c r="AF2883" s="74"/>
      <c r="AG2883" s="74"/>
      <c r="AH2883" s="74"/>
    </row>
    <row r="2884" s="73" customFormat="1" spans="1:34">
      <c r="A2884" s="74"/>
      <c r="B2884" s="74"/>
      <c r="C2884" s="74"/>
      <c r="D2884" s="74"/>
      <c r="E2884" s="74"/>
      <c r="F2884" s="74"/>
      <c r="G2884" s="74"/>
      <c r="H2884" s="74"/>
      <c r="I2884" s="74"/>
      <c r="J2884" s="74"/>
      <c r="K2884" s="74"/>
      <c r="L2884" s="74"/>
      <c r="M2884" s="74"/>
      <c r="N2884" s="74"/>
      <c r="O2884" s="75"/>
      <c r="P2884" s="74"/>
      <c r="Q2884" s="75"/>
      <c r="R2884" s="74"/>
      <c r="S2884" s="74"/>
      <c r="T2884" s="74"/>
      <c r="U2884" s="75"/>
      <c r="V2884" s="74"/>
      <c r="W2884" s="75"/>
      <c r="X2884" s="74"/>
      <c r="Y2884" s="74"/>
      <c r="Z2884" s="74"/>
      <c r="AA2884" s="74"/>
      <c r="AB2884" s="74"/>
      <c r="AC2884" s="74"/>
      <c r="AD2884" s="74"/>
      <c r="AE2884" s="74"/>
      <c r="AF2884" s="74"/>
      <c r="AG2884" s="74"/>
      <c r="AH2884" s="74"/>
    </row>
    <row r="2885" s="73" customFormat="1" spans="1:34">
      <c r="A2885" s="74"/>
      <c r="B2885" s="74"/>
      <c r="C2885" s="74"/>
      <c r="D2885" s="74"/>
      <c r="E2885" s="74"/>
      <c r="F2885" s="74"/>
      <c r="G2885" s="74"/>
      <c r="H2885" s="74"/>
      <c r="I2885" s="74"/>
      <c r="J2885" s="74"/>
      <c r="K2885" s="74"/>
      <c r="L2885" s="74"/>
      <c r="M2885" s="74"/>
      <c r="N2885" s="74"/>
      <c r="O2885" s="75"/>
      <c r="P2885" s="74"/>
      <c r="Q2885" s="75"/>
      <c r="R2885" s="74"/>
      <c r="S2885" s="74"/>
      <c r="T2885" s="74"/>
      <c r="U2885" s="75"/>
      <c r="V2885" s="74"/>
      <c r="W2885" s="75"/>
      <c r="X2885" s="74"/>
      <c r="Y2885" s="74"/>
      <c r="Z2885" s="74"/>
      <c r="AA2885" s="74"/>
      <c r="AB2885" s="74"/>
      <c r="AC2885" s="74"/>
      <c r="AD2885" s="74"/>
      <c r="AE2885" s="74"/>
      <c r="AF2885" s="74"/>
      <c r="AG2885" s="74"/>
      <c r="AH2885" s="74"/>
    </row>
    <row r="2886" s="73" customFormat="1" spans="1:34">
      <c r="A2886" s="74"/>
      <c r="B2886" s="74"/>
      <c r="C2886" s="74"/>
      <c r="D2886" s="74"/>
      <c r="E2886" s="74"/>
      <c r="F2886" s="74"/>
      <c r="G2886" s="74"/>
      <c r="H2886" s="74"/>
      <c r="I2886" s="74"/>
      <c r="J2886" s="74"/>
      <c r="K2886" s="74"/>
      <c r="L2886" s="74"/>
      <c r="M2886" s="74"/>
      <c r="N2886" s="74"/>
      <c r="O2886" s="75"/>
      <c r="P2886" s="74"/>
      <c r="Q2886" s="75"/>
      <c r="R2886" s="74"/>
      <c r="S2886" s="74"/>
      <c r="T2886" s="74"/>
      <c r="U2886" s="75"/>
      <c r="V2886" s="74"/>
      <c r="W2886" s="75"/>
      <c r="X2886" s="74"/>
      <c r="Y2886" s="74"/>
      <c r="Z2886" s="74"/>
      <c r="AA2886" s="74"/>
      <c r="AB2886" s="74"/>
      <c r="AC2886" s="74"/>
      <c r="AD2886" s="74"/>
      <c r="AE2886" s="74"/>
      <c r="AF2886" s="74"/>
      <c r="AG2886" s="74"/>
      <c r="AH2886" s="74"/>
    </row>
    <row r="2887" s="73" customFormat="1" spans="1:34">
      <c r="A2887" s="74"/>
      <c r="B2887" s="74"/>
      <c r="C2887" s="74"/>
      <c r="D2887" s="74"/>
      <c r="E2887" s="74"/>
      <c r="F2887" s="74"/>
      <c r="G2887" s="74"/>
      <c r="H2887" s="74"/>
      <c r="I2887" s="74"/>
      <c r="J2887" s="74"/>
      <c r="K2887" s="74"/>
      <c r="L2887" s="74"/>
      <c r="M2887" s="74"/>
      <c r="N2887" s="74"/>
      <c r="O2887" s="75"/>
      <c r="P2887" s="74"/>
      <c r="Q2887" s="75"/>
      <c r="R2887" s="74"/>
      <c r="S2887" s="74"/>
      <c r="T2887" s="74"/>
      <c r="U2887" s="75"/>
      <c r="V2887" s="74"/>
      <c r="W2887" s="75"/>
      <c r="X2887" s="74"/>
      <c r="Y2887" s="74"/>
      <c r="Z2887" s="74"/>
      <c r="AA2887" s="74"/>
      <c r="AB2887" s="74"/>
      <c r="AC2887" s="74"/>
      <c r="AD2887" s="74"/>
      <c r="AE2887" s="74"/>
      <c r="AF2887" s="74"/>
      <c r="AG2887" s="74"/>
      <c r="AH2887" s="74"/>
    </row>
    <row r="2888" s="73" customFormat="1" spans="1:34">
      <c r="A2888" s="74"/>
      <c r="B2888" s="74"/>
      <c r="C2888" s="74"/>
      <c r="D2888" s="74"/>
      <c r="E2888" s="74"/>
      <c r="F2888" s="74"/>
      <c r="G2888" s="74"/>
      <c r="H2888" s="74"/>
      <c r="I2888" s="74"/>
      <c r="J2888" s="74"/>
      <c r="K2888" s="74"/>
      <c r="L2888" s="74"/>
      <c r="M2888" s="74"/>
      <c r="N2888" s="74"/>
      <c r="O2888" s="75"/>
      <c r="P2888" s="74"/>
      <c r="Q2888" s="75"/>
      <c r="R2888" s="74"/>
      <c r="S2888" s="74"/>
      <c r="T2888" s="74"/>
      <c r="U2888" s="75"/>
      <c r="V2888" s="74"/>
      <c r="W2888" s="75"/>
      <c r="X2888" s="74"/>
      <c r="Y2888" s="74"/>
      <c r="Z2888" s="74"/>
      <c r="AA2888" s="74"/>
      <c r="AB2888" s="74"/>
      <c r="AC2888" s="74"/>
      <c r="AD2888" s="74"/>
      <c r="AE2888" s="74"/>
      <c r="AF2888" s="74"/>
      <c r="AG2888" s="74"/>
      <c r="AH2888" s="74"/>
    </row>
    <row r="2889" s="73" customFormat="1" spans="1:34">
      <c r="A2889" s="74"/>
      <c r="B2889" s="74"/>
      <c r="C2889" s="74"/>
      <c r="D2889" s="74"/>
      <c r="E2889" s="74"/>
      <c r="F2889" s="74"/>
      <c r="G2889" s="74"/>
      <c r="H2889" s="74"/>
      <c r="I2889" s="74"/>
      <c r="J2889" s="74"/>
      <c r="K2889" s="74"/>
      <c r="L2889" s="74"/>
      <c r="M2889" s="74"/>
      <c r="N2889" s="74"/>
      <c r="O2889" s="75"/>
      <c r="P2889" s="74"/>
      <c r="Q2889" s="75"/>
      <c r="R2889" s="74"/>
      <c r="S2889" s="74"/>
      <c r="T2889" s="74"/>
      <c r="U2889" s="75"/>
      <c r="V2889" s="74"/>
      <c r="W2889" s="75"/>
      <c r="X2889" s="74"/>
      <c r="Y2889" s="74"/>
      <c r="Z2889" s="74"/>
      <c r="AA2889" s="74"/>
      <c r="AB2889" s="74"/>
      <c r="AC2889" s="74"/>
      <c r="AD2889" s="74"/>
      <c r="AE2889" s="74"/>
      <c r="AF2889" s="74"/>
      <c r="AG2889" s="74"/>
      <c r="AH2889" s="74"/>
    </row>
    <row r="2890" s="73" customFormat="1" spans="1:34">
      <c r="A2890" s="74"/>
      <c r="B2890" s="74"/>
      <c r="C2890" s="74"/>
      <c r="D2890" s="74"/>
      <c r="E2890" s="74"/>
      <c r="F2890" s="74"/>
      <c r="G2890" s="74"/>
      <c r="H2890" s="74"/>
      <c r="I2890" s="74"/>
      <c r="J2890" s="74"/>
      <c r="K2890" s="74"/>
      <c r="L2890" s="74"/>
      <c r="M2890" s="74"/>
      <c r="N2890" s="74"/>
      <c r="O2890" s="75"/>
      <c r="P2890" s="74"/>
      <c r="Q2890" s="75"/>
      <c r="R2890" s="74"/>
      <c r="S2890" s="74"/>
      <c r="T2890" s="74"/>
      <c r="U2890" s="75"/>
      <c r="V2890" s="74"/>
      <c r="W2890" s="75"/>
      <c r="X2890" s="74"/>
      <c r="Y2890" s="74"/>
      <c r="Z2890" s="74"/>
      <c r="AA2890" s="74"/>
      <c r="AB2890" s="74"/>
      <c r="AC2890" s="74"/>
      <c r="AD2890" s="74"/>
      <c r="AE2890" s="74"/>
      <c r="AF2890" s="74"/>
      <c r="AG2890" s="74"/>
      <c r="AH2890" s="74"/>
    </row>
    <row r="2891" s="73" customFormat="1" spans="1:34">
      <c r="A2891" s="74"/>
      <c r="B2891" s="74"/>
      <c r="C2891" s="74"/>
      <c r="D2891" s="74"/>
      <c r="E2891" s="74"/>
      <c r="F2891" s="74"/>
      <c r="G2891" s="74"/>
      <c r="H2891" s="74"/>
      <c r="I2891" s="74"/>
      <c r="J2891" s="74"/>
      <c r="K2891" s="74"/>
      <c r="L2891" s="74"/>
      <c r="M2891" s="74"/>
      <c r="N2891" s="74"/>
      <c r="O2891" s="75"/>
      <c r="P2891" s="74"/>
      <c r="Q2891" s="75"/>
      <c r="R2891" s="74"/>
      <c r="S2891" s="74"/>
      <c r="T2891" s="74"/>
      <c r="U2891" s="75"/>
      <c r="V2891" s="74"/>
      <c r="W2891" s="75"/>
      <c r="X2891" s="74"/>
      <c r="Y2891" s="74"/>
      <c r="Z2891" s="74"/>
      <c r="AA2891" s="74"/>
      <c r="AB2891" s="74"/>
      <c r="AC2891" s="74"/>
      <c r="AD2891" s="74"/>
      <c r="AE2891" s="74"/>
      <c r="AF2891" s="74"/>
      <c r="AG2891" s="74"/>
      <c r="AH2891" s="74"/>
    </row>
    <row r="2892" s="73" customFormat="1" spans="1:34">
      <c r="A2892" s="74"/>
      <c r="B2892" s="74"/>
      <c r="C2892" s="74"/>
      <c r="D2892" s="74"/>
      <c r="E2892" s="74"/>
      <c r="F2892" s="74"/>
      <c r="G2892" s="74"/>
      <c r="H2892" s="74"/>
      <c r="I2892" s="74"/>
      <c r="J2892" s="74"/>
      <c r="K2892" s="74"/>
      <c r="L2892" s="74"/>
      <c r="M2892" s="74"/>
      <c r="N2892" s="74"/>
      <c r="O2892" s="75"/>
      <c r="P2892" s="74"/>
      <c r="Q2892" s="75"/>
      <c r="R2892" s="74"/>
      <c r="S2892" s="74"/>
      <c r="T2892" s="74"/>
      <c r="U2892" s="75"/>
      <c r="V2892" s="74"/>
      <c r="W2892" s="75"/>
      <c r="X2892" s="74"/>
      <c r="Y2892" s="74"/>
      <c r="Z2892" s="74"/>
      <c r="AA2892" s="74"/>
      <c r="AB2892" s="74"/>
      <c r="AC2892" s="74"/>
      <c r="AD2892" s="74"/>
      <c r="AE2892" s="74"/>
      <c r="AF2892" s="74"/>
      <c r="AG2892" s="74"/>
      <c r="AH2892" s="74"/>
    </row>
    <row r="2893" s="73" customFormat="1" spans="1:34">
      <c r="A2893" s="74"/>
      <c r="B2893" s="74"/>
      <c r="C2893" s="74"/>
      <c r="D2893" s="74"/>
      <c r="E2893" s="74"/>
      <c r="F2893" s="74"/>
      <c r="G2893" s="74"/>
      <c r="H2893" s="74"/>
      <c r="I2893" s="74"/>
      <c r="J2893" s="74"/>
      <c r="K2893" s="74"/>
      <c r="L2893" s="74"/>
      <c r="M2893" s="74"/>
      <c r="N2893" s="74"/>
      <c r="O2893" s="75"/>
      <c r="P2893" s="74"/>
      <c r="Q2893" s="75"/>
      <c r="R2893" s="74"/>
      <c r="S2893" s="74"/>
      <c r="T2893" s="74"/>
      <c r="U2893" s="75"/>
      <c r="V2893" s="74"/>
      <c r="W2893" s="75"/>
      <c r="X2893" s="74"/>
      <c r="Y2893" s="74"/>
      <c r="Z2893" s="74"/>
      <c r="AA2893" s="74"/>
      <c r="AB2893" s="74"/>
      <c r="AC2893" s="74"/>
      <c r="AD2893" s="74"/>
      <c r="AE2893" s="74"/>
      <c r="AF2893" s="74"/>
      <c r="AG2893" s="74"/>
      <c r="AH2893" s="74"/>
    </row>
    <row r="2894" s="73" customFormat="1" spans="1:34">
      <c r="A2894" s="74"/>
      <c r="B2894" s="74"/>
      <c r="C2894" s="74"/>
      <c r="D2894" s="74"/>
      <c r="E2894" s="74"/>
      <c r="F2894" s="74"/>
      <c r="G2894" s="74"/>
      <c r="H2894" s="74"/>
      <c r="I2894" s="74"/>
      <c r="J2894" s="74"/>
      <c r="K2894" s="74"/>
      <c r="L2894" s="74"/>
      <c r="M2894" s="74"/>
      <c r="N2894" s="74"/>
      <c r="O2894" s="75"/>
      <c r="P2894" s="74"/>
      <c r="Q2894" s="75"/>
      <c r="R2894" s="74"/>
      <c r="S2894" s="74"/>
      <c r="T2894" s="74"/>
      <c r="U2894" s="75"/>
      <c r="V2894" s="74"/>
      <c r="W2894" s="75"/>
      <c r="X2894" s="74"/>
      <c r="Y2894" s="74"/>
      <c r="Z2894" s="74"/>
      <c r="AA2894" s="74"/>
      <c r="AB2894" s="74"/>
      <c r="AC2894" s="74"/>
      <c r="AD2894" s="74"/>
      <c r="AE2894" s="74"/>
      <c r="AF2894" s="74"/>
      <c r="AG2894" s="74"/>
      <c r="AH2894" s="74"/>
    </row>
    <row r="2895" s="73" customFormat="1" spans="1:34">
      <c r="A2895" s="74"/>
      <c r="B2895" s="74"/>
      <c r="C2895" s="74"/>
      <c r="D2895" s="74"/>
      <c r="E2895" s="74"/>
      <c r="F2895" s="74"/>
      <c r="G2895" s="74"/>
      <c r="H2895" s="74"/>
      <c r="I2895" s="74"/>
      <c r="J2895" s="74"/>
      <c r="K2895" s="74"/>
      <c r="L2895" s="74"/>
      <c r="M2895" s="74"/>
      <c r="N2895" s="74"/>
      <c r="O2895" s="75"/>
      <c r="P2895" s="74"/>
      <c r="Q2895" s="75"/>
      <c r="R2895" s="74"/>
      <c r="S2895" s="74"/>
      <c r="T2895" s="74"/>
      <c r="U2895" s="75"/>
      <c r="V2895" s="74"/>
      <c r="W2895" s="75"/>
      <c r="X2895" s="74"/>
      <c r="Y2895" s="74"/>
      <c r="Z2895" s="74"/>
      <c r="AA2895" s="74"/>
      <c r="AB2895" s="74"/>
      <c r="AC2895" s="74"/>
      <c r="AD2895" s="74"/>
      <c r="AE2895" s="74"/>
      <c r="AF2895" s="74"/>
      <c r="AG2895" s="74"/>
      <c r="AH2895" s="74"/>
    </row>
    <row r="2896" s="73" customFormat="1" spans="1:34">
      <c r="A2896" s="74"/>
      <c r="B2896" s="74"/>
      <c r="C2896" s="74"/>
      <c r="D2896" s="74"/>
      <c r="E2896" s="74"/>
      <c r="F2896" s="74"/>
      <c r="G2896" s="74"/>
      <c r="H2896" s="74"/>
      <c r="I2896" s="74"/>
      <c r="J2896" s="74"/>
      <c r="K2896" s="74"/>
      <c r="L2896" s="74"/>
      <c r="M2896" s="74"/>
      <c r="N2896" s="74"/>
      <c r="O2896" s="75"/>
      <c r="P2896" s="74"/>
      <c r="Q2896" s="75"/>
      <c r="R2896" s="74"/>
      <c r="S2896" s="74"/>
      <c r="T2896" s="74"/>
      <c r="U2896" s="75"/>
      <c r="V2896" s="74"/>
      <c r="W2896" s="75"/>
      <c r="X2896" s="74"/>
      <c r="Y2896" s="74"/>
      <c r="Z2896" s="74"/>
      <c r="AA2896" s="74"/>
      <c r="AB2896" s="74"/>
      <c r="AC2896" s="74"/>
      <c r="AD2896" s="74"/>
      <c r="AE2896" s="74"/>
      <c r="AF2896" s="74"/>
      <c r="AG2896" s="74"/>
      <c r="AH2896" s="74"/>
    </row>
    <row r="2897" s="73" customFormat="1" spans="1:34">
      <c r="A2897" s="74"/>
      <c r="B2897" s="74"/>
      <c r="C2897" s="74"/>
      <c r="D2897" s="74"/>
      <c r="E2897" s="74"/>
      <c r="F2897" s="74"/>
      <c r="G2897" s="74"/>
      <c r="H2897" s="74"/>
      <c r="I2897" s="74"/>
      <c r="J2897" s="74"/>
      <c r="K2897" s="74"/>
      <c r="L2897" s="74"/>
      <c r="M2897" s="74"/>
      <c r="N2897" s="74"/>
      <c r="O2897" s="75"/>
      <c r="P2897" s="74"/>
      <c r="Q2897" s="75"/>
      <c r="R2897" s="74"/>
      <c r="S2897" s="74"/>
      <c r="T2897" s="74"/>
      <c r="U2897" s="75"/>
      <c r="V2897" s="74"/>
      <c r="W2897" s="75"/>
      <c r="X2897" s="74"/>
      <c r="Y2897" s="74"/>
      <c r="Z2897" s="74"/>
      <c r="AA2897" s="74"/>
      <c r="AB2897" s="74"/>
      <c r="AC2897" s="74"/>
      <c r="AD2897" s="74"/>
      <c r="AE2897" s="74"/>
      <c r="AF2897" s="74"/>
      <c r="AG2897" s="74"/>
      <c r="AH2897" s="74"/>
    </row>
    <row r="2898" s="73" customFormat="1" spans="1:34">
      <c r="A2898" s="74"/>
      <c r="B2898" s="74"/>
      <c r="C2898" s="74"/>
      <c r="D2898" s="74"/>
      <c r="E2898" s="74"/>
      <c r="F2898" s="74"/>
      <c r="G2898" s="74"/>
      <c r="H2898" s="74"/>
      <c r="I2898" s="74"/>
      <c r="J2898" s="74"/>
      <c r="K2898" s="74"/>
      <c r="L2898" s="74"/>
      <c r="M2898" s="74"/>
      <c r="N2898" s="74"/>
      <c r="O2898" s="75"/>
      <c r="P2898" s="74"/>
      <c r="Q2898" s="75"/>
      <c r="R2898" s="74"/>
      <c r="S2898" s="74"/>
      <c r="T2898" s="74"/>
      <c r="U2898" s="75"/>
      <c r="V2898" s="74"/>
      <c r="W2898" s="75"/>
      <c r="X2898" s="74"/>
      <c r="Y2898" s="74"/>
      <c r="Z2898" s="74"/>
      <c r="AA2898" s="74"/>
      <c r="AB2898" s="74"/>
      <c r="AC2898" s="74"/>
      <c r="AD2898" s="74"/>
      <c r="AE2898" s="74"/>
      <c r="AF2898" s="74"/>
      <c r="AG2898" s="74"/>
      <c r="AH2898" s="74"/>
    </row>
    <row r="2899" s="73" customFormat="1" spans="1:34">
      <c r="A2899" s="74"/>
      <c r="B2899" s="74"/>
      <c r="C2899" s="74"/>
      <c r="D2899" s="74"/>
      <c r="E2899" s="74"/>
      <c r="F2899" s="74"/>
      <c r="G2899" s="74"/>
      <c r="H2899" s="74"/>
      <c r="I2899" s="74"/>
      <c r="J2899" s="74"/>
      <c r="K2899" s="74"/>
      <c r="L2899" s="74"/>
      <c r="M2899" s="74"/>
      <c r="N2899" s="74"/>
      <c r="O2899" s="75"/>
      <c r="P2899" s="74"/>
      <c r="Q2899" s="75"/>
      <c r="R2899" s="74"/>
      <c r="S2899" s="74"/>
      <c r="T2899" s="74"/>
      <c r="U2899" s="75"/>
      <c r="V2899" s="74"/>
      <c r="W2899" s="75"/>
      <c r="X2899" s="74"/>
      <c r="Y2899" s="74"/>
      <c r="Z2899" s="74"/>
      <c r="AA2899" s="74"/>
      <c r="AB2899" s="74"/>
      <c r="AC2899" s="74"/>
      <c r="AD2899" s="74"/>
      <c r="AE2899" s="74"/>
      <c r="AF2899" s="74"/>
      <c r="AG2899" s="74"/>
      <c r="AH2899" s="74"/>
    </row>
    <row r="2900" s="73" customFormat="1" spans="1:34">
      <c r="A2900" s="74"/>
      <c r="B2900" s="74"/>
      <c r="C2900" s="74"/>
      <c r="D2900" s="74"/>
      <c r="E2900" s="74"/>
      <c r="F2900" s="74"/>
      <c r="G2900" s="74"/>
      <c r="H2900" s="74"/>
      <c r="I2900" s="74"/>
      <c r="J2900" s="74"/>
      <c r="K2900" s="74"/>
      <c r="L2900" s="74"/>
      <c r="M2900" s="74"/>
      <c r="N2900" s="74"/>
      <c r="O2900" s="75"/>
      <c r="P2900" s="74"/>
      <c r="Q2900" s="75"/>
      <c r="R2900" s="74"/>
      <c r="S2900" s="74"/>
      <c r="T2900" s="74"/>
      <c r="U2900" s="75"/>
      <c r="V2900" s="74"/>
      <c r="W2900" s="75"/>
      <c r="X2900" s="74"/>
      <c r="Y2900" s="74"/>
      <c r="Z2900" s="74"/>
      <c r="AA2900" s="74"/>
      <c r="AB2900" s="74"/>
      <c r="AC2900" s="74"/>
      <c r="AD2900" s="74"/>
      <c r="AE2900" s="74"/>
      <c r="AF2900" s="74"/>
      <c r="AG2900" s="74"/>
      <c r="AH2900" s="74"/>
    </row>
    <row r="2901" s="73" customFormat="1" spans="1:34">
      <c r="A2901" s="74"/>
      <c r="B2901" s="74"/>
      <c r="C2901" s="74"/>
      <c r="D2901" s="74"/>
      <c r="E2901" s="74"/>
      <c r="F2901" s="74"/>
      <c r="G2901" s="74"/>
      <c r="H2901" s="74"/>
      <c r="I2901" s="74"/>
      <c r="J2901" s="74"/>
      <c r="K2901" s="74"/>
      <c r="L2901" s="74"/>
      <c r="M2901" s="74"/>
      <c r="N2901" s="74"/>
      <c r="O2901" s="75"/>
      <c r="P2901" s="74"/>
      <c r="Q2901" s="75"/>
      <c r="R2901" s="74"/>
      <c r="S2901" s="74"/>
      <c r="T2901" s="74"/>
      <c r="U2901" s="75"/>
      <c r="V2901" s="74"/>
      <c r="W2901" s="75"/>
      <c r="X2901" s="74"/>
      <c r="Y2901" s="74"/>
      <c r="Z2901" s="74"/>
      <c r="AA2901" s="74"/>
      <c r="AB2901" s="74"/>
      <c r="AC2901" s="74"/>
      <c r="AD2901" s="74"/>
      <c r="AE2901" s="74"/>
      <c r="AF2901" s="74"/>
      <c r="AG2901" s="74"/>
      <c r="AH2901" s="74"/>
    </row>
    <row r="2902" s="73" customFormat="1" spans="1:34">
      <c r="A2902" s="74"/>
      <c r="B2902" s="74"/>
      <c r="C2902" s="74"/>
      <c r="D2902" s="74"/>
      <c r="E2902" s="74"/>
      <c r="F2902" s="74"/>
      <c r="G2902" s="74"/>
      <c r="H2902" s="74"/>
      <c r="I2902" s="74"/>
      <c r="J2902" s="74"/>
      <c r="K2902" s="74"/>
      <c r="L2902" s="74"/>
      <c r="M2902" s="74"/>
      <c r="N2902" s="74"/>
      <c r="O2902" s="75"/>
      <c r="P2902" s="74"/>
      <c r="Q2902" s="75"/>
      <c r="R2902" s="74"/>
      <c r="S2902" s="74"/>
      <c r="T2902" s="74"/>
      <c r="U2902" s="75"/>
      <c r="V2902" s="74"/>
      <c r="W2902" s="75"/>
      <c r="X2902" s="74"/>
      <c r="Y2902" s="74"/>
      <c r="Z2902" s="74"/>
      <c r="AA2902" s="74"/>
      <c r="AB2902" s="74"/>
      <c r="AC2902" s="74"/>
      <c r="AD2902" s="74"/>
      <c r="AE2902" s="74"/>
      <c r="AF2902" s="74"/>
      <c r="AG2902" s="74"/>
      <c r="AH2902" s="74"/>
    </row>
    <row r="2903" s="73" customFormat="1" spans="1:34">
      <c r="A2903" s="74"/>
      <c r="B2903" s="74"/>
      <c r="C2903" s="74"/>
      <c r="D2903" s="74"/>
      <c r="E2903" s="74"/>
      <c r="F2903" s="74"/>
      <c r="G2903" s="74"/>
      <c r="H2903" s="74"/>
      <c r="I2903" s="74"/>
      <c r="J2903" s="74"/>
      <c r="K2903" s="74"/>
      <c r="L2903" s="74"/>
      <c r="M2903" s="74"/>
      <c r="N2903" s="74"/>
      <c r="O2903" s="75"/>
      <c r="P2903" s="74"/>
      <c r="Q2903" s="75"/>
      <c r="R2903" s="74"/>
      <c r="S2903" s="74"/>
      <c r="T2903" s="74"/>
      <c r="U2903" s="75"/>
      <c r="V2903" s="74"/>
      <c r="W2903" s="75"/>
      <c r="X2903" s="74"/>
      <c r="Y2903" s="74"/>
      <c r="Z2903" s="74"/>
      <c r="AA2903" s="74"/>
      <c r="AB2903" s="74"/>
      <c r="AC2903" s="74"/>
      <c r="AD2903" s="74"/>
      <c r="AE2903" s="74"/>
      <c r="AF2903" s="74"/>
      <c r="AG2903" s="74"/>
      <c r="AH2903" s="74"/>
    </row>
    <row r="2904" s="73" customFormat="1" spans="1:34">
      <c r="A2904" s="74"/>
      <c r="B2904" s="74"/>
      <c r="C2904" s="74"/>
      <c r="D2904" s="74"/>
      <c r="E2904" s="74"/>
      <c r="F2904" s="74"/>
      <c r="G2904" s="74"/>
      <c r="H2904" s="74"/>
      <c r="I2904" s="74"/>
      <c r="J2904" s="74"/>
      <c r="K2904" s="74"/>
      <c r="L2904" s="74"/>
      <c r="M2904" s="74"/>
      <c r="N2904" s="74"/>
      <c r="O2904" s="75"/>
      <c r="P2904" s="74"/>
      <c r="Q2904" s="75"/>
      <c r="R2904" s="74"/>
      <c r="S2904" s="74"/>
      <c r="T2904" s="74"/>
      <c r="U2904" s="75"/>
      <c r="V2904" s="74"/>
      <c r="W2904" s="75"/>
      <c r="X2904" s="74"/>
      <c r="Y2904" s="74"/>
      <c r="Z2904" s="74"/>
      <c r="AA2904" s="74"/>
      <c r="AB2904" s="74"/>
      <c r="AC2904" s="74"/>
      <c r="AD2904" s="74"/>
      <c r="AE2904" s="74"/>
      <c r="AF2904" s="74"/>
      <c r="AG2904" s="74"/>
      <c r="AH2904" s="74"/>
    </row>
    <row r="2905" s="73" customFormat="1" spans="1:34">
      <c r="A2905" s="74"/>
      <c r="B2905" s="74"/>
      <c r="C2905" s="74"/>
      <c r="D2905" s="74"/>
      <c r="E2905" s="74"/>
      <c r="F2905" s="74"/>
      <c r="G2905" s="74"/>
      <c r="H2905" s="74"/>
      <c r="I2905" s="74"/>
      <c r="J2905" s="74"/>
      <c r="K2905" s="74"/>
      <c r="L2905" s="74"/>
      <c r="M2905" s="74"/>
      <c r="N2905" s="74"/>
      <c r="O2905" s="75"/>
      <c r="P2905" s="74"/>
      <c r="Q2905" s="75"/>
      <c r="R2905" s="74"/>
      <c r="S2905" s="74"/>
      <c r="T2905" s="74"/>
      <c r="U2905" s="75"/>
      <c r="V2905" s="74"/>
      <c r="W2905" s="75"/>
      <c r="X2905" s="74"/>
      <c r="Y2905" s="74"/>
      <c r="Z2905" s="74"/>
      <c r="AA2905" s="74"/>
      <c r="AB2905" s="74"/>
      <c r="AC2905" s="74"/>
      <c r="AD2905" s="74"/>
      <c r="AE2905" s="74"/>
      <c r="AF2905" s="74"/>
      <c r="AG2905" s="74"/>
      <c r="AH2905" s="74"/>
    </row>
    <row r="2906" s="73" customFormat="1" spans="1:34">
      <c r="A2906" s="74"/>
      <c r="B2906" s="74"/>
      <c r="C2906" s="74"/>
      <c r="D2906" s="74"/>
      <c r="E2906" s="74"/>
      <c r="F2906" s="74"/>
      <c r="G2906" s="74"/>
      <c r="H2906" s="74"/>
      <c r="I2906" s="74"/>
      <c r="J2906" s="74"/>
      <c r="K2906" s="74"/>
      <c r="L2906" s="74"/>
      <c r="M2906" s="74"/>
      <c r="N2906" s="74"/>
      <c r="O2906" s="75"/>
      <c r="P2906" s="74"/>
      <c r="Q2906" s="75"/>
      <c r="R2906" s="74"/>
      <c r="S2906" s="74"/>
      <c r="T2906" s="74"/>
      <c r="U2906" s="75"/>
      <c r="V2906" s="74"/>
      <c r="W2906" s="75"/>
      <c r="X2906" s="74"/>
      <c r="Y2906" s="74"/>
      <c r="Z2906" s="74"/>
      <c r="AA2906" s="74"/>
      <c r="AB2906" s="74"/>
      <c r="AC2906" s="74"/>
      <c r="AD2906" s="74"/>
      <c r="AE2906" s="74"/>
      <c r="AF2906" s="74"/>
      <c r="AG2906" s="74"/>
      <c r="AH2906" s="74"/>
    </row>
    <row r="2907" s="73" customFormat="1" spans="1:34">
      <c r="A2907" s="74"/>
      <c r="B2907" s="74"/>
      <c r="C2907" s="74"/>
      <c r="D2907" s="74"/>
      <c r="E2907" s="74"/>
      <c r="F2907" s="74"/>
      <c r="G2907" s="74"/>
      <c r="H2907" s="74"/>
      <c r="I2907" s="74"/>
      <c r="J2907" s="74"/>
      <c r="K2907" s="74"/>
      <c r="L2907" s="74"/>
      <c r="M2907" s="74"/>
      <c r="N2907" s="74"/>
      <c r="O2907" s="75"/>
      <c r="P2907" s="74"/>
      <c r="Q2907" s="75"/>
      <c r="R2907" s="74"/>
      <c r="S2907" s="74"/>
      <c r="T2907" s="74"/>
      <c r="U2907" s="75"/>
      <c r="V2907" s="74"/>
      <c r="W2907" s="75"/>
      <c r="X2907" s="74"/>
      <c r="Y2907" s="74"/>
      <c r="Z2907" s="74"/>
      <c r="AA2907" s="74"/>
      <c r="AB2907" s="74"/>
      <c r="AC2907" s="74"/>
      <c r="AD2907" s="74"/>
      <c r="AE2907" s="74"/>
      <c r="AF2907" s="74"/>
      <c r="AG2907" s="74"/>
      <c r="AH2907" s="74"/>
    </row>
    <row r="2908" s="73" customFormat="1" spans="1:34">
      <c r="A2908" s="74"/>
      <c r="B2908" s="74"/>
      <c r="C2908" s="74"/>
      <c r="D2908" s="74"/>
      <c r="E2908" s="74"/>
      <c r="F2908" s="74"/>
      <c r="G2908" s="74"/>
      <c r="H2908" s="74"/>
      <c r="I2908" s="74"/>
      <c r="J2908" s="74"/>
      <c r="K2908" s="74"/>
      <c r="L2908" s="74"/>
      <c r="M2908" s="74"/>
      <c r="N2908" s="74"/>
      <c r="O2908" s="75"/>
      <c r="P2908" s="74"/>
      <c r="Q2908" s="75"/>
      <c r="R2908" s="74"/>
      <c r="S2908" s="74"/>
      <c r="T2908" s="74"/>
      <c r="U2908" s="75"/>
      <c r="V2908" s="74"/>
      <c r="W2908" s="75"/>
      <c r="X2908" s="74"/>
      <c r="Y2908" s="74"/>
      <c r="Z2908" s="74"/>
      <c r="AA2908" s="74"/>
      <c r="AB2908" s="74"/>
      <c r="AC2908" s="74"/>
      <c r="AD2908" s="74"/>
      <c r="AE2908" s="74"/>
      <c r="AF2908" s="74"/>
      <c r="AG2908" s="74"/>
      <c r="AH2908" s="74"/>
    </row>
    <row r="2909" s="73" customFormat="1" spans="1:34">
      <c r="A2909" s="74"/>
      <c r="B2909" s="74"/>
      <c r="C2909" s="74"/>
      <c r="D2909" s="74"/>
      <c r="E2909" s="74"/>
      <c r="F2909" s="74"/>
      <c r="G2909" s="74"/>
      <c r="H2909" s="74"/>
      <c r="I2909" s="74"/>
      <c r="J2909" s="74"/>
      <c r="K2909" s="74"/>
      <c r="L2909" s="74"/>
      <c r="M2909" s="74"/>
      <c r="N2909" s="74"/>
      <c r="O2909" s="75"/>
      <c r="P2909" s="74"/>
      <c r="Q2909" s="75"/>
      <c r="R2909" s="74"/>
      <c r="S2909" s="74"/>
      <c r="T2909" s="74"/>
      <c r="U2909" s="75"/>
      <c r="V2909" s="74"/>
      <c r="W2909" s="75"/>
      <c r="X2909" s="74"/>
      <c r="Y2909" s="74"/>
      <c r="Z2909" s="74"/>
      <c r="AA2909" s="74"/>
      <c r="AB2909" s="74"/>
      <c r="AC2909" s="74"/>
      <c r="AD2909" s="74"/>
      <c r="AE2909" s="74"/>
      <c r="AF2909" s="74"/>
      <c r="AG2909" s="74"/>
      <c r="AH2909" s="74"/>
    </row>
    <row r="2910" s="73" customFormat="1" spans="1:34">
      <c r="A2910" s="74"/>
      <c r="B2910" s="74"/>
      <c r="C2910" s="74"/>
      <c r="D2910" s="74"/>
      <c r="E2910" s="74"/>
      <c r="F2910" s="74"/>
      <c r="G2910" s="74"/>
      <c r="H2910" s="74"/>
      <c r="I2910" s="74"/>
      <c r="J2910" s="74"/>
      <c r="K2910" s="74"/>
      <c r="L2910" s="74"/>
      <c r="M2910" s="74"/>
      <c r="N2910" s="74"/>
      <c r="O2910" s="75"/>
      <c r="P2910" s="74"/>
      <c r="Q2910" s="75"/>
      <c r="R2910" s="74"/>
      <c r="S2910" s="74"/>
      <c r="T2910" s="74"/>
      <c r="U2910" s="75"/>
      <c r="V2910" s="74"/>
      <c r="W2910" s="75"/>
      <c r="X2910" s="74"/>
      <c r="Y2910" s="74"/>
      <c r="Z2910" s="74"/>
      <c r="AA2910" s="74"/>
      <c r="AB2910" s="74"/>
      <c r="AC2910" s="74"/>
      <c r="AD2910" s="74"/>
      <c r="AE2910" s="74"/>
      <c r="AF2910" s="74"/>
      <c r="AG2910" s="74"/>
      <c r="AH2910" s="74"/>
    </row>
    <row r="2911" s="73" customFormat="1" spans="1:34">
      <c r="A2911" s="74"/>
      <c r="B2911" s="74"/>
      <c r="C2911" s="74"/>
      <c r="D2911" s="74"/>
      <c r="E2911" s="74"/>
      <c r="F2911" s="74"/>
      <c r="G2911" s="74"/>
      <c r="H2911" s="74"/>
      <c r="I2911" s="74"/>
      <c r="J2911" s="74"/>
      <c r="K2911" s="74"/>
      <c r="L2911" s="74"/>
      <c r="M2911" s="74"/>
      <c r="N2911" s="74"/>
      <c r="O2911" s="75"/>
      <c r="P2911" s="74"/>
      <c r="Q2911" s="75"/>
      <c r="R2911" s="74"/>
      <c r="S2911" s="74"/>
      <c r="T2911" s="74"/>
      <c r="U2911" s="75"/>
      <c r="V2911" s="74"/>
      <c r="W2911" s="75"/>
      <c r="X2911" s="74"/>
      <c r="Y2911" s="74"/>
      <c r="Z2911" s="74"/>
      <c r="AA2911" s="74"/>
      <c r="AB2911" s="74"/>
      <c r="AC2911" s="74"/>
      <c r="AD2911" s="74"/>
      <c r="AE2911" s="74"/>
      <c r="AF2911" s="74"/>
      <c r="AG2911" s="74"/>
      <c r="AH2911" s="74"/>
    </row>
    <row r="2912" s="73" customFormat="1" spans="1:34">
      <c r="A2912" s="74"/>
      <c r="B2912" s="74"/>
      <c r="C2912" s="74"/>
      <c r="D2912" s="74"/>
      <c r="E2912" s="74"/>
      <c r="F2912" s="74"/>
      <c r="G2912" s="74"/>
      <c r="H2912" s="74"/>
      <c r="I2912" s="74"/>
      <c r="J2912" s="74"/>
      <c r="K2912" s="74"/>
      <c r="L2912" s="74"/>
      <c r="M2912" s="74"/>
      <c r="N2912" s="74"/>
      <c r="O2912" s="75"/>
      <c r="P2912" s="74"/>
      <c r="Q2912" s="75"/>
      <c r="R2912" s="74"/>
      <c r="S2912" s="74"/>
      <c r="T2912" s="74"/>
      <c r="U2912" s="75"/>
      <c r="V2912" s="74"/>
      <c r="W2912" s="75"/>
      <c r="X2912" s="74"/>
      <c r="Y2912" s="74"/>
      <c r="Z2912" s="74"/>
      <c r="AA2912" s="74"/>
      <c r="AB2912" s="74"/>
      <c r="AC2912" s="74"/>
      <c r="AD2912" s="74"/>
      <c r="AE2912" s="74"/>
      <c r="AF2912" s="74"/>
      <c r="AG2912" s="74"/>
      <c r="AH2912" s="74"/>
    </row>
    <row r="2913" s="73" customFormat="1" spans="1:34">
      <c r="A2913" s="74"/>
      <c r="B2913" s="74"/>
      <c r="C2913" s="74"/>
      <c r="D2913" s="74"/>
      <c r="E2913" s="74"/>
      <c r="F2913" s="74"/>
      <c r="G2913" s="74"/>
      <c r="H2913" s="74"/>
      <c r="I2913" s="74"/>
      <c r="J2913" s="74"/>
      <c r="K2913" s="74"/>
      <c r="L2913" s="74"/>
      <c r="M2913" s="74"/>
      <c r="N2913" s="74"/>
      <c r="O2913" s="75"/>
      <c r="P2913" s="74"/>
      <c r="Q2913" s="75"/>
      <c r="R2913" s="74"/>
      <c r="S2913" s="74"/>
      <c r="T2913" s="74"/>
      <c r="U2913" s="75"/>
      <c r="V2913" s="74"/>
      <c r="W2913" s="75"/>
      <c r="X2913" s="74"/>
      <c r="Y2913" s="74"/>
      <c r="Z2913" s="74"/>
      <c r="AA2913" s="74"/>
      <c r="AB2913" s="74"/>
      <c r="AC2913" s="74"/>
      <c r="AD2913" s="74"/>
      <c r="AE2913" s="74"/>
      <c r="AF2913" s="74"/>
      <c r="AG2913" s="74"/>
      <c r="AH2913" s="74"/>
    </row>
    <row r="2914" s="73" customFormat="1" spans="1:34">
      <c r="A2914" s="74"/>
      <c r="B2914" s="74"/>
      <c r="C2914" s="74"/>
      <c r="D2914" s="74"/>
      <c r="E2914" s="74"/>
      <c r="F2914" s="74"/>
      <c r="G2914" s="74"/>
      <c r="H2914" s="74"/>
      <c r="I2914" s="74"/>
      <c r="J2914" s="74"/>
      <c r="K2914" s="74"/>
      <c r="L2914" s="74"/>
      <c r="M2914" s="74"/>
      <c r="N2914" s="74"/>
      <c r="O2914" s="75"/>
      <c r="P2914" s="74"/>
      <c r="Q2914" s="75"/>
      <c r="R2914" s="74"/>
      <c r="S2914" s="74"/>
      <c r="T2914" s="74"/>
      <c r="U2914" s="75"/>
      <c r="V2914" s="74"/>
      <c r="W2914" s="75"/>
      <c r="X2914" s="74"/>
      <c r="Y2914" s="74"/>
      <c r="Z2914" s="74"/>
      <c r="AA2914" s="74"/>
      <c r="AB2914" s="74"/>
      <c r="AC2914" s="74"/>
      <c r="AD2914" s="74"/>
      <c r="AE2914" s="74"/>
      <c r="AF2914" s="74"/>
      <c r="AG2914" s="74"/>
      <c r="AH2914" s="74"/>
    </row>
    <row r="2915" s="73" customFormat="1" spans="1:34">
      <c r="A2915" s="74"/>
      <c r="B2915" s="74"/>
      <c r="C2915" s="74"/>
      <c r="D2915" s="74"/>
      <c r="E2915" s="74"/>
      <c r="F2915" s="74"/>
      <c r="G2915" s="74"/>
      <c r="H2915" s="74"/>
      <c r="I2915" s="74"/>
      <c r="J2915" s="74"/>
      <c r="K2915" s="74"/>
      <c r="L2915" s="74"/>
      <c r="M2915" s="74"/>
      <c r="N2915" s="74"/>
      <c r="O2915" s="75"/>
      <c r="P2915" s="74"/>
      <c r="Q2915" s="75"/>
      <c r="R2915" s="74"/>
      <c r="S2915" s="74"/>
      <c r="T2915" s="74"/>
      <c r="U2915" s="75"/>
      <c r="V2915" s="74"/>
      <c r="W2915" s="75"/>
      <c r="X2915" s="74"/>
      <c r="Y2915" s="74"/>
      <c r="Z2915" s="74"/>
      <c r="AA2915" s="74"/>
      <c r="AB2915" s="74"/>
      <c r="AC2915" s="74"/>
      <c r="AD2915" s="74"/>
      <c r="AE2915" s="74"/>
      <c r="AF2915" s="74"/>
      <c r="AG2915" s="74"/>
      <c r="AH2915" s="74"/>
    </row>
    <row r="2916" s="73" customFormat="1" spans="1:34">
      <c r="A2916" s="74"/>
      <c r="B2916" s="74"/>
      <c r="C2916" s="74"/>
      <c r="D2916" s="74"/>
      <c r="E2916" s="74"/>
      <c r="F2916" s="74"/>
      <c r="G2916" s="74"/>
      <c r="H2916" s="74"/>
      <c r="I2916" s="74"/>
      <c r="J2916" s="74"/>
      <c r="K2916" s="74"/>
      <c r="L2916" s="74"/>
      <c r="M2916" s="74"/>
      <c r="N2916" s="74"/>
      <c r="O2916" s="75"/>
      <c r="P2916" s="74"/>
      <c r="Q2916" s="75"/>
      <c r="R2916" s="74"/>
      <c r="S2916" s="74"/>
      <c r="T2916" s="74"/>
      <c r="U2916" s="75"/>
      <c r="V2916" s="74"/>
      <c r="W2916" s="75"/>
      <c r="X2916" s="74"/>
      <c r="Y2916" s="74"/>
      <c r="Z2916" s="74"/>
      <c r="AA2916" s="74"/>
      <c r="AB2916" s="74"/>
      <c r="AC2916" s="74"/>
      <c r="AD2916" s="74"/>
      <c r="AE2916" s="74"/>
      <c r="AF2916" s="74"/>
      <c r="AG2916" s="74"/>
      <c r="AH2916" s="74"/>
    </row>
    <row r="2917" s="73" customFormat="1" spans="1:34">
      <c r="A2917" s="74"/>
      <c r="B2917" s="74"/>
      <c r="C2917" s="74"/>
      <c r="D2917" s="74"/>
      <c r="E2917" s="74"/>
      <c r="F2917" s="74"/>
      <c r="G2917" s="74"/>
      <c r="H2917" s="74"/>
      <c r="I2917" s="74"/>
      <c r="J2917" s="74"/>
      <c r="K2917" s="74"/>
      <c r="L2917" s="74"/>
      <c r="M2917" s="74"/>
      <c r="N2917" s="74"/>
      <c r="O2917" s="75"/>
      <c r="P2917" s="74"/>
      <c r="Q2917" s="75"/>
      <c r="R2917" s="74"/>
      <c r="S2917" s="74"/>
      <c r="T2917" s="74"/>
      <c r="U2917" s="75"/>
      <c r="V2917" s="74"/>
      <c r="W2917" s="75"/>
      <c r="X2917" s="74"/>
      <c r="Y2917" s="74"/>
      <c r="Z2917" s="74"/>
      <c r="AA2917" s="74"/>
      <c r="AB2917" s="74"/>
      <c r="AC2917" s="74"/>
      <c r="AD2917" s="74"/>
      <c r="AE2917" s="74"/>
      <c r="AF2917" s="74"/>
      <c r="AG2917" s="74"/>
      <c r="AH2917" s="74"/>
    </row>
    <row r="2918" s="73" customFormat="1" spans="1:34">
      <c r="A2918" s="74"/>
      <c r="B2918" s="74"/>
      <c r="C2918" s="74"/>
      <c r="D2918" s="74"/>
      <c r="E2918" s="74"/>
      <c r="F2918" s="74"/>
      <c r="G2918" s="74"/>
      <c r="H2918" s="74"/>
      <c r="I2918" s="74"/>
      <c r="J2918" s="74"/>
      <c r="K2918" s="74"/>
      <c r="L2918" s="74"/>
      <c r="M2918" s="74"/>
      <c r="N2918" s="74"/>
      <c r="O2918" s="75"/>
      <c r="P2918" s="74"/>
      <c r="Q2918" s="75"/>
      <c r="R2918" s="74"/>
      <c r="S2918" s="74"/>
      <c r="T2918" s="74"/>
      <c r="U2918" s="75"/>
      <c r="V2918" s="74"/>
      <c r="W2918" s="75"/>
      <c r="X2918" s="74"/>
      <c r="Y2918" s="74"/>
      <c r="Z2918" s="74"/>
      <c r="AA2918" s="74"/>
      <c r="AB2918" s="74"/>
      <c r="AC2918" s="74"/>
      <c r="AD2918" s="74"/>
      <c r="AE2918" s="74"/>
      <c r="AF2918" s="74"/>
      <c r="AG2918" s="74"/>
      <c r="AH2918" s="74"/>
    </row>
    <row r="2919" s="73" customFormat="1" spans="1:34">
      <c r="A2919" s="74"/>
      <c r="B2919" s="74"/>
      <c r="C2919" s="74"/>
      <c r="D2919" s="74"/>
      <c r="E2919" s="74"/>
      <c r="F2919" s="74"/>
      <c r="G2919" s="74"/>
      <c r="H2919" s="74"/>
      <c r="I2919" s="74"/>
      <c r="J2919" s="74"/>
      <c r="K2919" s="74"/>
      <c r="L2919" s="74"/>
      <c r="M2919" s="74"/>
      <c r="N2919" s="74"/>
      <c r="O2919" s="75"/>
      <c r="P2919" s="74"/>
      <c r="Q2919" s="75"/>
      <c r="R2919" s="74"/>
      <c r="S2919" s="74"/>
      <c r="T2919" s="74"/>
      <c r="U2919" s="75"/>
      <c r="V2919" s="74"/>
      <c r="W2919" s="75"/>
      <c r="X2919" s="74"/>
      <c r="Y2919" s="74"/>
      <c r="Z2919" s="74"/>
      <c r="AA2919" s="74"/>
      <c r="AB2919" s="74"/>
      <c r="AC2919" s="74"/>
      <c r="AD2919" s="74"/>
      <c r="AE2919" s="74"/>
      <c r="AF2919" s="74"/>
      <c r="AG2919" s="74"/>
      <c r="AH2919" s="74"/>
    </row>
    <row r="2920" s="73" customFormat="1" spans="1:34">
      <c r="A2920" s="74"/>
      <c r="B2920" s="74"/>
      <c r="C2920" s="74"/>
      <c r="D2920" s="74"/>
      <c r="E2920" s="74"/>
      <c r="F2920" s="74"/>
      <c r="G2920" s="74"/>
      <c r="H2920" s="74"/>
      <c r="I2920" s="74"/>
      <c r="J2920" s="74"/>
      <c r="K2920" s="74"/>
      <c r="L2920" s="74"/>
      <c r="M2920" s="74"/>
      <c r="N2920" s="74"/>
      <c r="O2920" s="75"/>
      <c r="P2920" s="74"/>
      <c r="Q2920" s="75"/>
      <c r="R2920" s="74"/>
      <c r="S2920" s="74"/>
      <c r="T2920" s="74"/>
      <c r="U2920" s="75"/>
      <c r="V2920" s="74"/>
      <c r="W2920" s="75"/>
      <c r="X2920" s="74"/>
      <c r="Y2920" s="74"/>
      <c r="Z2920" s="74"/>
      <c r="AA2920" s="74"/>
      <c r="AB2920" s="74"/>
      <c r="AC2920" s="74"/>
      <c r="AD2920" s="74"/>
      <c r="AE2920" s="74"/>
      <c r="AF2920" s="74"/>
      <c r="AG2920" s="74"/>
      <c r="AH2920" s="74"/>
    </row>
    <row r="2922" s="73" customFormat="1" spans="1:34">
      <c r="A2922" s="74"/>
      <c r="B2922" s="74"/>
      <c r="C2922" s="74"/>
      <c r="D2922" s="74"/>
      <c r="E2922" s="74"/>
      <c r="F2922" s="74"/>
      <c r="G2922" s="74"/>
      <c r="H2922" s="74"/>
      <c r="I2922" s="74"/>
      <c r="J2922" s="74"/>
      <c r="K2922" s="74"/>
      <c r="L2922" s="74"/>
      <c r="M2922" s="74"/>
      <c r="N2922" s="74"/>
      <c r="O2922" s="75"/>
      <c r="P2922" s="74"/>
      <c r="Q2922" s="75"/>
      <c r="R2922" s="74"/>
      <c r="S2922" s="74"/>
      <c r="T2922" s="74"/>
      <c r="U2922" s="75"/>
      <c r="V2922" s="74"/>
      <c r="W2922" s="75"/>
      <c r="X2922" s="74"/>
      <c r="Y2922" s="74"/>
      <c r="Z2922" s="74"/>
      <c r="AA2922" s="74"/>
      <c r="AB2922" s="74"/>
      <c r="AC2922" s="74"/>
      <c r="AD2922" s="74"/>
      <c r="AE2922" s="74"/>
      <c r="AF2922" s="74"/>
      <c r="AG2922" s="74"/>
      <c r="AH2922" s="74"/>
    </row>
    <row r="2923" s="73" customFormat="1" spans="1:34">
      <c r="A2923" s="74"/>
      <c r="B2923" s="74"/>
      <c r="C2923" s="74"/>
      <c r="D2923" s="74"/>
      <c r="E2923" s="74"/>
      <c r="F2923" s="74"/>
      <c r="G2923" s="74"/>
      <c r="H2923" s="74"/>
      <c r="I2923" s="74"/>
      <c r="J2923" s="74"/>
      <c r="K2923" s="74"/>
      <c r="L2923" s="74"/>
      <c r="M2923" s="74"/>
      <c r="N2923" s="74"/>
      <c r="O2923" s="75"/>
      <c r="P2923" s="74"/>
      <c r="Q2923" s="75"/>
      <c r="R2923" s="74"/>
      <c r="S2923" s="74"/>
      <c r="T2923" s="74"/>
      <c r="U2923" s="75"/>
      <c r="V2923" s="74"/>
      <c r="W2923" s="75"/>
      <c r="X2923" s="74"/>
      <c r="Y2923" s="74"/>
      <c r="Z2923" s="74"/>
      <c r="AA2923" s="74"/>
      <c r="AB2923" s="74"/>
      <c r="AC2923" s="74"/>
      <c r="AD2923" s="74"/>
      <c r="AE2923" s="74"/>
      <c r="AF2923" s="74"/>
      <c r="AG2923" s="74"/>
      <c r="AH2923" s="74"/>
    </row>
    <row r="2924" s="73" customFormat="1" spans="1:34">
      <c r="A2924" s="74"/>
      <c r="B2924" s="74"/>
      <c r="C2924" s="74"/>
      <c r="D2924" s="74"/>
      <c r="E2924" s="74"/>
      <c r="F2924" s="74"/>
      <c r="G2924" s="74"/>
      <c r="H2924" s="74"/>
      <c r="I2924" s="74"/>
      <c r="J2924" s="74"/>
      <c r="K2924" s="74"/>
      <c r="L2924" s="74"/>
      <c r="M2924" s="74"/>
      <c r="N2924" s="74"/>
      <c r="O2924" s="75"/>
      <c r="P2924" s="74"/>
      <c r="Q2924" s="75"/>
      <c r="R2924" s="74"/>
      <c r="S2924" s="74"/>
      <c r="T2924" s="74"/>
      <c r="U2924" s="75"/>
      <c r="V2924" s="74"/>
      <c r="W2924" s="75"/>
      <c r="X2924" s="74"/>
      <c r="Y2924" s="74"/>
      <c r="Z2924" s="74"/>
      <c r="AA2924" s="74"/>
      <c r="AB2924" s="74"/>
      <c r="AC2924" s="74"/>
      <c r="AD2924" s="74"/>
      <c r="AE2924" s="74"/>
      <c r="AF2924" s="74"/>
      <c r="AG2924" s="74"/>
      <c r="AH2924" s="74"/>
    </row>
    <row r="2925" s="73" customFormat="1" spans="1:34">
      <c r="A2925" s="74"/>
      <c r="B2925" s="74"/>
      <c r="C2925" s="74"/>
      <c r="D2925" s="74"/>
      <c r="E2925" s="74"/>
      <c r="F2925" s="74"/>
      <c r="G2925" s="74"/>
      <c r="H2925" s="74"/>
      <c r="I2925" s="74"/>
      <c r="J2925" s="74"/>
      <c r="K2925" s="74"/>
      <c r="L2925" s="74"/>
      <c r="M2925" s="74"/>
      <c r="N2925" s="74"/>
      <c r="O2925" s="75"/>
      <c r="P2925" s="74"/>
      <c r="Q2925" s="75"/>
      <c r="R2925" s="74"/>
      <c r="S2925" s="74"/>
      <c r="T2925" s="74"/>
      <c r="U2925" s="75"/>
      <c r="V2925" s="74"/>
      <c r="W2925" s="75"/>
      <c r="X2925" s="74"/>
      <c r="Y2925" s="74"/>
      <c r="Z2925" s="74"/>
      <c r="AA2925" s="74"/>
      <c r="AB2925" s="74"/>
      <c r="AC2925" s="74"/>
      <c r="AD2925" s="74"/>
      <c r="AE2925" s="74"/>
      <c r="AF2925" s="74"/>
      <c r="AG2925" s="74"/>
      <c r="AH2925" s="74"/>
    </row>
    <row r="2926" s="73" customFormat="1" spans="1:34">
      <c r="A2926" s="74"/>
      <c r="B2926" s="74"/>
      <c r="C2926" s="74"/>
      <c r="D2926" s="74"/>
      <c r="E2926" s="74"/>
      <c r="F2926" s="74"/>
      <c r="G2926" s="74"/>
      <c r="H2926" s="74"/>
      <c r="I2926" s="74"/>
      <c r="J2926" s="74"/>
      <c r="K2926" s="74"/>
      <c r="L2926" s="74"/>
      <c r="M2926" s="74"/>
      <c r="N2926" s="74"/>
      <c r="O2926" s="75"/>
      <c r="P2926" s="74"/>
      <c r="Q2926" s="75"/>
      <c r="R2926" s="74"/>
      <c r="S2926" s="74"/>
      <c r="T2926" s="74"/>
      <c r="U2926" s="75"/>
      <c r="V2926" s="74"/>
      <c r="W2926" s="75"/>
      <c r="X2926" s="74"/>
      <c r="Y2926" s="74"/>
      <c r="Z2926" s="74"/>
      <c r="AA2926" s="74"/>
      <c r="AB2926" s="74"/>
      <c r="AC2926" s="74"/>
      <c r="AD2926" s="74"/>
      <c r="AE2926" s="74"/>
      <c r="AF2926" s="74"/>
      <c r="AG2926" s="74"/>
      <c r="AH2926" s="74"/>
    </row>
    <row r="2927" s="73" customFormat="1" spans="1:34">
      <c r="A2927" s="74"/>
      <c r="B2927" s="74"/>
      <c r="C2927" s="74"/>
      <c r="D2927" s="74"/>
      <c r="E2927" s="74"/>
      <c r="F2927" s="74"/>
      <c r="G2927" s="74"/>
      <c r="H2927" s="74"/>
      <c r="I2927" s="74"/>
      <c r="J2927" s="74"/>
      <c r="K2927" s="74"/>
      <c r="L2927" s="74"/>
      <c r="M2927" s="74"/>
      <c r="N2927" s="74"/>
      <c r="O2927" s="75"/>
      <c r="P2927" s="74"/>
      <c r="Q2927" s="75"/>
      <c r="R2927" s="74"/>
      <c r="S2927" s="74"/>
      <c r="T2927" s="74"/>
      <c r="U2927" s="75"/>
      <c r="V2927" s="74"/>
      <c r="W2927" s="75"/>
      <c r="X2927" s="74"/>
      <c r="Y2927" s="74"/>
      <c r="Z2927" s="74"/>
      <c r="AA2927" s="74"/>
      <c r="AB2927" s="74"/>
      <c r="AC2927" s="74"/>
      <c r="AD2927" s="74"/>
      <c r="AE2927" s="74"/>
      <c r="AF2927" s="74"/>
      <c r="AG2927" s="74"/>
      <c r="AH2927" s="74"/>
    </row>
    <row r="2928" s="73" customFormat="1" spans="1:34">
      <c r="A2928" s="74"/>
      <c r="B2928" s="74"/>
      <c r="C2928" s="74"/>
      <c r="D2928" s="74"/>
      <c r="E2928" s="74"/>
      <c r="F2928" s="74"/>
      <c r="G2928" s="74"/>
      <c r="H2928" s="74"/>
      <c r="I2928" s="74"/>
      <c r="J2928" s="74"/>
      <c r="K2928" s="74"/>
      <c r="L2928" s="74"/>
      <c r="M2928" s="74"/>
      <c r="N2928" s="74"/>
      <c r="O2928" s="75"/>
      <c r="P2928" s="74"/>
      <c r="Q2928" s="75"/>
      <c r="R2928" s="74"/>
      <c r="S2928" s="74"/>
      <c r="T2928" s="74"/>
      <c r="U2928" s="75"/>
      <c r="V2928" s="74"/>
      <c r="W2928" s="75"/>
      <c r="X2928" s="74"/>
      <c r="Y2928" s="74"/>
      <c r="Z2928" s="74"/>
      <c r="AA2928" s="74"/>
      <c r="AB2928" s="74"/>
      <c r="AC2928" s="74"/>
      <c r="AD2928" s="74"/>
      <c r="AE2928" s="74"/>
      <c r="AF2928" s="74"/>
      <c r="AG2928" s="74"/>
      <c r="AH2928" s="74"/>
    </row>
    <row r="2929" s="73" customFormat="1" spans="1:34">
      <c r="A2929" s="74"/>
      <c r="B2929" s="74"/>
      <c r="C2929" s="74"/>
      <c r="D2929" s="74"/>
      <c r="E2929" s="74"/>
      <c r="F2929" s="74"/>
      <c r="G2929" s="74"/>
      <c r="H2929" s="74"/>
      <c r="I2929" s="74"/>
      <c r="J2929" s="74"/>
      <c r="K2929" s="74"/>
      <c r="L2929" s="74"/>
      <c r="M2929" s="74"/>
      <c r="N2929" s="74"/>
      <c r="O2929" s="75"/>
      <c r="P2929" s="74"/>
      <c r="Q2929" s="75"/>
      <c r="R2929" s="74"/>
      <c r="S2929" s="74"/>
      <c r="T2929" s="74"/>
      <c r="U2929" s="75"/>
      <c r="V2929" s="74"/>
      <c r="W2929" s="75"/>
      <c r="X2929" s="74"/>
      <c r="Y2929" s="74"/>
      <c r="Z2929" s="74"/>
      <c r="AA2929" s="74"/>
      <c r="AB2929" s="74"/>
      <c r="AC2929" s="74"/>
      <c r="AD2929" s="74"/>
      <c r="AE2929" s="74"/>
      <c r="AF2929" s="74"/>
      <c r="AG2929" s="74"/>
      <c r="AH2929" s="74"/>
    </row>
    <row r="2930" s="73" customFormat="1" spans="1:34">
      <c r="A2930" s="74"/>
      <c r="B2930" s="74"/>
      <c r="C2930" s="74"/>
      <c r="D2930" s="74"/>
      <c r="E2930" s="74"/>
      <c r="F2930" s="74"/>
      <c r="G2930" s="74"/>
      <c r="H2930" s="74"/>
      <c r="I2930" s="74"/>
      <c r="J2930" s="74"/>
      <c r="K2930" s="74"/>
      <c r="L2930" s="74"/>
      <c r="M2930" s="74"/>
      <c r="N2930" s="74"/>
      <c r="O2930" s="75"/>
      <c r="P2930" s="74"/>
      <c r="Q2930" s="75"/>
      <c r="R2930" s="74"/>
      <c r="S2930" s="74"/>
      <c r="T2930" s="74"/>
      <c r="U2930" s="75"/>
      <c r="V2930" s="74"/>
      <c r="W2930" s="75"/>
      <c r="X2930" s="74"/>
      <c r="Y2930" s="74"/>
      <c r="Z2930" s="74"/>
      <c r="AA2930" s="74"/>
      <c r="AB2930" s="74"/>
      <c r="AC2930" s="74"/>
      <c r="AD2930" s="74"/>
      <c r="AE2930" s="74"/>
      <c r="AF2930" s="74"/>
      <c r="AG2930" s="74"/>
      <c r="AH2930" s="74"/>
    </row>
    <row r="2931" s="73" customFormat="1" spans="1:34">
      <c r="A2931" s="74"/>
      <c r="B2931" s="74"/>
      <c r="C2931" s="74"/>
      <c r="D2931" s="74"/>
      <c r="E2931" s="74"/>
      <c r="F2931" s="74"/>
      <c r="G2931" s="74"/>
      <c r="H2931" s="74"/>
      <c r="I2931" s="74"/>
      <c r="J2931" s="74"/>
      <c r="K2931" s="74"/>
      <c r="L2931" s="74"/>
      <c r="M2931" s="74"/>
      <c r="N2931" s="74"/>
      <c r="O2931" s="75"/>
      <c r="P2931" s="74"/>
      <c r="Q2931" s="75"/>
      <c r="R2931" s="74"/>
      <c r="S2931" s="74"/>
      <c r="T2931" s="74"/>
      <c r="U2931" s="75"/>
      <c r="V2931" s="74"/>
      <c r="W2931" s="75"/>
      <c r="X2931" s="74"/>
      <c r="Y2931" s="74"/>
      <c r="Z2931" s="74"/>
      <c r="AA2931" s="74"/>
      <c r="AB2931" s="74"/>
      <c r="AC2931" s="74"/>
      <c r="AD2931" s="74"/>
      <c r="AE2931" s="74"/>
      <c r="AF2931" s="74"/>
      <c r="AG2931" s="74"/>
      <c r="AH2931" s="74"/>
    </row>
    <row r="2932" s="73" customFormat="1" spans="1:34">
      <c r="A2932" s="74"/>
      <c r="B2932" s="74"/>
      <c r="C2932" s="74"/>
      <c r="D2932" s="74"/>
      <c r="E2932" s="74"/>
      <c r="F2932" s="74"/>
      <c r="G2932" s="74"/>
      <c r="H2932" s="74"/>
      <c r="I2932" s="74"/>
      <c r="J2932" s="74"/>
      <c r="K2932" s="74"/>
      <c r="L2932" s="74"/>
      <c r="M2932" s="74"/>
      <c r="N2932" s="74"/>
      <c r="O2932" s="75"/>
      <c r="P2932" s="74"/>
      <c r="Q2932" s="75"/>
      <c r="R2932" s="74"/>
      <c r="S2932" s="74"/>
      <c r="T2932" s="74"/>
      <c r="U2932" s="75"/>
      <c r="V2932" s="74"/>
      <c r="W2932" s="75"/>
      <c r="X2932" s="74"/>
      <c r="Y2932" s="74"/>
      <c r="Z2932" s="74"/>
      <c r="AA2932" s="74"/>
      <c r="AB2932" s="74"/>
      <c r="AC2932" s="74"/>
      <c r="AD2932" s="74"/>
      <c r="AE2932" s="74"/>
      <c r="AF2932" s="74"/>
      <c r="AG2932" s="74"/>
      <c r="AH2932" s="74"/>
    </row>
    <row r="2933" s="73" customFormat="1" spans="1:34">
      <c r="A2933" s="74"/>
      <c r="B2933" s="74"/>
      <c r="C2933" s="74"/>
      <c r="D2933" s="74"/>
      <c r="E2933" s="74"/>
      <c r="F2933" s="74"/>
      <c r="G2933" s="74"/>
      <c r="H2933" s="74"/>
      <c r="I2933" s="74"/>
      <c r="J2933" s="74"/>
      <c r="K2933" s="74"/>
      <c r="L2933" s="74"/>
      <c r="M2933" s="74"/>
      <c r="N2933" s="74"/>
      <c r="O2933" s="75"/>
      <c r="P2933" s="74"/>
      <c r="Q2933" s="75"/>
      <c r="R2933" s="74"/>
      <c r="S2933" s="74"/>
      <c r="T2933" s="74"/>
      <c r="U2933" s="75"/>
      <c r="V2933" s="74"/>
      <c r="W2933" s="75"/>
      <c r="X2933" s="74"/>
      <c r="Y2933" s="74"/>
      <c r="Z2933" s="74"/>
      <c r="AA2933" s="74"/>
      <c r="AB2933" s="74"/>
      <c r="AC2933" s="74"/>
      <c r="AD2933" s="74"/>
      <c r="AE2933" s="74"/>
      <c r="AF2933" s="74"/>
      <c r="AG2933" s="74"/>
      <c r="AH2933" s="74"/>
    </row>
    <row r="2934" s="73" customFormat="1" spans="1:34">
      <c r="A2934" s="74"/>
      <c r="B2934" s="74"/>
      <c r="C2934" s="74"/>
      <c r="D2934" s="74"/>
      <c r="E2934" s="74"/>
      <c r="F2934" s="74"/>
      <c r="G2934" s="74"/>
      <c r="H2934" s="74"/>
      <c r="I2934" s="74"/>
      <c r="J2934" s="74"/>
      <c r="K2934" s="74"/>
      <c r="L2934" s="74"/>
      <c r="M2934" s="74"/>
      <c r="N2934" s="74"/>
      <c r="O2934" s="75"/>
      <c r="P2934" s="74"/>
      <c r="Q2934" s="75"/>
      <c r="R2934" s="74"/>
      <c r="S2934" s="74"/>
      <c r="T2934" s="74"/>
      <c r="U2934" s="75"/>
      <c r="V2934" s="74"/>
      <c r="W2934" s="75"/>
      <c r="X2934" s="74"/>
      <c r="Y2934" s="74"/>
      <c r="Z2934" s="74"/>
      <c r="AA2934" s="74"/>
      <c r="AB2934" s="74"/>
      <c r="AC2934" s="74"/>
      <c r="AD2934" s="74"/>
      <c r="AE2934" s="74"/>
      <c r="AF2934" s="74"/>
      <c r="AG2934" s="74"/>
      <c r="AH2934" s="74"/>
    </row>
    <row r="2935" s="73" customFormat="1" spans="1:34">
      <c r="A2935" s="74"/>
      <c r="B2935" s="74"/>
      <c r="C2935" s="74"/>
      <c r="D2935" s="74"/>
      <c r="E2935" s="74"/>
      <c r="F2935" s="74"/>
      <c r="G2935" s="74"/>
      <c r="H2935" s="74"/>
      <c r="I2935" s="74"/>
      <c r="J2935" s="74"/>
      <c r="K2935" s="74"/>
      <c r="L2935" s="74"/>
      <c r="M2935" s="74"/>
      <c r="N2935" s="74"/>
      <c r="O2935" s="75"/>
      <c r="P2935" s="74"/>
      <c r="Q2935" s="75"/>
      <c r="R2935" s="74"/>
      <c r="S2935" s="74"/>
      <c r="T2935" s="74"/>
      <c r="U2935" s="75"/>
      <c r="V2935" s="74"/>
      <c r="W2935" s="75"/>
      <c r="X2935" s="74"/>
      <c r="Y2935" s="74"/>
      <c r="Z2935" s="74"/>
      <c r="AA2935" s="74"/>
      <c r="AB2935" s="74"/>
      <c r="AC2935" s="74"/>
      <c r="AD2935" s="74"/>
      <c r="AE2935" s="74"/>
      <c r="AF2935" s="74"/>
      <c r="AG2935" s="74"/>
      <c r="AH2935" s="74"/>
    </row>
    <row r="2936" s="73" customFormat="1" spans="1:34">
      <c r="A2936" s="74"/>
      <c r="B2936" s="74"/>
      <c r="C2936" s="74"/>
      <c r="D2936" s="74"/>
      <c r="E2936" s="74"/>
      <c r="F2936" s="74"/>
      <c r="G2936" s="74"/>
      <c r="H2936" s="74"/>
      <c r="I2936" s="74"/>
      <c r="J2936" s="74"/>
      <c r="K2936" s="74"/>
      <c r="L2936" s="74"/>
      <c r="M2936" s="74"/>
      <c r="N2936" s="74"/>
      <c r="O2936" s="75"/>
      <c r="P2936" s="74"/>
      <c r="Q2936" s="75"/>
      <c r="R2936" s="74"/>
      <c r="S2936" s="74"/>
      <c r="T2936" s="74"/>
      <c r="U2936" s="75"/>
      <c r="V2936" s="74"/>
      <c r="W2936" s="75"/>
      <c r="X2936" s="74"/>
      <c r="Y2936" s="74"/>
      <c r="Z2936" s="74"/>
      <c r="AA2936" s="74"/>
      <c r="AB2936" s="74"/>
      <c r="AC2936" s="74"/>
      <c r="AD2936" s="74"/>
      <c r="AE2936" s="74"/>
      <c r="AF2936" s="74"/>
      <c r="AG2936" s="74"/>
      <c r="AH2936" s="74"/>
    </row>
    <row r="2937" s="73" customFormat="1" spans="1:34">
      <c r="A2937" s="74"/>
      <c r="B2937" s="74"/>
      <c r="C2937" s="74"/>
      <c r="D2937" s="74"/>
      <c r="E2937" s="74"/>
      <c r="F2937" s="74"/>
      <c r="G2937" s="74"/>
      <c r="H2937" s="74"/>
      <c r="I2937" s="74"/>
      <c r="J2937" s="74"/>
      <c r="K2937" s="74"/>
      <c r="L2937" s="74"/>
      <c r="M2937" s="74"/>
      <c r="N2937" s="74"/>
      <c r="O2937" s="75"/>
      <c r="P2937" s="74"/>
      <c r="Q2937" s="75"/>
      <c r="R2937" s="74"/>
      <c r="S2937" s="74"/>
      <c r="T2937" s="74"/>
      <c r="U2937" s="75"/>
      <c r="V2937" s="74"/>
      <c r="W2937" s="75"/>
      <c r="X2937" s="74"/>
      <c r="Y2937" s="74"/>
      <c r="Z2937" s="74"/>
      <c r="AA2937" s="74"/>
      <c r="AB2937" s="74"/>
      <c r="AC2937" s="74"/>
      <c r="AD2937" s="74"/>
      <c r="AE2937" s="74"/>
      <c r="AF2937" s="74"/>
      <c r="AG2937" s="74"/>
      <c r="AH2937" s="74"/>
    </row>
    <row r="2938" s="73" customFormat="1" spans="1:34">
      <c r="A2938" s="74"/>
      <c r="B2938" s="74"/>
      <c r="C2938" s="74"/>
      <c r="D2938" s="74"/>
      <c r="E2938" s="74"/>
      <c r="F2938" s="74"/>
      <c r="G2938" s="74"/>
      <c r="H2938" s="74"/>
      <c r="I2938" s="74"/>
      <c r="J2938" s="74"/>
      <c r="K2938" s="74"/>
      <c r="L2938" s="74"/>
      <c r="M2938" s="74"/>
      <c r="N2938" s="74"/>
      <c r="O2938" s="75"/>
      <c r="P2938" s="74"/>
      <c r="Q2938" s="75"/>
      <c r="R2938" s="74"/>
      <c r="S2938" s="74"/>
      <c r="T2938" s="74"/>
      <c r="U2938" s="75"/>
      <c r="V2938" s="74"/>
      <c r="W2938" s="75"/>
      <c r="X2938" s="74"/>
      <c r="Y2938" s="74"/>
      <c r="Z2938" s="74"/>
      <c r="AA2938" s="74"/>
      <c r="AB2938" s="74"/>
      <c r="AC2938" s="74"/>
      <c r="AD2938" s="74"/>
      <c r="AE2938" s="74"/>
      <c r="AF2938" s="74"/>
      <c r="AG2938" s="74"/>
      <c r="AH2938" s="74"/>
    </row>
    <row r="2939" s="73" customFormat="1" spans="1:34">
      <c r="A2939" s="74"/>
      <c r="B2939" s="74"/>
      <c r="C2939" s="74"/>
      <c r="D2939" s="74"/>
      <c r="E2939" s="74"/>
      <c r="F2939" s="74"/>
      <c r="G2939" s="74"/>
      <c r="H2939" s="74"/>
      <c r="I2939" s="74"/>
      <c r="J2939" s="74"/>
      <c r="K2939" s="74"/>
      <c r="L2939" s="74"/>
      <c r="M2939" s="74"/>
      <c r="N2939" s="74"/>
      <c r="O2939" s="75"/>
      <c r="P2939" s="74"/>
      <c r="Q2939" s="75"/>
      <c r="R2939" s="74"/>
      <c r="S2939" s="74"/>
      <c r="T2939" s="74"/>
      <c r="U2939" s="75"/>
      <c r="V2939" s="74"/>
      <c r="W2939" s="75"/>
      <c r="X2939" s="74"/>
      <c r="Y2939" s="74"/>
      <c r="Z2939" s="74"/>
      <c r="AA2939" s="74"/>
      <c r="AB2939" s="74"/>
      <c r="AC2939" s="74"/>
      <c r="AD2939" s="74"/>
      <c r="AE2939" s="74"/>
      <c r="AF2939" s="74"/>
      <c r="AG2939" s="74"/>
      <c r="AH2939" s="74"/>
    </row>
    <row r="2940" s="73" customFormat="1" spans="1:34">
      <c r="A2940" s="74"/>
      <c r="B2940" s="74"/>
      <c r="C2940" s="74"/>
      <c r="D2940" s="74"/>
      <c r="E2940" s="74"/>
      <c r="F2940" s="74"/>
      <c r="G2940" s="74"/>
      <c r="H2940" s="74"/>
      <c r="I2940" s="74"/>
      <c r="J2940" s="74"/>
      <c r="K2940" s="74"/>
      <c r="L2940" s="74"/>
      <c r="M2940" s="74"/>
      <c r="N2940" s="74"/>
      <c r="O2940" s="75"/>
      <c r="P2940" s="74"/>
      <c r="Q2940" s="75"/>
      <c r="R2940" s="74"/>
      <c r="S2940" s="74"/>
      <c r="T2940" s="74"/>
      <c r="U2940" s="75"/>
      <c r="V2940" s="74"/>
      <c r="W2940" s="75"/>
      <c r="X2940" s="74"/>
      <c r="Y2940" s="74"/>
      <c r="Z2940" s="74"/>
      <c r="AA2940" s="74"/>
      <c r="AB2940" s="74"/>
      <c r="AC2940" s="74"/>
      <c r="AD2940" s="74"/>
      <c r="AE2940" s="74"/>
      <c r="AF2940" s="74"/>
      <c r="AG2940" s="74"/>
      <c r="AH2940" s="74"/>
    </row>
    <row r="2941" s="73" customFormat="1" spans="1:34">
      <c r="A2941" s="74"/>
      <c r="B2941" s="74"/>
      <c r="C2941" s="74"/>
      <c r="D2941" s="74"/>
      <c r="E2941" s="74"/>
      <c r="F2941" s="74"/>
      <c r="G2941" s="74"/>
      <c r="H2941" s="74"/>
      <c r="I2941" s="74"/>
      <c r="J2941" s="74"/>
      <c r="K2941" s="74"/>
      <c r="L2941" s="74"/>
      <c r="M2941" s="74"/>
      <c r="N2941" s="74"/>
      <c r="O2941" s="75"/>
      <c r="P2941" s="74"/>
      <c r="Q2941" s="75"/>
      <c r="R2941" s="74"/>
      <c r="S2941" s="74"/>
      <c r="T2941" s="74"/>
      <c r="U2941" s="75"/>
      <c r="V2941" s="74"/>
      <c r="W2941" s="75"/>
      <c r="X2941" s="74"/>
      <c r="Y2941" s="74"/>
      <c r="Z2941" s="74"/>
      <c r="AA2941" s="74"/>
      <c r="AB2941" s="74"/>
      <c r="AC2941" s="74"/>
      <c r="AD2941" s="74"/>
      <c r="AE2941" s="74"/>
      <c r="AF2941" s="74"/>
      <c r="AG2941" s="74"/>
      <c r="AH2941" s="74"/>
    </row>
    <row r="2942" s="73" customFormat="1" spans="1:34">
      <c r="A2942" s="74"/>
      <c r="B2942" s="74"/>
      <c r="C2942" s="74"/>
      <c r="D2942" s="74"/>
      <c r="E2942" s="74"/>
      <c r="F2942" s="74"/>
      <c r="G2942" s="74"/>
      <c r="H2942" s="74"/>
      <c r="I2942" s="74"/>
      <c r="J2942" s="74"/>
      <c r="K2942" s="74"/>
      <c r="L2942" s="74"/>
      <c r="M2942" s="74"/>
      <c r="N2942" s="74"/>
      <c r="O2942" s="75"/>
      <c r="P2942" s="74"/>
      <c r="Q2942" s="75"/>
      <c r="R2942" s="74"/>
      <c r="S2942" s="74"/>
      <c r="T2942" s="74"/>
      <c r="U2942" s="75"/>
      <c r="V2942" s="74"/>
      <c r="W2942" s="75"/>
      <c r="X2942" s="74"/>
      <c r="Y2942" s="74"/>
      <c r="Z2942" s="74"/>
      <c r="AA2942" s="74"/>
      <c r="AB2942" s="74"/>
      <c r="AC2942" s="74"/>
      <c r="AD2942" s="74"/>
      <c r="AE2942" s="74"/>
      <c r="AF2942" s="74"/>
      <c r="AG2942" s="74"/>
      <c r="AH2942" s="74"/>
    </row>
    <row r="2943" s="73" customFormat="1" spans="1:34">
      <c r="A2943" s="74"/>
      <c r="B2943" s="74"/>
      <c r="C2943" s="74"/>
      <c r="D2943" s="74"/>
      <c r="E2943" s="74"/>
      <c r="F2943" s="74"/>
      <c r="G2943" s="74"/>
      <c r="H2943" s="74"/>
      <c r="I2943" s="74"/>
      <c r="J2943" s="74"/>
      <c r="K2943" s="74"/>
      <c r="L2943" s="74"/>
      <c r="M2943" s="74"/>
      <c r="N2943" s="74"/>
      <c r="O2943" s="75"/>
      <c r="P2943" s="74"/>
      <c r="Q2943" s="75"/>
      <c r="R2943" s="74"/>
      <c r="S2943" s="74"/>
      <c r="T2943" s="74"/>
      <c r="U2943" s="75"/>
      <c r="V2943" s="74"/>
      <c r="W2943" s="75"/>
      <c r="X2943" s="74"/>
      <c r="Y2943" s="74"/>
      <c r="Z2943" s="74"/>
      <c r="AA2943" s="74"/>
      <c r="AB2943" s="74"/>
      <c r="AC2943" s="74"/>
      <c r="AD2943" s="74"/>
      <c r="AE2943" s="74"/>
      <c r="AF2943" s="74"/>
      <c r="AG2943" s="74"/>
      <c r="AH2943" s="74"/>
    </row>
    <row r="2944" s="73" customFormat="1" spans="1:34">
      <c r="A2944" s="74"/>
      <c r="B2944" s="74"/>
      <c r="C2944" s="74"/>
      <c r="D2944" s="74"/>
      <c r="E2944" s="74"/>
      <c r="F2944" s="74"/>
      <c r="G2944" s="74"/>
      <c r="H2944" s="74"/>
      <c r="I2944" s="74"/>
      <c r="J2944" s="74"/>
      <c r="K2944" s="74"/>
      <c r="L2944" s="74"/>
      <c r="M2944" s="74"/>
      <c r="N2944" s="74"/>
      <c r="O2944" s="75"/>
      <c r="P2944" s="74"/>
      <c r="Q2944" s="75"/>
      <c r="R2944" s="74"/>
      <c r="S2944" s="74"/>
      <c r="T2944" s="74"/>
      <c r="U2944" s="75"/>
      <c r="V2944" s="74"/>
      <c r="W2944" s="75"/>
      <c r="X2944" s="74"/>
      <c r="Y2944" s="74"/>
      <c r="Z2944" s="74"/>
      <c r="AA2944" s="74"/>
      <c r="AB2944" s="74"/>
      <c r="AC2944" s="74"/>
      <c r="AD2944" s="74"/>
      <c r="AE2944" s="74"/>
      <c r="AF2944" s="74"/>
      <c r="AG2944" s="74"/>
      <c r="AH2944" s="74"/>
    </row>
    <row r="2945" s="73" customFormat="1" spans="1:34">
      <c r="A2945" s="74"/>
      <c r="B2945" s="74"/>
      <c r="C2945" s="74"/>
      <c r="D2945" s="74"/>
      <c r="E2945" s="74"/>
      <c r="F2945" s="74"/>
      <c r="G2945" s="74"/>
      <c r="H2945" s="74"/>
      <c r="I2945" s="74"/>
      <c r="J2945" s="74"/>
      <c r="K2945" s="74"/>
      <c r="L2945" s="74"/>
      <c r="M2945" s="74"/>
      <c r="N2945" s="74"/>
      <c r="O2945" s="75"/>
      <c r="P2945" s="74"/>
      <c r="Q2945" s="75"/>
      <c r="R2945" s="74"/>
      <c r="S2945" s="74"/>
      <c r="T2945" s="74"/>
      <c r="U2945" s="75"/>
      <c r="V2945" s="74"/>
      <c r="W2945" s="75"/>
      <c r="X2945" s="74"/>
      <c r="Y2945" s="74"/>
      <c r="Z2945" s="74"/>
      <c r="AA2945" s="74"/>
      <c r="AB2945" s="74"/>
      <c r="AC2945" s="74"/>
      <c r="AD2945" s="74"/>
      <c r="AE2945" s="74"/>
      <c r="AF2945" s="74"/>
      <c r="AG2945" s="74"/>
      <c r="AH2945" s="74"/>
    </row>
    <row r="2946" s="73" customFormat="1" spans="1:34">
      <c r="A2946" s="74"/>
      <c r="B2946" s="74"/>
      <c r="C2946" s="74"/>
      <c r="D2946" s="74"/>
      <c r="E2946" s="74"/>
      <c r="F2946" s="74"/>
      <c r="G2946" s="74"/>
      <c r="H2946" s="74"/>
      <c r="I2946" s="74"/>
      <c r="J2946" s="74"/>
      <c r="K2946" s="74"/>
      <c r="L2946" s="74"/>
      <c r="M2946" s="74"/>
      <c r="N2946" s="74"/>
      <c r="O2946" s="75"/>
      <c r="P2946" s="74"/>
      <c r="Q2946" s="75"/>
      <c r="R2946" s="74"/>
      <c r="S2946" s="74"/>
      <c r="T2946" s="74"/>
      <c r="U2946" s="75"/>
      <c r="V2946" s="74"/>
      <c r="W2946" s="75"/>
      <c r="X2946" s="74"/>
      <c r="Y2946" s="74"/>
      <c r="Z2946" s="74"/>
      <c r="AA2946" s="74"/>
      <c r="AB2946" s="74"/>
      <c r="AC2946" s="74"/>
      <c r="AD2946" s="74"/>
      <c r="AE2946" s="74"/>
      <c r="AF2946" s="74"/>
      <c r="AG2946" s="74"/>
      <c r="AH2946" s="74"/>
    </row>
    <row r="2947" s="73" customFormat="1" spans="1:34">
      <c r="A2947" s="74"/>
      <c r="B2947" s="74"/>
      <c r="C2947" s="74"/>
      <c r="D2947" s="74"/>
      <c r="E2947" s="74"/>
      <c r="F2947" s="74"/>
      <c r="G2947" s="74"/>
      <c r="H2947" s="74"/>
      <c r="I2947" s="74"/>
      <c r="J2947" s="74"/>
      <c r="K2947" s="74"/>
      <c r="L2947" s="74"/>
      <c r="M2947" s="74"/>
      <c r="N2947" s="74"/>
      <c r="O2947" s="75"/>
      <c r="P2947" s="74"/>
      <c r="Q2947" s="75"/>
      <c r="R2947" s="74"/>
      <c r="S2947" s="74"/>
      <c r="T2947" s="74"/>
      <c r="U2947" s="75"/>
      <c r="V2947" s="74"/>
      <c r="W2947" s="75"/>
      <c r="X2947" s="74"/>
      <c r="Y2947" s="74"/>
      <c r="Z2947" s="74"/>
      <c r="AA2947" s="74"/>
      <c r="AB2947" s="74"/>
      <c r="AC2947" s="74"/>
      <c r="AD2947" s="74"/>
      <c r="AE2947" s="74"/>
      <c r="AF2947" s="74"/>
      <c r="AG2947" s="74"/>
      <c r="AH2947" s="74"/>
    </row>
    <row r="2948" s="73" customFormat="1" spans="1:34">
      <c r="A2948" s="74"/>
      <c r="B2948" s="74"/>
      <c r="C2948" s="74"/>
      <c r="D2948" s="74"/>
      <c r="E2948" s="74"/>
      <c r="F2948" s="74"/>
      <c r="G2948" s="74"/>
      <c r="H2948" s="74"/>
      <c r="I2948" s="74"/>
      <c r="J2948" s="74"/>
      <c r="K2948" s="74"/>
      <c r="L2948" s="74"/>
      <c r="M2948" s="74"/>
      <c r="N2948" s="74"/>
      <c r="O2948" s="75"/>
      <c r="P2948" s="74"/>
      <c r="Q2948" s="75"/>
      <c r="R2948" s="74"/>
      <c r="S2948" s="74"/>
      <c r="T2948" s="74"/>
      <c r="U2948" s="75"/>
      <c r="V2948" s="74"/>
      <c r="W2948" s="75"/>
      <c r="X2948" s="74"/>
      <c r="Y2948" s="74"/>
      <c r="Z2948" s="74"/>
      <c r="AA2948" s="74"/>
      <c r="AB2948" s="74"/>
      <c r="AC2948" s="74"/>
      <c r="AD2948" s="74"/>
      <c r="AE2948" s="74"/>
      <c r="AF2948" s="74"/>
      <c r="AG2948" s="74"/>
      <c r="AH2948" s="74"/>
    </row>
    <row r="2949" s="73" customFormat="1" spans="1:34">
      <c r="A2949" s="74"/>
      <c r="B2949" s="74"/>
      <c r="C2949" s="74"/>
      <c r="D2949" s="74"/>
      <c r="E2949" s="74"/>
      <c r="F2949" s="74"/>
      <c r="G2949" s="74"/>
      <c r="H2949" s="74"/>
      <c r="I2949" s="74"/>
      <c r="J2949" s="74"/>
      <c r="K2949" s="74"/>
      <c r="L2949" s="74"/>
      <c r="M2949" s="74"/>
      <c r="N2949" s="74"/>
      <c r="O2949" s="75"/>
      <c r="P2949" s="74"/>
      <c r="Q2949" s="75"/>
      <c r="R2949" s="74"/>
      <c r="S2949" s="74"/>
      <c r="T2949" s="74"/>
      <c r="U2949" s="75"/>
      <c r="V2949" s="74"/>
      <c r="W2949" s="75"/>
      <c r="X2949" s="74"/>
      <c r="Y2949" s="74"/>
      <c r="Z2949" s="74"/>
      <c r="AA2949" s="74"/>
      <c r="AB2949" s="74"/>
      <c r="AC2949" s="74"/>
      <c r="AD2949" s="74"/>
      <c r="AE2949" s="74"/>
      <c r="AF2949" s="74"/>
      <c r="AG2949" s="74"/>
      <c r="AH2949" s="74"/>
    </row>
    <row r="2950" s="73" customFormat="1" spans="1:34">
      <c r="A2950" s="74"/>
      <c r="B2950" s="74"/>
      <c r="C2950" s="74"/>
      <c r="D2950" s="74"/>
      <c r="E2950" s="74"/>
      <c r="F2950" s="74"/>
      <c r="G2950" s="74"/>
      <c r="H2950" s="74"/>
      <c r="I2950" s="74"/>
      <c r="J2950" s="74"/>
      <c r="K2950" s="74"/>
      <c r="L2950" s="74"/>
      <c r="M2950" s="74"/>
      <c r="N2950" s="74"/>
      <c r="O2950" s="75"/>
      <c r="P2950" s="74"/>
      <c r="Q2950" s="75"/>
      <c r="R2950" s="74"/>
      <c r="S2950" s="74"/>
      <c r="T2950" s="74"/>
      <c r="U2950" s="75"/>
      <c r="V2950" s="74"/>
      <c r="W2950" s="75"/>
      <c r="X2950" s="74"/>
      <c r="Y2950" s="74"/>
      <c r="Z2950" s="74"/>
      <c r="AA2950" s="74"/>
      <c r="AB2950" s="74"/>
      <c r="AC2950" s="74"/>
      <c r="AD2950" s="74"/>
      <c r="AE2950" s="74"/>
      <c r="AF2950" s="74"/>
      <c r="AG2950" s="74"/>
      <c r="AH2950" s="74"/>
    </row>
    <row r="2951" s="73" customFormat="1" spans="1:34">
      <c r="A2951" s="74"/>
      <c r="B2951" s="74"/>
      <c r="C2951" s="74"/>
      <c r="D2951" s="74"/>
      <c r="E2951" s="74"/>
      <c r="F2951" s="74"/>
      <c r="G2951" s="74"/>
      <c r="H2951" s="74"/>
      <c r="I2951" s="74"/>
      <c r="J2951" s="74"/>
      <c r="K2951" s="74"/>
      <c r="L2951" s="74"/>
      <c r="M2951" s="74"/>
      <c r="N2951" s="74"/>
      <c r="O2951" s="75"/>
      <c r="P2951" s="74"/>
      <c r="Q2951" s="75"/>
      <c r="R2951" s="74"/>
      <c r="S2951" s="74"/>
      <c r="T2951" s="74"/>
      <c r="U2951" s="75"/>
      <c r="V2951" s="74"/>
      <c r="W2951" s="75"/>
      <c r="X2951" s="74"/>
      <c r="Y2951" s="74"/>
      <c r="Z2951" s="74"/>
      <c r="AA2951" s="74"/>
      <c r="AB2951" s="74"/>
      <c r="AC2951" s="74"/>
      <c r="AD2951" s="74"/>
      <c r="AE2951" s="74"/>
      <c r="AF2951" s="74"/>
      <c r="AG2951" s="74"/>
      <c r="AH2951" s="74"/>
    </row>
    <row r="2952" s="73" customFormat="1" spans="1:34">
      <c r="A2952" s="74"/>
      <c r="B2952" s="74"/>
      <c r="C2952" s="74"/>
      <c r="D2952" s="74"/>
      <c r="E2952" s="74"/>
      <c r="F2952" s="74"/>
      <c r="G2952" s="74"/>
      <c r="H2952" s="74"/>
      <c r="I2952" s="74"/>
      <c r="J2952" s="74"/>
      <c r="K2952" s="74"/>
      <c r="L2952" s="74"/>
      <c r="M2952" s="74"/>
      <c r="N2952" s="74"/>
      <c r="O2952" s="75"/>
      <c r="P2952" s="74"/>
      <c r="Q2952" s="75"/>
      <c r="R2952" s="74"/>
      <c r="S2952" s="74"/>
      <c r="T2952" s="74"/>
      <c r="U2952" s="75"/>
      <c r="V2952" s="74"/>
      <c r="W2952" s="75"/>
      <c r="X2952" s="74"/>
      <c r="Y2952" s="74"/>
      <c r="Z2952" s="74"/>
      <c r="AA2952" s="74"/>
      <c r="AB2952" s="74"/>
      <c r="AC2952" s="74"/>
      <c r="AD2952" s="74"/>
      <c r="AE2952" s="74"/>
      <c r="AF2952" s="74"/>
      <c r="AG2952" s="74"/>
      <c r="AH2952" s="74"/>
    </row>
    <row r="2953" s="73" customFormat="1" spans="1:34">
      <c r="A2953" s="74"/>
      <c r="B2953" s="74"/>
      <c r="C2953" s="74"/>
      <c r="D2953" s="74"/>
      <c r="E2953" s="74"/>
      <c r="F2953" s="74"/>
      <c r="G2953" s="74"/>
      <c r="H2953" s="74"/>
      <c r="I2953" s="74"/>
      <c r="J2953" s="74"/>
      <c r="K2953" s="74"/>
      <c r="L2953" s="74"/>
      <c r="M2953" s="74"/>
      <c r="N2953" s="74"/>
      <c r="O2953" s="75"/>
      <c r="P2953" s="74"/>
      <c r="Q2953" s="75"/>
      <c r="R2953" s="74"/>
      <c r="S2953" s="74"/>
      <c r="T2953" s="74"/>
      <c r="U2953" s="75"/>
      <c r="V2953" s="74"/>
      <c r="W2953" s="75"/>
      <c r="X2953" s="74"/>
      <c r="Y2953" s="74"/>
      <c r="Z2953" s="74"/>
      <c r="AA2953" s="74"/>
      <c r="AB2953" s="74"/>
      <c r="AC2953" s="74"/>
      <c r="AD2953" s="74"/>
      <c r="AE2953" s="74"/>
      <c r="AF2953" s="74"/>
      <c r="AG2953" s="74"/>
      <c r="AH2953" s="74"/>
    </row>
    <row r="2954" s="73" customFormat="1" spans="1:34">
      <c r="A2954" s="74"/>
      <c r="B2954" s="74"/>
      <c r="C2954" s="74"/>
      <c r="D2954" s="74"/>
      <c r="E2954" s="74"/>
      <c r="F2954" s="74"/>
      <c r="G2954" s="74"/>
      <c r="H2954" s="74"/>
      <c r="I2954" s="74"/>
      <c r="J2954" s="74"/>
      <c r="K2954" s="74"/>
      <c r="L2954" s="74"/>
      <c r="M2954" s="74"/>
      <c r="N2954" s="74"/>
      <c r="O2954" s="75"/>
      <c r="P2954" s="74"/>
      <c r="Q2954" s="75"/>
      <c r="R2954" s="74"/>
      <c r="S2954" s="74"/>
      <c r="T2954" s="74"/>
      <c r="U2954" s="75"/>
      <c r="V2954" s="74"/>
      <c r="W2954" s="75"/>
      <c r="X2954" s="74"/>
      <c r="Y2954" s="74"/>
      <c r="Z2954" s="74"/>
      <c r="AA2954" s="74"/>
      <c r="AB2954" s="74"/>
      <c r="AC2954" s="74"/>
      <c r="AD2954" s="74"/>
      <c r="AE2954" s="74"/>
      <c r="AF2954" s="74"/>
      <c r="AG2954" s="74"/>
      <c r="AH2954" s="74"/>
    </row>
    <row r="2955" s="73" customFormat="1" spans="1:34">
      <c r="A2955" s="74"/>
      <c r="B2955" s="74"/>
      <c r="C2955" s="74"/>
      <c r="D2955" s="74"/>
      <c r="E2955" s="74"/>
      <c r="F2955" s="74"/>
      <c r="G2955" s="74"/>
      <c r="H2955" s="74"/>
      <c r="I2955" s="74"/>
      <c r="J2955" s="74"/>
      <c r="K2955" s="74"/>
      <c r="L2955" s="74"/>
      <c r="M2955" s="74"/>
      <c r="N2955" s="74"/>
      <c r="O2955" s="75"/>
      <c r="P2955" s="74"/>
      <c r="Q2955" s="75"/>
      <c r="R2955" s="74"/>
      <c r="S2955" s="74"/>
      <c r="T2955" s="74"/>
      <c r="U2955" s="75"/>
      <c r="V2955" s="74"/>
      <c r="W2955" s="75"/>
      <c r="X2955" s="74"/>
      <c r="Y2955" s="74"/>
      <c r="Z2955" s="74"/>
      <c r="AA2955" s="74"/>
      <c r="AB2955" s="74"/>
      <c r="AC2955" s="74"/>
      <c r="AD2955" s="74"/>
      <c r="AE2955" s="74"/>
      <c r="AF2955" s="74"/>
      <c r="AG2955" s="74"/>
      <c r="AH2955" s="74"/>
    </row>
    <row r="2956" s="73" customFormat="1" spans="1:34">
      <c r="A2956" s="74"/>
      <c r="B2956" s="74"/>
      <c r="C2956" s="74"/>
      <c r="D2956" s="74"/>
      <c r="E2956" s="74"/>
      <c r="F2956" s="74"/>
      <c r="G2956" s="74"/>
      <c r="H2956" s="74"/>
      <c r="I2956" s="74"/>
      <c r="J2956" s="74"/>
      <c r="K2956" s="74"/>
      <c r="L2956" s="74"/>
      <c r="M2956" s="74"/>
      <c r="N2956" s="74"/>
      <c r="O2956" s="75"/>
      <c r="P2956" s="74"/>
      <c r="Q2956" s="75"/>
      <c r="R2956" s="74"/>
      <c r="S2956" s="74"/>
      <c r="T2956" s="74"/>
      <c r="U2956" s="75"/>
      <c r="V2956" s="74"/>
      <c r="W2956" s="75"/>
      <c r="X2956" s="74"/>
      <c r="Y2956" s="74"/>
      <c r="Z2956" s="74"/>
      <c r="AA2956" s="74"/>
      <c r="AB2956" s="74"/>
      <c r="AC2956" s="74"/>
      <c r="AD2956" s="74"/>
      <c r="AE2956" s="74"/>
      <c r="AF2956" s="74"/>
      <c r="AG2956" s="74"/>
      <c r="AH2956" s="74"/>
    </row>
    <row r="2957" s="73" customFormat="1" spans="1:34">
      <c r="A2957" s="74"/>
      <c r="B2957" s="74"/>
      <c r="C2957" s="74"/>
      <c r="D2957" s="74"/>
      <c r="E2957" s="74"/>
      <c r="F2957" s="74"/>
      <c r="G2957" s="74"/>
      <c r="H2957" s="74"/>
      <c r="I2957" s="74"/>
      <c r="J2957" s="74"/>
      <c r="K2957" s="74"/>
      <c r="L2957" s="74"/>
      <c r="M2957" s="74"/>
      <c r="N2957" s="74"/>
      <c r="O2957" s="75"/>
      <c r="P2957" s="74"/>
      <c r="Q2957" s="75"/>
      <c r="R2957" s="74"/>
      <c r="S2957" s="74"/>
      <c r="T2957" s="74"/>
      <c r="U2957" s="75"/>
      <c r="V2957" s="74"/>
      <c r="W2957" s="75"/>
      <c r="X2957" s="74"/>
      <c r="Y2957" s="74"/>
      <c r="Z2957" s="74"/>
      <c r="AA2957" s="74"/>
      <c r="AB2957" s="74"/>
      <c r="AC2957" s="74"/>
      <c r="AD2957" s="74"/>
      <c r="AE2957" s="74"/>
      <c r="AF2957" s="74"/>
      <c r="AG2957" s="74"/>
      <c r="AH2957" s="74"/>
    </row>
    <row r="2958" s="73" customFormat="1" spans="1:34">
      <c r="A2958" s="74"/>
      <c r="B2958" s="74"/>
      <c r="C2958" s="74"/>
      <c r="D2958" s="74"/>
      <c r="E2958" s="74"/>
      <c r="F2958" s="74"/>
      <c r="G2958" s="74"/>
      <c r="H2958" s="74"/>
      <c r="I2958" s="74"/>
      <c r="J2958" s="74"/>
      <c r="K2958" s="74"/>
      <c r="L2958" s="74"/>
      <c r="M2958" s="74"/>
      <c r="N2958" s="74"/>
      <c r="O2958" s="75"/>
      <c r="P2958" s="74"/>
      <c r="Q2958" s="75"/>
      <c r="R2958" s="74"/>
      <c r="S2958" s="74"/>
      <c r="T2958" s="74"/>
      <c r="U2958" s="75"/>
      <c r="V2958" s="74"/>
      <c r="W2958" s="75"/>
      <c r="X2958" s="74"/>
      <c r="Y2958" s="74"/>
      <c r="Z2958" s="74"/>
      <c r="AA2958" s="74"/>
      <c r="AB2958" s="74"/>
      <c r="AC2958" s="74"/>
      <c r="AD2958" s="74"/>
      <c r="AE2958" s="74"/>
      <c r="AF2958" s="74"/>
      <c r="AG2958" s="74"/>
      <c r="AH2958" s="74"/>
    </row>
    <row r="2959" s="73" customFormat="1" spans="1:34">
      <c r="A2959" s="74"/>
      <c r="B2959" s="74"/>
      <c r="C2959" s="74"/>
      <c r="D2959" s="74"/>
      <c r="E2959" s="74"/>
      <c r="F2959" s="74"/>
      <c r="G2959" s="74"/>
      <c r="H2959" s="74"/>
      <c r="I2959" s="74"/>
      <c r="J2959" s="74"/>
      <c r="K2959" s="74"/>
      <c r="L2959" s="74"/>
      <c r="M2959" s="74"/>
      <c r="N2959" s="74"/>
      <c r="O2959" s="75"/>
      <c r="P2959" s="74"/>
      <c r="Q2959" s="75"/>
      <c r="R2959" s="74"/>
      <c r="S2959" s="74"/>
      <c r="T2959" s="74"/>
      <c r="U2959" s="75"/>
      <c r="V2959" s="74"/>
      <c r="W2959" s="75"/>
      <c r="X2959" s="74"/>
      <c r="Y2959" s="74"/>
      <c r="Z2959" s="74"/>
      <c r="AA2959" s="74"/>
      <c r="AB2959" s="74"/>
      <c r="AC2959" s="74"/>
      <c r="AD2959" s="74"/>
      <c r="AE2959" s="74"/>
      <c r="AF2959" s="74"/>
      <c r="AG2959" s="74"/>
      <c r="AH2959" s="74"/>
    </row>
    <row r="2960" s="73" customFormat="1" spans="1:34">
      <c r="A2960" s="74"/>
      <c r="B2960" s="74"/>
      <c r="C2960" s="74"/>
      <c r="D2960" s="74"/>
      <c r="E2960" s="74"/>
      <c r="F2960" s="74"/>
      <c r="G2960" s="74"/>
      <c r="H2960" s="74"/>
      <c r="I2960" s="74"/>
      <c r="J2960" s="74"/>
      <c r="K2960" s="74"/>
      <c r="L2960" s="74"/>
      <c r="M2960" s="74"/>
      <c r="N2960" s="74"/>
      <c r="O2960" s="75"/>
      <c r="P2960" s="74"/>
      <c r="Q2960" s="75"/>
      <c r="R2960" s="74"/>
      <c r="S2960" s="74"/>
      <c r="T2960" s="74"/>
      <c r="U2960" s="75"/>
      <c r="V2960" s="74"/>
      <c r="W2960" s="75"/>
      <c r="X2960" s="74"/>
      <c r="Y2960" s="74"/>
      <c r="Z2960" s="74"/>
      <c r="AA2960" s="74"/>
      <c r="AB2960" s="74"/>
      <c r="AC2960" s="74"/>
      <c r="AD2960" s="74"/>
      <c r="AE2960" s="74"/>
      <c r="AF2960" s="74"/>
      <c r="AG2960" s="74"/>
      <c r="AH2960" s="74"/>
    </row>
    <row r="2961" s="73" customFormat="1" spans="1:34">
      <c r="A2961" s="74"/>
      <c r="B2961" s="74"/>
      <c r="C2961" s="74"/>
      <c r="D2961" s="74"/>
      <c r="E2961" s="74"/>
      <c r="F2961" s="74"/>
      <c r="G2961" s="74"/>
      <c r="H2961" s="74"/>
      <c r="I2961" s="74"/>
      <c r="J2961" s="74"/>
      <c r="K2961" s="74"/>
      <c r="L2961" s="74"/>
      <c r="M2961" s="74"/>
      <c r="N2961" s="74"/>
      <c r="O2961" s="75"/>
      <c r="P2961" s="74"/>
      <c r="Q2961" s="75"/>
      <c r="R2961" s="74"/>
      <c r="S2961" s="74"/>
      <c r="T2961" s="74"/>
      <c r="U2961" s="75"/>
      <c r="V2961" s="74"/>
      <c r="W2961" s="75"/>
      <c r="X2961" s="74"/>
      <c r="Y2961" s="74"/>
      <c r="Z2961" s="74"/>
      <c r="AA2961" s="74"/>
      <c r="AB2961" s="74"/>
      <c r="AC2961" s="74"/>
      <c r="AD2961" s="74"/>
      <c r="AE2961" s="74"/>
      <c r="AF2961" s="74"/>
      <c r="AG2961" s="74"/>
      <c r="AH2961" s="74"/>
    </row>
    <row r="2962" s="73" customFormat="1" spans="1:34">
      <c r="A2962" s="74"/>
      <c r="B2962" s="74"/>
      <c r="C2962" s="74"/>
      <c r="D2962" s="74"/>
      <c r="E2962" s="74"/>
      <c r="F2962" s="74"/>
      <c r="G2962" s="74"/>
      <c r="H2962" s="74"/>
      <c r="I2962" s="74"/>
      <c r="J2962" s="74"/>
      <c r="K2962" s="74"/>
      <c r="L2962" s="74"/>
      <c r="M2962" s="74"/>
      <c r="N2962" s="74"/>
      <c r="O2962" s="75"/>
      <c r="P2962" s="74"/>
      <c r="Q2962" s="75"/>
      <c r="R2962" s="74"/>
      <c r="S2962" s="74"/>
      <c r="T2962" s="74"/>
      <c r="U2962" s="75"/>
      <c r="V2962" s="74"/>
      <c r="W2962" s="75"/>
      <c r="X2962" s="74"/>
      <c r="Y2962" s="74"/>
      <c r="Z2962" s="74"/>
      <c r="AA2962" s="74"/>
      <c r="AB2962" s="74"/>
      <c r="AC2962" s="74"/>
      <c r="AD2962" s="74"/>
      <c r="AE2962" s="74"/>
      <c r="AF2962" s="74"/>
      <c r="AG2962" s="74"/>
      <c r="AH2962" s="74"/>
    </row>
    <row r="2963" s="73" customFormat="1" spans="1:34">
      <c r="A2963" s="74"/>
      <c r="B2963" s="74"/>
      <c r="C2963" s="74"/>
      <c r="D2963" s="74"/>
      <c r="E2963" s="74"/>
      <c r="F2963" s="74"/>
      <c r="G2963" s="74"/>
      <c r="H2963" s="74"/>
      <c r="I2963" s="74"/>
      <c r="J2963" s="74"/>
      <c r="K2963" s="74"/>
      <c r="L2963" s="74"/>
      <c r="M2963" s="74"/>
      <c r="N2963" s="74"/>
      <c r="O2963" s="75"/>
      <c r="P2963" s="74"/>
      <c r="Q2963" s="75"/>
      <c r="R2963" s="74"/>
      <c r="S2963" s="74"/>
      <c r="T2963" s="74"/>
      <c r="U2963" s="75"/>
      <c r="V2963" s="74"/>
      <c r="W2963" s="75"/>
      <c r="X2963" s="74"/>
      <c r="Y2963" s="74"/>
      <c r="Z2963" s="74"/>
      <c r="AA2963" s="74"/>
      <c r="AB2963" s="74"/>
      <c r="AC2963" s="74"/>
      <c r="AD2963" s="74"/>
      <c r="AE2963" s="74"/>
      <c r="AF2963" s="74"/>
      <c r="AG2963" s="74"/>
      <c r="AH2963" s="74"/>
    </row>
    <row r="2964" s="73" customFormat="1" spans="1:34">
      <c r="A2964" s="74"/>
      <c r="B2964" s="74"/>
      <c r="C2964" s="74"/>
      <c r="D2964" s="74"/>
      <c r="E2964" s="74"/>
      <c r="F2964" s="74"/>
      <c r="G2964" s="74"/>
      <c r="H2964" s="74"/>
      <c r="I2964" s="74"/>
      <c r="J2964" s="74"/>
      <c r="K2964" s="74"/>
      <c r="L2964" s="74"/>
      <c r="M2964" s="74"/>
      <c r="N2964" s="74"/>
      <c r="O2964" s="75"/>
      <c r="P2964" s="74"/>
      <c r="Q2964" s="75"/>
      <c r="R2964" s="74"/>
      <c r="S2964" s="74"/>
      <c r="T2964" s="74"/>
      <c r="U2964" s="75"/>
      <c r="V2964" s="74"/>
      <c r="W2964" s="75"/>
      <c r="X2964" s="74"/>
      <c r="Y2964" s="74"/>
      <c r="Z2964" s="74"/>
      <c r="AA2964" s="74"/>
      <c r="AB2964" s="74"/>
      <c r="AC2964" s="74"/>
      <c r="AD2964" s="74"/>
      <c r="AE2964" s="74"/>
      <c r="AF2964" s="74"/>
      <c r="AG2964" s="74"/>
      <c r="AH2964" s="74"/>
    </row>
    <row r="2965" s="73" customFormat="1" spans="1:34">
      <c r="A2965" s="74"/>
      <c r="B2965" s="74"/>
      <c r="C2965" s="74"/>
      <c r="D2965" s="74"/>
      <c r="E2965" s="74"/>
      <c r="F2965" s="74"/>
      <c r="G2965" s="74"/>
      <c r="H2965" s="74"/>
      <c r="I2965" s="74"/>
      <c r="J2965" s="74"/>
      <c r="K2965" s="74"/>
      <c r="L2965" s="74"/>
      <c r="M2965" s="74"/>
      <c r="N2965" s="74"/>
      <c r="O2965" s="75"/>
      <c r="P2965" s="74"/>
      <c r="Q2965" s="75"/>
      <c r="R2965" s="74"/>
      <c r="S2965" s="74"/>
      <c r="T2965" s="74"/>
      <c r="U2965" s="75"/>
      <c r="V2965" s="74"/>
      <c r="W2965" s="75"/>
      <c r="X2965" s="74"/>
      <c r="Y2965" s="74"/>
      <c r="Z2965" s="74"/>
      <c r="AA2965" s="74"/>
      <c r="AB2965" s="74"/>
      <c r="AC2965" s="74"/>
      <c r="AD2965" s="74"/>
      <c r="AE2965" s="74"/>
      <c r="AF2965" s="74"/>
      <c r="AG2965" s="74"/>
      <c r="AH2965" s="74"/>
    </row>
    <row r="2966" s="73" customFormat="1" spans="1:34">
      <c r="A2966" s="74"/>
      <c r="B2966" s="74"/>
      <c r="C2966" s="74"/>
      <c r="D2966" s="74"/>
      <c r="E2966" s="74"/>
      <c r="F2966" s="74"/>
      <c r="G2966" s="74"/>
      <c r="H2966" s="74"/>
      <c r="I2966" s="74"/>
      <c r="J2966" s="74"/>
      <c r="K2966" s="74"/>
      <c r="L2966" s="74"/>
      <c r="M2966" s="74"/>
      <c r="N2966" s="74"/>
      <c r="O2966" s="75"/>
      <c r="P2966" s="74"/>
      <c r="Q2966" s="75"/>
      <c r="R2966" s="74"/>
      <c r="S2966" s="74"/>
      <c r="T2966" s="74"/>
      <c r="U2966" s="75"/>
      <c r="V2966" s="74"/>
      <c r="W2966" s="75"/>
      <c r="X2966" s="74"/>
      <c r="Y2966" s="74"/>
      <c r="Z2966" s="74"/>
      <c r="AA2966" s="74"/>
      <c r="AB2966" s="74"/>
      <c r="AC2966" s="74"/>
      <c r="AD2966" s="74"/>
      <c r="AE2966" s="74"/>
      <c r="AF2966" s="74"/>
      <c r="AG2966" s="74"/>
      <c r="AH2966" s="74"/>
    </row>
    <row r="2967" s="73" customFormat="1" spans="1:34">
      <c r="A2967" s="74"/>
      <c r="B2967" s="74"/>
      <c r="C2967" s="74"/>
      <c r="D2967" s="74"/>
      <c r="E2967" s="74"/>
      <c r="F2967" s="74"/>
      <c r="G2967" s="74"/>
      <c r="H2967" s="74"/>
      <c r="I2967" s="74"/>
      <c r="J2967" s="74"/>
      <c r="K2967" s="74"/>
      <c r="L2967" s="74"/>
      <c r="M2967" s="74"/>
      <c r="N2967" s="74"/>
      <c r="O2967" s="75"/>
      <c r="P2967" s="74"/>
      <c r="Q2967" s="75"/>
      <c r="R2967" s="74"/>
      <c r="S2967" s="74"/>
      <c r="T2967" s="74"/>
      <c r="U2967" s="75"/>
      <c r="V2967" s="74"/>
      <c r="W2967" s="75"/>
      <c r="X2967" s="74"/>
      <c r="Y2967" s="74"/>
      <c r="Z2967" s="74"/>
      <c r="AA2967" s="74"/>
      <c r="AB2967" s="74"/>
      <c r="AC2967" s="74"/>
      <c r="AD2967" s="74"/>
      <c r="AE2967" s="74"/>
      <c r="AF2967" s="74"/>
      <c r="AG2967" s="74"/>
      <c r="AH2967" s="74"/>
    </row>
    <row r="2968" s="73" customFormat="1" spans="1:34">
      <c r="A2968" s="74"/>
      <c r="B2968" s="74"/>
      <c r="C2968" s="74"/>
      <c r="D2968" s="74"/>
      <c r="E2968" s="74"/>
      <c r="F2968" s="74"/>
      <c r="G2968" s="74"/>
      <c r="H2968" s="74"/>
      <c r="I2968" s="74"/>
      <c r="J2968" s="74"/>
      <c r="K2968" s="74"/>
      <c r="L2968" s="74"/>
      <c r="M2968" s="74"/>
      <c r="N2968" s="74"/>
      <c r="O2968" s="75"/>
      <c r="P2968" s="74"/>
      <c r="Q2968" s="75"/>
      <c r="R2968" s="74"/>
      <c r="S2968" s="74"/>
      <c r="T2968" s="74"/>
      <c r="U2968" s="75"/>
      <c r="V2968" s="74"/>
      <c r="W2968" s="75"/>
      <c r="X2968" s="74"/>
      <c r="Y2968" s="74"/>
      <c r="Z2968" s="74"/>
      <c r="AA2968" s="74"/>
      <c r="AB2968" s="74"/>
      <c r="AC2968" s="74"/>
      <c r="AD2968" s="74"/>
      <c r="AE2968" s="74"/>
      <c r="AF2968" s="74"/>
      <c r="AG2968" s="74"/>
      <c r="AH2968" s="74"/>
    </row>
    <row r="2969" s="73" customFormat="1" spans="1:34">
      <c r="A2969" s="74"/>
      <c r="B2969" s="74"/>
      <c r="C2969" s="74"/>
      <c r="D2969" s="74"/>
      <c r="E2969" s="74"/>
      <c r="F2969" s="74"/>
      <c r="G2969" s="74"/>
      <c r="H2969" s="74"/>
      <c r="I2969" s="74"/>
      <c r="J2969" s="74"/>
      <c r="K2969" s="74"/>
      <c r="L2969" s="74"/>
      <c r="M2969" s="74"/>
      <c r="N2969" s="74"/>
      <c r="O2969" s="75"/>
      <c r="P2969" s="74"/>
      <c r="Q2969" s="75"/>
      <c r="R2969" s="74"/>
      <c r="S2969" s="74"/>
      <c r="T2969" s="74"/>
      <c r="U2969" s="75"/>
      <c r="V2969" s="74"/>
      <c r="W2969" s="75"/>
      <c r="X2969" s="74"/>
      <c r="Y2969" s="74"/>
      <c r="Z2969" s="74"/>
      <c r="AA2969" s="74"/>
      <c r="AB2969" s="74"/>
      <c r="AC2969" s="74"/>
      <c r="AD2969" s="74"/>
      <c r="AE2969" s="74"/>
      <c r="AF2969" s="74"/>
      <c r="AG2969" s="74"/>
      <c r="AH2969" s="74"/>
    </row>
    <row r="2970" s="73" customFormat="1" spans="1:34">
      <c r="A2970" s="74"/>
      <c r="B2970" s="74"/>
      <c r="C2970" s="74"/>
      <c r="D2970" s="74"/>
      <c r="E2970" s="74"/>
      <c r="F2970" s="74"/>
      <c r="G2970" s="74"/>
      <c r="H2970" s="74"/>
      <c r="I2970" s="74"/>
      <c r="J2970" s="74"/>
      <c r="K2970" s="74"/>
      <c r="L2970" s="74"/>
      <c r="M2970" s="74"/>
      <c r="N2970" s="74"/>
      <c r="O2970" s="75"/>
      <c r="P2970" s="74"/>
      <c r="Q2970" s="75"/>
      <c r="R2970" s="74"/>
      <c r="S2970" s="74"/>
      <c r="T2970" s="74"/>
      <c r="U2970" s="75"/>
      <c r="V2970" s="74"/>
      <c r="W2970" s="75"/>
      <c r="X2970" s="74"/>
      <c r="Y2970" s="74"/>
      <c r="Z2970" s="74"/>
      <c r="AA2970" s="74"/>
      <c r="AB2970" s="74"/>
      <c r="AC2970" s="74"/>
      <c r="AD2970" s="74"/>
      <c r="AE2970" s="74"/>
      <c r="AF2970" s="74"/>
      <c r="AG2970" s="74"/>
      <c r="AH2970" s="74"/>
    </row>
    <row r="2971" s="73" customFormat="1" spans="1:34">
      <c r="A2971" s="74"/>
      <c r="B2971" s="74"/>
      <c r="C2971" s="74"/>
      <c r="D2971" s="74"/>
      <c r="E2971" s="74"/>
      <c r="F2971" s="74"/>
      <c r="G2971" s="74"/>
      <c r="H2971" s="74"/>
      <c r="I2971" s="74"/>
      <c r="J2971" s="74"/>
      <c r="K2971" s="74"/>
      <c r="L2971" s="74"/>
      <c r="M2971" s="74"/>
      <c r="N2971" s="74"/>
      <c r="O2971" s="75"/>
      <c r="P2971" s="74"/>
      <c r="Q2971" s="75"/>
      <c r="R2971" s="74"/>
      <c r="S2971" s="74"/>
      <c r="T2971" s="74"/>
      <c r="U2971" s="75"/>
      <c r="V2971" s="74"/>
      <c r="W2971" s="75"/>
      <c r="X2971" s="74"/>
      <c r="Y2971" s="74"/>
      <c r="Z2971" s="74"/>
      <c r="AA2971" s="74"/>
      <c r="AB2971" s="74"/>
      <c r="AC2971" s="74"/>
      <c r="AD2971" s="74"/>
      <c r="AE2971" s="74"/>
      <c r="AF2971" s="74"/>
      <c r="AG2971" s="74"/>
      <c r="AH2971" s="74"/>
    </row>
    <row r="2972" s="73" customFormat="1" spans="1:34">
      <c r="A2972" s="74"/>
      <c r="B2972" s="74"/>
      <c r="C2972" s="74"/>
      <c r="D2972" s="74"/>
      <c r="E2972" s="74"/>
      <c r="F2972" s="74"/>
      <c r="G2972" s="74"/>
      <c r="H2972" s="74"/>
      <c r="I2972" s="74"/>
      <c r="J2972" s="74"/>
      <c r="K2972" s="74"/>
      <c r="L2972" s="74"/>
      <c r="M2972" s="74"/>
      <c r="N2972" s="74"/>
      <c r="O2972" s="75"/>
      <c r="P2972" s="74"/>
      <c r="Q2972" s="75"/>
      <c r="R2972" s="74"/>
      <c r="S2972" s="74"/>
      <c r="T2972" s="74"/>
      <c r="U2972" s="75"/>
      <c r="V2972" s="74"/>
      <c r="W2972" s="75"/>
      <c r="X2972" s="74"/>
      <c r="Y2972" s="74"/>
      <c r="Z2972" s="74"/>
      <c r="AA2972" s="74"/>
      <c r="AB2972" s="74"/>
      <c r="AC2972" s="74"/>
      <c r="AD2972" s="74"/>
      <c r="AE2972" s="74"/>
      <c r="AF2972" s="74"/>
      <c r="AG2972" s="74"/>
      <c r="AH2972" s="74"/>
    </row>
    <row r="2973" s="73" customFormat="1" spans="1:34">
      <c r="A2973" s="74"/>
      <c r="B2973" s="74"/>
      <c r="C2973" s="74"/>
      <c r="D2973" s="74"/>
      <c r="E2973" s="74"/>
      <c r="F2973" s="74"/>
      <c r="G2973" s="74"/>
      <c r="H2973" s="74"/>
      <c r="I2973" s="74"/>
      <c r="J2973" s="74"/>
      <c r="K2973" s="74"/>
      <c r="L2973" s="74"/>
      <c r="M2973" s="74"/>
      <c r="N2973" s="74"/>
      <c r="O2973" s="75"/>
      <c r="P2973" s="74"/>
      <c r="Q2973" s="75"/>
      <c r="R2973" s="74"/>
      <c r="S2973" s="74"/>
      <c r="T2973" s="74"/>
      <c r="U2973" s="75"/>
      <c r="V2973" s="74"/>
      <c r="W2973" s="75"/>
      <c r="X2973" s="74"/>
      <c r="Y2973" s="74"/>
      <c r="Z2973" s="74"/>
      <c r="AA2973" s="74"/>
      <c r="AB2973" s="74"/>
      <c r="AC2973" s="74"/>
      <c r="AD2973" s="74"/>
      <c r="AE2973" s="74"/>
      <c r="AF2973" s="74"/>
      <c r="AG2973" s="74"/>
      <c r="AH2973" s="74"/>
    </row>
    <row r="2974" s="73" customFormat="1" spans="1:34">
      <c r="A2974" s="74"/>
      <c r="B2974" s="74"/>
      <c r="C2974" s="74"/>
      <c r="D2974" s="74"/>
      <c r="E2974" s="74"/>
      <c r="F2974" s="74"/>
      <c r="G2974" s="74"/>
      <c r="H2974" s="74"/>
      <c r="I2974" s="74"/>
      <c r="J2974" s="74"/>
      <c r="K2974" s="74"/>
      <c r="L2974" s="74"/>
      <c r="M2974" s="74"/>
      <c r="N2974" s="74"/>
      <c r="O2974" s="75"/>
      <c r="P2974" s="74"/>
      <c r="Q2974" s="75"/>
      <c r="R2974" s="74"/>
      <c r="S2974" s="74"/>
      <c r="T2974" s="74"/>
      <c r="U2974" s="75"/>
      <c r="V2974" s="74"/>
      <c r="W2974" s="75"/>
      <c r="X2974" s="74"/>
      <c r="Y2974" s="74"/>
      <c r="Z2974" s="74"/>
      <c r="AA2974" s="74"/>
      <c r="AB2974" s="74"/>
      <c r="AC2974" s="74"/>
      <c r="AD2974" s="74"/>
      <c r="AE2974" s="74"/>
      <c r="AF2974" s="74"/>
      <c r="AG2974" s="74"/>
      <c r="AH2974" s="74"/>
    </row>
    <row r="2975" s="73" customFormat="1" spans="1:34">
      <c r="A2975" s="74"/>
      <c r="B2975" s="74"/>
      <c r="C2975" s="74"/>
      <c r="D2975" s="74"/>
      <c r="E2975" s="74"/>
      <c r="F2975" s="74"/>
      <c r="G2975" s="74"/>
      <c r="H2975" s="74"/>
      <c r="I2975" s="74"/>
      <c r="J2975" s="74"/>
      <c r="K2975" s="74"/>
      <c r="L2975" s="74"/>
      <c r="M2975" s="74"/>
      <c r="N2975" s="74"/>
      <c r="O2975" s="75"/>
      <c r="P2975" s="74"/>
      <c r="Q2975" s="74"/>
      <c r="R2975" s="74"/>
      <c r="S2975" s="74"/>
      <c r="T2975" s="74"/>
      <c r="U2975" s="74"/>
      <c r="V2975" s="74"/>
      <c r="W2975" s="74"/>
      <c r="X2975" s="74"/>
      <c r="Y2975" s="74"/>
      <c r="Z2975" s="74"/>
      <c r="AA2975" s="74"/>
      <c r="AB2975" s="74"/>
      <c r="AC2975" s="74"/>
      <c r="AD2975" s="74"/>
      <c r="AE2975" s="74"/>
      <c r="AF2975" s="74"/>
      <c r="AG2975" s="74"/>
      <c r="AH2975" s="74"/>
    </row>
    <row r="2976" s="73" customFormat="1" spans="1:34">
      <c r="A2976" s="74"/>
      <c r="B2976" s="74"/>
      <c r="C2976" s="74"/>
      <c r="D2976" s="74"/>
      <c r="E2976" s="74"/>
      <c r="F2976" s="74"/>
      <c r="G2976" s="74"/>
      <c r="H2976" s="74"/>
      <c r="I2976" s="74"/>
      <c r="J2976" s="74"/>
      <c r="K2976" s="74"/>
      <c r="L2976" s="74"/>
      <c r="M2976" s="74"/>
      <c r="N2976" s="74"/>
      <c r="O2976" s="75"/>
      <c r="P2976" s="74"/>
      <c r="Q2976" s="75"/>
      <c r="R2976" s="74"/>
      <c r="S2976" s="74"/>
      <c r="T2976" s="74"/>
      <c r="U2976" s="75"/>
      <c r="V2976" s="74"/>
      <c r="W2976" s="75"/>
      <c r="X2976" s="74"/>
      <c r="Y2976" s="74"/>
      <c r="Z2976" s="74"/>
      <c r="AA2976" s="74"/>
      <c r="AB2976" s="74"/>
      <c r="AC2976" s="74"/>
      <c r="AD2976" s="74"/>
      <c r="AE2976" s="74"/>
      <c r="AF2976" s="74"/>
      <c r="AG2976" s="74"/>
      <c r="AH2976" s="74"/>
    </row>
    <row r="2977" s="73" customFormat="1" spans="1:34">
      <c r="A2977" s="74"/>
      <c r="B2977" s="74"/>
      <c r="C2977" s="74"/>
      <c r="D2977" s="74"/>
      <c r="E2977" s="74"/>
      <c r="F2977" s="74"/>
      <c r="G2977" s="74"/>
      <c r="H2977" s="74"/>
      <c r="I2977" s="74"/>
      <c r="J2977" s="74"/>
      <c r="K2977" s="74"/>
      <c r="L2977" s="74"/>
      <c r="M2977" s="74"/>
      <c r="N2977" s="74"/>
      <c r="O2977" s="75"/>
      <c r="P2977" s="74"/>
      <c r="Q2977" s="75"/>
      <c r="R2977" s="74"/>
      <c r="S2977" s="74"/>
      <c r="T2977" s="74"/>
      <c r="U2977" s="75"/>
      <c r="V2977" s="74"/>
      <c r="W2977" s="75"/>
      <c r="X2977" s="74"/>
      <c r="Y2977" s="74"/>
      <c r="Z2977" s="74"/>
      <c r="AA2977" s="74"/>
      <c r="AB2977" s="74"/>
      <c r="AC2977" s="74"/>
      <c r="AD2977" s="74"/>
      <c r="AE2977" s="74"/>
      <c r="AF2977" s="74"/>
      <c r="AG2977" s="74"/>
      <c r="AH2977" s="74"/>
    </row>
    <row r="2978" s="73" customFormat="1" spans="1:34">
      <c r="A2978" s="74"/>
      <c r="B2978" s="74"/>
      <c r="C2978" s="74"/>
      <c r="D2978" s="74"/>
      <c r="E2978" s="74"/>
      <c r="F2978" s="74"/>
      <c r="G2978" s="74"/>
      <c r="H2978" s="74"/>
      <c r="I2978" s="74"/>
      <c r="J2978" s="74"/>
      <c r="K2978" s="74"/>
      <c r="L2978" s="74"/>
      <c r="M2978" s="74"/>
      <c r="N2978" s="74"/>
      <c r="O2978" s="75"/>
      <c r="P2978" s="74"/>
      <c r="Q2978" s="75"/>
      <c r="R2978" s="74"/>
      <c r="S2978" s="74"/>
      <c r="T2978" s="74"/>
      <c r="U2978" s="75"/>
      <c r="V2978" s="74"/>
      <c r="W2978" s="75"/>
      <c r="X2978" s="74"/>
      <c r="Y2978" s="74"/>
      <c r="Z2978" s="74"/>
      <c r="AA2978" s="74"/>
      <c r="AB2978" s="74"/>
      <c r="AC2978" s="74"/>
      <c r="AD2978" s="74"/>
      <c r="AE2978" s="74"/>
      <c r="AF2978" s="74"/>
      <c r="AG2978" s="74"/>
      <c r="AH2978" s="74"/>
    </row>
    <row r="2979" s="73" customFormat="1" spans="1:34">
      <c r="A2979" s="74"/>
      <c r="B2979" s="74"/>
      <c r="C2979" s="74"/>
      <c r="D2979" s="74"/>
      <c r="E2979" s="74"/>
      <c r="F2979" s="74"/>
      <c r="G2979" s="74"/>
      <c r="H2979" s="74"/>
      <c r="I2979" s="74"/>
      <c r="J2979" s="74"/>
      <c r="K2979" s="74"/>
      <c r="L2979" s="74"/>
      <c r="M2979" s="74"/>
      <c r="N2979" s="74"/>
      <c r="O2979" s="75"/>
      <c r="P2979" s="74"/>
      <c r="Q2979" s="75"/>
      <c r="R2979" s="74"/>
      <c r="S2979" s="74"/>
      <c r="T2979" s="74"/>
      <c r="U2979" s="75"/>
      <c r="V2979" s="74"/>
      <c r="W2979" s="75"/>
      <c r="X2979" s="74"/>
      <c r="Y2979" s="74"/>
      <c r="Z2979" s="74"/>
      <c r="AA2979" s="74"/>
      <c r="AB2979" s="74"/>
      <c r="AC2979" s="74"/>
      <c r="AD2979" s="74"/>
      <c r="AE2979" s="74"/>
      <c r="AF2979" s="74"/>
      <c r="AG2979" s="74"/>
      <c r="AH2979" s="74"/>
    </row>
    <row r="2980" s="73" customFormat="1" spans="1:34">
      <c r="A2980" s="74"/>
      <c r="B2980" s="74"/>
      <c r="C2980" s="74"/>
      <c r="D2980" s="74"/>
      <c r="E2980" s="74"/>
      <c r="F2980" s="74"/>
      <c r="G2980" s="74"/>
      <c r="H2980" s="74"/>
      <c r="I2980" s="74"/>
      <c r="J2980" s="74"/>
      <c r="K2980" s="74"/>
      <c r="L2980" s="74"/>
      <c r="M2980" s="74"/>
      <c r="N2980" s="74"/>
      <c r="O2980" s="75"/>
      <c r="P2980" s="74"/>
      <c r="Q2980" s="75"/>
      <c r="R2980" s="74"/>
      <c r="S2980" s="74"/>
      <c r="T2980" s="74"/>
      <c r="U2980" s="75"/>
      <c r="V2980" s="74"/>
      <c r="W2980" s="75"/>
      <c r="X2980" s="74"/>
      <c r="Y2980" s="74"/>
      <c r="Z2980" s="74"/>
      <c r="AA2980" s="74"/>
      <c r="AB2980" s="74"/>
      <c r="AC2980" s="74"/>
      <c r="AD2980" s="74"/>
      <c r="AE2980" s="74"/>
      <c r="AF2980" s="74"/>
      <c r="AG2980" s="74"/>
      <c r="AH2980" s="74"/>
    </row>
    <row r="2981" s="73" customFormat="1" spans="1:34">
      <c r="A2981" s="74"/>
      <c r="B2981" s="74"/>
      <c r="C2981" s="74"/>
      <c r="D2981" s="74"/>
      <c r="E2981" s="74"/>
      <c r="F2981" s="74"/>
      <c r="G2981" s="74"/>
      <c r="H2981" s="74"/>
      <c r="I2981" s="74"/>
      <c r="J2981" s="74"/>
      <c r="K2981" s="74"/>
      <c r="L2981" s="74"/>
      <c r="M2981" s="74"/>
      <c r="N2981" s="74"/>
      <c r="O2981" s="75"/>
      <c r="P2981" s="74"/>
      <c r="Q2981" s="75"/>
      <c r="R2981" s="74"/>
      <c r="S2981" s="74"/>
      <c r="T2981" s="74"/>
      <c r="U2981" s="75"/>
      <c r="V2981" s="74"/>
      <c r="W2981" s="75"/>
      <c r="X2981" s="74"/>
      <c r="Y2981" s="74"/>
      <c r="Z2981" s="74"/>
      <c r="AA2981" s="74"/>
      <c r="AB2981" s="74"/>
      <c r="AC2981" s="74"/>
      <c r="AD2981" s="74"/>
      <c r="AE2981" s="74"/>
      <c r="AF2981" s="74"/>
      <c r="AG2981" s="74"/>
      <c r="AH2981" s="74"/>
    </row>
    <row r="2982" s="73" customFormat="1" spans="1:34">
      <c r="A2982" s="74"/>
      <c r="B2982" s="74"/>
      <c r="C2982" s="74"/>
      <c r="D2982" s="74"/>
      <c r="E2982" s="74"/>
      <c r="F2982" s="74"/>
      <c r="G2982" s="74"/>
      <c r="H2982" s="74"/>
      <c r="I2982" s="74"/>
      <c r="J2982" s="74"/>
      <c r="K2982" s="74"/>
      <c r="L2982" s="74"/>
      <c r="M2982" s="74"/>
      <c r="N2982" s="74"/>
      <c r="O2982" s="75"/>
      <c r="P2982" s="74"/>
      <c r="Q2982" s="75"/>
      <c r="R2982" s="74"/>
      <c r="S2982" s="74"/>
      <c r="T2982" s="74"/>
      <c r="U2982" s="75"/>
      <c r="V2982" s="74"/>
      <c r="W2982" s="75"/>
      <c r="X2982" s="74"/>
      <c r="Y2982" s="74"/>
      <c r="Z2982" s="74"/>
      <c r="AA2982" s="74"/>
      <c r="AB2982" s="74"/>
      <c r="AC2982" s="74"/>
      <c r="AD2982" s="74"/>
      <c r="AE2982" s="74"/>
      <c r="AF2982" s="74"/>
      <c r="AG2982" s="74"/>
      <c r="AH2982" s="74"/>
    </row>
    <row r="2983" s="73" customFormat="1" spans="1:34">
      <c r="A2983" s="74"/>
      <c r="B2983" s="74"/>
      <c r="C2983" s="74"/>
      <c r="D2983" s="74"/>
      <c r="E2983" s="74"/>
      <c r="F2983" s="74"/>
      <c r="G2983" s="74"/>
      <c r="H2983" s="74"/>
      <c r="I2983" s="74"/>
      <c r="J2983" s="74"/>
      <c r="K2983" s="74"/>
      <c r="L2983" s="74"/>
      <c r="M2983" s="74"/>
      <c r="N2983" s="74"/>
      <c r="O2983" s="75"/>
      <c r="P2983" s="74"/>
      <c r="Q2983" s="75"/>
      <c r="R2983" s="74"/>
      <c r="S2983" s="74"/>
      <c r="T2983" s="74"/>
      <c r="U2983" s="75"/>
      <c r="V2983" s="74"/>
      <c r="W2983" s="75"/>
      <c r="X2983" s="74"/>
      <c r="Y2983" s="74"/>
      <c r="Z2983" s="74"/>
      <c r="AA2983" s="74"/>
      <c r="AB2983" s="74"/>
      <c r="AC2983" s="74"/>
      <c r="AD2983" s="74"/>
      <c r="AE2983" s="74"/>
      <c r="AF2983" s="74"/>
      <c r="AG2983" s="74"/>
      <c r="AH2983" s="74"/>
    </row>
    <row r="2984" s="73" customFormat="1" spans="1:34">
      <c r="A2984" s="74"/>
      <c r="B2984" s="74"/>
      <c r="C2984" s="74"/>
      <c r="D2984" s="74"/>
      <c r="E2984" s="74"/>
      <c r="F2984" s="74"/>
      <c r="G2984" s="74"/>
      <c r="H2984" s="74"/>
      <c r="I2984" s="74"/>
      <c r="J2984" s="74"/>
      <c r="K2984" s="74"/>
      <c r="L2984" s="74"/>
      <c r="M2984" s="74"/>
      <c r="N2984" s="74"/>
      <c r="O2984" s="75"/>
      <c r="P2984" s="74"/>
      <c r="Q2984" s="75"/>
      <c r="R2984" s="74"/>
      <c r="S2984" s="74"/>
      <c r="T2984" s="74"/>
      <c r="U2984" s="75"/>
      <c r="V2984" s="74"/>
      <c r="W2984" s="75"/>
      <c r="X2984" s="74"/>
      <c r="Y2984" s="74"/>
      <c r="Z2984" s="74"/>
      <c r="AA2984" s="74"/>
      <c r="AB2984" s="74"/>
      <c r="AC2984" s="74"/>
      <c r="AD2984" s="74"/>
      <c r="AE2984" s="74"/>
      <c r="AF2984" s="74"/>
      <c r="AG2984" s="74"/>
      <c r="AH2984" s="74"/>
    </row>
    <row r="2985" s="73" customFormat="1" spans="1:34">
      <c r="A2985" s="74"/>
      <c r="B2985" s="74"/>
      <c r="C2985" s="74"/>
      <c r="D2985" s="74"/>
      <c r="E2985" s="74"/>
      <c r="F2985" s="74"/>
      <c r="G2985" s="74"/>
      <c r="H2985" s="74"/>
      <c r="I2985" s="74"/>
      <c r="J2985" s="74"/>
      <c r="K2985" s="74"/>
      <c r="L2985" s="74"/>
      <c r="M2985" s="74"/>
      <c r="N2985" s="74"/>
      <c r="O2985" s="75"/>
      <c r="P2985" s="74"/>
      <c r="Q2985" s="75"/>
      <c r="R2985" s="74"/>
      <c r="S2985" s="74"/>
      <c r="T2985" s="74"/>
      <c r="U2985" s="75"/>
      <c r="V2985" s="74"/>
      <c r="W2985" s="75"/>
      <c r="X2985" s="74"/>
      <c r="Y2985" s="74"/>
      <c r="Z2985" s="74"/>
      <c r="AA2985" s="74"/>
      <c r="AB2985" s="74"/>
      <c r="AC2985" s="74"/>
      <c r="AD2985" s="74"/>
      <c r="AE2985" s="74"/>
      <c r="AF2985" s="74"/>
      <c r="AG2985" s="74"/>
      <c r="AH2985" s="74"/>
    </row>
    <row r="2986" s="73" customFormat="1" spans="1:34">
      <c r="A2986" s="74"/>
      <c r="B2986" s="74"/>
      <c r="C2986" s="74"/>
      <c r="D2986" s="74"/>
      <c r="E2986" s="74"/>
      <c r="F2986" s="74"/>
      <c r="G2986" s="74"/>
      <c r="H2986" s="74"/>
      <c r="I2986" s="74"/>
      <c r="J2986" s="74"/>
      <c r="K2986" s="74"/>
      <c r="L2986" s="74"/>
      <c r="M2986" s="74"/>
      <c r="N2986" s="74"/>
      <c r="O2986" s="75"/>
      <c r="P2986" s="74"/>
      <c r="Q2986" s="75"/>
      <c r="R2986" s="74"/>
      <c r="S2986" s="74"/>
      <c r="T2986" s="74"/>
      <c r="U2986" s="75"/>
      <c r="V2986" s="74"/>
      <c r="W2986" s="75"/>
      <c r="X2986" s="74"/>
      <c r="Y2986" s="74"/>
      <c r="Z2986" s="74"/>
      <c r="AA2986" s="74"/>
      <c r="AB2986" s="74"/>
      <c r="AC2986" s="74"/>
      <c r="AD2986" s="74"/>
      <c r="AE2986" s="74"/>
      <c r="AF2986" s="74"/>
      <c r="AG2986" s="74"/>
      <c r="AH2986" s="74"/>
    </row>
    <row r="2987" s="73" customFormat="1" spans="1:34">
      <c r="A2987" s="74"/>
      <c r="B2987" s="74"/>
      <c r="C2987" s="74"/>
      <c r="D2987" s="74"/>
      <c r="E2987" s="74"/>
      <c r="F2987" s="74"/>
      <c r="G2987" s="74"/>
      <c r="H2987" s="74"/>
      <c r="I2987" s="74"/>
      <c r="J2987" s="74"/>
      <c r="K2987" s="74"/>
      <c r="L2987" s="74"/>
      <c r="M2987" s="74"/>
      <c r="N2987" s="74"/>
      <c r="O2987" s="75"/>
      <c r="P2987" s="74"/>
      <c r="Q2987" s="75"/>
      <c r="R2987" s="74"/>
      <c r="S2987" s="74"/>
      <c r="T2987" s="74"/>
      <c r="U2987" s="75"/>
      <c r="V2987" s="74"/>
      <c r="W2987" s="75"/>
      <c r="X2987" s="74"/>
      <c r="Y2987" s="74"/>
      <c r="Z2987" s="74"/>
      <c r="AA2987" s="74"/>
      <c r="AB2987" s="74"/>
      <c r="AC2987" s="74"/>
      <c r="AD2987" s="74"/>
      <c r="AE2987" s="74"/>
      <c r="AF2987" s="74"/>
      <c r="AG2987" s="74"/>
      <c r="AH2987" s="74"/>
    </row>
    <row r="2988" s="73" customFormat="1" spans="1:34">
      <c r="A2988" s="74"/>
      <c r="B2988" s="74"/>
      <c r="C2988" s="74"/>
      <c r="D2988" s="74"/>
      <c r="E2988" s="74"/>
      <c r="F2988" s="74"/>
      <c r="G2988" s="74"/>
      <c r="H2988" s="74"/>
      <c r="I2988" s="74"/>
      <c r="J2988" s="74"/>
      <c r="K2988" s="74"/>
      <c r="L2988" s="74"/>
      <c r="M2988" s="74"/>
      <c r="N2988" s="74"/>
      <c r="O2988" s="75"/>
      <c r="P2988" s="74"/>
      <c r="Q2988" s="75"/>
      <c r="R2988" s="74"/>
      <c r="S2988" s="74"/>
      <c r="T2988" s="74"/>
      <c r="U2988" s="75"/>
      <c r="V2988" s="74"/>
      <c r="W2988" s="75"/>
      <c r="X2988" s="74"/>
      <c r="Y2988" s="74"/>
      <c r="Z2988" s="74"/>
      <c r="AA2988" s="74"/>
      <c r="AB2988" s="74"/>
      <c r="AC2988" s="74"/>
      <c r="AD2988" s="74"/>
      <c r="AE2988" s="74"/>
      <c r="AF2988" s="74"/>
      <c r="AG2988" s="74"/>
      <c r="AH2988" s="74"/>
    </row>
    <row r="2989" s="73" customFormat="1" spans="1:34">
      <c r="A2989" s="74"/>
      <c r="B2989" s="74"/>
      <c r="C2989" s="74"/>
      <c r="D2989" s="74"/>
      <c r="E2989" s="74"/>
      <c r="F2989" s="74"/>
      <c r="G2989" s="74"/>
      <c r="H2989" s="74"/>
      <c r="I2989" s="74"/>
      <c r="J2989" s="74"/>
      <c r="K2989" s="74"/>
      <c r="L2989" s="74"/>
      <c r="M2989" s="74"/>
      <c r="N2989" s="74"/>
      <c r="O2989" s="75"/>
      <c r="P2989" s="74"/>
      <c r="Q2989" s="75"/>
      <c r="R2989" s="74"/>
      <c r="S2989" s="74"/>
      <c r="T2989" s="74"/>
      <c r="U2989" s="75"/>
      <c r="V2989" s="74"/>
      <c r="W2989" s="75"/>
      <c r="X2989" s="74"/>
      <c r="Y2989" s="74"/>
      <c r="Z2989" s="74"/>
      <c r="AA2989" s="74"/>
      <c r="AB2989" s="74"/>
      <c r="AC2989" s="74"/>
      <c r="AD2989" s="74"/>
      <c r="AE2989" s="74"/>
      <c r="AF2989" s="74"/>
      <c r="AG2989" s="74"/>
      <c r="AH2989" s="74"/>
    </row>
    <row r="2990" s="73" customFormat="1" spans="1:34">
      <c r="A2990" s="74"/>
      <c r="B2990" s="74"/>
      <c r="C2990" s="74"/>
      <c r="D2990" s="74"/>
      <c r="E2990" s="74"/>
      <c r="F2990" s="74"/>
      <c r="G2990" s="74"/>
      <c r="H2990" s="74"/>
      <c r="I2990" s="74"/>
      <c r="J2990" s="74"/>
      <c r="K2990" s="74"/>
      <c r="L2990" s="74"/>
      <c r="M2990" s="74"/>
      <c r="N2990" s="74"/>
      <c r="O2990" s="75"/>
      <c r="P2990" s="74"/>
      <c r="Q2990" s="75"/>
      <c r="R2990" s="74"/>
      <c r="S2990" s="74"/>
      <c r="T2990" s="74"/>
      <c r="U2990" s="75"/>
      <c r="V2990" s="74"/>
      <c r="W2990" s="75"/>
      <c r="X2990" s="74"/>
      <c r="Y2990" s="74"/>
      <c r="Z2990" s="74"/>
      <c r="AA2990" s="74"/>
      <c r="AB2990" s="74"/>
      <c r="AC2990" s="74"/>
      <c r="AD2990" s="74"/>
      <c r="AE2990" s="74"/>
      <c r="AF2990" s="74"/>
      <c r="AG2990" s="74"/>
      <c r="AH2990" s="74"/>
    </row>
    <row r="2991" s="73" customFormat="1" spans="1:34">
      <c r="A2991" s="74"/>
      <c r="B2991" s="74"/>
      <c r="C2991" s="74"/>
      <c r="D2991" s="74"/>
      <c r="E2991" s="74"/>
      <c r="F2991" s="74"/>
      <c r="G2991" s="74"/>
      <c r="H2991" s="74"/>
      <c r="I2991" s="74"/>
      <c r="J2991" s="74"/>
      <c r="K2991" s="74"/>
      <c r="L2991" s="74"/>
      <c r="M2991" s="74"/>
      <c r="N2991" s="74"/>
      <c r="O2991" s="75"/>
      <c r="P2991" s="74"/>
      <c r="Q2991" s="75"/>
      <c r="R2991" s="74"/>
      <c r="S2991" s="74"/>
      <c r="T2991" s="74"/>
      <c r="U2991" s="75"/>
      <c r="V2991" s="74"/>
      <c r="W2991" s="75"/>
      <c r="X2991" s="74"/>
      <c r="Y2991" s="74"/>
      <c r="Z2991" s="74"/>
      <c r="AA2991" s="74"/>
      <c r="AB2991" s="74"/>
      <c r="AC2991" s="74"/>
      <c r="AD2991" s="74"/>
      <c r="AE2991" s="74"/>
      <c r="AF2991" s="74"/>
      <c r="AG2991" s="74"/>
      <c r="AH2991" s="74"/>
    </row>
    <row r="2992" s="73" customFormat="1" spans="1:34">
      <c r="A2992" s="74"/>
      <c r="B2992" s="74"/>
      <c r="C2992" s="74"/>
      <c r="D2992" s="74"/>
      <c r="E2992" s="74"/>
      <c r="F2992" s="74"/>
      <c r="G2992" s="74"/>
      <c r="H2992" s="74"/>
      <c r="I2992" s="74"/>
      <c r="J2992" s="74"/>
      <c r="K2992" s="74"/>
      <c r="L2992" s="74"/>
      <c r="M2992" s="74"/>
      <c r="N2992" s="74"/>
      <c r="O2992" s="75"/>
      <c r="P2992" s="74"/>
      <c r="Q2992" s="75"/>
      <c r="R2992" s="74"/>
      <c r="S2992" s="74"/>
      <c r="T2992" s="74"/>
      <c r="U2992" s="75"/>
      <c r="V2992" s="74"/>
      <c r="W2992" s="75"/>
      <c r="X2992" s="74"/>
      <c r="Y2992" s="74"/>
      <c r="Z2992" s="74"/>
      <c r="AA2992" s="74"/>
      <c r="AB2992" s="74"/>
      <c r="AC2992" s="74"/>
      <c r="AD2992" s="74"/>
      <c r="AE2992" s="74"/>
      <c r="AF2992" s="74"/>
      <c r="AG2992" s="74"/>
      <c r="AH2992" s="74"/>
    </row>
    <row r="2993" s="73" customFormat="1" spans="1:34">
      <c r="A2993" s="74"/>
      <c r="B2993" s="74"/>
      <c r="C2993" s="74"/>
      <c r="D2993" s="74"/>
      <c r="E2993" s="74"/>
      <c r="F2993" s="74"/>
      <c r="G2993" s="74"/>
      <c r="H2993" s="74"/>
      <c r="I2993" s="74"/>
      <c r="J2993" s="74"/>
      <c r="K2993" s="74"/>
      <c r="L2993" s="74"/>
      <c r="M2993" s="74"/>
      <c r="N2993" s="74"/>
      <c r="O2993" s="75"/>
      <c r="P2993" s="74"/>
      <c r="Q2993" s="75"/>
      <c r="R2993" s="74"/>
      <c r="S2993" s="74"/>
      <c r="T2993" s="74"/>
      <c r="U2993" s="75"/>
      <c r="V2993" s="74"/>
      <c r="W2993" s="75"/>
      <c r="X2993" s="74"/>
      <c r="Y2993" s="74"/>
      <c r="Z2993" s="74"/>
      <c r="AA2993" s="74"/>
      <c r="AB2993" s="74"/>
      <c r="AC2993" s="74"/>
      <c r="AD2993" s="74"/>
      <c r="AE2993" s="74"/>
      <c r="AF2993" s="74"/>
      <c r="AG2993" s="74"/>
      <c r="AH2993" s="74"/>
    </row>
    <row r="2994" s="73" customFormat="1" spans="1:34">
      <c r="A2994" s="74"/>
      <c r="B2994" s="74"/>
      <c r="C2994" s="74"/>
      <c r="D2994" s="74"/>
      <c r="E2994" s="74"/>
      <c r="F2994" s="74"/>
      <c r="G2994" s="74"/>
      <c r="H2994" s="74"/>
      <c r="I2994" s="74"/>
      <c r="J2994" s="74"/>
      <c r="K2994" s="74"/>
      <c r="L2994" s="74"/>
      <c r="M2994" s="74"/>
      <c r="N2994" s="74"/>
      <c r="O2994" s="75"/>
      <c r="P2994" s="74"/>
      <c r="Q2994" s="75"/>
      <c r="R2994" s="74"/>
      <c r="S2994" s="74"/>
      <c r="T2994" s="74"/>
      <c r="U2994" s="75"/>
      <c r="V2994" s="74"/>
      <c r="W2994" s="75"/>
      <c r="X2994" s="74"/>
      <c r="Y2994" s="74"/>
      <c r="Z2994" s="74"/>
      <c r="AA2994" s="74"/>
      <c r="AB2994" s="74"/>
      <c r="AC2994" s="74"/>
      <c r="AD2994" s="74"/>
      <c r="AE2994" s="74"/>
      <c r="AF2994" s="74"/>
      <c r="AG2994" s="74"/>
      <c r="AH2994" s="74"/>
    </row>
    <row r="2995" s="73" customFormat="1" spans="1:34">
      <c r="A2995" s="74"/>
      <c r="B2995" s="74"/>
      <c r="C2995" s="74"/>
      <c r="D2995" s="74"/>
      <c r="E2995" s="74"/>
      <c r="F2995" s="74"/>
      <c r="G2995" s="74"/>
      <c r="H2995" s="74"/>
      <c r="I2995" s="74"/>
      <c r="J2995" s="74"/>
      <c r="K2995" s="74"/>
      <c r="L2995" s="74"/>
      <c r="M2995" s="74"/>
      <c r="N2995" s="74"/>
      <c r="O2995" s="75"/>
      <c r="P2995" s="74"/>
      <c r="Q2995" s="75"/>
      <c r="R2995" s="74"/>
      <c r="S2995" s="74"/>
      <c r="T2995" s="74"/>
      <c r="U2995" s="75"/>
      <c r="V2995" s="74"/>
      <c r="W2995" s="75"/>
      <c r="X2995" s="74"/>
      <c r="Y2995" s="74"/>
      <c r="Z2995" s="74"/>
      <c r="AA2995" s="74"/>
      <c r="AB2995" s="74"/>
      <c r="AC2995" s="74"/>
      <c r="AD2995" s="74"/>
      <c r="AE2995" s="74"/>
      <c r="AF2995" s="74"/>
      <c r="AG2995" s="74"/>
      <c r="AH2995" s="74"/>
    </row>
    <row r="2996" s="73" customFormat="1" spans="1:34">
      <c r="A2996" s="74"/>
      <c r="B2996" s="74"/>
      <c r="C2996" s="74"/>
      <c r="D2996" s="74"/>
      <c r="E2996" s="74"/>
      <c r="F2996" s="74"/>
      <c r="G2996" s="74"/>
      <c r="H2996" s="74"/>
      <c r="I2996" s="74"/>
      <c r="J2996" s="74"/>
      <c r="K2996" s="74"/>
      <c r="L2996" s="74"/>
      <c r="M2996" s="74"/>
      <c r="N2996" s="74"/>
      <c r="O2996" s="75"/>
      <c r="P2996" s="74"/>
      <c r="Q2996" s="75"/>
      <c r="R2996" s="74"/>
      <c r="S2996" s="74"/>
      <c r="T2996" s="74"/>
      <c r="U2996" s="75"/>
      <c r="V2996" s="74"/>
      <c r="W2996" s="75"/>
      <c r="X2996" s="74"/>
      <c r="Y2996" s="74"/>
      <c r="Z2996" s="74"/>
      <c r="AA2996" s="74"/>
      <c r="AB2996" s="74"/>
      <c r="AC2996" s="74"/>
      <c r="AD2996" s="74"/>
      <c r="AE2996" s="74"/>
      <c r="AF2996" s="74"/>
      <c r="AG2996" s="74"/>
      <c r="AH2996" s="74"/>
    </row>
    <row r="2997" s="73" customFormat="1" spans="1:34">
      <c r="A2997" s="74"/>
      <c r="B2997" s="74"/>
      <c r="C2997" s="74"/>
      <c r="D2997" s="74"/>
      <c r="E2997" s="74"/>
      <c r="F2997" s="74"/>
      <c r="G2997" s="74"/>
      <c r="H2997" s="74"/>
      <c r="I2997" s="74"/>
      <c r="J2997" s="74"/>
      <c r="K2997" s="74"/>
      <c r="L2997" s="74"/>
      <c r="M2997" s="74"/>
      <c r="N2997" s="74"/>
      <c r="O2997" s="75"/>
      <c r="P2997" s="74"/>
      <c r="Q2997" s="75"/>
      <c r="R2997" s="74"/>
      <c r="S2997" s="74"/>
      <c r="T2997" s="74"/>
      <c r="U2997" s="75"/>
      <c r="V2997" s="74"/>
      <c r="W2997" s="75"/>
      <c r="X2997" s="74"/>
      <c r="Y2997" s="74"/>
      <c r="Z2997" s="74"/>
      <c r="AA2997" s="74"/>
      <c r="AB2997" s="74"/>
      <c r="AC2997" s="74"/>
      <c r="AD2997" s="74"/>
      <c r="AE2997" s="74"/>
      <c r="AF2997" s="74"/>
      <c r="AG2997" s="74"/>
      <c r="AH2997" s="74"/>
    </row>
    <row r="2998" s="73" customFormat="1" spans="1:34">
      <c r="A2998" s="74"/>
      <c r="B2998" s="74"/>
      <c r="C2998" s="74"/>
      <c r="D2998" s="74"/>
      <c r="E2998" s="74"/>
      <c r="F2998" s="74"/>
      <c r="G2998" s="74"/>
      <c r="H2998" s="74"/>
      <c r="I2998" s="74"/>
      <c r="J2998" s="74"/>
      <c r="K2998" s="74"/>
      <c r="L2998" s="74"/>
      <c r="M2998" s="74"/>
      <c r="N2998" s="74"/>
      <c r="O2998" s="75"/>
      <c r="P2998" s="74"/>
      <c r="Q2998" s="75"/>
      <c r="R2998" s="74"/>
      <c r="S2998" s="74"/>
      <c r="T2998" s="74"/>
      <c r="U2998" s="75"/>
      <c r="V2998" s="74"/>
      <c r="W2998" s="75"/>
      <c r="X2998" s="74"/>
      <c r="Y2998" s="74"/>
      <c r="Z2998" s="74"/>
      <c r="AA2998" s="74"/>
      <c r="AB2998" s="74"/>
      <c r="AC2998" s="74"/>
      <c r="AD2998" s="74"/>
      <c r="AE2998" s="74"/>
      <c r="AF2998" s="74"/>
      <c r="AG2998" s="74"/>
      <c r="AH2998" s="74"/>
    </row>
    <row r="2999" s="73" customFormat="1" spans="1:34">
      <c r="A2999" s="74"/>
      <c r="B2999" s="74"/>
      <c r="C2999" s="74"/>
      <c r="D2999" s="74"/>
      <c r="E2999" s="74"/>
      <c r="F2999" s="74"/>
      <c r="G2999" s="74"/>
      <c r="H2999" s="74"/>
      <c r="I2999" s="74"/>
      <c r="J2999" s="74"/>
      <c r="K2999" s="74"/>
      <c r="L2999" s="74"/>
      <c r="M2999" s="74"/>
      <c r="N2999" s="74"/>
      <c r="O2999" s="75"/>
      <c r="P2999" s="74"/>
      <c r="Q2999" s="75"/>
      <c r="R2999" s="74"/>
      <c r="S2999" s="74"/>
      <c r="T2999" s="74"/>
      <c r="U2999" s="75"/>
      <c r="V2999" s="74"/>
      <c r="W2999" s="75"/>
      <c r="X2999" s="74"/>
      <c r="Y2999" s="74"/>
      <c r="Z2999" s="74"/>
      <c r="AA2999" s="74"/>
      <c r="AB2999" s="74"/>
      <c r="AC2999" s="74"/>
      <c r="AD2999" s="74"/>
      <c r="AE2999" s="74"/>
      <c r="AF2999" s="74"/>
      <c r="AG2999" s="74"/>
      <c r="AH2999" s="74"/>
    </row>
    <row r="3000" s="73" customFormat="1" spans="1:34">
      <c r="A3000" s="74"/>
      <c r="B3000" s="74"/>
      <c r="C3000" s="74"/>
      <c r="D3000" s="74"/>
      <c r="E3000" s="74"/>
      <c r="F3000" s="74"/>
      <c r="G3000" s="74"/>
      <c r="H3000" s="74"/>
      <c r="I3000" s="74"/>
      <c r="J3000" s="74"/>
      <c r="K3000" s="74"/>
      <c r="L3000" s="74"/>
      <c r="M3000" s="74"/>
      <c r="N3000" s="74"/>
      <c r="O3000" s="75"/>
      <c r="P3000" s="74"/>
      <c r="Q3000" s="75"/>
      <c r="R3000" s="74"/>
      <c r="S3000" s="74"/>
      <c r="T3000" s="74"/>
      <c r="U3000" s="75"/>
      <c r="V3000" s="74"/>
      <c r="W3000" s="75"/>
      <c r="X3000" s="74"/>
      <c r="Y3000" s="74"/>
      <c r="Z3000" s="74"/>
      <c r="AA3000" s="74"/>
      <c r="AB3000" s="74"/>
      <c r="AC3000" s="74"/>
      <c r="AD3000" s="74"/>
      <c r="AE3000" s="74"/>
      <c r="AF3000" s="74"/>
      <c r="AG3000" s="74"/>
      <c r="AH3000" s="74"/>
    </row>
    <row r="3001" s="73" customFormat="1" spans="1:34">
      <c r="A3001" s="74"/>
      <c r="B3001" s="74"/>
      <c r="C3001" s="74"/>
      <c r="D3001" s="74"/>
      <c r="E3001" s="74"/>
      <c r="F3001" s="74"/>
      <c r="G3001" s="74"/>
      <c r="H3001" s="74"/>
      <c r="I3001" s="74"/>
      <c r="J3001" s="74"/>
      <c r="K3001" s="74"/>
      <c r="L3001" s="74"/>
      <c r="M3001" s="74"/>
      <c r="N3001" s="74"/>
      <c r="O3001" s="75"/>
      <c r="P3001" s="74"/>
      <c r="Q3001" s="75"/>
      <c r="R3001" s="74"/>
      <c r="S3001" s="74"/>
      <c r="T3001" s="74"/>
      <c r="U3001" s="75"/>
      <c r="V3001" s="74"/>
      <c r="W3001" s="75"/>
      <c r="X3001" s="74"/>
      <c r="Y3001" s="74"/>
      <c r="Z3001" s="74"/>
      <c r="AA3001" s="74"/>
      <c r="AB3001" s="74"/>
      <c r="AC3001" s="74"/>
      <c r="AD3001" s="74"/>
      <c r="AE3001" s="74"/>
      <c r="AF3001" s="74"/>
      <c r="AG3001" s="74"/>
      <c r="AH3001" s="74"/>
    </row>
    <row r="3002" s="73" customFormat="1" spans="1:34">
      <c r="A3002" s="74"/>
      <c r="B3002" s="74"/>
      <c r="C3002" s="74"/>
      <c r="D3002" s="74"/>
      <c r="E3002" s="74"/>
      <c r="F3002" s="74"/>
      <c r="G3002" s="74"/>
      <c r="H3002" s="74"/>
      <c r="I3002" s="74"/>
      <c r="J3002" s="74"/>
      <c r="K3002" s="74"/>
      <c r="L3002" s="74"/>
      <c r="M3002" s="74"/>
      <c r="N3002" s="74"/>
      <c r="O3002" s="75"/>
      <c r="P3002" s="74"/>
      <c r="Q3002" s="75"/>
      <c r="R3002" s="74"/>
      <c r="S3002" s="74"/>
      <c r="T3002" s="74"/>
      <c r="U3002" s="75"/>
      <c r="V3002" s="74"/>
      <c r="W3002" s="75"/>
      <c r="X3002" s="74"/>
      <c r="Y3002" s="74"/>
      <c r="Z3002" s="74"/>
      <c r="AA3002" s="74"/>
      <c r="AB3002" s="74"/>
      <c r="AC3002" s="74"/>
      <c r="AD3002" s="74"/>
      <c r="AE3002" s="74"/>
      <c r="AF3002" s="74"/>
      <c r="AG3002" s="74"/>
      <c r="AH3002" s="74"/>
    </row>
    <row r="3003" s="73" customFormat="1" spans="1:34">
      <c r="A3003" s="74"/>
      <c r="B3003" s="74"/>
      <c r="C3003" s="74"/>
      <c r="D3003" s="74"/>
      <c r="E3003" s="74"/>
      <c r="F3003" s="74"/>
      <c r="G3003" s="74"/>
      <c r="H3003" s="74"/>
      <c r="I3003" s="74"/>
      <c r="J3003" s="74"/>
      <c r="K3003" s="74"/>
      <c r="L3003" s="74"/>
      <c r="M3003" s="74"/>
      <c r="N3003" s="74"/>
      <c r="O3003" s="75"/>
      <c r="P3003" s="74"/>
      <c r="Q3003" s="75"/>
      <c r="R3003" s="74"/>
      <c r="S3003" s="74"/>
      <c r="T3003" s="74"/>
      <c r="U3003" s="75"/>
      <c r="V3003" s="74"/>
      <c r="W3003" s="75"/>
      <c r="X3003" s="74"/>
      <c r="Y3003" s="74"/>
      <c r="Z3003" s="74"/>
      <c r="AA3003" s="74"/>
      <c r="AB3003" s="74"/>
      <c r="AC3003" s="74"/>
      <c r="AD3003" s="74"/>
      <c r="AE3003" s="74"/>
      <c r="AF3003" s="74"/>
      <c r="AG3003" s="74"/>
      <c r="AH3003" s="74"/>
    </row>
    <row r="3004" s="73" customFormat="1" spans="1:34">
      <c r="A3004" s="74"/>
      <c r="B3004" s="74"/>
      <c r="C3004" s="74"/>
      <c r="D3004" s="74"/>
      <c r="E3004" s="74"/>
      <c r="F3004" s="74"/>
      <c r="G3004" s="74"/>
      <c r="H3004" s="74"/>
      <c r="I3004" s="74"/>
      <c r="J3004" s="74"/>
      <c r="K3004" s="74"/>
      <c r="L3004" s="74"/>
      <c r="M3004" s="74"/>
      <c r="N3004" s="74"/>
      <c r="O3004" s="75"/>
      <c r="P3004" s="74"/>
      <c r="Q3004" s="75"/>
      <c r="R3004" s="74"/>
      <c r="S3004" s="74"/>
      <c r="T3004" s="74"/>
      <c r="U3004" s="75"/>
      <c r="V3004" s="74"/>
      <c r="W3004" s="75"/>
      <c r="X3004" s="74"/>
      <c r="Y3004" s="74"/>
      <c r="Z3004" s="74"/>
      <c r="AA3004" s="74"/>
      <c r="AB3004" s="74"/>
      <c r="AC3004" s="74"/>
      <c r="AD3004" s="74"/>
      <c r="AE3004" s="74"/>
      <c r="AF3004" s="74"/>
      <c r="AG3004" s="74"/>
      <c r="AH3004" s="74"/>
    </row>
    <row r="3005" s="73" customFormat="1" spans="1:34">
      <c r="A3005" s="74"/>
      <c r="B3005" s="74"/>
      <c r="C3005" s="74"/>
      <c r="D3005" s="74"/>
      <c r="E3005" s="74"/>
      <c r="F3005" s="74"/>
      <c r="G3005" s="74"/>
      <c r="H3005" s="74"/>
      <c r="I3005" s="74"/>
      <c r="J3005" s="74"/>
      <c r="K3005" s="74"/>
      <c r="L3005" s="74"/>
      <c r="M3005" s="74"/>
      <c r="N3005" s="74"/>
      <c r="O3005" s="75"/>
      <c r="P3005" s="74"/>
      <c r="Q3005" s="75"/>
      <c r="R3005" s="74"/>
      <c r="S3005" s="74"/>
      <c r="T3005" s="74"/>
      <c r="U3005" s="75"/>
      <c r="V3005" s="74"/>
      <c r="W3005" s="75"/>
      <c r="X3005" s="74"/>
      <c r="Y3005" s="74"/>
      <c r="Z3005" s="74"/>
      <c r="AA3005" s="74"/>
      <c r="AB3005" s="74"/>
      <c r="AC3005" s="74"/>
      <c r="AD3005" s="74"/>
      <c r="AE3005" s="74"/>
      <c r="AF3005" s="74"/>
      <c r="AG3005" s="74"/>
      <c r="AH3005" s="74"/>
    </row>
    <row r="3006" s="73" customFormat="1" spans="1:34">
      <c r="A3006" s="74"/>
      <c r="B3006" s="74"/>
      <c r="C3006" s="74"/>
      <c r="D3006" s="74"/>
      <c r="E3006" s="74"/>
      <c r="F3006" s="74"/>
      <c r="G3006" s="74"/>
      <c r="H3006" s="74"/>
      <c r="I3006" s="74"/>
      <c r="J3006" s="74"/>
      <c r="K3006" s="74"/>
      <c r="L3006" s="74"/>
      <c r="M3006" s="74"/>
      <c r="N3006" s="74"/>
      <c r="O3006" s="75"/>
      <c r="P3006" s="74"/>
      <c r="Q3006" s="75"/>
      <c r="R3006" s="74"/>
      <c r="S3006" s="74"/>
      <c r="T3006" s="74"/>
      <c r="U3006" s="75"/>
      <c r="V3006" s="74"/>
      <c r="W3006" s="75"/>
      <c r="X3006" s="74"/>
      <c r="Y3006" s="74"/>
      <c r="Z3006" s="74"/>
      <c r="AA3006" s="74"/>
      <c r="AB3006" s="74"/>
      <c r="AC3006" s="74"/>
      <c r="AD3006" s="74"/>
      <c r="AE3006" s="74"/>
      <c r="AF3006" s="74"/>
      <c r="AG3006" s="74"/>
      <c r="AH3006" s="74"/>
    </row>
    <row r="3007" s="73" customFormat="1" spans="1:34">
      <c r="A3007" s="74"/>
      <c r="B3007" s="74"/>
      <c r="C3007" s="74"/>
      <c r="D3007" s="74"/>
      <c r="E3007" s="74"/>
      <c r="F3007" s="74"/>
      <c r="G3007" s="74"/>
      <c r="H3007" s="74"/>
      <c r="I3007" s="74"/>
      <c r="J3007" s="74"/>
      <c r="K3007" s="74"/>
      <c r="L3007" s="74"/>
      <c r="M3007" s="74"/>
      <c r="N3007" s="74"/>
      <c r="O3007" s="75"/>
      <c r="P3007" s="74"/>
      <c r="Q3007" s="75"/>
      <c r="R3007" s="74"/>
      <c r="S3007" s="74"/>
      <c r="T3007" s="74"/>
      <c r="U3007" s="75"/>
      <c r="V3007" s="74"/>
      <c r="W3007" s="75"/>
      <c r="X3007" s="74"/>
      <c r="Y3007" s="74"/>
      <c r="Z3007" s="74"/>
      <c r="AA3007" s="74"/>
      <c r="AB3007" s="74"/>
      <c r="AC3007" s="74"/>
      <c r="AD3007" s="74"/>
      <c r="AE3007" s="74"/>
      <c r="AF3007" s="74"/>
      <c r="AG3007" s="74"/>
      <c r="AH3007" s="74"/>
    </row>
    <row r="3008" s="73" customFormat="1" spans="1:34">
      <c r="A3008" s="74"/>
      <c r="B3008" s="74"/>
      <c r="C3008" s="74"/>
      <c r="D3008" s="74"/>
      <c r="E3008" s="74"/>
      <c r="F3008" s="74"/>
      <c r="G3008" s="74"/>
      <c r="H3008" s="74"/>
      <c r="I3008" s="74"/>
      <c r="J3008" s="74"/>
      <c r="K3008" s="74"/>
      <c r="L3008" s="74"/>
      <c r="M3008" s="74"/>
      <c r="N3008" s="74"/>
      <c r="O3008" s="75"/>
      <c r="P3008" s="74"/>
      <c r="Q3008" s="75"/>
      <c r="R3008" s="74"/>
      <c r="S3008" s="74"/>
      <c r="T3008" s="74"/>
      <c r="U3008" s="75"/>
      <c r="V3008" s="74"/>
      <c r="W3008" s="75"/>
      <c r="X3008" s="74"/>
      <c r="Y3008" s="74"/>
      <c r="Z3008" s="74"/>
      <c r="AA3008" s="74"/>
      <c r="AB3008" s="74"/>
      <c r="AC3008" s="74"/>
      <c r="AD3008" s="74"/>
      <c r="AE3008" s="74"/>
      <c r="AF3008" s="74"/>
      <c r="AG3008" s="74"/>
      <c r="AH3008" s="74"/>
    </row>
    <row r="3009" s="73" customFormat="1" spans="1:34">
      <c r="A3009" s="74"/>
      <c r="B3009" s="74"/>
      <c r="C3009" s="74"/>
      <c r="D3009" s="74"/>
      <c r="E3009" s="74"/>
      <c r="F3009" s="74"/>
      <c r="G3009" s="74"/>
      <c r="H3009" s="74"/>
      <c r="I3009" s="74"/>
      <c r="J3009" s="74"/>
      <c r="K3009" s="74"/>
      <c r="L3009" s="74"/>
      <c r="M3009" s="74"/>
      <c r="N3009" s="74"/>
      <c r="O3009" s="75"/>
      <c r="P3009" s="74"/>
      <c r="Q3009" s="75"/>
      <c r="R3009" s="74"/>
      <c r="S3009" s="74"/>
      <c r="T3009" s="74"/>
      <c r="U3009" s="75"/>
      <c r="V3009" s="74"/>
      <c r="W3009" s="75"/>
      <c r="X3009" s="74"/>
      <c r="Y3009" s="74"/>
      <c r="Z3009" s="74"/>
      <c r="AA3009" s="74"/>
      <c r="AB3009" s="74"/>
      <c r="AC3009" s="74"/>
      <c r="AD3009" s="74"/>
      <c r="AE3009" s="74"/>
      <c r="AF3009" s="74"/>
      <c r="AG3009" s="74"/>
      <c r="AH3009" s="74"/>
    </row>
    <row r="3010" s="73" customFormat="1" spans="1:34">
      <c r="A3010" s="74"/>
      <c r="B3010" s="74"/>
      <c r="C3010" s="74"/>
      <c r="D3010" s="74"/>
      <c r="E3010" s="74"/>
      <c r="F3010" s="74"/>
      <c r="G3010" s="74"/>
      <c r="H3010" s="74"/>
      <c r="I3010" s="74"/>
      <c r="J3010" s="74"/>
      <c r="K3010" s="74"/>
      <c r="L3010" s="74"/>
      <c r="M3010" s="74"/>
      <c r="N3010" s="74"/>
      <c r="O3010" s="75"/>
      <c r="P3010" s="74"/>
      <c r="Q3010" s="75"/>
      <c r="R3010" s="74"/>
      <c r="S3010" s="74"/>
      <c r="T3010" s="74"/>
      <c r="U3010" s="75"/>
      <c r="V3010" s="74"/>
      <c r="W3010" s="75"/>
      <c r="X3010" s="74"/>
      <c r="Y3010" s="74"/>
      <c r="Z3010" s="74"/>
      <c r="AA3010" s="74"/>
      <c r="AB3010" s="74"/>
      <c r="AC3010" s="74"/>
      <c r="AD3010" s="74"/>
      <c r="AE3010" s="74"/>
      <c r="AF3010" s="74"/>
      <c r="AG3010" s="74"/>
      <c r="AH3010" s="74"/>
    </row>
    <row r="3011" s="73" customFormat="1" spans="1:34">
      <c r="A3011" s="74"/>
      <c r="B3011" s="74"/>
      <c r="C3011" s="74"/>
      <c r="D3011" s="74"/>
      <c r="E3011" s="74"/>
      <c r="F3011" s="74"/>
      <c r="G3011" s="74"/>
      <c r="H3011" s="74"/>
      <c r="I3011" s="74"/>
      <c r="J3011" s="74"/>
      <c r="K3011" s="74"/>
      <c r="L3011" s="74"/>
      <c r="M3011" s="74"/>
      <c r="N3011" s="74"/>
      <c r="O3011" s="75"/>
      <c r="P3011" s="74"/>
      <c r="Q3011" s="75"/>
      <c r="R3011" s="74"/>
      <c r="S3011" s="74"/>
      <c r="T3011" s="74"/>
      <c r="U3011" s="75"/>
      <c r="V3011" s="74"/>
      <c r="W3011" s="75"/>
      <c r="X3011" s="74"/>
      <c r="Y3011" s="74"/>
      <c r="Z3011" s="74"/>
      <c r="AA3011" s="74"/>
      <c r="AB3011" s="74"/>
      <c r="AC3011" s="74"/>
      <c r="AD3011" s="74"/>
      <c r="AE3011" s="74"/>
      <c r="AF3011" s="74"/>
      <c r="AG3011" s="74"/>
      <c r="AH3011" s="74"/>
    </row>
    <row r="3012" s="73" customFormat="1" spans="1:34">
      <c r="A3012" s="74"/>
      <c r="B3012" s="74"/>
      <c r="C3012" s="74"/>
      <c r="D3012" s="74"/>
      <c r="E3012" s="74"/>
      <c r="F3012" s="74"/>
      <c r="G3012" s="74"/>
      <c r="H3012" s="74"/>
      <c r="I3012" s="74"/>
      <c r="J3012" s="74"/>
      <c r="K3012" s="74"/>
      <c r="L3012" s="74"/>
      <c r="M3012" s="74"/>
      <c r="N3012" s="74"/>
      <c r="O3012" s="75"/>
      <c r="P3012" s="74"/>
      <c r="Q3012" s="75"/>
      <c r="R3012" s="74"/>
      <c r="S3012" s="74"/>
      <c r="T3012" s="74"/>
      <c r="U3012" s="75"/>
      <c r="V3012" s="74"/>
      <c r="W3012" s="75"/>
      <c r="X3012" s="74"/>
      <c r="Y3012" s="74"/>
      <c r="Z3012" s="74"/>
      <c r="AA3012" s="74"/>
      <c r="AB3012" s="74"/>
      <c r="AC3012" s="74"/>
      <c r="AD3012" s="74"/>
      <c r="AE3012" s="74"/>
      <c r="AF3012" s="74"/>
      <c r="AG3012" s="74"/>
      <c r="AH3012" s="74"/>
    </row>
    <row r="3013" s="73" customFormat="1" spans="1:34">
      <c r="A3013" s="74"/>
      <c r="B3013" s="74"/>
      <c r="C3013" s="74"/>
      <c r="D3013" s="74"/>
      <c r="E3013" s="74"/>
      <c r="F3013" s="74"/>
      <c r="G3013" s="74"/>
      <c r="H3013" s="74"/>
      <c r="I3013" s="74"/>
      <c r="J3013" s="74"/>
      <c r="K3013" s="74"/>
      <c r="L3013" s="74"/>
      <c r="M3013" s="74"/>
      <c r="N3013" s="74"/>
      <c r="O3013" s="75"/>
      <c r="P3013" s="74"/>
      <c r="Q3013" s="75"/>
      <c r="R3013" s="74"/>
      <c r="S3013" s="74"/>
      <c r="T3013" s="74"/>
      <c r="U3013" s="75"/>
      <c r="V3013" s="74"/>
      <c r="W3013" s="75"/>
      <c r="X3013" s="74"/>
      <c r="Y3013" s="74"/>
      <c r="Z3013" s="74"/>
      <c r="AA3013" s="74"/>
      <c r="AB3013" s="74"/>
      <c r="AC3013" s="74"/>
      <c r="AD3013" s="74"/>
      <c r="AE3013" s="74"/>
      <c r="AF3013" s="74"/>
      <c r="AG3013" s="74"/>
      <c r="AH3013" s="74"/>
    </row>
    <row r="3014" s="73" customFormat="1" spans="1:34">
      <c r="A3014" s="74"/>
      <c r="B3014" s="74"/>
      <c r="C3014" s="74"/>
      <c r="D3014" s="74"/>
      <c r="E3014" s="74"/>
      <c r="F3014" s="74"/>
      <c r="G3014" s="74"/>
      <c r="H3014" s="74"/>
      <c r="I3014" s="74"/>
      <c r="J3014" s="74"/>
      <c r="K3014" s="74"/>
      <c r="L3014" s="74"/>
      <c r="M3014" s="74"/>
      <c r="N3014" s="74"/>
      <c r="O3014" s="75"/>
      <c r="P3014" s="74"/>
      <c r="Q3014" s="75"/>
      <c r="R3014" s="74"/>
      <c r="S3014" s="74"/>
      <c r="T3014" s="74"/>
      <c r="U3014" s="75"/>
      <c r="V3014" s="74"/>
      <c r="W3014" s="75"/>
      <c r="X3014" s="74"/>
      <c r="Y3014" s="74"/>
      <c r="Z3014" s="74"/>
      <c r="AA3014" s="74"/>
      <c r="AB3014" s="74"/>
      <c r="AC3014" s="74"/>
      <c r="AD3014" s="74"/>
      <c r="AE3014" s="74"/>
      <c r="AF3014" s="74"/>
      <c r="AG3014" s="74"/>
      <c r="AH3014" s="74"/>
    </row>
    <row r="3015" s="73" customFormat="1" spans="1:34">
      <c r="A3015" s="74"/>
      <c r="B3015" s="74"/>
      <c r="C3015" s="74"/>
      <c r="D3015" s="74"/>
      <c r="E3015" s="74"/>
      <c r="F3015" s="74"/>
      <c r="G3015" s="74"/>
      <c r="H3015" s="74"/>
      <c r="I3015" s="74"/>
      <c r="J3015" s="74"/>
      <c r="K3015" s="74"/>
      <c r="L3015" s="74"/>
      <c r="M3015" s="74"/>
      <c r="N3015" s="74"/>
      <c r="O3015" s="75"/>
      <c r="P3015" s="74"/>
      <c r="Q3015" s="75"/>
      <c r="R3015" s="74"/>
      <c r="S3015" s="74"/>
      <c r="T3015" s="74"/>
      <c r="U3015" s="75"/>
      <c r="V3015" s="74"/>
      <c r="W3015" s="75"/>
      <c r="X3015" s="74"/>
      <c r="Y3015" s="74"/>
      <c r="Z3015" s="74"/>
      <c r="AA3015" s="74"/>
      <c r="AB3015" s="74"/>
      <c r="AC3015" s="74"/>
      <c r="AD3015" s="74"/>
      <c r="AE3015" s="74"/>
      <c r="AF3015" s="74"/>
      <c r="AG3015" s="74"/>
      <c r="AH3015" s="74"/>
    </row>
    <row r="3016" s="73" customFormat="1" spans="1:34">
      <c r="A3016" s="74"/>
      <c r="B3016" s="74"/>
      <c r="C3016" s="74"/>
      <c r="D3016" s="74"/>
      <c r="E3016" s="74"/>
      <c r="F3016" s="74"/>
      <c r="G3016" s="74"/>
      <c r="H3016" s="74"/>
      <c r="I3016" s="74"/>
      <c r="J3016" s="74"/>
      <c r="K3016" s="74"/>
      <c r="L3016" s="74"/>
      <c r="M3016" s="74"/>
      <c r="N3016" s="74"/>
      <c r="O3016" s="75"/>
      <c r="P3016" s="74"/>
      <c r="Q3016" s="75"/>
      <c r="R3016" s="74"/>
      <c r="S3016" s="74"/>
      <c r="T3016" s="74"/>
      <c r="U3016" s="75"/>
      <c r="V3016" s="74"/>
      <c r="W3016" s="75"/>
      <c r="X3016" s="74"/>
      <c r="Y3016" s="74"/>
      <c r="Z3016" s="74"/>
      <c r="AA3016" s="74"/>
      <c r="AB3016" s="74"/>
      <c r="AC3016" s="74"/>
      <c r="AD3016" s="74"/>
      <c r="AE3016" s="74"/>
      <c r="AF3016" s="74"/>
      <c r="AG3016" s="74"/>
      <c r="AH3016" s="74"/>
    </row>
    <row r="3017" s="73" customFormat="1" spans="1:34">
      <c r="A3017" s="74"/>
      <c r="B3017" s="74"/>
      <c r="C3017" s="74"/>
      <c r="D3017" s="74"/>
      <c r="E3017" s="74"/>
      <c r="F3017" s="74"/>
      <c r="G3017" s="74"/>
      <c r="H3017" s="74"/>
      <c r="I3017" s="74"/>
      <c r="J3017" s="74"/>
      <c r="K3017" s="74"/>
      <c r="L3017" s="74"/>
      <c r="M3017" s="74"/>
      <c r="N3017" s="74"/>
      <c r="O3017" s="75"/>
      <c r="P3017" s="74"/>
      <c r="Q3017" s="75"/>
      <c r="R3017" s="74"/>
      <c r="S3017" s="74"/>
      <c r="T3017" s="74"/>
      <c r="U3017" s="75"/>
      <c r="V3017" s="74"/>
      <c r="W3017" s="75"/>
      <c r="X3017" s="74"/>
      <c r="Y3017" s="74"/>
      <c r="Z3017" s="74"/>
      <c r="AA3017" s="74"/>
      <c r="AB3017" s="74"/>
      <c r="AC3017" s="74"/>
      <c r="AD3017" s="74"/>
      <c r="AE3017" s="74"/>
      <c r="AF3017" s="74"/>
      <c r="AG3017" s="74"/>
      <c r="AH3017" s="74"/>
    </row>
    <row r="3018" s="73" customFormat="1" spans="1:34">
      <c r="A3018" s="74"/>
      <c r="B3018" s="74"/>
      <c r="C3018" s="74"/>
      <c r="D3018" s="74"/>
      <c r="E3018" s="74"/>
      <c r="F3018" s="74"/>
      <c r="G3018" s="74"/>
      <c r="H3018" s="74"/>
      <c r="I3018" s="74"/>
      <c r="J3018" s="74"/>
      <c r="K3018" s="74"/>
      <c r="L3018" s="74"/>
      <c r="M3018" s="74"/>
      <c r="N3018" s="74"/>
      <c r="O3018" s="75"/>
      <c r="P3018" s="74"/>
      <c r="Q3018" s="75"/>
      <c r="R3018" s="74"/>
      <c r="S3018" s="74"/>
      <c r="T3018" s="74"/>
      <c r="U3018" s="75"/>
      <c r="V3018" s="74"/>
      <c r="W3018" s="75"/>
      <c r="X3018" s="74"/>
      <c r="Y3018" s="74"/>
      <c r="Z3018" s="74"/>
      <c r="AA3018" s="74"/>
      <c r="AB3018" s="74"/>
      <c r="AC3018" s="74"/>
      <c r="AD3018" s="74"/>
      <c r="AE3018" s="74"/>
      <c r="AF3018" s="74"/>
      <c r="AG3018" s="74"/>
      <c r="AH3018" s="74"/>
    </row>
    <row r="3019" s="73" customFormat="1" spans="1:34">
      <c r="A3019" s="74"/>
      <c r="B3019" s="74"/>
      <c r="C3019" s="74"/>
      <c r="D3019" s="74"/>
      <c r="E3019" s="74"/>
      <c r="F3019" s="74"/>
      <c r="G3019" s="74"/>
      <c r="H3019" s="74"/>
      <c r="I3019" s="74"/>
      <c r="J3019" s="74"/>
      <c r="K3019" s="74"/>
      <c r="L3019" s="74"/>
      <c r="M3019" s="74"/>
      <c r="N3019" s="74"/>
      <c r="O3019" s="75"/>
      <c r="P3019" s="74"/>
      <c r="Q3019" s="75"/>
      <c r="R3019" s="74"/>
      <c r="S3019" s="74"/>
      <c r="T3019" s="74"/>
      <c r="U3019" s="75"/>
      <c r="V3019" s="74"/>
      <c r="W3019" s="75"/>
      <c r="X3019" s="74"/>
      <c r="Y3019" s="74"/>
      <c r="Z3019" s="74"/>
      <c r="AA3019" s="74"/>
      <c r="AB3019" s="74"/>
      <c r="AC3019" s="74"/>
      <c r="AD3019" s="74"/>
      <c r="AE3019" s="74"/>
      <c r="AF3019" s="74"/>
      <c r="AG3019" s="74"/>
      <c r="AH3019" s="74"/>
    </row>
    <row r="3022" s="73" customFormat="1" spans="1:34">
      <c r="A3022" s="74"/>
      <c r="B3022" s="74"/>
      <c r="C3022" s="74"/>
      <c r="D3022" s="74"/>
      <c r="E3022" s="74"/>
      <c r="F3022" s="74"/>
      <c r="G3022" s="74"/>
      <c r="H3022" s="74"/>
      <c r="I3022" s="74"/>
      <c r="J3022" s="74"/>
      <c r="K3022" s="74"/>
      <c r="L3022" s="74"/>
      <c r="M3022" s="74"/>
      <c r="N3022" s="74"/>
      <c r="O3022" s="75"/>
      <c r="P3022" s="74"/>
      <c r="Q3022" s="75"/>
      <c r="R3022" s="74"/>
      <c r="S3022" s="74"/>
      <c r="T3022" s="74"/>
      <c r="U3022" s="75"/>
      <c r="V3022" s="74"/>
      <c r="W3022" s="75"/>
      <c r="X3022" s="74"/>
      <c r="Y3022" s="74"/>
      <c r="Z3022" s="74"/>
      <c r="AA3022" s="74"/>
      <c r="AB3022" s="74"/>
      <c r="AC3022" s="74"/>
      <c r="AD3022" s="74"/>
      <c r="AE3022" s="74"/>
      <c r="AF3022" s="74"/>
      <c r="AG3022" s="74"/>
      <c r="AH3022" s="74"/>
    </row>
    <row r="3023" s="73" customFormat="1" spans="1:34">
      <c r="A3023" s="74"/>
      <c r="B3023" s="74"/>
      <c r="C3023" s="74"/>
      <c r="D3023" s="74"/>
      <c r="E3023" s="74"/>
      <c r="F3023" s="74"/>
      <c r="G3023" s="74"/>
      <c r="H3023" s="74"/>
      <c r="I3023" s="74"/>
      <c r="J3023" s="74"/>
      <c r="K3023" s="74"/>
      <c r="L3023" s="74"/>
      <c r="M3023" s="74"/>
      <c r="N3023" s="74"/>
      <c r="O3023" s="75"/>
      <c r="P3023" s="74"/>
      <c r="Q3023" s="75"/>
      <c r="R3023" s="74"/>
      <c r="S3023" s="74"/>
      <c r="T3023" s="74"/>
      <c r="U3023" s="75"/>
      <c r="V3023" s="74"/>
      <c r="W3023" s="75"/>
      <c r="X3023" s="74"/>
      <c r="Y3023" s="74"/>
      <c r="Z3023" s="74"/>
      <c r="AA3023" s="74"/>
      <c r="AB3023" s="74"/>
      <c r="AC3023" s="74"/>
      <c r="AD3023" s="74"/>
      <c r="AE3023" s="74"/>
      <c r="AF3023" s="74"/>
      <c r="AG3023" s="74"/>
      <c r="AH3023" s="74"/>
    </row>
    <row r="3024" s="73" customFormat="1" spans="1:34">
      <c r="A3024" s="74"/>
      <c r="B3024" s="74"/>
      <c r="C3024" s="74"/>
      <c r="D3024" s="74"/>
      <c r="E3024" s="74"/>
      <c r="F3024" s="74"/>
      <c r="G3024" s="74"/>
      <c r="H3024" s="74"/>
      <c r="I3024" s="74"/>
      <c r="J3024" s="74"/>
      <c r="K3024" s="74"/>
      <c r="L3024" s="74"/>
      <c r="M3024" s="74"/>
      <c r="N3024" s="74"/>
      <c r="O3024" s="75"/>
      <c r="P3024" s="74"/>
      <c r="Q3024" s="75"/>
      <c r="R3024" s="74"/>
      <c r="S3024" s="74"/>
      <c r="T3024" s="74"/>
      <c r="U3024" s="75"/>
      <c r="V3024" s="74"/>
      <c r="W3024" s="75"/>
      <c r="X3024" s="74"/>
      <c r="Y3024" s="74"/>
      <c r="Z3024" s="74"/>
      <c r="AA3024" s="74"/>
      <c r="AB3024" s="74"/>
      <c r="AC3024" s="74"/>
      <c r="AD3024" s="74"/>
      <c r="AE3024" s="74"/>
      <c r="AF3024" s="74"/>
      <c r="AG3024" s="74"/>
      <c r="AH3024" s="74"/>
    </row>
    <row r="3025" s="73" customFormat="1" spans="1:34">
      <c r="A3025" s="74"/>
      <c r="B3025" s="74"/>
      <c r="C3025" s="74"/>
      <c r="D3025" s="74"/>
      <c r="E3025" s="74"/>
      <c r="F3025" s="74"/>
      <c r="G3025" s="74"/>
      <c r="H3025" s="74"/>
      <c r="I3025" s="74"/>
      <c r="J3025" s="74"/>
      <c r="K3025" s="74"/>
      <c r="L3025" s="74"/>
      <c r="M3025" s="74"/>
      <c r="N3025" s="74"/>
      <c r="O3025" s="75"/>
      <c r="P3025" s="74"/>
      <c r="Q3025" s="75"/>
      <c r="R3025" s="74"/>
      <c r="S3025" s="74"/>
      <c r="T3025" s="74"/>
      <c r="U3025" s="75"/>
      <c r="V3025" s="74"/>
      <c r="W3025" s="75"/>
      <c r="X3025" s="74"/>
      <c r="Y3025" s="74"/>
      <c r="Z3025" s="74"/>
      <c r="AA3025" s="74"/>
      <c r="AB3025" s="74"/>
      <c r="AC3025" s="74"/>
      <c r="AD3025" s="74"/>
      <c r="AE3025" s="74"/>
      <c r="AF3025" s="74"/>
      <c r="AG3025" s="74"/>
      <c r="AH3025" s="74"/>
    </row>
    <row r="3026" s="73" customFormat="1" spans="1:34">
      <c r="A3026" s="74"/>
      <c r="B3026" s="74"/>
      <c r="C3026" s="74"/>
      <c r="D3026" s="74"/>
      <c r="E3026" s="74"/>
      <c r="F3026" s="74"/>
      <c r="G3026" s="74"/>
      <c r="H3026" s="74"/>
      <c r="I3026" s="74"/>
      <c r="J3026" s="74"/>
      <c r="K3026" s="74"/>
      <c r="L3026" s="74"/>
      <c r="M3026" s="74"/>
      <c r="N3026" s="74"/>
      <c r="O3026" s="75"/>
      <c r="P3026" s="74"/>
      <c r="Q3026" s="75"/>
      <c r="R3026" s="74"/>
      <c r="S3026" s="74"/>
      <c r="T3026" s="74"/>
      <c r="U3026" s="75"/>
      <c r="V3026" s="74"/>
      <c r="W3026" s="75"/>
      <c r="X3026" s="74"/>
      <c r="Y3026" s="74"/>
      <c r="Z3026" s="74"/>
      <c r="AA3026" s="74"/>
      <c r="AB3026" s="74"/>
      <c r="AC3026" s="74"/>
      <c r="AD3026" s="74"/>
      <c r="AE3026" s="74"/>
      <c r="AF3026" s="74"/>
      <c r="AG3026" s="74"/>
      <c r="AH3026" s="74"/>
    </row>
    <row r="3027" s="73" customFormat="1" spans="1:34">
      <c r="A3027" s="74"/>
      <c r="B3027" s="74"/>
      <c r="C3027" s="74"/>
      <c r="D3027" s="74"/>
      <c r="E3027" s="74"/>
      <c r="F3027" s="74"/>
      <c r="G3027" s="74"/>
      <c r="H3027" s="74"/>
      <c r="I3027" s="74"/>
      <c r="J3027" s="74"/>
      <c r="K3027" s="74"/>
      <c r="L3027" s="74"/>
      <c r="M3027" s="74"/>
      <c r="N3027" s="74"/>
      <c r="O3027" s="75"/>
      <c r="P3027" s="74"/>
      <c r="Q3027" s="75"/>
      <c r="R3027" s="74"/>
      <c r="S3027" s="74"/>
      <c r="T3027" s="74"/>
      <c r="U3027" s="75"/>
      <c r="V3027" s="74"/>
      <c r="W3027" s="75"/>
      <c r="X3027" s="74"/>
      <c r="Y3027" s="74"/>
      <c r="Z3027" s="74"/>
      <c r="AA3027" s="74"/>
      <c r="AB3027" s="74"/>
      <c r="AC3027" s="74"/>
      <c r="AD3027" s="74"/>
      <c r="AE3027" s="74"/>
      <c r="AF3027" s="74"/>
      <c r="AG3027" s="74"/>
      <c r="AH3027" s="74"/>
    </row>
    <row r="3028" s="73" customFormat="1" spans="1:34">
      <c r="A3028" s="74"/>
      <c r="B3028" s="74"/>
      <c r="C3028" s="74"/>
      <c r="D3028" s="74"/>
      <c r="E3028" s="74"/>
      <c r="F3028" s="74"/>
      <c r="G3028" s="74"/>
      <c r="H3028" s="74"/>
      <c r="I3028" s="74"/>
      <c r="J3028" s="74"/>
      <c r="K3028" s="74"/>
      <c r="L3028" s="74"/>
      <c r="M3028" s="74"/>
      <c r="N3028" s="74"/>
      <c r="O3028" s="75"/>
      <c r="P3028" s="74"/>
      <c r="Q3028" s="75"/>
      <c r="R3028" s="74"/>
      <c r="S3028" s="74"/>
      <c r="T3028" s="74"/>
      <c r="U3028" s="75"/>
      <c r="V3028" s="74"/>
      <c r="W3028" s="75"/>
      <c r="X3028" s="74"/>
      <c r="Y3028" s="74"/>
      <c r="Z3028" s="74"/>
      <c r="AA3028" s="74"/>
      <c r="AB3028" s="74"/>
      <c r="AC3028" s="74"/>
      <c r="AD3028" s="74"/>
      <c r="AE3028" s="74"/>
      <c r="AF3028" s="74"/>
      <c r="AG3028" s="74"/>
      <c r="AH3028" s="74"/>
    </row>
    <row r="3029" s="73" customFormat="1" spans="1:34">
      <c r="A3029" s="74"/>
      <c r="B3029" s="74"/>
      <c r="C3029" s="74"/>
      <c r="D3029" s="74"/>
      <c r="E3029" s="74"/>
      <c r="F3029" s="74"/>
      <c r="G3029" s="74"/>
      <c r="H3029" s="74"/>
      <c r="I3029" s="74"/>
      <c r="J3029" s="74"/>
      <c r="K3029" s="74"/>
      <c r="L3029" s="74"/>
      <c r="M3029" s="74"/>
      <c r="N3029" s="74"/>
      <c r="O3029" s="75"/>
      <c r="P3029" s="74"/>
      <c r="Q3029" s="75"/>
      <c r="R3029" s="74"/>
      <c r="S3029" s="74"/>
      <c r="T3029" s="74"/>
      <c r="U3029" s="75"/>
      <c r="V3029" s="74"/>
      <c r="W3029" s="75"/>
      <c r="X3029" s="74"/>
      <c r="Y3029" s="74"/>
      <c r="Z3029" s="74"/>
      <c r="AA3029" s="74"/>
      <c r="AB3029" s="74"/>
      <c r="AC3029" s="74"/>
      <c r="AD3029" s="74"/>
      <c r="AE3029" s="74"/>
      <c r="AF3029" s="74"/>
      <c r="AG3029" s="74"/>
      <c r="AH3029" s="74"/>
    </row>
    <row r="3030" s="73" customFormat="1" spans="1:34">
      <c r="A3030" s="74"/>
      <c r="B3030" s="74"/>
      <c r="C3030" s="74"/>
      <c r="D3030" s="74"/>
      <c r="E3030" s="74"/>
      <c r="F3030" s="74"/>
      <c r="G3030" s="74"/>
      <c r="H3030" s="74"/>
      <c r="I3030" s="74"/>
      <c r="J3030" s="74"/>
      <c r="K3030" s="74"/>
      <c r="L3030" s="74"/>
      <c r="M3030" s="74"/>
      <c r="N3030" s="74"/>
      <c r="O3030" s="75"/>
      <c r="P3030" s="74"/>
      <c r="Q3030" s="75"/>
      <c r="R3030" s="74"/>
      <c r="S3030" s="74"/>
      <c r="T3030" s="74"/>
      <c r="U3030" s="75"/>
      <c r="V3030" s="74"/>
      <c r="W3030" s="75"/>
      <c r="X3030" s="74"/>
      <c r="Y3030" s="74"/>
      <c r="Z3030" s="74"/>
      <c r="AA3030" s="74"/>
      <c r="AB3030" s="74"/>
      <c r="AC3030" s="74"/>
      <c r="AD3030" s="74"/>
      <c r="AE3030" s="74"/>
      <c r="AF3030" s="74"/>
      <c r="AG3030" s="74"/>
      <c r="AH3030" s="74"/>
    </row>
    <row r="3031" s="73" customFormat="1" spans="1:34">
      <c r="A3031" s="74"/>
      <c r="B3031" s="74"/>
      <c r="C3031" s="74"/>
      <c r="D3031" s="74"/>
      <c r="E3031" s="74"/>
      <c r="F3031" s="74"/>
      <c r="G3031" s="74"/>
      <c r="H3031" s="74"/>
      <c r="I3031" s="74"/>
      <c r="J3031" s="74"/>
      <c r="K3031" s="74"/>
      <c r="L3031" s="74"/>
      <c r="M3031" s="74"/>
      <c r="N3031" s="74"/>
      <c r="O3031" s="75"/>
      <c r="P3031" s="74"/>
      <c r="Q3031" s="75"/>
      <c r="R3031" s="74"/>
      <c r="S3031" s="74"/>
      <c r="T3031" s="74"/>
      <c r="U3031" s="75"/>
      <c r="V3031" s="74"/>
      <c r="W3031" s="75"/>
      <c r="X3031" s="74"/>
      <c r="Y3031" s="74"/>
      <c r="Z3031" s="74"/>
      <c r="AA3031" s="74"/>
      <c r="AB3031" s="74"/>
      <c r="AC3031" s="74"/>
      <c r="AD3031" s="74"/>
      <c r="AE3031" s="74"/>
      <c r="AF3031" s="74"/>
      <c r="AG3031" s="74"/>
      <c r="AH3031" s="74"/>
    </row>
    <row r="3032" s="73" customFormat="1" spans="1:34">
      <c r="A3032" s="74"/>
      <c r="B3032" s="74"/>
      <c r="C3032" s="74"/>
      <c r="D3032" s="74"/>
      <c r="E3032" s="74"/>
      <c r="F3032" s="74"/>
      <c r="G3032" s="74"/>
      <c r="H3032" s="74"/>
      <c r="I3032" s="74"/>
      <c r="J3032" s="74"/>
      <c r="K3032" s="74"/>
      <c r="L3032" s="74"/>
      <c r="M3032" s="74"/>
      <c r="N3032" s="74"/>
      <c r="O3032" s="75"/>
      <c r="P3032" s="74"/>
      <c r="Q3032" s="75"/>
      <c r="R3032" s="74"/>
      <c r="S3032" s="74"/>
      <c r="T3032" s="74"/>
      <c r="U3032" s="75"/>
      <c r="V3032" s="74"/>
      <c r="W3032" s="75"/>
      <c r="X3032" s="74"/>
      <c r="Y3032" s="74"/>
      <c r="Z3032" s="74"/>
      <c r="AA3032" s="74"/>
      <c r="AB3032" s="74"/>
      <c r="AC3032" s="74"/>
      <c r="AD3032" s="74"/>
      <c r="AE3032" s="74"/>
      <c r="AF3032" s="74"/>
      <c r="AG3032" s="74"/>
      <c r="AH3032" s="74"/>
    </row>
    <row r="3033" s="73" customFormat="1" spans="1:34">
      <c r="A3033" s="74"/>
      <c r="B3033" s="74"/>
      <c r="C3033" s="74"/>
      <c r="D3033" s="74"/>
      <c r="E3033" s="74"/>
      <c r="F3033" s="74"/>
      <c r="G3033" s="74"/>
      <c r="H3033" s="74"/>
      <c r="I3033" s="74"/>
      <c r="J3033" s="74"/>
      <c r="K3033" s="74"/>
      <c r="L3033" s="74"/>
      <c r="M3033" s="74"/>
      <c r="N3033" s="74"/>
      <c r="O3033" s="75"/>
      <c r="P3033" s="74"/>
      <c r="Q3033" s="75"/>
      <c r="R3033" s="74"/>
      <c r="S3033" s="74"/>
      <c r="T3033" s="74"/>
      <c r="U3033" s="75"/>
      <c r="V3033" s="74"/>
      <c r="W3033" s="75"/>
      <c r="X3033" s="74"/>
      <c r="Y3033" s="74"/>
      <c r="Z3033" s="74"/>
      <c r="AA3033" s="74"/>
      <c r="AB3033" s="74"/>
      <c r="AC3033" s="74"/>
      <c r="AD3033" s="74"/>
      <c r="AE3033" s="74"/>
      <c r="AF3033" s="74"/>
      <c r="AG3033" s="74"/>
      <c r="AH3033" s="74"/>
    </row>
    <row r="3034" s="73" customFormat="1" spans="1:34">
      <c r="A3034" s="74"/>
      <c r="B3034" s="74"/>
      <c r="C3034" s="74"/>
      <c r="D3034" s="74"/>
      <c r="E3034" s="74"/>
      <c r="F3034" s="74"/>
      <c r="G3034" s="74"/>
      <c r="H3034" s="74"/>
      <c r="I3034" s="74"/>
      <c r="J3034" s="74"/>
      <c r="K3034" s="74"/>
      <c r="L3034" s="74"/>
      <c r="M3034" s="74"/>
      <c r="N3034" s="74"/>
      <c r="O3034" s="75"/>
      <c r="P3034" s="74"/>
      <c r="Q3034" s="75"/>
      <c r="R3034" s="74"/>
      <c r="S3034" s="74"/>
      <c r="T3034" s="74"/>
      <c r="U3034" s="75"/>
      <c r="V3034" s="74"/>
      <c r="W3034" s="75"/>
      <c r="X3034" s="74"/>
      <c r="Y3034" s="74"/>
      <c r="Z3034" s="74"/>
      <c r="AA3034" s="74"/>
      <c r="AB3034" s="74"/>
      <c r="AC3034" s="74"/>
      <c r="AD3034" s="74"/>
      <c r="AE3034" s="74"/>
      <c r="AF3034" s="74"/>
      <c r="AG3034" s="74"/>
      <c r="AH3034" s="74"/>
    </row>
    <row r="3035" s="73" customFormat="1" spans="1:34">
      <c r="A3035" s="74"/>
      <c r="B3035" s="74"/>
      <c r="C3035" s="74"/>
      <c r="D3035" s="74"/>
      <c r="E3035" s="74"/>
      <c r="F3035" s="74"/>
      <c r="G3035" s="74"/>
      <c r="H3035" s="74"/>
      <c r="I3035" s="74"/>
      <c r="J3035" s="74"/>
      <c r="K3035" s="74"/>
      <c r="L3035" s="74"/>
      <c r="M3035" s="74"/>
      <c r="N3035" s="74"/>
      <c r="O3035" s="75"/>
      <c r="P3035" s="74"/>
      <c r="Q3035" s="75"/>
      <c r="R3035" s="74"/>
      <c r="S3035" s="74"/>
      <c r="T3035" s="74"/>
      <c r="U3035" s="75"/>
      <c r="V3035" s="74"/>
      <c r="W3035" s="75"/>
      <c r="X3035" s="74"/>
      <c r="Y3035" s="74"/>
      <c r="Z3035" s="74"/>
      <c r="AA3035" s="74"/>
      <c r="AB3035" s="74"/>
      <c r="AC3035" s="74"/>
      <c r="AD3035" s="74"/>
      <c r="AE3035" s="74"/>
      <c r="AF3035" s="74"/>
      <c r="AG3035" s="74"/>
      <c r="AH3035" s="74"/>
    </row>
    <row r="3036" s="73" customFormat="1" spans="1:34">
      <c r="A3036" s="74"/>
      <c r="B3036" s="74"/>
      <c r="C3036" s="74"/>
      <c r="D3036" s="74"/>
      <c r="E3036" s="74"/>
      <c r="F3036" s="74"/>
      <c r="G3036" s="74"/>
      <c r="H3036" s="74"/>
      <c r="I3036" s="74"/>
      <c r="J3036" s="74"/>
      <c r="K3036" s="74"/>
      <c r="L3036" s="74"/>
      <c r="M3036" s="74"/>
      <c r="N3036" s="74"/>
      <c r="O3036" s="75"/>
      <c r="P3036" s="74"/>
      <c r="Q3036" s="75"/>
      <c r="R3036" s="74"/>
      <c r="S3036" s="74"/>
      <c r="T3036" s="74"/>
      <c r="U3036" s="75"/>
      <c r="V3036" s="74"/>
      <c r="W3036" s="75"/>
      <c r="X3036" s="74"/>
      <c r="Y3036" s="74"/>
      <c r="Z3036" s="74"/>
      <c r="AA3036" s="74"/>
      <c r="AB3036" s="74"/>
      <c r="AC3036" s="74"/>
      <c r="AD3036" s="74"/>
      <c r="AE3036" s="74"/>
      <c r="AF3036" s="74"/>
      <c r="AG3036" s="74"/>
      <c r="AH3036" s="74"/>
    </row>
    <row r="3037" s="73" customFormat="1" spans="1:34">
      <c r="A3037" s="74"/>
      <c r="B3037" s="74"/>
      <c r="C3037" s="74"/>
      <c r="D3037" s="74"/>
      <c r="E3037" s="74"/>
      <c r="F3037" s="74"/>
      <c r="G3037" s="74"/>
      <c r="H3037" s="74"/>
      <c r="I3037" s="74"/>
      <c r="J3037" s="74"/>
      <c r="K3037" s="74"/>
      <c r="L3037" s="74"/>
      <c r="M3037" s="74"/>
      <c r="N3037" s="74"/>
      <c r="O3037" s="75"/>
      <c r="P3037" s="74"/>
      <c r="Q3037" s="75"/>
      <c r="R3037" s="74"/>
      <c r="S3037" s="74"/>
      <c r="T3037" s="74"/>
      <c r="U3037" s="75"/>
      <c r="V3037" s="74"/>
      <c r="W3037" s="75"/>
      <c r="X3037" s="74"/>
      <c r="Y3037" s="74"/>
      <c r="Z3037" s="74"/>
      <c r="AA3037" s="74"/>
      <c r="AB3037" s="74"/>
      <c r="AC3037" s="74"/>
      <c r="AD3037" s="74"/>
      <c r="AE3037" s="74"/>
      <c r="AF3037" s="74"/>
      <c r="AG3037" s="74"/>
      <c r="AH3037" s="74"/>
    </row>
    <row r="3038" s="73" customFormat="1" spans="1:34">
      <c r="A3038" s="74"/>
      <c r="B3038" s="74"/>
      <c r="C3038" s="74"/>
      <c r="D3038" s="74"/>
      <c r="E3038" s="74"/>
      <c r="F3038" s="74"/>
      <c r="G3038" s="74"/>
      <c r="H3038" s="74"/>
      <c r="I3038" s="74"/>
      <c r="J3038" s="74"/>
      <c r="K3038" s="74"/>
      <c r="L3038" s="74"/>
      <c r="M3038" s="74"/>
      <c r="N3038" s="74"/>
      <c r="O3038" s="75"/>
      <c r="P3038" s="74"/>
      <c r="Q3038" s="75"/>
      <c r="R3038" s="74"/>
      <c r="S3038" s="74"/>
      <c r="T3038" s="74"/>
      <c r="U3038" s="75"/>
      <c r="V3038" s="74"/>
      <c r="W3038" s="75"/>
      <c r="X3038" s="74"/>
      <c r="Y3038" s="74"/>
      <c r="Z3038" s="74"/>
      <c r="AA3038" s="74"/>
      <c r="AB3038" s="74"/>
      <c r="AC3038" s="74"/>
      <c r="AD3038" s="74"/>
      <c r="AE3038" s="74"/>
      <c r="AF3038" s="74"/>
      <c r="AG3038" s="74"/>
      <c r="AH3038" s="74"/>
    </row>
    <row r="3039" s="73" customFormat="1" spans="1:34">
      <c r="A3039" s="74"/>
      <c r="B3039" s="74"/>
      <c r="C3039" s="74"/>
      <c r="D3039" s="74"/>
      <c r="E3039" s="74"/>
      <c r="F3039" s="74"/>
      <c r="G3039" s="74"/>
      <c r="H3039" s="74"/>
      <c r="I3039" s="74"/>
      <c r="J3039" s="74"/>
      <c r="K3039" s="74"/>
      <c r="L3039" s="74"/>
      <c r="M3039" s="74"/>
      <c r="N3039" s="74"/>
      <c r="O3039" s="75"/>
      <c r="P3039" s="74"/>
      <c r="Q3039" s="75"/>
      <c r="R3039" s="74"/>
      <c r="S3039" s="74"/>
      <c r="T3039" s="74"/>
      <c r="U3039" s="75"/>
      <c r="V3039" s="74"/>
      <c r="W3039" s="75"/>
      <c r="X3039" s="74"/>
      <c r="Y3039" s="74"/>
      <c r="Z3039" s="74"/>
      <c r="AA3039" s="74"/>
      <c r="AB3039" s="74"/>
      <c r="AC3039" s="74"/>
      <c r="AD3039" s="74"/>
      <c r="AE3039" s="74"/>
      <c r="AF3039" s="74"/>
      <c r="AG3039" s="74"/>
      <c r="AH3039" s="74"/>
    </row>
    <row r="3040" s="73" customFormat="1" spans="1:34">
      <c r="A3040" s="74"/>
      <c r="B3040" s="74"/>
      <c r="C3040" s="74"/>
      <c r="D3040" s="74"/>
      <c r="E3040" s="74"/>
      <c r="F3040" s="74"/>
      <c r="G3040" s="74"/>
      <c r="H3040" s="74"/>
      <c r="I3040" s="74"/>
      <c r="J3040" s="74"/>
      <c r="K3040" s="74"/>
      <c r="L3040" s="74"/>
      <c r="M3040" s="74"/>
      <c r="N3040" s="74"/>
      <c r="O3040" s="75"/>
      <c r="P3040" s="74"/>
      <c r="Q3040" s="75"/>
      <c r="R3040" s="74"/>
      <c r="S3040" s="74"/>
      <c r="T3040" s="74"/>
      <c r="U3040" s="75"/>
      <c r="V3040" s="74"/>
      <c r="W3040" s="75"/>
      <c r="X3040" s="74"/>
      <c r="Y3040" s="74"/>
      <c r="Z3040" s="74"/>
      <c r="AA3040" s="74"/>
      <c r="AB3040" s="74"/>
      <c r="AC3040" s="74"/>
      <c r="AD3040" s="74"/>
      <c r="AE3040" s="74"/>
      <c r="AF3040" s="74"/>
      <c r="AG3040" s="74"/>
      <c r="AH3040" s="74"/>
    </row>
    <row r="3041" s="73" customFormat="1" spans="1:34">
      <c r="A3041" s="74"/>
      <c r="B3041" s="74"/>
      <c r="C3041" s="74"/>
      <c r="D3041" s="74"/>
      <c r="E3041" s="74"/>
      <c r="F3041" s="74"/>
      <c r="G3041" s="74"/>
      <c r="H3041" s="74"/>
      <c r="I3041" s="74"/>
      <c r="J3041" s="74"/>
      <c r="K3041" s="74"/>
      <c r="L3041" s="74"/>
      <c r="M3041" s="74"/>
      <c r="N3041" s="74"/>
      <c r="O3041" s="75"/>
      <c r="P3041" s="74"/>
      <c r="Q3041" s="75"/>
      <c r="R3041" s="74"/>
      <c r="S3041" s="74"/>
      <c r="T3041" s="74"/>
      <c r="U3041" s="75"/>
      <c r="V3041" s="74"/>
      <c r="W3041" s="75"/>
      <c r="X3041" s="74"/>
      <c r="Y3041" s="74"/>
      <c r="Z3041" s="74"/>
      <c r="AA3041" s="74"/>
      <c r="AB3041" s="74"/>
      <c r="AC3041" s="74"/>
      <c r="AD3041" s="74"/>
      <c r="AE3041" s="74"/>
      <c r="AF3041" s="74"/>
      <c r="AG3041" s="74"/>
      <c r="AH3041" s="74"/>
    </row>
    <row r="3042" s="73" customFormat="1" spans="1:34">
      <c r="A3042" s="74"/>
      <c r="B3042" s="74"/>
      <c r="C3042" s="74"/>
      <c r="D3042" s="74"/>
      <c r="E3042" s="74"/>
      <c r="F3042" s="74"/>
      <c r="G3042" s="74"/>
      <c r="H3042" s="74"/>
      <c r="I3042" s="74"/>
      <c r="J3042" s="74"/>
      <c r="K3042" s="74"/>
      <c r="L3042" s="74"/>
      <c r="M3042" s="74"/>
      <c r="N3042" s="74"/>
      <c r="O3042" s="75"/>
      <c r="P3042" s="74"/>
      <c r="Q3042" s="75"/>
      <c r="R3042" s="74"/>
      <c r="S3042" s="74"/>
      <c r="T3042" s="74"/>
      <c r="U3042" s="75"/>
      <c r="V3042" s="74"/>
      <c r="W3042" s="75"/>
      <c r="X3042" s="74"/>
      <c r="Y3042" s="74"/>
      <c r="Z3042" s="74"/>
      <c r="AA3042" s="74"/>
      <c r="AB3042" s="74"/>
      <c r="AC3042" s="74"/>
      <c r="AD3042" s="74"/>
      <c r="AE3042" s="74"/>
      <c r="AF3042" s="74"/>
      <c r="AG3042" s="74"/>
      <c r="AH3042" s="74"/>
    </row>
    <row r="3043" s="73" customFormat="1" spans="1:34">
      <c r="A3043" s="74"/>
      <c r="B3043" s="74"/>
      <c r="C3043" s="74"/>
      <c r="D3043" s="74"/>
      <c r="E3043" s="74"/>
      <c r="F3043" s="74"/>
      <c r="G3043" s="74"/>
      <c r="H3043" s="74"/>
      <c r="I3043" s="74"/>
      <c r="J3043" s="74"/>
      <c r="K3043" s="74"/>
      <c r="L3043" s="74"/>
      <c r="M3043" s="74"/>
      <c r="N3043" s="74"/>
      <c r="O3043" s="75"/>
      <c r="P3043" s="74"/>
      <c r="Q3043" s="75"/>
      <c r="R3043" s="74"/>
      <c r="S3043" s="74"/>
      <c r="T3043" s="74"/>
      <c r="U3043" s="75"/>
      <c r="V3043" s="74"/>
      <c r="W3043" s="75"/>
      <c r="X3043" s="74"/>
      <c r="Y3043" s="74"/>
      <c r="Z3043" s="74"/>
      <c r="AA3043" s="74"/>
      <c r="AB3043" s="74"/>
      <c r="AC3043" s="74"/>
      <c r="AD3043" s="74"/>
      <c r="AE3043" s="74"/>
      <c r="AF3043" s="74"/>
      <c r="AG3043" s="74"/>
      <c r="AH3043" s="74"/>
    </row>
    <row r="3044" s="73" customFormat="1" spans="1:34">
      <c r="A3044" s="74"/>
      <c r="B3044" s="74"/>
      <c r="C3044" s="74"/>
      <c r="D3044" s="74"/>
      <c r="E3044" s="74"/>
      <c r="F3044" s="74"/>
      <c r="G3044" s="74"/>
      <c r="H3044" s="74"/>
      <c r="I3044" s="74"/>
      <c r="J3044" s="74"/>
      <c r="K3044" s="74"/>
      <c r="L3044" s="74"/>
      <c r="M3044" s="74"/>
      <c r="N3044" s="74"/>
      <c r="O3044" s="75"/>
      <c r="P3044" s="74"/>
      <c r="Q3044" s="75"/>
      <c r="R3044" s="74"/>
      <c r="S3044" s="74"/>
      <c r="T3044" s="74"/>
      <c r="U3044" s="75"/>
      <c r="V3044" s="74"/>
      <c r="W3044" s="75"/>
      <c r="X3044" s="74"/>
      <c r="Y3044" s="74"/>
      <c r="Z3044" s="74"/>
      <c r="AA3044" s="74"/>
      <c r="AB3044" s="74"/>
      <c r="AC3044" s="74"/>
      <c r="AD3044" s="74"/>
      <c r="AE3044" s="74"/>
      <c r="AF3044" s="74"/>
      <c r="AG3044" s="74"/>
      <c r="AH3044" s="74"/>
    </row>
    <row r="3045" s="73" customFormat="1" spans="1:34">
      <c r="A3045" s="74"/>
      <c r="B3045" s="74"/>
      <c r="C3045" s="74"/>
      <c r="D3045" s="74"/>
      <c r="E3045" s="74"/>
      <c r="F3045" s="74"/>
      <c r="G3045" s="74"/>
      <c r="H3045" s="74"/>
      <c r="I3045" s="74"/>
      <c r="J3045" s="74"/>
      <c r="K3045" s="74"/>
      <c r="L3045" s="74"/>
      <c r="M3045" s="74"/>
      <c r="N3045" s="74"/>
      <c r="O3045" s="75"/>
      <c r="P3045" s="74"/>
      <c r="Q3045" s="75"/>
      <c r="R3045" s="74"/>
      <c r="S3045" s="74"/>
      <c r="T3045" s="74"/>
      <c r="U3045" s="75"/>
      <c r="V3045" s="74"/>
      <c r="W3045" s="75"/>
      <c r="X3045" s="74"/>
      <c r="Y3045" s="74"/>
      <c r="Z3045" s="74"/>
      <c r="AA3045" s="74"/>
      <c r="AB3045" s="74"/>
      <c r="AC3045" s="74"/>
      <c r="AD3045" s="74"/>
      <c r="AE3045" s="74"/>
      <c r="AF3045" s="74"/>
      <c r="AG3045" s="74"/>
      <c r="AH3045" s="74"/>
    </row>
    <row r="3046" s="73" customFormat="1" spans="1:34">
      <c r="A3046" s="74"/>
      <c r="B3046" s="74"/>
      <c r="C3046" s="74"/>
      <c r="D3046" s="74"/>
      <c r="E3046" s="74"/>
      <c r="F3046" s="74"/>
      <c r="G3046" s="74"/>
      <c r="H3046" s="74"/>
      <c r="I3046" s="74"/>
      <c r="J3046" s="74"/>
      <c r="K3046" s="74"/>
      <c r="L3046" s="74"/>
      <c r="M3046" s="74"/>
      <c r="N3046" s="74"/>
      <c r="O3046" s="75"/>
      <c r="P3046" s="74"/>
      <c r="Q3046" s="75"/>
      <c r="R3046" s="74"/>
      <c r="S3046" s="74"/>
      <c r="T3046" s="74"/>
      <c r="U3046" s="75"/>
      <c r="V3046" s="74"/>
      <c r="W3046" s="75"/>
      <c r="X3046" s="74"/>
      <c r="Y3046" s="74"/>
      <c r="Z3046" s="74"/>
      <c r="AA3046" s="74"/>
      <c r="AB3046" s="74"/>
      <c r="AC3046" s="74"/>
      <c r="AD3046" s="74"/>
      <c r="AE3046" s="74"/>
      <c r="AF3046" s="74"/>
      <c r="AG3046" s="74"/>
      <c r="AH3046" s="74"/>
    </row>
    <row r="3047" s="73" customFormat="1" spans="1:34">
      <c r="A3047" s="74"/>
      <c r="B3047" s="74"/>
      <c r="C3047" s="74"/>
      <c r="D3047" s="74"/>
      <c r="E3047" s="74"/>
      <c r="F3047" s="74"/>
      <c r="G3047" s="74"/>
      <c r="H3047" s="74"/>
      <c r="I3047" s="74"/>
      <c r="J3047" s="74"/>
      <c r="K3047" s="74"/>
      <c r="L3047" s="74"/>
      <c r="M3047" s="74"/>
      <c r="N3047" s="74"/>
      <c r="O3047" s="75"/>
      <c r="P3047" s="74"/>
      <c r="Q3047" s="75"/>
      <c r="R3047" s="74"/>
      <c r="S3047" s="74"/>
      <c r="T3047" s="74"/>
      <c r="U3047" s="75"/>
      <c r="V3047" s="74"/>
      <c r="W3047" s="75"/>
      <c r="X3047" s="74"/>
      <c r="Y3047" s="74"/>
      <c r="Z3047" s="74"/>
      <c r="AA3047" s="74"/>
      <c r="AB3047" s="74"/>
      <c r="AC3047" s="74"/>
      <c r="AD3047" s="74"/>
      <c r="AE3047" s="74"/>
      <c r="AF3047" s="74"/>
      <c r="AG3047" s="74"/>
      <c r="AH3047" s="74"/>
    </row>
    <row r="3048" s="73" customFormat="1" spans="1:34">
      <c r="A3048" s="74"/>
      <c r="B3048" s="74"/>
      <c r="C3048" s="74"/>
      <c r="D3048" s="74"/>
      <c r="E3048" s="74"/>
      <c r="F3048" s="74"/>
      <c r="G3048" s="74"/>
      <c r="H3048" s="74"/>
      <c r="I3048" s="74"/>
      <c r="J3048" s="74"/>
      <c r="K3048" s="74"/>
      <c r="L3048" s="74"/>
      <c r="M3048" s="74"/>
      <c r="N3048" s="74"/>
      <c r="O3048" s="75"/>
      <c r="P3048" s="74"/>
      <c r="Q3048" s="75"/>
      <c r="R3048" s="74"/>
      <c r="S3048" s="74"/>
      <c r="T3048" s="74"/>
      <c r="U3048" s="75"/>
      <c r="V3048" s="74"/>
      <c r="W3048" s="75"/>
      <c r="X3048" s="74"/>
      <c r="Y3048" s="74"/>
      <c r="Z3048" s="74"/>
      <c r="AA3048" s="74"/>
      <c r="AB3048" s="74"/>
      <c r="AC3048" s="74"/>
      <c r="AD3048" s="74"/>
      <c r="AE3048" s="74"/>
      <c r="AF3048" s="74"/>
      <c r="AG3048" s="74"/>
      <c r="AH3048" s="74"/>
    </row>
    <row r="3049" s="73" customFormat="1" spans="1:34">
      <c r="A3049" s="74"/>
      <c r="B3049" s="74"/>
      <c r="C3049" s="74"/>
      <c r="D3049" s="74"/>
      <c r="E3049" s="74"/>
      <c r="F3049" s="74"/>
      <c r="G3049" s="74"/>
      <c r="H3049" s="74"/>
      <c r="I3049" s="74"/>
      <c r="J3049" s="74"/>
      <c r="K3049" s="74"/>
      <c r="L3049" s="74"/>
      <c r="M3049" s="74"/>
      <c r="N3049" s="74"/>
      <c r="O3049" s="75"/>
      <c r="P3049" s="74"/>
      <c r="Q3049" s="75"/>
      <c r="R3049" s="74"/>
      <c r="S3049" s="74"/>
      <c r="T3049" s="74"/>
      <c r="U3049" s="75"/>
      <c r="V3049" s="74"/>
      <c r="W3049" s="75"/>
      <c r="X3049" s="74"/>
      <c r="Y3049" s="74"/>
      <c r="Z3049" s="74"/>
      <c r="AA3049" s="74"/>
      <c r="AB3049" s="74"/>
      <c r="AC3049" s="74"/>
      <c r="AD3049" s="74"/>
      <c r="AE3049" s="74"/>
      <c r="AF3049" s="74"/>
      <c r="AG3049" s="74"/>
      <c r="AH3049" s="74"/>
    </row>
    <row r="3050" s="73" customFormat="1" spans="1:34">
      <c r="A3050" s="74"/>
      <c r="B3050" s="74"/>
      <c r="C3050" s="74"/>
      <c r="D3050" s="74"/>
      <c r="E3050" s="74"/>
      <c r="F3050" s="74"/>
      <c r="G3050" s="74"/>
      <c r="H3050" s="74"/>
      <c r="I3050" s="74"/>
      <c r="J3050" s="74"/>
      <c r="K3050" s="74"/>
      <c r="L3050" s="74"/>
      <c r="M3050" s="74"/>
      <c r="N3050" s="74"/>
      <c r="O3050" s="75"/>
      <c r="P3050" s="74"/>
      <c r="Q3050" s="75"/>
      <c r="R3050" s="74"/>
      <c r="S3050" s="74"/>
      <c r="T3050" s="74"/>
      <c r="U3050" s="75"/>
      <c r="V3050" s="74"/>
      <c r="W3050" s="75"/>
      <c r="X3050" s="74"/>
      <c r="Y3050" s="74"/>
      <c r="Z3050" s="74"/>
      <c r="AA3050" s="74"/>
      <c r="AB3050" s="74"/>
      <c r="AC3050" s="74"/>
      <c r="AD3050" s="74"/>
      <c r="AE3050" s="74"/>
      <c r="AF3050" s="74"/>
      <c r="AG3050" s="74"/>
      <c r="AH3050" s="74"/>
    </row>
    <row r="3051" s="73" customFormat="1" spans="1:34">
      <c r="A3051" s="74"/>
      <c r="B3051" s="74"/>
      <c r="C3051" s="74"/>
      <c r="D3051" s="74"/>
      <c r="E3051" s="74"/>
      <c r="F3051" s="74"/>
      <c r="G3051" s="74"/>
      <c r="H3051" s="74"/>
      <c r="I3051" s="74"/>
      <c r="J3051" s="74"/>
      <c r="K3051" s="74"/>
      <c r="L3051" s="74"/>
      <c r="M3051" s="74"/>
      <c r="N3051" s="74"/>
      <c r="O3051" s="75"/>
      <c r="P3051" s="74"/>
      <c r="Q3051" s="75"/>
      <c r="R3051" s="74"/>
      <c r="S3051" s="74"/>
      <c r="T3051" s="74"/>
      <c r="U3051" s="75"/>
      <c r="V3051" s="74"/>
      <c r="W3051" s="75"/>
      <c r="X3051" s="74"/>
      <c r="Y3051" s="74"/>
      <c r="Z3051" s="74"/>
      <c r="AA3051" s="74"/>
      <c r="AB3051" s="74"/>
      <c r="AC3051" s="74"/>
      <c r="AD3051" s="74"/>
      <c r="AE3051" s="74"/>
      <c r="AF3051" s="74"/>
      <c r="AG3051" s="74"/>
      <c r="AH3051" s="74"/>
    </row>
    <row r="3052" s="73" customFormat="1" spans="1:34">
      <c r="A3052" s="74"/>
      <c r="B3052" s="74"/>
      <c r="C3052" s="74"/>
      <c r="D3052" s="74"/>
      <c r="E3052" s="74"/>
      <c r="F3052" s="74"/>
      <c r="G3052" s="74"/>
      <c r="H3052" s="74"/>
      <c r="I3052" s="74"/>
      <c r="J3052" s="74"/>
      <c r="K3052" s="74"/>
      <c r="L3052" s="74"/>
      <c r="M3052" s="74"/>
      <c r="N3052" s="74"/>
      <c r="O3052" s="75"/>
      <c r="P3052" s="74"/>
      <c r="Q3052" s="75"/>
      <c r="R3052" s="74"/>
      <c r="S3052" s="74"/>
      <c r="T3052" s="74"/>
      <c r="U3052" s="75"/>
      <c r="V3052" s="74"/>
      <c r="W3052" s="75"/>
      <c r="X3052" s="74"/>
      <c r="Y3052" s="74"/>
      <c r="Z3052" s="74"/>
      <c r="AA3052" s="74"/>
      <c r="AB3052" s="74"/>
      <c r="AC3052" s="74"/>
      <c r="AD3052" s="74"/>
      <c r="AE3052" s="74"/>
      <c r="AF3052" s="74"/>
      <c r="AG3052" s="74"/>
      <c r="AH3052" s="74"/>
    </row>
    <row r="3053" s="73" customFormat="1" spans="1:34">
      <c r="A3053" s="74"/>
      <c r="B3053" s="74"/>
      <c r="C3053" s="74"/>
      <c r="D3053" s="74"/>
      <c r="E3053" s="74"/>
      <c r="F3053" s="74"/>
      <c r="G3053" s="74"/>
      <c r="H3053" s="74"/>
      <c r="I3053" s="74"/>
      <c r="J3053" s="74"/>
      <c r="K3053" s="74"/>
      <c r="L3053" s="74"/>
      <c r="M3053" s="74"/>
      <c r="N3053" s="74"/>
      <c r="O3053" s="75"/>
      <c r="P3053" s="74"/>
      <c r="Q3053" s="75"/>
      <c r="R3053" s="74"/>
      <c r="S3053" s="74"/>
      <c r="T3053" s="74"/>
      <c r="U3053" s="75"/>
      <c r="V3053" s="74"/>
      <c r="W3053" s="75"/>
      <c r="X3053" s="74"/>
      <c r="Y3053" s="74"/>
      <c r="Z3053" s="74"/>
      <c r="AA3053" s="74"/>
      <c r="AB3053" s="74"/>
      <c r="AC3053" s="74"/>
      <c r="AD3053" s="74"/>
      <c r="AE3053" s="74"/>
      <c r="AF3053" s="74"/>
      <c r="AG3053" s="74"/>
      <c r="AH3053" s="74"/>
    </row>
    <row r="3054" s="73" customFormat="1" spans="1:34">
      <c r="A3054" s="74"/>
      <c r="B3054" s="74"/>
      <c r="C3054" s="74"/>
      <c r="D3054" s="74"/>
      <c r="E3054" s="74"/>
      <c r="F3054" s="74"/>
      <c r="G3054" s="74"/>
      <c r="H3054" s="74"/>
      <c r="I3054" s="74"/>
      <c r="J3054" s="74"/>
      <c r="K3054" s="74"/>
      <c r="L3054" s="74"/>
      <c r="M3054" s="74"/>
      <c r="N3054" s="74"/>
      <c r="O3054" s="75"/>
      <c r="P3054" s="74"/>
      <c r="Q3054" s="75"/>
      <c r="R3054" s="74"/>
      <c r="S3054" s="74"/>
      <c r="T3054" s="74"/>
      <c r="U3054" s="75"/>
      <c r="V3054" s="74"/>
      <c r="W3054" s="75"/>
      <c r="X3054" s="74"/>
      <c r="Y3054" s="74"/>
      <c r="Z3054" s="74"/>
      <c r="AA3054" s="74"/>
      <c r="AB3054" s="74"/>
      <c r="AC3054" s="74"/>
      <c r="AD3054" s="74"/>
      <c r="AE3054" s="74"/>
      <c r="AF3054" s="74"/>
      <c r="AG3054" s="74"/>
      <c r="AH3054" s="74"/>
    </row>
    <row r="3055" s="73" customFormat="1" spans="1:34">
      <c r="A3055" s="74"/>
      <c r="B3055" s="74"/>
      <c r="C3055" s="74"/>
      <c r="D3055" s="74"/>
      <c r="E3055" s="74"/>
      <c r="F3055" s="74"/>
      <c r="G3055" s="74"/>
      <c r="H3055" s="74"/>
      <c r="I3055" s="74"/>
      <c r="J3055" s="74"/>
      <c r="K3055" s="74"/>
      <c r="L3055" s="74"/>
      <c r="M3055" s="74"/>
      <c r="N3055" s="74"/>
      <c r="O3055" s="75"/>
      <c r="P3055" s="74"/>
      <c r="Q3055" s="75"/>
      <c r="R3055" s="74"/>
      <c r="S3055" s="74"/>
      <c r="T3055" s="74"/>
      <c r="U3055" s="75"/>
      <c r="V3055" s="74"/>
      <c r="W3055" s="75"/>
      <c r="X3055" s="74"/>
      <c r="Y3055" s="74"/>
      <c r="Z3055" s="74"/>
      <c r="AA3055" s="74"/>
      <c r="AB3055" s="74"/>
      <c r="AC3055" s="74"/>
      <c r="AD3055" s="74"/>
      <c r="AE3055" s="74"/>
      <c r="AF3055" s="74"/>
      <c r="AG3055" s="74"/>
      <c r="AH3055" s="74"/>
    </row>
    <row r="3056" s="73" customFormat="1" spans="1:34">
      <c r="A3056" s="74"/>
      <c r="B3056" s="74"/>
      <c r="C3056" s="74"/>
      <c r="D3056" s="74"/>
      <c r="E3056" s="74"/>
      <c r="F3056" s="74"/>
      <c r="G3056" s="74"/>
      <c r="H3056" s="74"/>
      <c r="I3056" s="74"/>
      <c r="J3056" s="74"/>
      <c r="K3056" s="74"/>
      <c r="L3056" s="74"/>
      <c r="M3056" s="74"/>
      <c r="N3056" s="74"/>
      <c r="O3056" s="75"/>
      <c r="P3056" s="74"/>
      <c r="Q3056" s="75"/>
      <c r="R3056" s="74"/>
      <c r="S3056" s="74"/>
      <c r="T3056" s="74"/>
      <c r="U3056" s="75"/>
      <c r="V3056" s="74"/>
      <c r="W3056" s="75"/>
      <c r="X3056" s="74"/>
      <c r="Y3056" s="74"/>
      <c r="Z3056" s="74"/>
      <c r="AA3056" s="74"/>
      <c r="AB3056" s="74"/>
      <c r="AC3056" s="74"/>
      <c r="AD3056" s="74"/>
      <c r="AE3056" s="74"/>
      <c r="AF3056" s="74"/>
      <c r="AG3056" s="74"/>
      <c r="AH3056" s="74"/>
    </row>
    <row r="3057" s="73" customFormat="1" spans="1:34">
      <c r="A3057" s="74"/>
      <c r="B3057" s="74"/>
      <c r="C3057" s="74"/>
      <c r="D3057" s="74"/>
      <c r="E3057" s="74"/>
      <c r="F3057" s="74"/>
      <c r="G3057" s="74"/>
      <c r="H3057" s="74"/>
      <c r="I3057" s="74"/>
      <c r="J3057" s="74"/>
      <c r="K3057" s="74"/>
      <c r="L3057" s="74"/>
      <c r="M3057" s="74"/>
      <c r="N3057" s="74"/>
      <c r="O3057" s="75"/>
      <c r="P3057" s="74"/>
      <c r="Q3057" s="75"/>
      <c r="R3057" s="74"/>
      <c r="S3057" s="74"/>
      <c r="T3057" s="74"/>
      <c r="U3057" s="75"/>
      <c r="V3057" s="74"/>
      <c r="W3057" s="75"/>
      <c r="X3057" s="74"/>
      <c r="Y3057" s="74"/>
      <c r="Z3057" s="74"/>
      <c r="AA3057" s="74"/>
      <c r="AB3057" s="74"/>
      <c r="AC3057" s="74"/>
      <c r="AD3057" s="74"/>
      <c r="AE3057" s="74"/>
      <c r="AF3057" s="74"/>
      <c r="AG3057" s="74"/>
      <c r="AH3057" s="74"/>
    </row>
    <row r="3058" s="73" customFormat="1" spans="1:34">
      <c r="A3058" s="74"/>
      <c r="B3058" s="74"/>
      <c r="C3058" s="74"/>
      <c r="D3058" s="74"/>
      <c r="E3058" s="74"/>
      <c r="F3058" s="74"/>
      <c r="G3058" s="74"/>
      <c r="H3058" s="74"/>
      <c r="I3058" s="74"/>
      <c r="J3058" s="74"/>
      <c r="K3058" s="74"/>
      <c r="L3058" s="74"/>
      <c r="M3058" s="74"/>
      <c r="N3058" s="74"/>
      <c r="O3058" s="75"/>
      <c r="P3058" s="74"/>
      <c r="Q3058" s="75"/>
      <c r="R3058" s="74"/>
      <c r="S3058" s="74"/>
      <c r="T3058" s="74"/>
      <c r="U3058" s="75"/>
      <c r="V3058" s="74"/>
      <c r="W3058" s="75"/>
      <c r="X3058" s="74"/>
      <c r="Y3058" s="74"/>
      <c r="Z3058" s="74"/>
      <c r="AA3058" s="74"/>
      <c r="AB3058" s="74"/>
      <c r="AC3058" s="74"/>
      <c r="AD3058" s="74"/>
      <c r="AE3058" s="74"/>
      <c r="AF3058" s="74"/>
      <c r="AG3058" s="74"/>
      <c r="AH3058" s="74"/>
    </row>
    <row r="3059" s="73" customFormat="1" spans="1:34">
      <c r="A3059" s="74"/>
      <c r="B3059" s="74"/>
      <c r="C3059" s="74"/>
      <c r="D3059" s="74"/>
      <c r="E3059" s="74"/>
      <c r="F3059" s="74"/>
      <c r="G3059" s="74"/>
      <c r="H3059" s="74"/>
      <c r="I3059" s="74"/>
      <c r="J3059" s="74"/>
      <c r="K3059" s="74"/>
      <c r="L3059" s="74"/>
      <c r="M3059" s="74"/>
      <c r="N3059" s="74"/>
      <c r="O3059" s="75"/>
      <c r="P3059" s="74"/>
      <c r="Q3059" s="75"/>
      <c r="R3059" s="74"/>
      <c r="S3059" s="74"/>
      <c r="T3059" s="74"/>
      <c r="U3059" s="75"/>
      <c r="V3059" s="74"/>
      <c r="W3059" s="75"/>
      <c r="X3059" s="74"/>
      <c r="Y3059" s="74"/>
      <c r="Z3059" s="74"/>
      <c r="AA3059" s="74"/>
      <c r="AB3059" s="74"/>
      <c r="AC3059" s="74"/>
      <c r="AD3059" s="74"/>
      <c r="AE3059" s="74"/>
      <c r="AF3059" s="74"/>
      <c r="AG3059" s="74"/>
      <c r="AH3059" s="74"/>
    </row>
    <row r="3060" s="73" customFormat="1" spans="1:34">
      <c r="A3060" s="74"/>
      <c r="B3060" s="74"/>
      <c r="C3060" s="74"/>
      <c r="D3060" s="74"/>
      <c r="E3060" s="74"/>
      <c r="F3060" s="74"/>
      <c r="G3060" s="74"/>
      <c r="H3060" s="74"/>
      <c r="I3060" s="74"/>
      <c r="J3060" s="74"/>
      <c r="K3060" s="74"/>
      <c r="L3060" s="74"/>
      <c r="M3060" s="74"/>
      <c r="N3060" s="74"/>
      <c r="O3060" s="75"/>
      <c r="P3060" s="74"/>
      <c r="Q3060" s="75"/>
      <c r="R3060" s="74"/>
      <c r="S3060" s="74"/>
      <c r="T3060" s="74"/>
      <c r="U3060" s="75"/>
      <c r="V3060" s="74"/>
      <c r="W3060" s="75"/>
      <c r="X3060" s="74"/>
      <c r="Y3060" s="74"/>
      <c r="Z3060" s="74"/>
      <c r="AA3060" s="74"/>
      <c r="AB3060" s="74"/>
      <c r="AC3060" s="74"/>
      <c r="AD3060" s="74"/>
      <c r="AE3060" s="74"/>
      <c r="AF3060" s="74"/>
      <c r="AG3060" s="74"/>
      <c r="AH3060" s="74"/>
    </row>
    <row r="3061" s="73" customFormat="1" spans="1:34">
      <c r="A3061" s="74"/>
      <c r="B3061" s="74"/>
      <c r="C3061" s="74"/>
      <c r="D3061" s="74"/>
      <c r="E3061" s="74"/>
      <c r="F3061" s="74"/>
      <c r="G3061" s="74"/>
      <c r="H3061" s="74"/>
      <c r="I3061" s="74"/>
      <c r="J3061" s="74"/>
      <c r="K3061" s="74"/>
      <c r="L3061" s="74"/>
      <c r="M3061" s="74"/>
      <c r="N3061" s="74"/>
      <c r="O3061" s="75"/>
      <c r="P3061" s="74"/>
      <c r="Q3061" s="75"/>
      <c r="R3061" s="74"/>
      <c r="S3061" s="74"/>
      <c r="T3061" s="74"/>
      <c r="U3061" s="75"/>
      <c r="V3061" s="74"/>
      <c r="W3061" s="75"/>
      <c r="X3061" s="74"/>
      <c r="Y3061" s="74"/>
      <c r="Z3061" s="74"/>
      <c r="AA3061" s="74"/>
      <c r="AB3061" s="74"/>
      <c r="AC3061" s="74"/>
      <c r="AD3061" s="74"/>
      <c r="AE3061" s="74"/>
      <c r="AF3061" s="74"/>
      <c r="AG3061" s="74"/>
      <c r="AH3061" s="74"/>
    </row>
    <row r="3062" s="73" customFormat="1" spans="1:34">
      <c r="A3062" s="74"/>
      <c r="B3062" s="74"/>
      <c r="C3062" s="74"/>
      <c r="D3062" s="74"/>
      <c r="E3062" s="74"/>
      <c r="F3062" s="74"/>
      <c r="G3062" s="74"/>
      <c r="H3062" s="74"/>
      <c r="I3062" s="74"/>
      <c r="J3062" s="74"/>
      <c r="K3062" s="74"/>
      <c r="L3062" s="74"/>
      <c r="M3062" s="74"/>
      <c r="N3062" s="74"/>
      <c r="O3062" s="75"/>
      <c r="P3062" s="74"/>
      <c r="Q3062" s="75"/>
      <c r="R3062" s="74"/>
      <c r="S3062" s="74"/>
      <c r="T3062" s="74"/>
      <c r="U3062" s="75"/>
      <c r="V3062" s="74"/>
      <c r="W3062" s="75"/>
      <c r="X3062" s="74"/>
      <c r="Y3062" s="74"/>
      <c r="Z3062" s="74"/>
      <c r="AA3062" s="74"/>
      <c r="AB3062" s="74"/>
      <c r="AC3062" s="74"/>
      <c r="AD3062" s="74"/>
      <c r="AE3062" s="74"/>
      <c r="AF3062" s="74"/>
      <c r="AG3062" s="74"/>
      <c r="AH3062" s="74"/>
    </row>
    <row r="3063" s="73" customFormat="1" spans="1:34">
      <c r="A3063" s="74"/>
      <c r="B3063" s="74"/>
      <c r="C3063" s="74"/>
      <c r="D3063" s="74"/>
      <c r="E3063" s="74"/>
      <c r="F3063" s="74"/>
      <c r="G3063" s="74"/>
      <c r="H3063" s="74"/>
      <c r="I3063" s="74"/>
      <c r="J3063" s="74"/>
      <c r="K3063" s="74"/>
      <c r="L3063" s="74"/>
      <c r="M3063" s="74"/>
      <c r="N3063" s="74"/>
      <c r="O3063" s="75"/>
      <c r="P3063" s="74"/>
      <c r="Q3063" s="75"/>
      <c r="R3063" s="74"/>
      <c r="S3063" s="74"/>
      <c r="T3063" s="74"/>
      <c r="U3063" s="75"/>
      <c r="V3063" s="74"/>
      <c r="W3063" s="75"/>
      <c r="X3063" s="74"/>
      <c r="Y3063" s="74"/>
      <c r="Z3063" s="74"/>
      <c r="AA3063" s="74"/>
      <c r="AB3063" s="74"/>
      <c r="AC3063" s="74"/>
      <c r="AD3063" s="74"/>
      <c r="AE3063" s="74"/>
      <c r="AF3063" s="74"/>
      <c r="AG3063" s="74"/>
      <c r="AH3063" s="74"/>
    </row>
    <row r="3064" s="73" customFormat="1" spans="1:34">
      <c r="A3064" s="74"/>
      <c r="B3064" s="74"/>
      <c r="C3064" s="74"/>
      <c r="D3064" s="74"/>
      <c r="E3064" s="74"/>
      <c r="F3064" s="74"/>
      <c r="G3064" s="74"/>
      <c r="H3064" s="74"/>
      <c r="I3064" s="74"/>
      <c r="J3064" s="74"/>
      <c r="K3064" s="74"/>
      <c r="L3064" s="74"/>
      <c r="M3064" s="74"/>
      <c r="N3064" s="74"/>
      <c r="O3064" s="75"/>
      <c r="P3064" s="74"/>
      <c r="Q3064" s="75"/>
      <c r="R3064" s="74"/>
      <c r="S3064" s="74"/>
      <c r="T3064" s="74"/>
      <c r="U3064" s="75"/>
      <c r="V3064" s="74"/>
      <c r="W3064" s="75"/>
      <c r="X3064" s="74"/>
      <c r="Y3064" s="74"/>
      <c r="Z3064" s="74"/>
      <c r="AA3064" s="74"/>
      <c r="AB3064" s="74"/>
      <c r="AC3064" s="74"/>
      <c r="AD3064" s="74"/>
      <c r="AE3064" s="74"/>
      <c r="AF3064" s="74"/>
      <c r="AG3064" s="74"/>
      <c r="AH3064" s="74"/>
    </row>
    <row r="3065" s="73" customFormat="1" spans="1:34">
      <c r="A3065" s="74"/>
      <c r="B3065" s="74"/>
      <c r="C3065" s="74"/>
      <c r="D3065" s="74"/>
      <c r="E3065" s="74"/>
      <c r="F3065" s="74"/>
      <c r="G3065" s="74"/>
      <c r="H3065" s="74"/>
      <c r="I3065" s="74"/>
      <c r="J3065" s="74"/>
      <c r="K3065" s="74"/>
      <c r="L3065" s="74"/>
      <c r="M3065" s="74"/>
      <c r="N3065" s="74"/>
      <c r="O3065" s="75"/>
      <c r="P3065" s="74"/>
      <c r="Q3065" s="75"/>
      <c r="R3065" s="74"/>
      <c r="S3065" s="74"/>
      <c r="T3065" s="74"/>
      <c r="U3065" s="75"/>
      <c r="V3065" s="74"/>
      <c r="W3065" s="75"/>
      <c r="X3065" s="74"/>
      <c r="Y3065" s="74"/>
      <c r="Z3065" s="74"/>
      <c r="AA3065" s="74"/>
      <c r="AB3065" s="74"/>
      <c r="AC3065" s="74"/>
      <c r="AD3065" s="74"/>
      <c r="AE3065" s="74"/>
      <c r="AF3065" s="74"/>
      <c r="AG3065" s="74"/>
      <c r="AH3065" s="74"/>
    </row>
    <row r="3066" s="73" customFormat="1" spans="1:34">
      <c r="A3066" s="74"/>
      <c r="B3066" s="74"/>
      <c r="C3066" s="74"/>
      <c r="D3066" s="74"/>
      <c r="E3066" s="74"/>
      <c r="F3066" s="74"/>
      <c r="G3066" s="74"/>
      <c r="H3066" s="74"/>
      <c r="I3066" s="74"/>
      <c r="J3066" s="74"/>
      <c r="K3066" s="74"/>
      <c r="L3066" s="74"/>
      <c r="M3066" s="74"/>
      <c r="N3066" s="74"/>
      <c r="O3066" s="75"/>
      <c r="P3066" s="74"/>
      <c r="Q3066" s="75"/>
      <c r="R3066" s="74"/>
      <c r="S3066" s="74"/>
      <c r="T3066" s="74"/>
      <c r="U3066" s="75"/>
      <c r="V3066" s="74"/>
      <c r="W3066" s="75"/>
      <c r="X3066" s="74"/>
      <c r="Y3066" s="74"/>
      <c r="Z3066" s="74"/>
      <c r="AA3066" s="74"/>
      <c r="AB3066" s="74"/>
      <c r="AC3066" s="74"/>
      <c r="AD3066" s="74"/>
      <c r="AE3066" s="74"/>
      <c r="AF3066" s="74"/>
      <c r="AG3066" s="74"/>
      <c r="AH3066" s="74"/>
    </row>
    <row r="3067" s="73" customFormat="1" spans="1:34">
      <c r="A3067" s="74"/>
      <c r="B3067" s="74"/>
      <c r="C3067" s="74"/>
      <c r="D3067" s="74"/>
      <c r="E3067" s="74"/>
      <c r="F3067" s="74"/>
      <c r="G3067" s="74"/>
      <c r="H3067" s="74"/>
      <c r="I3067" s="74"/>
      <c r="J3067" s="74"/>
      <c r="K3067" s="74"/>
      <c r="L3067" s="74"/>
      <c r="M3067" s="74"/>
      <c r="N3067" s="74"/>
      <c r="O3067" s="75"/>
      <c r="P3067" s="74"/>
      <c r="Q3067" s="75"/>
      <c r="R3067" s="74"/>
      <c r="S3067" s="74"/>
      <c r="T3067" s="74"/>
      <c r="U3067" s="75"/>
      <c r="V3067" s="74"/>
      <c r="W3067" s="75"/>
      <c r="X3067" s="74"/>
      <c r="Y3067" s="74"/>
      <c r="Z3067" s="74"/>
      <c r="AA3067" s="74"/>
      <c r="AB3067" s="74"/>
      <c r="AC3067" s="74"/>
      <c r="AD3067" s="74"/>
      <c r="AE3067" s="74"/>
      <c r="AF3067" s="74"/>
      <c r="AG3067" s="74"/>
      <c r="AH3067" s="74"/>
    </row>
    <row r="3068" s="73" customFormat="1" spans="1:34">
      <c r="A3068" s="74"/>
      <c r="B3068" s="74"/>
      <c r="C3068" s="74"/>
      <c r="D3068" s="74"/>
      <c r="E3068" s="74"/>
      <c r="F3068" s="74"/>
      <c r="G3068" s="74"/>
      <c r="H3068" s="74"/>
      <c r="I3068" s="74"/>
      <c r="J3068" s="74"/>
      <c r="K3068" s="74"/>
      <c r="L3068" s="74"/>
      <c r="M3068" s="74"/>
      <c r="N3068" s="74"/>
      <c r="O3068" s="75"/>
      <c r="P3068" s="74"/>
      <c r="Q3068" s="75"/>
      <c r="R3068" s="74"/>
      <c r="S3068" s="74"/>
      <c r="T3068" s="74"/>
      <c r="U3068" s="75"/>
      <c r="V3068" s="74"/>
      <c r="W3068" s="75"/>
      <c r="X3068" s="74"/>
      <c r="Y3068" s="74"/>
      <c r="Z3068" s="74"/>
      <c r="AA3068" s="74"/>
      <c r="AB3068" s="74"/>
      <c r="AC3068" s="74"/>
      <c r="AD3068" s="74"/>
      <c r="AE3068" s="74"/>
      <c r="AF3068" s="74"/>
      <c r="AG3068" s="74"/>
      <c r="AH3068" s="74"/>
    </row>
    <row r="3069" s="73" customFormat="1" spans="1:34">
      <c r="A3069" s="74"/>
      <c r="B3069" s="74"/>
      <c r="C3069" s="74"/>
      <c r="D3069" s="74"/>
      <c r="E3069" s="74"/>
      <c r="F3069" s="74"/>
      <c r="G3069" s="74"/>
      <c r="H3069" s="74"/>
      <c r="I3069" s="74"/>
      <c r="J3069" s="74"/>
      <c r="K3069" s="74"/>
      <c r="L3069" s="74"/>
      <c r="M3069" s="74"/>
      <c r="N3069" s="74"/>
      <c r="O3069" s="75"/>
      <c r="P3069" s="74"/>
      <c r="Q3069" s="75"/>
      <c r="R3069" s="74"/>
      <c r="S3069" s="74"/>
      <c r="T3069" s="74"/>
      <c r="U3069" s="75"/>
      <c r="V3069" s="74"/>
      <c r="W3069" s="75"/>
      <c r="X3069" s="74"/>
      <c r="Y3069" s="74"/>
      <c r="Z3069" s="74"/>
      <c r="AA3069" s="74"/>
      <c r="AB3069" s="74"/>
      <c r="AC3069" s="74"/>
      <c r="AD3069" s="74"/>
      <c r="AE3069" s="74"/>
      <c r="AF3069" s="74"/>
      <c r="AG3069" s="74"/>
      <c r="AH3069" s="74"/>
    </row>
    <row r="3070" s="73" customFormat="1" spans="1:34">
      <c r="A3070" s="74"/>
      <c r="B3070" s="74"/>
      <c r="C3070" s="74"/>
      <c r="D3070" s="74"/>
      <c r="E3070" s="74"/>
      <c r="F3070" s="74"/>
      <c r="G3070" s="74"/>
      <c r="H3070" s="74"/>
      <c r="I3070" s="74"/>
      <c r="J3070" s="74"/>
      <c r="K3070" s="74"/>
      <c r="L3070" s="74"/>
      <c r="M3070" s="74"/>
      <c r="N3070" s="74"/>
      <c r="O3070" s="75"/>
      <c r="P3070" s="74"/>
      <c r="Q3070" s="75"/>
      <c r="R3070" s="74"/>
      <c r="S3070" s="74"/>
      <c r="T3070" s="74"/>
      <c r="U3070" s="75"/>
      <c r="V3070" s="74"/>
      <c r="W3070" s="75"/>
      <c r="X3070" s="74"/>
      <c r="Y3070" s="74"/>
      <c r="Z3070" s="74"/>
      <c r="AA3070" s="74"/>
      <c r="AB3070" s="74"/>
      <c r="AC3070" s="74"/>
      <c r="AD3070" s="74"/>
      <c r="AE3070" s="74"/>
      <c r="AF3070" s="74"/>
      <c r="AG3070" s="74"/>
      <c r="AH3070" s="74"/>
    </row>
    <row r="3071" s="73" customFormat="1" spans="1:34">
      <c r="A3071" s="74"/>
      <c r="B3071" s="74"/>
      <c r="C3071" s="74"/>
      <c r="D3071" s="74"/>
      <c r="E3071" s="74"/>
      <c r="F3071" s="74"/>
      <c r="G3071" s="74"/>
      <c r="H3071" s="74"/>
      <c r="I3071" s="74"/>
      <c r="J3071" s="74"/>
      <c r="K3071" s="74"/>
      <c r="L3071" s="74"/>
      <c r="M3071" s="74"/>
      <c r="N3071" s="74"/>
      <c r="O3071" s="75"/>
      <c r="P3071" s="74"/>
      <c r="Q3071" s="75"/>
      <c r="R3071" s="74"/>
      <c r="S3071" s="74"/>
      <c r="T3071" s="74"/>
      <c r="U3071" s="75"/>
      <c r="V3071" s="74"/>
      <c r="W3071" s="75"/>
      <c r="X3071" s="74"/>
      <c r="Y3071" s="74"/>
      <c r="Z3071" s="74"/>
      <c r="AA3071" s="74"/>
      <c r="AB3071" s="74"/>
      <c r="AC3071" s="74"/>
      <c r="AD3071" s="74"/>
      <c r="AE3071" s="74"/>
      <c r="AF3071" s="74"/>
      <c r="AG3071" s="74"/>
      <c r="AH3071" s="74"/>
    </row>
    <row r="3072" s="73" customFormat="1" spans="1:34">
      <c r="A3072" s="74"/>
      <c r="B3072" s="74"/>
      <c r="C3072" s="74"/>
      <c r="D3072" s="74"/>
      <c r="E3072" s="74"/>
      <c r="F3072" s="74"/>
      <c r="G3072" s="74"/>
      <c r="H3072" s="74"/>
      <c r="I3072" s="74"/>
      <c r="J3072" s="74"/>
      <c r="K3072" s="74"/>
      <c r="L3072" s="74"/>
      <c r="M3072" s="74"/>
      <c r="N3072" s="74"/>
      <c r="O3072" s="75"/>
      <c r="P3072" s="74"/>
      <c r="Q3072" s="75"/>
      <c r="R3072" s="74"/>
      <c r="S3072" s="74"/>
      <c r="T3072" s="74"/>
      <c r="U3072" s="75"/>
      <c r="V3072" s="74"/>
      <c r="W3072" s="75"/>
      <c r="X3072" s="74"/>
      <c r="Y3072" s="74"/>
      <c r="Z3072" s="74"/>
      <c r="AA3072" s="74"/>
      <c r="AB3072" s="74"/>
      <c r="AC3072" s="74"/>
      <c r="AD3072" s="74"/>
      <c r="AE3072" s="74"/>
      <c r="AF3072" s="74"/>
      <c r="AG3072" s="74"/>
      <c r="AH3072" s="74"/>
    </row>
    <row r="3073" s="73" customFormat="1" spans="1:34">
      <c r="A3073" s="74"/>
      <c r="B3073" s="74"/>
      <c r="C3073" s="74"/>
      <c r="D3073" s="74"/>
      <c r="E3073" s="74"/>
      <c r="F3073" s="74"/>
      <c r="G3073" s="74"/>
      <c r="H3073" s="74"/>
      <c r="I3073" s="74"/>
      <c r="J3073" s="74"/>
      <c r="K3073" s="74"/>
      <c r="L3073" s="74"/>
      <c r="M3073" s="74"/>
      <c r="N3073" s="74"/>
      <c r="O3073" s="75"/>
      <c r="P3073" s="74"/>
      <c r="Q3073" s="75"/>
      <c r="R3073" s="74"/>
      <c r="S3073" s="74"/>
      <c r="T3073" s="74"/>
      <c r="U3073" s="75"/>
      <c r="V3073" s="74"/>
      <c r="W3073" s="75"/>
      <c r="X3073" s="74"/>
      <c r="Y3073" s="74"/>
      <c r="Z3073" s="74"/>
      <c r="AA3073" s="74"/>
      <c r="AB3073" s="74"/>
      <c r="AC3073" s="74"/>
      <c r="AD3073" s="74"/>
      <c r="AE3073" s="74"/>
      <c r="AF3073" s="74"/>
      <c r="AG3073" s="74"/>
      <c r="AH3073" s="74"/>
    </row>
    <row r="3074" s="73" customFormat="1" spans="1:34">
      <c r="A3074" s="74"/>
      <c r="B3074" s="74"/>
      <c r="C3074" s="74"/>
      <c r="D3074" s="74"/>
      <c r="E3074" s="74"/>
      <c r="F3074" s="74"/>
      <c r="G3074" s="74"/>
      <c r="H3074" s="74"/>
      <c r="I3074" s="74"/>
      <c r="J3074" s="74"/>
      <c r="K3074" s="74"/>
      <c r="L3074" s="74"/>
      <c r="M3074" s="74"/>
      <c r="N3074" s="74"/>
      <c r="O3074" s="75"/>
      <c r="P3074" s="74"/>
      <c r="Q3074" s="75"/>
      <c r="R3074" s="74"/>
      <c r="S3074" s="74"/>
      <c r="T3074" s="74"/>
      <c r="U3074" s="75"/>
      <c r="V3074" s="74"/>
      <c r="W3074" s="75"/>
      <c r="X3074" s="74"/>
      <c r="Y3074" s="74"/>
      <c r="Z3074" s="74"/>
      <c r="AA3074" s="74"/>
      <c r="AB3074" s="74"/>
      <c r="AC3074" s="74"/>
      <c r="AD3074" s="74"/>
      <c r="AE3074" s="74"/>
      <c r="AF3074" s="74"/>
      <c r="AG3074" s="74"/>
      <c r="AH3074" s="74"/>
    </row>
    <row r="3075" s="73" customFormat="1" spans="1:34">
      <c r="A3075" s="74"/>
      <c r="B3075" s="74"/>
      <c r="C3075" s="74"/>
      <c r="D3075" s="74"/>
      <c r="E3075" s="74"/>
      <c r="F3075" s="74"/>
      <c r="G3075" s="74"/>
      <c r="H3075" s="74"/>
      <c r="I3075" s="74"/>
      <c r="J3075" s="74"/>
      <c r="K3075" s="74"/>
      <c r="L3075" s="74"/>
      <c r="M3075" s="74"/>
      <c r="N3075" s="74"/>
      <c r="O3075" s="75"/>
      <c r="P3075" s="74"/>
      <c r="Q3075" s="75"/>
      <c r="R3075" s="74"/>
      <c r="S3075" s="74"/>
      <c r="T3075" s="74"/>
      <c r="U3075" s="75"/>
      <c r="V3075" s="74"/>
      <c r="W3075" s="75"/>
      <c r="X3075" s="74"/>
      <c r="Y3075" s="74"/>
      <c r="Z3075" s="74"/>
      <c r="AA3075" s="74"/>
      <c r="AB3075" s="74"/>
      <c r="AC3075" s="74"/>
      <c r="AD3075" s="74"/>
      <c r="AE3075" s="74"/>
      <c r="AF3075" s="74"/>
      <c r="AG3075" s="74"/>
      <c r="AH3075" s="74"/>
    </row>
    <row r="3076" s="73" customFormat="1" spans="1:34">
      <c r="A3076" s="74"/>
      <c r="B3076" s="74"/>
      <c r="C3076" s="74"/>
      <c r="D3076" s="74"/>
      <c r="E3076" s="74"/>
      <c r="F3076" s="74"/>
      <c r="G3076" s="74"/>
      <c r="H3076" s="74"/>
      <c r="I3076" s="74"/>
      <c r="J3076" s="74"/>
      <c r="K3076" s="74"/>
      <c r="L3076" s="74"/>
      <c r="M3076" s="74"/>
      <c r="N3076" s="74"/>
      <c r="O3076" s="75"/>
      <c r="P3076" s="74"/>
      <c r="Q3076" s="75"/>
      <c r="R3076" s="74"/>
      <c r="S3076" s="74"/>
      <c r="T3076" s="74"/>
      <c r="U3076" s="75"/>
      <c r="V3076" s="74"/>
      <c r="W3076" s="75"/>
      <c r="X3076" s="74"/>
      <c r="Y3076" s="74"/>
      <c r="Z3076" s="74"/>
      <c r="AA3076" s="74"/>
      <c r="AB3076" s="74"/>
      <c r="AC3076" s="74"/>
      <c r="AD3076" s="74"/>
      <c r="AE3076" s="74"/>
      <c r="AF3076" s="74"/>
      <c r="AG3076" s="74"/>
      <c r="AH3076" s="74"/>
    </row>
    <row r="3077" s="73" customFormat="1" spans="1:34">
      <c r="A3077" s="74"/>
      <c r="B3077" s="74"/>
      <c r="C3077" s="74"/>
      <c r="D3077" s="74"/>
      <c r="E3077" s="74"/>
      <c r="F3077" s="74"/>
      <c r="G3077" s="74"/>
      <c r="H3077" s="74"/>
      <c r="I3077" s="74"/>
      <c r="J3077" s="74"/>
      <c r="K3077" s="74"/>
      <c r="L3077" s="74"/>
      <c r="M3077" s="74"/>
      <c r="N3077" s="74"/>
      <c r="O3077" s="75"/>
      <c r="P3077" s="74"/>
      <c r="Q3077" s="75"/>
      <c r="R3077" s="74"/>
      <c r="S3077" s="74"/>
      <c r="T3077" s="74"/>
      <c r="U3077" s="75"/>
      <c r="V3077" s="74"/>
      <c r="W3077" s="75"/>
      <c r="X3077" s="74"/>
      <c r="Y3077" s="74"/>
      <c r="Z3077" s="74"/>
      <c r="AA3077" s="74"/>
      <c r="AB3077" s="74"/>
      <c r="AC3077" s="74"/>
      <c r="AD3077" s="74"/>
      <c r="AE3077" s="74"/>
      <c r="AF3077" s="74"/>
      <c r="AG3077" s="74"/>
      <c r="AH3077" s="74"/>
    </row>
    <row r="3078" s="73" customFormat="1" spans="1:34">
      <c r="A3078" s="74"/>
      <c r="B3078" s="74"/>
      <c r="C3078" s="74"/>
      <c r="D3078" s="74"/>
      <c r="E3078" s="74"/>
      <c r="F3078" s="74"/>
      <c r="G3078" s="74"/>
      <c r="H3078" s="74"/>
      <c r="I3078" s="74"/>
      <c r="J3078" s="74"/>
      <c r="K3078" s="74"/>
      <c r="L3078" s="74"/>
      <c r="M3078" s="74"/>
      <c r="N3078" s="74"/>
      <c r="O3078" s="75"/>
      <c r="P3078" s="74"/>
      <c r="Q3078" s="75"/>
      <c r="R3078" s="74"/>
      <c r="S3078" s="74"/>
      <c r="T3078" s="74"/>
      <c r="U3078" s="75"/>
      <c r="V3078" s="74"/>
      <c r="W3078" s="75"/>
      <c r="X3078" s="74"/>
      <c r="Y3078" s="74"/>
      <c r="Z3078" s="74"/>
      <c r="AA3078" s="74"/>
      <c r="AB3078" s="74"/>
      <c r="AC3078" s="74"/>
      <c r="AD3078" s="74"/>
      <c r="AE3078" s="74"/>
      <c r="AF3078" s="74"/>
      <c r="AG3078" s="74"/>
      <c r="AH3078" s="74"/>
    </row>
    <row r="3079" s="73" customFormat="1" spans="1:34">
      <c r="A3079" s="74"/>
      <c r="B3079" s="74"/>
      <c r="C3079" s="74"/>
      <c r="D3079" s="74"/>
      <c r="E3079" s="74"/>
      <c r="F3079" s="74"/>
      <c r="G3079" s="74"/>
      <c r="H3079" s="74"/>
      <c r="I3079" s="74"/>
      <c r="J3079" s="74"/>
      <c r="K3079" s="74"/>
      <c r="L3079" s="74"/>
      <c r="M3079" s="74"/>
      <c r="N3079" s="74"/>
      <c r="O3079" s="75"/>
      <c r="P3079" s="74"/>
      <c r="Q3079" s="75"/>
      <c r="R3079" s="74"/>
      <c r="S3079" s="74"/>
      <c r="T3079" s="74"/>
      <c r="U3079" s="75"/>
      <c r="V3079" s="74"/>
      <c r="W3079" s="75"/>
      <c r="X3079" s="74"/>
      <c r="Y3079" s="74"/>
      <c r="Z3079" s="74"/>
      <c r="AA3079" s="74"/>
      <c r="AB3079" s="74"/>
      <c r="AC3079" s="74"/>
      <c r="AD3079" s="74"/>
      <c r="AE3079" s="74"/>
      <c r="AF3079" s="74"/>
      <c r="AG3079" s="74"/>
      <c r="AH3079" s="74"/>
    </row>
    <row r="3080" s="73" customFormat="1" spans="1:34">
      <c r="A3080" s="74"/>
      <c r="B3080" s="74"/>
      <c r="C3080" s="74"/>
      <c r="D3080" s="74"/>
      <c r="E3080" s="74"/>
      <c r="F3080" s="74"/>
      <c r="G3080" s="74"/>
      <c r="H3080" s="74"/>
      <c r="I3080" s="74"/>
      <c r="J3080" s="74"/>
      <c r="K3080" s="74"/>
      <c r="L3080" s="74"/>
      <c r="M3080" s="74"/>
      <c r="N3080" s="74"/>
      <c r="O3080" s="75"/>
      <c r="P3080" s="74"/>
      <c r="Q3080" s="75"/>
      <c r="R3080" s="74"/>
      <c r="S3080" s="74"/>
      <c r="T3080" s="74"/>
      <c r="U3080" s="75"/>
      <c r="V3080" s="74"/>
      <c r="W3080" s="75"/>
      <c r="X3080" s="74"/>
      <c r="Y3080" s="74"/>
      <c r="Z3080" s="74"/>
      <c r="AA3080" s="74"/>
      <c r="AB3080" s="74"/>
      <c r="AC3080" s="74"/>
      <c r="AD3080" s="74"/>
      <c r="AE3080" s="74"/>
      <c r="AF3080" s="74"/>
      <c r="AG3080" s="74"/>
      <c r="AH3080" s="74"/>
    </row>
    <row r="3082" s="73" customFormat="1" spans="1:34">
      <c r="A3082" s="74"/>
      <c r="B3082" s="74"/>
      <c r="C3082" s="74"/>
      <c r="D3082" s="74"/>
      <c r="E3082" s="74"/>
      <c r="F3082" s="74"/>
      <c r="G3082" s="74"/>
      <c r="H3082" s="74"/>
      <c r="I3082" s="74"/>
      <c r="J3082" s="74"/>
      <c r="K3082" s="74"/>
      <c r="L3082" s="74"/>
      <c r="M3082" s="74"/>
      <c r="N3082" s="74"/>
      <c r="O3082" s="75"/>
      <c r="P3082" s="74"/>
      <c r="Q3082" s="75"/>
      <c r="R3082" s="74"/>
      <c r="S3082" s="74"/>
      <c r="T3082" s="74"/>
      <c r="U3082" s="75"/>
      <c r="V3082" s="74"/>
      <c r="W3082" s="75"/>
      <c r="X3082" s="74"/>
      <c r="Y3082" s="74"/>
      <c r="Z3082" s="74"/>
      <c r="AA3082" s="74"/>
      <c r="AB3082" s="74"/>
      <c r="AC3082" s="74"/>
      <c r="AD3082" s="74"/>
      <c r="AE3082" s="74"/>
      <c r="AF3082" s="74"/>
      <c r="AG3082" s="74"/>
      <c r="AH3082" s="74"/>
    </row>
    <row r="3084" s="73" customFormat="1" spans="1:34">
      <c r="A3084" s="74"/>
      <c r="B3084" s="74"/>
      <c r="C3084" s="74"/>
      <c r="D3084" s="74"/>
      <c r="E3084" s="74"/>
      <c r="F3084" s="74"/>
      <c r="G3084" s="74"/>
      <c r="H3084" s="74"/>
      <c r="I3084" s="74"/>
      <c r="J3084" s="74"/>
      <c r="K3084" s="74"/>
      <c r="L3084" s="74"/>
      <c r="M3084" s="74"/>
      <c r="N3084" s="74"/>
      <c r="O3084" s="75"/>
      <c r="P3084" s="74"/>
      <c r="Q3084" s="75"/>
      <c r="R3084" s="74"/>
      <c r="S3084" s="74"/>
      <c r="T3084" s="74"/>
      <c r="U3084" s="75"/>
      <c r="V3084" s="74"/>
      <c r="W3084" s="75"/>
      <c r="X3084" s="74"/>
      <c r="Y3084" s="74"/>
      <c r="Z3084" s="74"/>
      <c r="AA3084" s="74"/>
      <c r="AB3084" s="74"/>
      <c r="AC3084" s="74"/>
      <c r="AD3084" s="74"/>
      <c r="AE3084" s="74"/>
      <c r="AF3084" s="74"/>
      <c r="AG3084" s="74"/>
      <c r="AH3084" s="74"/>
    </row>
    <row r="3085" s="73" customFormat="1" spans="1:34">
      <c r="A3085" s="74"/>
      <c r="B3085" s="74"/>
      <c r="C3085" s="74"/>
      <c r="D3085" s="74"/>
      <c r="E3085" s="74"/>
      <c r="F3085" s="74"/>
      <c r="G3085" s="74"/>
      <c r="H3085" s="74"/>
      <c r="I3085" s="74"/>
      <c r="J3085" s="74"/>
      <c r="K3085" s="74"/>
      <c r="L3085" s="74"/>
      <c r="M3085" s="74"/>
      <c r="N3085" s="74"/>
      <c r="O3085" s="75"/>
      <c r="P3085" s="74"/>
      <c r="Q3085" s="75"/>
      <c r="R3085" s="74"/>
      <c r="S3085" s="74"/>
      <c r="T3085" s="74"/>
      <c r="U3085" s="75"/>
      <c r="V3085" s="74"/>
      <c r="W3085" s="75"/>
      <c r="X3085" s="74"/>
      <c r="Y3085" s="74"/>
      <c r="Z3085" s="74"/>
      <c r="AA3085" s="74"/>
      <c r="AB3085" s="74"/>
      <c r="AC3085" s="74"/>
      <c r="AD3085" s="74"/>
      <c r="AE3085" s="74"/>
      <c r="AF3085" s="74"/>
      <c r="AG3085" s="74"/>
      <c r="AH3085" s="74"/>
    </row>
    <row r="3086" s="73" customFormat="1" spans="1:34">
      <c r="A3086" s="74"/>
      <c r="B3086" s="74"/>
      <c r="C3086" s="74"/>
      <c r="D3086" s="74"/>
      <c r="E3086" s="74"/>
      <c r="F3086" s="74"/>
      <c r="G3086" s="74"/>
      <c r="H3086" s="74"/>
      <c r="I3086" s="74"/>
      <c r="J3086" s="74"/>
      <c r="K3086" s="74"/>
      <c r="L3086" s="74"/>
      <c r="M3086" s="74"/>
      <c r="N3086" s="74"/>
      <c r="O3086" s="75"/>
      <c r="P3086" s="74"/>
      <c r="Q3086" s="75"/>
      <c r="R3086" s="74"/>
      <c r="S3086" s="74"/>
      <c r="T3086" s="74"/>
      <c r="U3086" s="75"/>
      <c r="V3086" s="74"/>
      <c r="W3086" s="75"/>
      <c r="X3086" s="74"/>
      <c r="Y3086" s="74"/>
      <c r="Z3086" s="74"/>
      <c r="AA3086" s="74"/>
      <c r="AB3086" s="74"/>
      <c r="AC3086" s="74"/>
      <c r="AD3086" s="74"/>
      <c r="AE3086" s="74"/>
      <c r="AF3086" s="74"/>
      <c r="AG3086" s="74"/>
      <c r="AH3086" s="74"/>
    </row>
    <row r="3087" s="73" customFormat="1" spans="1:34">
      <c r="A3087" s="74"/>
      <c r="B3087" s="74"/>
      <c r="C3087" s="74"/>
      <c r="D3087" s="74"/>
      <c r="E3087" s="74"/>
      <c r="F3087" s="74"/>
      <c r="G3087" s="74"/>
      <c r="H3087" s="74"/>
      <c r="I3087" s="74"/>
      <c r="J3087" s="74"/>
      <c r="K3087" s="74"/>
      <c r="L3087" s="74"/>
      <c r="M3087" s="74"/>
      <c r="N3087" s="74"/>
      <c r="O3087" s="75"/>
      <c r="P3087" s="74"/>
      <c r="Q3087" s="75"/>
      <c r="R3087" s="74"/>
      <c r="S3087" s="74"/>
      <c r="T3087" s="74"/>
      <c r="U3087" s="75"/>
      <c r="V3087" s="74"/>
      <c r="W3087" s="75"/>
      <c r="X3087" s="74"/>
      <c r="Y3087" s="74"/>
      <c r="Z3087" s="74"/>
      <c r="AA3087" s="74"/>
      <c r="AB3087" s="74"/>
      <c r="AC3087" s="74"/>
      <c r="AD3087" s="74"/>
      <c r="AE3087" s="74"/>
      <c r="AF3087" s="74"/>
      <c r="AG3087" s="74"/>
      <c r="AH3087" s="74"/>
    </row>
    <row r="3088" s="73" customFormat="1" spans="1:34">
      <c r="A3088" s="74"/>
      <c r="B3088" s="74"/>
      <c r="C3088" s="74"/>
      <c r="D3088" s="74"/>
      <c r="E3088" s="74"/>
      <c r="F3088" s="74"/>
      <c r="G3088" s="74"/>
      <c r="H3088" s="74"/>
      <c r="I3088" s="74"/>
      <c r="J3088" s="74"/>
      <c r="K3088" s="74"/>
      <c r="L3088" s="74"/>
      <c r="M3088" s="74"/>
      <c r="N3088" s="74"/>
      <c r="O3088" s="75"/>
      <c r="P3088" s="74"/>
      <c r="Q3088" s="75"/>
      <c r="R3088" s="74"/>
      <c r="S3088" s="74"/>
      <c r="T3088" s="74"/>
      <c r="U3088" s="75"/>
      <c r="V3088" s="74"/>
      <c r="W3088" s="75"/>
      <c r="X3088" s="74"/>
      <c r="Y3088" s="74"/>
      <c r="Z3088" s="74"/>
      <c r="AA3088" s="74"/>
      <c r="AB3088" s="74"/>
      <c r="AC3088" s="74"/>
      <c r="AD3088" s="74"/>
      <c r="AE3088" s="74"/>
      <c r="AF3088" s="74"/>
      <c r="AG3088" s="74"/>
      <c r="AH3088" s="74"/>
    </row>
    <row r="3089" s="73" customFormat="1" spans="1:34">
      <c r="A3089" s="74"/>
      <c r="B3089" s="74"/>
      <c r="C3089" s="74"/>
      <c r="D3089" s="74"/>
      <c r="E3089" s="74"/>
      <c r="F3089" s="74"/>
      <c r="G3089" s="74"/>
      <c r="H3089" s="74"/>
      <c r="I3089" s="74"/>
      <c r="J3089" s="74"/>
      <c r="K3089" s="74"/>
      <c r="L3089" s="74"/>
      <c r="M3089" s="74"/>
      <c r="N3089" s="74"/>
      <c r="O3089" s="75"/>
      <c r="P3089" s="74"/>
      <c r="Q3089" s="75"/>
      <c r="R3089" s="74"/>
      <c r="S3089" s="74"/>
      <c r="T3089" s="74"/>
      <c r="U3089" s="75"/>
      <c r="V3089" s="74"/>
      <c r="W3089" s="75"/>
      <c r="X3089" s="74"/>
      <c r="Y3089" s="74"/>
      <c r="Z3089" s="74"/>
      <c r="AA3089" s="74"/>
      <c r="AB3089" s="74"/>
      <c r="AC3089" s="74"/>
      <c r="AD3089" s="74"/>
      <c r="AE3089" s="74"/>
      <c r="AF3089" s="74"/>
      <c r="AG3089" s="74"/>
      <c r="AH3089" s="74"/>
    </row>
    <row r="3090" s="73" customFormat="1" spans="1:34">
      <c r="A3090" s="74"/>
      <c r="B3090" s="74"/>
      <c r="C3090" s="74"/>
      <c r="D3090" s="74"/>
      <c r="E3090" s="74"/>
      <c r="F3090" s="74"/>
      <c r="G3090" s="74"/>
      <c r="H3090" s="74"/>
      <c r="I3090" s="74"/>
      <c r="J3090" s="74"/>
      <c r="K3090" s="74"/>
      <c r="L3090" s="74"/>
      <c r="M3090" s="74"/>
      <c r="N3090" s="74"/>
      <c r="O3090" s="75"/>
      <c r="P3090" s="74"/>
      <c r="Q3090" s="75"/>
      <c r="R3090" s="74"/>
      <c r="S3090" s="74"/>
      <c r="T3090" s="74"/>
      <c r="U3090" s="75"/>
      <c r="V3090" s="74"/>
      <c r="W3090" s="75"/>
      <c r="X3090" s="74"/>
      <c r="Y3090" s="74"/>
      <c r="Z3090" s="74"/>
      <c r="AA3090" s="74"/>
      <c r="AB3090" s="74"/>
      <c r="AC3090" s="74"/>
      <c r="AD3090" s="74"/>
      <c r="AE3090" s="74"/>
      <c r="AF3090" s="74"/>
      <c r="AG3090" s="74"/>
      <c r="AH3090" s="74"/>
    </row>
    <row r="3091" s="73" customFormat="1" spans="1:34">
      <c r="A3091" s="74"/>
      <c r="B3091" s="74"/>
      <c r="C3091" s="74"/>
      <c r="D3091" s="74"/>
      <c r="E3091" s="74"/>
      <c r="F3091" s="74"/>
      <c r="G3091" s="74"/>
      <c r="H3091" s="74"/>
      <c r="I3091" s="74"/>
      <c r="J3091" s="74"/>
      <c r="K3091" s="74"/>
      <c r="L3091" s="74"/>
      <c r="M3091" s="74"/>
      <c r="N3091" s="74"/>
      <c r="O3091" s="75"/>
      <c r="P3091" s="74"/>
      <c r="Q3091" s="75"/>
      <c r="R3091" s="74"/>
      <c r="S3091" s="74"/>
      <c r="T3091" s="74"/>
      <c r="U3091" s="75"/>
      <c r="V3091" s="74"/>
      <c r="W3091" s="75"/>
      <c r="X3091" s="74"/>
      <c r="Y3091" s="74"/>
      <c r="Z3091" s="74"/>
      <c r="AA3091" s="74"/>
      <c r="AB3091" s="74"/>
      <c r="AC3091" s="74"/>
      <c r="AD3091" s="74"/>
      <c r="AE3091" s="74"/>
      <c r="AF3091" s="74"/>
      <c r="AG3091" s="74"/>
      <c r="AH3091" s="74"/>
    </row>
    <row r="3092" s="73" customFormat="1" spans="1:34">
      <c r="A3092" s="74"/>
      <c r="B3092" s="74"/>
      <c r="C3092" s="74"/>
      <c r="D3092" s="74"/>
      <c r="E3092" s="74"/>
      <c r="F3092" s="74"/>
      <c r="G3092" s="74"/>
      <c r="H3092" s="74"/>
      <c r="I3092" s="74"/>
      <c r="J3092" s="74"/>
      <c r="K3092" s="74"/>
      <c r="L3092" s="74"/>
      <c r="M3092" s="74"/>
      <c r="N3092" s="74"/>
      <c r="O3092" s="75"/>
      <c r="P3092" s="74"/>
      <c r="Q3092" s="75"/>
      <c r="R3092" s="74"/>
      <c r="S3092" s="74"/>
      <c r="T3092" s="74"/>
      <c r="U3092" s="75"/>
      <c r="V3092" s="74"/>
      <c r="W3092" s="75"/>
      <c r="X3092" s="74"/>
      <c r="Y3092" s="74"/>
      <c r="Z3092" s="74"/>
      <c r="AA3092" s="74"/>
      <c r="AB3092" s="74"/>
      <c r="AC3092" s="74"/>
      <c r="AD3092" s="74"/>
      <c r="AE3092" s="74"/>
      <c r="AF3092" s="74"/>
      <c r="AG3092" s="74"/>
      <c r="AH3092" s="74"/>
    </row>
    <row r="3093" s="73" customFormat="1" spans="1:34">
      <c r="A3093" s="74"/>
      <c r="B3093" s="74"/>
      <c r="C3093" s="74"/>
      <c r="D3093" s="74"/>
      <c r="E3093" s="74"/>
      <c r="F3093" s="74"/>
      <c r="G3093" s="74"/>
      <c r="H3093" s="74"/>
      <c r="I3093" s="74"/>
      <c r="J3093" s="74"/>
      <c r="K3093" s="74"/>
      <c r="L3093" s="74"/>
      <c r="M3093" s="74"/>
      <c r="N3093" s="74"/>
      <c r="O3093" s="75"/>
      <c r="P3093" s="74"/>
      <c r="Q3093" s="75"/>
      <c r="R3093" s="74"/>
      <c r="S3093" s="74"/>
      <c r="T3093" s="74"/>
      <c r="U3093" s="75"/>
      <c r="V3093" s="74"/>
      <c r="W3093" s="75"/>
      <c r="X3093" s="74"/>
      <c r="Y3093" s="74"/>
      <c r="Z3093" s="74"/>
      <c r="AA3093" s="74"/>
      <c r="AB3093" s="74"/>
      <c r="AC3093" s="74"/>
      <c r="AD3093" s="74"/>
      <c r="AE3093" s="74"/>
      <c r="AF3093" s="74"/>
      <c r="AG3093" s="74"/>
      <c r="AH3093" s="74"/>
    </row>
    <row r="3094" s="73" customFormat="1" spans="1:34">
      <c r="A3094" s="74"/>
      <c r="B3094" s="74"/>
      <c r="C3094" s="74"/>
      <c r="D3094" s="74"/>
      <c r="E3094" s="74"/>
      <c r="F3094" s="74"/>
      <c r="G3094" s="74"/>
      <c r="H3094" s="74"/>
      <c r="I3094" s="74"/>
      <c r="J3094" s="74"/>
      <c r="K3094" s="74"/>
      <c r="L3094" s="74"/>
      <c r="M3094" s="74"/>
      <c r="N3094" s="74"/>
      <c r="O3094" s="75"/>
      <c r="P3094" s="74"/>
      <c r="Q3094" s="75"/>
      <c r="R3094" s="74"/>
      <c r="S3094" s="74"/>
      <c r="T3094" s="74"/>
      <c r="U3094" s="75"/>
      <c r="V3094" s="74"/>
      <c r="W3094" s="75"/>
      <c r="X3094" s="74"/>
      <c r="Y3094" s="74"/>
      <c r="Z3094" s="74"/>
      <c r="AA3094" s="74"/>
      <c r="AB3094" s="74"/>
      <c r="AC3094" s="74"/>
      <c r="AD3094" s="74"/>
      <c r="AE3094" s="74"/>
      <c r="AF3094" s="74"/>
      <c r="AG3094" s="74"/>
      <c r="AH3094" s="74"/>
    </row>
    <row r="3095" s="73" customFormat="1" spans="1:34">
      <c r="A3095" s="74"/>
      <c r="B3095" s="74"/>
      <c r="C3095" s="74"/>
      <c r="D3095" s="74"/>
      <c r="E3095" s="74"/>
      <c r="F3095" s="74"/>
      <c r="G3095" s="74"/>
      <c r="H3095" s="74"/>
      <c r="I3095" s="74"/>
      <c r="J3095" s="74"/>
      <c r="K3095" s="74"/>
      <c r="L3095" s="74"/>
      <c r="M3095" s="74"/>
      <c r="N3095" s="74"/>
      <c r="O3095" s="75"/>
      <c r="P3095" s="74"/>
      <c r="Q3095" s="75"/>
      <c r="R3095" s="74"/>
      <c r="S3095" s="74"/>
      <c r="T3095" s="74"/>
      <c r="U3095" s="75"/>
      <c r="V3095" s="74"/>
      <c r="W3095" s="75"/>
      <c r="X3095" s="74"/>
      <c r="Y3095" s="74"/>
      <c r="Z3095" s="74"/>
      <c r="AA3095" s="74"/>
      <c r="AB3095" s="74"/>
      <c r="AC3095" s="74"/>
      <c r="AD3095" s="74"/>
      <c r="AE3095" s="74"/>
      <c r="AF3095" s="74"/>
      <c r="AG3095" s="74"/>
      <c r="AH3095" s="74"/>
    </row>
    <row r="3096" s="73" customFormat="1" spans="1:34">
      <c r="A3096" s="74"/>
      <c r="B3096" s="74"/>
      <c r="C3096" s="74"/>
      <c r="D3096" s="74"/>
      <c r="E3096" s="74"/>
      <c r="F3096" s="74"/>
      <c r="G3096" s="74"/>
      <c r="H3096" s="74"/>
      <c r="I3096" s="74"/>
      <c r="J3096" s="74"/>
      <c r="K3096" s="74"/>
      <c r="L3096" s="74"/>
      <c r="M3096" s="74"/>
      <c r="N3096" s="74"/>
      <c r="O3096" s="75"/>
      <c r="P3096" s="74"/>
      <c r="Q3096" s="75"/>
      <c r="R3096" s="74"/>
      <c r="S3096" s="74"/>
      <c r="T3096" s="74"/>
      <c r="U3096" s="75"/>
      <c r="V3096" s="74"/>
      <c r="W3096" s="75"/>
      <c r="X3096" s="74"/>
      <c r="Y3096" s="74"/>
      <c r="Z3096" s="74"/>
      <c r="AA3096" s="74"/>
      <c r="AB3096" s="74"/>
      <c r="AC3096" s="74"/>
      <c r="AD3096" s="74"/>
      <c r="AE3096" s="74"/>
      <c r="AF3096" s="74"/>
      <c r="AG3096" s="74"/>
      <c r="AH3096" s="74"/>
    </row>
    <row r="3097" s="73" customFormat="1" spans="1:34">
      <c r="A3097" s="74"/>
      <c r="B3097" s="74"/>
      <c r="C3097" s="74"/>
      <c r="D3097" s="74"/>
      <c r="E3097" s="74"/>
      <c r="F3097" s="74"/>
      <c r="G3097" s="74"/>
      <c r="H3097" s="74"/>
      <c r="I3097" s="74"/>
      <c r="J3097" s="74"/>
      <c r="K3097" s="74"/>
      <c r="L3097" s="74"/>
      <c r="M3097" s="74"/>
      <c r="N3097" s="74"/>
      <c r="O3097" s="75"/>
      <c r="P3097" s="74"/>
      <c r="Q3097" s="75"/>
      <c r="R3097" s="74"/>
      <c r="S3097" s="74"/>
      <c r="T3097" s="74"/>
      <c r="U3097" s="75"/>
      <c r="V3097" s="74"/>
      <c r="W3097" s="75"/>
      <c r="X3097" s="74"/>
      <c r="Y3097" s="74"/>
      <c r="Z3097" s="74"/>
      <c r="AA3097" s="74"/>
      <c r="AB3097" s="74"/>
      <c r="AC3097" s="74"/>
      <c r="AD3097" s="74"/>
      <c r="AE3097" s="74"/>
      <c r="AF3097" s="74"/>
      <c r="AG3097" s="74"/>
      <c r="AH3097" s="74"/>
    </row>
    <row r="3098" s="73" customFormat="1" spans="1:34">
      <c r="A3098" s="74"/>
      <c r="B3098" s="74"/>
      <c r="C3098" s="74"/>
      <c r="D3098" s="74"/>
      <c r="E3098" s="74"/>
      <c r="F3098" s="74"/>
      <c r="G3098" s="74"/>
      <c r="H3098" s="74"/>
      <c r="I3098" s="74"/>
      <c r="J3098" s="74"/>
      <c r="K3098" s="74"/>
      <c r="L3098" s="74"/>
      <c r="M3098" s="74"/>
      <c r="N3098" s="74"/>
      <c r="O3098" s="75"/>
      <c r="P3098" s="74"/>
      <c r="Q3098" s="75"/>
      <c r="R3098" s="74"/>
      <c r="S3098" s="74"/>
      <c r="T3098" s="74"/>
      <c r="U3098" s="75"/>
      <c r="V3098" s="74"/>
      <c r="W3098" s="75"/>
      <c r="X3098" s="74"/>
      <c r="Y3098" s="74"/>
      <c r="Z3098" s="74"/>
      <c r="AA3098" s="74"/>
      <c r="AB3098" s="74"/>
      <c r="AC3098" s="74"/>
      <c r="AD3098" s="74"/>
      <c r="AE3098" s="74"/>
      <c r="AF3098" s="74"/>
      <c r="AG3098" s="74"/>
      <c r="AH3098" s="74"/>
    </row>
    <row r="3099" s="73" customFormat="1" spans="1:34">
      <c r="A3099" s="74"/>
      <c r="B3099" s="74"/>
      <c r="C3099" s="74"/>
      <c r="D3099" s="74"/>
      <c r="E3099" s="74"/>
      <c r="F3099" s="74"/>
      <c r="G3099" s="74"/>
      <c r="H3099" s="74"/>
      <c r="I3099" s="74"/>
      <c r="J3099" s="74"/>
      <c r="K3099" s="74"/>
      <c r="L3099" s="74"/>
      <c r="M3099" s="74"/>
      <c r="N3099" s="74"/>
      <c r="O3099" s="75"/>
      <c r="P3099" s="74"/>
      <c r="Q3099" s="75"/>
      <c r="R3099" s="74"/>
      <c r="S3099" s="74"/>
      <c r="T3099" s="74"/>
      <c r="U3099" s="75"/>
      <c r="V3099" s="74"/>
      <c r="W3099" s="75"/>
      <c r="X3099" s="74"/>
      <c r="Y3099" s="74"/>
      <c r="Z3099" s="74"/>
      <c r="AA3099" s="74"/>
      <c r="AB3099" s="74"/>
      <c r="AC3099" s="74"/>
      <c r="AD3099" s="74"/>
      <c r="AE3099" s="74"/>
      <c r="AF3099" s="74"/>
      <c r="AG3099" s="74"/>
      <c r="AH3099" s="74"/>
    </row>
    <row r="3100" s="73" customFormat="1" spans="1:34">
      <c r="A3100" s="74"/>
      <c r="B3100" s="74"/>
      <c r="C3100" s="74"/>
      <c r="D3100" s="74"/>
      <c r="E3100" s="74"/>
      <c r="F3100" s="74"/>
      <c r="G3100" s="74"/>
      <c r="H3100" s="74"/>
      <c r="I3100" s="74"/>
      <c r="J3100" s="74"/>
      <c r="K3100" s="74"/>
      <c r="L3100" s="74"/>
      <c r="M3100" s="74"/>
      <c r="N3100" s="74"/>
      <c r="O3100" s="75"/>
      <c r="P3100" s="74"/>
      <c r="Q3100" s="75"/>
      <c r="R3100" s="74"/>
      <c r="S3100" s="74"/>
      <c r="T3100" s="74"/>
      <c r="U3100" s="75"/>
      <c r="V3100" s="74"/>
      <c r="W3100" s="75"/>
      <c r="X3100" s="74"/>
      <c r="Y3100" s="74"/>
      <c r="Z3100" s="74"/>
      <c r="AA3100" s="74"/>
      <c r="AB3100" s="74"/>
      <c r="AC3100" s="74"/>
      <c r="AD3100" s="74"/>
      <c r="AE3100" s="74"/>
      <c r="AF3100" s="74"/>
      <c r="AG3100" s="74"/>
      <c r="AH3100" s="74"/>
    </row>
    <row r="3101" s="73" customFormat="1" spans="1:34">
      <c r="A3101" s="74"/>
      <c r="B3101" s="74"/>
      <c r="C3101" s="74"/>
      <c r="D3101" s="74"/>
      <c r="E3101" s="74"/>
      <c r="F3101" s="74"/>
      <c r="G3101" s="74"/>
      <c r="H3101" s="74"/>
      <c r="I3101" s="74"/>
      <c r="J3101" s="74"/>
      <c r="K3101" s="74"/>
      <c r="L3101" s="74"/>
      <c r="M3101" s="74"/>
      <c r="N3101" s="74"/>
      <c r="O3101" s="75"/>
      <c r="P3101" s="74"/>
      <c r="Q3101" s="75"/>
      <c r="R3101" s="74"/>
      <c r="S3101" s="74"/>
      <c r="T3101" s="74"/>
      <c r="U3101" s="75"/>
      <c r="V3101" s="74"/>
      <c r="W3101" s="75"/>
      <c r="X3101" s="74"/>
      <c r="Y3101" s="74"/>
      <c r="Z3101" s="74"/>
      <c r="AA3101" s="74"/>
      <c r="AB3101" s="74"/>
      <c r="AC3101" s="74"/>
      <c r="AD3101" s="74"/>
      <c r="AE3101" s="74"/>
      <c r="AF3101" s="74"/>
      <c r="AG3101" s="74"/>
      <c r="AH3101" s="74"/>
    </row>
    <row r="3102" s="73" customFormat="1" spans="1:34">
      <c r="A3102" s="74"/>
      <c r="B3102" s="74"/>
      <c r="C3102" s="74"/>
      <c r="D3102" s="74"/>
      <c r="E3102" s="74"/>
      <c r="F3102" s="74"/>
      <c r="G3102" s="74"/>
      <c r="H3102" s="74"/>
      <c r="I3102" s="74"/>
      <c r="J3102" s="74"/>
      <c r="K3102" s="74"/>
      <c r="L3102" s="74"/>
      <c r="M3102" s="74"/>
      <c r="N3102" s="74"/>
      <c r="O3102" s="75"/>
      <c r="P3102" s="74"/>
      <c r="Q3102" s="75"/>
      <c r="R3102" s="74"/>
      <c r="S3102" s="74"/>
      <c r="T3102" s="74"/>
      <c r="U3102" s="75"/>
      <c r="V3102" s="74"/>
      <c r="W3102" s="75"/>
      <c r="X3102" s="74"/>
      <c r="Y3102" s="74"/>
      <c r="Z3102" s="74"/>
      <c r="AA3102" s="74"/>
      <c r="AB3102" s="74"/>
      <c r="AC3102" s="74"/>
      <c r="AD3102" s="74"/>
      <c r="AE3102" s="74"/>
      <c r="AF3102" s="74"/>
      <c r="AG3102" s="74"/>
      <c r="AH3102" s="74"/>
    </row>
    <row r="3103" s="73" customFormat="1" spans="1:34">
      <c r="A3103" s="74"/>
      <c r="B3103" s="74"/>
      <c r="C3103" s="74"/>
      <c r="D3103" s="74"/>
      <c r="E3103" s="74"/>
      <c r="F3103" s="74"/>
      <c r="G3103" s="74"/>
      <c r="H3103" s="74"/>
      <c r="I3103" s="74"/>
      <c r="J3103" s="74"/>
      <c r="K3103" s="74"/>
      <c r="L3103" s="74"/>
      <c r="M3103" s="74"/>
      <c r="N3103" s="74"/>
      <c r="O3103" s="75"/>
      <c r="P3103" s="74"/>
      <c r="Q3103" s="75"/>
      <c r="R3103" s="74"/>
      <c r="S3103" s="74"/>
      <c r="T3103" s="74"/>
      <c r="U3103" s="75"/>
      <c r="V3103" s="74"/>
      <c r="W3103" s="75"/>
      <c r="X3103" s="74"/>
      <c r="Y3103" s="74"/>
      <c r="Z3103" s="74"/>
      <c r="AA3103" s="74"/>
      <c r="AB3103" s="74"/>
      <c r="AC3103" s="74"/>
      <c r="AD3103" s="74"/>
      <c r="AE3103" s="74"/>
      <c r="AF3103" s="74"/>
      <c r="AG3103" s="74"/>
      <c r="AH3103" s="74"/>
    </row>
    <row r="3104" s="73" customFormat="1" spans="1:34">
      <c r="A3104" s="74"/>
      <c r="B3104" s="74"/>
      <c r="C3104" s="74"/>
      <c r="D3104" s="74"/>
      <c r="E3104" s="74"/>
      <c r="F3104" s="74"/>
      <c r="G3104" s="74"/>
      <c r="H3104" s="74"/>
      <c r="I3104" s="74"/>
      <c r="J3104" s="74"/>
      <c r="K3104" s="74"/>
      <c r="L3104" s="74"/>
      <c r="M3104" s="74"/>
      <c r="N3104" s="74"/>
      <c r="O3104" s="75"/>
      <c r="P3104" s="74"/>
      <c r="Q3104" s="75"/>
      <c r="R3104" s="74"/>
      <c r="S3104" s="74"/>
      <c r="T3104" s="74"/>
      <c r="U3104" s="75"/>
      <c r="V3104" s="74"/>
      <c r="W3104" s="75"/>
      <c r="X3104" s="74"/>
      <c r="Y3104" s="74"/>
      <c r="Z3104" s="74"/>
      <c r="AA3104" s="74"/>
      <c r="AB3104" s="74"/>
      <c r="AC3104" s="74"/>
      <c r="AD3104" s="74"/>
      <c r="AE3104" s="74"/>
      <c r="AF3104" s="74"/>
      <c r="AG3104" s="74"/>
      <c r="AH3104" s="74"/>
    </row>
    <row r="3105" s="73" customFormat="1" spans="1:34">
      <c r="A3105" s="74"/>
      <c r="B3105" s="74"/>
      <c r="C3105" s="74"/>
      <c r="D3105" s="74"/>
      <c r="E3105" s="74"/>
      <c r="F3105" s="74"/>
      <c r="G3105" s="74"/>
      <c r="H3105" s="74"/>
      <c r="I3105" s="74"/>
      <c r="J3105" s="74"/>
      <c r="K3105" s="74"/>
      <c r="L3105" s="74"/>
      <c r="M3105" s="74"/>
      <c r="N3105" s="74"/>
      <c r="O3105" s="75"/>
      <c r="P3105" s="74"/>
      <c r="Q3105" s="75"/>
      <c r="R3105" s="74"/>
      <c r="S3105" s="74"/>
      <c r="T3105" s="74"/>
      <c r="U3105" s="75"/>
      <c r="V3105" s="74"/>
      <c r="W3105" s="75"/>
      <c r="X3105" s="74"/>
      <c r="Y3105" s="74"/>
      <c r="Z3105" s="74"/>
      <c r="AA3105" s="74"/>
      <c r="AB3105" s="74"/>
      <c r="AC3105" s="74"/>
      <c r="AD3105" s="74"/>
      <c r="AE3105" s="74"/>
      <c r="AF3105" s="74"/>
      <c r="AG3105" s="74"/>
      <c r="AH3105" s="74"/>
    </row>
    <row r="3106" s="73" customFormat="1" spans="1:34">
      <c r="A3106" s="74"/>
      <c r="B3106" s="74"/>
      <c r="C3106" s="74"/>
      <c r="D3106" s="74"/>
      <c r="E3106" s="74"/>
      <c r="F3106" s="74"/>
      <c r="G3106" s="74"/>
      <c r="H3106" s="74"/>
      <c r="I3106" s="74"/>
      <c r="J3106" s="74"/>
      <c r="K3106" s="74"/>
      <c r="L3106" s="74"/>
      <c r="M3106" s="74"/>
      <c r="N3106" s="74"/>
      <c r="O3106" s="75"/>
      <c r="P3106" s="74"/>
      <c r="Q3106" s="75"/>
      <c r="R3106" s="74"/>
      <c r="S3106" s="74"/>
      <c r="T3106" s="74"/>
      <c r="U3106" s="75"/>
      <c r="V3106" s="74"/>
      <c r="W3106" s="75"/>
      <c r="X3106" s="74"/>
      <c r="Y3106" s="74"/>
      <c r="Z3106" s="74"/>
      <c r="AA3106" s="74"/>
      <c r="AB3106" s="74"/>
      <c r="AC3106" s="74"/>
      <c r="AD3106" s="74"/>
      <c r="AE3106" s="74"/>
      <c r="AF3106" s="74"/>
      <c r="AG3106" s="74"/>
      <c r="AH3106" s="74"/>
    </row>
    <row r="3107" s="73" customFormat="1" spans="1:34">
      <c r="A3107" s="74"/>
      <c r="B3107" s="74"/>
      <c r="C3107" s="74"/>
      <c r="D3107" s="74"/>
      <c r="E3107" s="74"/>
      <c r="F3107" s="74"/>
      <c r="G3107" s="74"/>
      <c r="H3107" s="74"/>
      <c r="I3107" s="74"/>
      <c r="J3107" s="74"/>
      <c r="K3107" s="74"/>
      <c r="L3107" s="74"/>
      <c r="M3107" s="74"/>
      <c r="N3107" s="74"/>
      <c r="O3107" s="75"/>
      <c r="P3107" s="74"/>
      <c r="Q3107" s="75"/>
      <c r="R3107" s="74"/>
      <c r="S3107" s="74"/>
      <c r="T3107" s="74"/>
      <c r="U3107" s="75"/>
      <c r="V3107" s="74"/>
      <c r="W3107" s="75"/>
      <c r="X3107" s="74"/>
      <c r="Y3107" s="74"/>
      <c r="Z3107" s="74"/>
      <c r="AA3107" s="74"/>
      <c r="AB3107" s="74"/>
      <c r="AC3107" s="74"/>
      <c r="AD3107" s="74"/>
      <c r="AE3107" s="74"/>
      <c r="AF3107" s="74"/>
      <c r="AG3107" s="74"/>
      <c r="AH3107" s="74"/>
    </row>
    <row r="3108" s="73" customFormat="1" spans="1:34">
      <c r="A3108" s="74"/>
      <c r="B3108" s="74"/>
      <c r="C3108" s="74"/>
      <c r="D3108" s="74"/>
      <c r="E3108" s="74"/>
      <c r="F3108" s="74"/>
      <c r="G3108" s="74"/>
      <c r="H3108" s="74"/>
      <c r="I3108" s="74"/>
      <c r="J3108" s="74"/>
      <c r="K3108" s="74"/>
      <c r="L3108" s="74"/>
      <c r="M3108" s="74"/>
      <c r="N3108" s="74"/>
      <c r="O3108" s="75"/>
      <c r="P3108" s="74"/>
      <c r="Q3108" s="75"/>
      <c r="R3108" s="74"/>
      <c r="S3108" s="74"/>
      <c r="T3108" s="74"/>
      <c r="U3108" s="75"/>
      <c r="V3108" s="74"/>
      <c r="W3108" s="75"/>
      <c r="X3108" s="74"/>
      <c r="Y3108" s="74"/>
      <c r="Z3108" s="74"/>
      <c r="AA3108" s="74"/>
      <c r="AB3108" s="74"/>
      <c r="AC3108" s="74"/>
      <c r="AD3108" s="74"/>
      <c r="AE3108" s="74"/>
      <c r="AF3108" s="74"/>
      <c r="AG3108" s="74"/>
      <c r="AH3108" s="74"/>
    </row>
    <row r="3109" s="73" customFormat="1" spans="1:34">
      <c r="A3109" s="74"/>
      <c r="B3109" s="74"/>
      <c r="C3109" s="74"/>
      <c r="D3109" s="74"/>
      <c r="E3109" s="74"/>
      <c r="F3109" s="74"/>
      <c r="G3109" s="74"/>
      <c r="H3109" s="74"/>
      <c r="I3109" s="74"/>
      <c r="J3109" s="74"/>
      <c r="K3109" s="74"/>
      <c r="L3109" s="74"/>
      <c r="M3109" s="74"/>
      <c r="N3109" s="74"/>
      <c r="O3109" s="75"/>
      <c r="P3109" s="74"/>
      <c r="Q3109" s="75"/>
      <c r="R3109" s="74"/>
      <c r="S3109" s="74"/>
      <c r="T3109" s="74"/>
      <c r="U3109" s="75"/>
      <c r="V3109" s="74"/>
      <c r="W3109" s="75"/>
      <c r="X3109" s="74"/>
      <c r="Y3109" s="74"/>
      <c r="Z3109" s="74"/>
      <c r="AA3109" s="74"/>
      <c r="AB3109" s="74"/>
      <c r="AC3109" s="74"/>
      <c r="AD3109" s="74"/>
      <c r="AE3109" s="74"/>
      <c r="AF3109" s="74"/>
      <c r="AG3109" s="74"/>
      <c r="AH3109" s="74"/>
    </row>
    <row r="3110" s="73" customFormat="1" spans="1:34">
      <c r="A3110" s="74"/>
      <c r="B3110" s="74"/>
      <c r="C3110" s="74"/>
      <c r="D3110" s="74"/>
      <c r="E3110" s="74"/>
      <c r="F3110" s="74"/>
      <c r="G3110" s="74"/>
      <c r="H3110" s="74"/>
      <c r="I3110" s="74"/>
      <c r="J3110" s="74"/>
      <c r="K3110" s="74"/>
      <c r="L3110" s="74"/>
      <c r="M3110" s="74"/>
      <c r="N3110" s="74"/>
      <c r="O3110" s="75"/>
      <c r="P3110" s="74"/>
      <c r="Q3110" s="75"/>
      <c r="R3110" s="74"/>
      <c r="S3110" s="74"/>
      <c r="T3110" s="74"/>
      <c r="U3110" s="75"/>
      <c r="V3110" s="74"/>
      <c r="W3110" s="75"/>
      <c r="X3110" s="74"/>
      <c r="Y3110" s="74"/>
      <c r="Z3110" s="74"/>
      <c r="AA3110" s="74"/>
      <c r="AB3110" s="74"/>
      <c r="AC3110" s="74"/>
      <c r="AD3110" s="74"/>
      <c r="AE3110" s="74"/>
      <c r="AF3110" s="74"/>
      <c r="AG3110" s="74"/>
      <c r="AH3110" s="74"/>
    </row>
    <row r="3111" s="73" customFormat="1" spans="1:34">
      <c r="A3111" s="74"/>
      <c r="B3111" s="74"/>
      <c r="C3111" s="74"/>
      <c r="D3111" s="74"/>
      <c r="E3111" s="74"/>
      <c r="F3111" s="74"/>
      <c r="G3111" s="74"/>
      <c r="H3111" s="74"/>
      <c r="I3111" s="74"/>
      <c r="J3111" s="74"/>
      <c r="K3111" s="74"/>
      <c r="L3111" s="74"/>
      <c r="M3111" s="74"/>
      <c r="N3111" s="74"/>
      <c r="O3111" s="75"/>
      <c r="P3111" s="74"/>
      <c r="Q3111" s="75"/>
      <c r="R3111" s="74"/>
      <c r="S3111" s="74"/>
      <c r="T3111" s="74"/>
      <c r="U3111" s="75"/>
      <c r="V3111" s="74"/>
      <c r="W3111" s="75"/>
      <c r="X3111" s="74"/>
      <c r="Y3111" s="74"/>
      <c r="Z3111" s="74"/>
      <c r="AA3111" s="74"/>
      <c r="AB3111" s="74"/>
      <c r="AC3111" s="74"/>
      <c r="AD3111" s="74"/>
      <c r="AE3111" s="74"/>
      <c r="AF3111" s="74"/>
      <c r="AG3111" s="74"/>
      <c r="AH3111" s="74"/>
    </row>
    <row r="3112" s="73" customFormat="1" spans="1:34">
      <c r="A3112" s="74"/>
      <c r="B3112" s="74"/>
      <c r="C3112" s="74"/>
      <c r="D3112" s="74"/>
      <c r="E3112" s="74"/>
      <c r="F3112" s="74"/>
      <c r="G3112" s="74"/>
      <c r="H3112" s="74"/>
      <c r="I3112" s="74"/>
      <c r="J3112" s="74"/>
      <c r="K3112" s="74"/>
      <c r="L3112" s="74"/>
      <c r="M3112" s="74"/>
      <c r="N3112" s="74"/>
      <c r="O3112" s="75"/>
      <c r="P3112" s="74"/>
      <c r="Q3112" s="75"/>
      <c r="R3112" s="74"/>
      <c r="S3112" s="74"/>
      <c r="T3112" s="74"/>
      <c r="U3112" s="75"/>
      <c r="V3112" s="74"/>
      <c r="W3112" s="75"/>
      <c r="X3112" s="74"/>
      <c r="Y3112" s="74"/>
      <c r="Z3112" s="74"/>
      <c r="AA3112" s="74"/>
      <c r="AB3112" s="74"/>
      <c r="AC3112" s="74"/>
      <c r="AD3112" s="74"/>
      <c r="AE3112" s="74"/>
      <c r="AF3112" s="74"/>
      <c r="AG3112" s="74"/>
      <c r="AH3112" s="74"/>
    </row>
    <row r="3113" s="73" customFormat="1" spans="1:34">
      <c r="A3113" s="74"/>
      <c r="B3113" s="74"/>
      <c r="C3113" s="74"/>
      <c r="D3113" s="74"/>
      <c r="E3113" s="74"/>
      <c r="F3113" s="74"/>
      <c r="G3113" s="74"/>
      <c r="H3113" s="74"/>
      <c r="I3113" s="74"/>
      <c r="J3113" s="74"/>
      <c r="K3113" s="74"/>
      <c r="L3113" s="74"/>
      <c r="M3113" s="74"/>
      <c r="N3113" s="74"/>
      <c r="O3113" s="75"/>
      <c r="P3113" s="74"/>
      <c r="Q3113" s="75"/>
      <c r="R3113" s="74"/>
      <c r="S3113" s="74"/>
      <c r="T3113" s="74"/>
      <c r="U3113" s="75"/>
      <c r="V3113" s="74"/>
      <c r="W3113" s="75"/>
      <c r="X3113" s="74"/>
      <c r="Y3113" s="74"/>
      <c r="Z3113" s="74"/>
      <c r="AA3113" s="74"/>
      <c r="AB3113" s="74"/>
      <c r="AC3113" s="74"/>
      <c r="AD3113" s="74"/>
      <c r="AE3113" s="74"/>
      <c r="AF3113" s="74"/>
      <c r="AG3113" s="74"/>
      <c r="AH3113" s="74"/>
    </row>
    <row r="3114" s="73" customFormat="1" spans="1:34">
      <c r="A3114" s="74"/>
      <c r="B3114" s="74"/>
      <c r="C3114" s="74"/>
      <c r="D3114" s="74"/>
      <c r="E3114" s="74"/>
      <c r="F3114" s="74"/>
      <c r="G3114" s="74"/>
      <c r="H3114" s="74"/>
      <c r="I3114" s="74"/>
      <c r="J3114" s="74"/>
      <c r="K3114" s="74"/>
      <c r="L3114" s="74"/>
      <c r="M3114" s="74"/>
      <c r="N3114" s="74"/>
      <c r="O3114" s="75"/>
      <c r="P3114" s="74"/>
      <c r="Q3114" s="75"/>
      <c r="R3114" s="74"/>
      <c r="S3114" s="74"/>
      <c r="T3114" s="74"/>
      <c r="U3114" s="75"/>
      <c r="V3114" s="74"/>
      <c r="W3114" s="75"/>
      <c r="X3114" s="74"/>
      <c r="Y3114" s="74"/>
      <c r="Z3114" s="74"/>
      <c r="AA3114" s="74"/>
      <c r="AB3114" s="74"/>
      <c r="AC3114" s="74"/>
      <c r="AD3114" s="74"/>
      <c r="AE3114" s="74"/>
      <c r="AF3114" s="74"/>
      <c r="AG3114" s="74"/>
      <c r="AH3114" s="74"/>
    </row>
    <row r="3115" s="73" customFormat="1" spans="1:34">
      <c r="A3115" s="74"/>
      <c r="B3115" s="74"/>
      <c r="C3115" s="74"/>
      <c r="D3115" s="74"/>
      <c r="E3115" s="74"/>
      <c r="F3115" s="74"/>
      <c r="G3115" s="74"/>
      <c r="H3115" s="74"/>
      <c r="I3115" s="74"/>
      <c r="J3115" s="74"/>
      <c r="K3115" s="74"/>
      <c r="L3115" s="74"/>
      <c r="M3115" s="74"/>
      <c r="N3115" s="74"/>
      <c r="O3115" s="75"/>
      <c r="P3115" s="74"/>
      <c r="Q3115" s="75"/>
      <c r="R3115" s="74"/>
      <c r="S3115" s="74"/>
      <c r="T3115" s="74"/>
      <c r="U3115" s="75"/>
      <c r="V3115" s="74"/>
      <c r="W3115" s="75"/>
      <c r="X3115" s="74"/>
      <c r="Y3115" s="74"/>
      <c r="Z3115" s="74"/>
      <c r="AA3115" s="74"/>
      <c r="AB3115" s="74"/>
      <c r="AC3115" s="74"/>
      <c r="AD3115" s="74"/>
      <c r="AE3115" s="74"/>
      <c r="AF3115" s="74"/>
      <c r="AG3115" s="74"/>
      <c r="AH3115" s="74"/>
    </row>
    <row r="3116" s="73" customFormat="1" spans="1:34">
      <c r="A3116" s="74"/>
      <c r="B3116" s="74"/>
      <c r="C3116" s="74"/>
      <c r="D3116" s="74"/>
      <c r="E3116" s="74"/>
      <c r="F3116" s="74"/>
      <c r="G3116" s="74"/>
      <c r="H3116" s="74"/>
      <c r="I3116" s="74"/>
      <c r="J3116" s="74"/>
      <c r="K3116" s="74"/>
      <c r="L3116" s="74"/>
      <c r="M3116" s="74"/>
      <c r="N3116" s="74"/>
      <c r="O3116" s="75"/>
      <c r="P3116" s="74"/>
      <c r="Q3116" s="75"/>
      <c r="R3116" s="74"/>
      <c r="S3116" s="74"/>
      <c r="T3116" s="74"/>
      <c r="U3116" s="75"/>
      <c r="V3116" s="74"/>
      <c r="W3116" s="75"/>
      <c r="X3116" s="74"/>
      <c r="Y3116" s="74"/>
      <c r="Z3116" s="74"/>
      <c r="AA3116" s="74"/>
      <c r="AB3116" s="74"/>
      <c r="AC3116" s="74"/>
      <c r="AD3116" s="74"/>
      <c r="AE3116" s="74"/>
      <c r="AF3116" s="74"/>
      <c r="AG3116" s="74"/>
      <c r="AH3116" s="74"/>
    </row>
    <row r="3117" s="73" customFormat="1" spans="1:34">
      <c r="A3117" s="74"/>
      <c r="B3117" s="74"/>
      <c r="C3117" s="74"/>
      <c r="D3117" s="74"/>
      <c r="E3117" s="74"/>
      <c r="F3117" s="74"/>
      <c r="G3117" s="74"/>
      <c r="H3117" s="74"/>
      <c r="I3117" s="74"/>
      <c r="J3117" s="74"/>
      <c r="K3117" s="74"/>
      <c r="L3117" s="74"/>
      <c r="M3117" s="74"/>
      <c r="N3117" s="74"/>
      <c r="O3117" s="75"/>
      <c r="P3117" s="74"/>
      <c r="Q3117" s="75"/>
      <c r="R3117" s="74"/>
      <c r="S3117" s="74"/>
      <c r="T3117" s="74"/>
      <c r="U3117" s="75"/>
      <c r="V3117" s="74"/>
      <c r="W3117" s="75"/>
      <c r="X3117" s="74"/>
      <c r="Y3117" s="74"/>
      <c r="Z3117" s="74"/>
      <c r="AA3117" s="74"/>
      <c r="AB3117" s="74"/>
      <c r="AC3117" s="74"/>
      <c r="AD3117" s="74"/>
      <c r="AE3117" s="74"/>
      <c r="AF3117" s="74"/>
      <c r="AG3117" s="74"/>
      <c r="AH3117" s="74"/>
    </row>
    <row r="3118" s="73" customFormat="1" spans="1:34">
      <c r="A3118" s="74"/>
      <c r="B3118" s="74"/>
      <c r="C3118" s="74"/>
      <c r="D3118" s="74"/>
      <c r="E3118" s="74"/>
      <c r="F3118" s="74"/>
      <c r="G3118" s="74"/>
      <c r="H3118" s="74"/>
      <c r="I3118" s="74"/>
      <c r="J3118" s="74"/>
      <c r="K3118" s="74"/>
      <c r="L3118" s="74"/>
      <c r="M3118" s="74"/>
      <c r="N3118" s="74"/>
      <c r="O3118" s="75"/>
      <c r="P3118" s="74"/>
      <c r="Q3118" s="75"/>
      <c r="R3118" s="74"/>
      <c r="S3118" s="74"/>
      <c r="T3118" s="74"/>
      <c r="U3118" s="75"/>
      <c r="V3118" s="74"/>
      <c r="W3118" s="75"/>
      <c r="X3118" s="74"/>
      <c r="Y3118" s="74"/>
      <c r="Z3118" s="74"/>
      <c r="AA3118" s="74"/>
      <c r="AB3118" s="74"/>
      <c r="AC3118" s="74"/>
      <c r="AD3118" s="74"/>
      <c r="AE3118" s="74"/>
      <c r="AF3118" s="74"/>
      <c r="AG3118" s="74"/>
      <c r="AH3118" s="74"/>
    </row>
    <row r="3119" s="73" customFormat="1" spans="1:34">
      <c r="A3119" s="74"/>
      <c r="B3119" s="74"/>
      <c r="C3119" s="74"/>
      <c r="D3119" s="74"/>
      <c r="E3119" s="74"/>
      <c r="F3119" s="74"/>
      <c r="G3119" s="74"/>
      <c r="H3119" s="74"/>
      <c r="I3119" s="74"/>
      <c r="J3119" s="74"/>
      <c r="K3119" s="74"/>
      <c r="L3119" s="74"/>
      <c r="M3119" s="74"/>
      <c r="N3119" s="74"/>
      <c r="O3119" s="75"/>
      <c r="P3119" s="74"/>
      <c r="Q3119" s="75"/>
      <c r="R3119" s="74"/>
      <c r="S3119" s="74"/>
      <c r="T3119" s="74"/>
      <c r="U3119" s="75"/>
      <c r="V3119" s="74"/>
      <c r="W3119" s="75"/>
      <c r="X3119" s="74"/>
      <c r="Y3119" s="74"/>
      <c r="Z3119" s="74"/>
      <c r="AA3119" s="74"/>
      <c r="AB3119" s="74"/>
      <c r="AC3119" s="74"/>
      <c r="AD3119" s="74"/>
      <c r="AE3119" s="74"/>
      <c r="AF3119" s="74"/>
      <c r="AG3119" s="74"/>
      <c r="AH3119" s="74"/>
    </row>
    <row r="3120" s="73" customFormat="1" spans="1:34">
      <c r="A3120" s="74"/>
      <c r="B3120" s="74"/>
      <c r="C3120" s="74"/>
      <c r="D3120" s="74"/>
      <c r="E3120" s="74"/>
      <c r="F3120" s="74"/>
      <c r="G3120" s="74"/>
      <c r="H3120" s="74"/>
      <c r="I3120" s="74"/>
      <c r="J3120" s="74"/>
      <c r="K3120" s="74"/>
      <c r="L3120" s="74"/>
      <c r="M3120" s="74"/>
      <c r="N3120" s="74"/>
      <c r="O3120" s="75"/>
      <c r="P3120" s="74"/>
      <c r="Q3120" s="75"/>
      <c r="R3120" s="74"/>
      <c r="S3120" s="74"/>
      <c r="T3120" s="74"/>
      <c r="U3120" s="75"/>
      <c r="V3120" s="74"/>
      <c r="W3120" s="75"/>
      <c r="X3120" s="74"/>
      <c r="Y3120" s="74"/>
      <c r="Z3120" s="74"/>
      <c r="AA3120" s="74"/>
      <c r="AB3120" s="74"/>
      <c r="AC3120" s="74"/>
      <c r="AD3120" s="74"/>
      <c r="AE3120" s="74"/>
      <c r="AF3120" s="74"/>
      <c r="AG3120" s="74"/>
      <c r="AH3120" s="74"/>
    </row>
    <row r="3121" s="73" customFormat="1" spans="1:34">
      <c r="A3121" s="74"/>
      <c r="B3121" s="74"/>
      <c r="C3121" s="74"/>
      <c r="D3121" s="74"/>
      <c r="E3121" s="74"/>
      <c r="F3121" s="74"/>
      <c r="G3121" s="74"/>
      <c r="H3121" s="74"/>
      <c r="I3121" s="74"/>
      <c r="J3121" s="74"/>
      <c r="K3121" s="74"/>
      <c r="L3121" s="74"/>
      <c r="M3121" s="74"/>
      <c r="N3121" s="74"/>
      <c r="O3121" s="75"/>
      <c r="P3121" s="74"/>
      <c r="Q3121" s="75"/>
      <c r="R3121" s="74"/>
      <c r="S3121" s="74"/>
      <c r="T3121" s="74"/>
      <c r="U3121" s="75"/>
      <c r="V3121" s="74"/>
      <c r="W3121" s="75"/>
      <c r="X3121" s="74"/>
      <c r="Y3121" s="74"/>
      <c r="Z3121" s="74"/>
      <c r="AA3121" s="74"/>
      <c r="AB3121" s="74"/>
      <c r="AC3121" s="74"/>
      <c r="AD3121" s="74"/>
      <c r="AE3121" s="74"/>
      <c r="AF3121" s="74"/>
      <c r="AG3121" s="74"/>
      <c r="AH3121" s="74"/>
    </row>
    <row r="3122" s="73" customFormat="1" spans="1:34">
      <c r="A3122" s="74"/>
      <c r="B3122" s="74"/>
      <c r="C3122" s="74"/>
      <c r="D3122" s="74"/>
      <c r="E3122" s="74"/>
      <c r="F3122" s="74"/>
      <c r="G3122" s="74"/>
      <c r="H3122" s="74"/>
      <c r="I3122" s="74"/>
      <c r="J3122" s="74"/>
      <c r="K3122" s="74"/>
      <c r="L3122" s="74"/>
      <c r="M3122" s="74"/>
      <c r="N3122" s="74"/>
      <c r="O3122" s="75"/>
      <c r="P3122" s="74"/>
      <c r="Q3122" s="75"/>
      <c r="R3122" s="74"/>
      <c r="S3122" s="74"/>
      <c r="T3122" s="74"/>
      <c r="U3122" s="75"/>
      <c r="V3122" s="74"/>
      <c r="W3122" s="75"/>
      <c r="X3122" s="74"/>
      <c r="Y3122" s="74"/>
      <c r="Z3122" s="74"/>
      <c r="AA3122" s="74"/>
      <c r="AB3122" s="74"/>
      <c r="AC3122" s="74"/>
      <c r="AD3122" s="74"/>
      <c r="AE3122" s="74"/>
      <c r="AF3122" s="74"/>
      <c r="AG3122" s="74"/>
      <c r="AH3122" s="74"/>
    </row>
    <row r="3123" s="73" customFormat="1" spans="1:34">
      <c r="A3123" s="74"/>
      <c r="B3123" s="74"/>
      <c r="C3123" s="74"/>
      <c r="D3123" s="74"/>
      <c r="E3123" s="74"/>
      <c r="F3123" s="74"/>
      <c r="G3123" s="74"/>
      <c r="H3123" s="74"/>
      <c r="I3123" s="74"/>
      <c r="J3123" s="74"/>
      <c r="K3123" s="74"/>
      <c r="L3123" s="74"/>
      <c r="M3123" s="74"/>
      <c r="N3123" s="74"/>
      <c r="O3123" s="75"/>
      <c r="P3123" s="74"/>
      <c r="Q3123" s="75"/>
      <c r="R3123" s="74"/>
      <c r="S3123" s="74"/>
      <c r="T3123" s="74"/>
      <c r="U3123" s="75"/>
      <c r="V3123" s="74"/>
      <c r="W3123" s="75"/>
      <c r="X3123" s="74"/>
      <c r="Y3123" s="74"/>
      <c r="Z3123" s="74"/>
      <c r="AA3123" s="74"/>
      <c r="AB3123" s="74"/>
      <c r="AC3123" s="74"/>
      <c r="AD3123" s="74"/>
      <c r="AE3123" s="74"/>
      <c r="AF3123" s="74"/>
      <c r="AG3123" s="74"/>
      <c r="AH3123" s="74"/>
    </row>
    <row r="3124" s="73" customFormat="1" spans="1:34">
      <c r="A3124" s="74"/>
      <c r="B3124" s="74"/>
      <c r="C3124" s="74"/>
      <c r="D3124" s="74"/>
      <c r="E3124" s="74"/>
      <c r="F3124" s="74"/>
      <c r="G3124" s="74"/>
      <c r="H3124" s="74"/>
      <c r="I3124" s="74"/>
      <c r="J3124" s="74"/>
      <c r="K3124" s="74"/>
      <c r="L3124" s="74"/>
      <c r="M3124" s="74"/>
      <c r="N3124" s="74"/>
      <c r="O3124" s="75"/>
      <c r="P3124" s="74"/>
      <c r="Q3124" s="75"/>
      <c r="R3124" s="74"/>
      <c r="S3124" s="74"/>
      <c r="T3124" s="74"/>
      <c r="U3124" s="75"/>
      <c r="V3124" s="74"/>
      <c r="W3124" s="75"/>
      <c r="X3124" s="74"/>
      <c r="Y3124" s="74"/>
      <c r="Z3124" s="74"/>
      <c r="AA3124" s="74"/>
      <c r="AB3124" s="74"/>
      <c r="AC3124" s="74"/>
      <c r="AD3124" s="74"/>
      <c r="AE3124" s="74"/>
      <c r="AF3124" s="74"/>
      <c r="AG3124" s="74"/>
      <c r="AH3124" s="74"/>
    </row>
    <row r="3125" s="73" customFormat="1" spans="1:34">
      <c r="A3125" s="74"/>
      <c r="B3125" s="74"/>
      <c r="C3125" s="74"/>
      <c r="D3125" s="74"/>
      <c r="E3125" s="74"/>
      <c r="F3125" s="74"/>
      <c r="G3125" s="74"/>
      <c r="H3125" s="74"/>
      <c r="I3125" s="74"/>
      <c r="J3125" s="74"/>
      <c r="K3125" s="74"/>
      <c r="L3125" s="74"/>
      <c r="M3125" s="74"/>
      <c r="N3125" s="74"/>
      <c r="O3125" s="75"/>
      <c r="P3125" s="74"/>
      <c r="Q3125" s="75"/>
      <c r="R3125" s="74"/>
      <c r="S3125" s="74"/>
      <c r="T3125" s="74"/>
      <c r="U3125" s="75"/>
      <c r="V3125" s="74"/>
      <c r="W3125" s="75"/>
      <c r="X3125" s="74"/>
      <c r="Y3125" s="74"/>
      <c r="Z3125" s="74"/>
      <c r="AA3125" s="74"/>
      <c r="AB3125" s="74"/>
      <c r="AC3125" s="74"/>
      <c r="AD3125" s="74"/>
      <c r="AE3125" s="74"/>
      <c r="AF3125" s="74"/>
      <c r="AG3125" s="74"/>
      <c r="AH3125" s="74"/>
    </row>
    <row r="3126" s="73" customFormat="1" spans="1:34">
      <c r="A3126" s="74"/>
      <c r="B3126" s="74"/>
      <c r="C3126" s="74"/>
      <c r="D3126" s="74"/>
      <c r="E3126" s="74"/>
      <c r="F3126" s="74"/>
      <c r="G3126" s="74"/>
      <c r="H3126" s="74"/>
      <c r="I3126" s="74"/>
      <c r="J3126" s="74"/>
      <c r="K3126" s="74"/>
      <c r="L3126" s="74"/>
      <c r="M3126" s="74"/>
      <c r="N3126" s="74"/>
      <c r="O3126" s="75"/>
      <c r="P3126" s="74"/>
      <c r="Q3126" s="75"/>
      <c r="R3126" s="74"/>
      <c r="S3126" s="74"/>
      <c r="T3126" s="74"/>
      <c r="U3126" s="75"/>
      <c r="V3126" s="74"/>
      <c r="W3126" s="75"/>
      <c r="X3126" s="74"/>
      <c r="Y3126" s="74"/>
      <c r="Z3126" s="74"/>
      <c r="AA3126" s="74"/>
      <c r="AB3126" s="74"/>
      <c r="AC3126" s="74"/>
      <c r="AD3126" s="74"/>
      <c r="AE3126" s="74"/>
      <c r="AF3126" s="74"/>
      <c r="AG3126" s="74"/>
      <c r="AH3126" s="74"/>
    </row>
    <row r="3127" s="73" customFormat="1" spans="1:34">
      <c r="A3127" s="74"/>
      <c r="B3127" s="74"/>
      <c r="C3127" s="74"/>
      <c r="D3127" s="74"/>
      <c r="E3127" s="74"/>
      <c r="F3127" s="74"/>
      <c r="G3127" s="74"/>
      <c r="H3127" s="74"/>
      <c r="I3127" s="74"/>
      <c r="J3127" s="74"/>
      <c r="K3127" s="74"/>
      <c r="L3127" s="74"/>
      <c r="M3127" s="74"/>
      <c r="N3127" s="74"/>
      <c r="O3127" s="75"/>
      <c r="P3127" s="74"/>
      <c r="Q3127" s="75"/>
      <c r="R3127" s="74"/>
      <c r="S3127" s="74"/>
      <c r="T3127" s="74"/>
      <c r="U3127" s="75"/>
      <c r="V3127" s="74"/>
      <c r="W3127" s="75"/>
      <c r="X3127" s="74"/>
      <c r="Y3127" s="74"/>
      <c r="Z3127" s="74"/>
      <c r="AA3127" s="74"/>
      <c r="AB3127" s="74"/>
      <c r="AC3127" s="74"/>
      <c r="AD3127" s="74"/>
      <c r="AE3127" s="74"/>
      <c r="AF3127" s="74"/>
      <c r="AG3127" s="74"/>
      <c r="AH3127" s="74"/>
    </row>
    <row r="3128" s="73" customFormat="1" spans="1:34">
      <c r="A3128" s="74"/>
      <c r="B3128" s="74"/>
      <c r="C3128" s="74"/>
      <c r="D3128" s="74"/>
      <c r="E3128" s="74"/>
      <c r="F3128" s="74"/>
      <c r="G3128" s="74"/>
      <c r="H3128" s="74"/>
      <c r="I3128" s="74"/>
      <c r="J3128" s="74"/>
      <c r="K3128" s="74"/>
      <c r="L3128" s="74"/>
      <c r="M3128" s="74"/>
      <c r="N3128" s="74"/>
      <c r="O3128" s="75"/>
      <c r="P3128" s="74"/>
      <c r="Q3128" s="75"/>
      <c r="R3128" s="74"/>
      <c r="S3128" s="74"/>
      <c r="T3128" s="74"/>
      <c r="U3128" s="75"/>
      <c r="V3128" s="74"/>
      <c r="W3128" s="75"/>
      <c r="X3128" s="74"/>
      <c r="Y3128" s="74"/>
      <c r="Z3128" s="74"/>
      <c r="AA3128" s="74"/>
      <c r="AB3128" s="74"/>
      <c r="AC3128" s="74"/>
      <c r="AD3128" s="74"/>
      <c r="AE3128" s="74"/>
      <c r="AF3128" s="74"/>
      <c r="AG3128" s="74"/>
      <c r="AH3128" s="74"/>
    </row>
    <row r="3129" s="73" customFormat="1" spans="1:34">
      <c r="A3129" s="74"/>
      <c r="B3129" s="74"/>
      <c r="C3129" s="74"/>
      <c r="D3129" s="74"/>
      <c r="E3129" s="74"/>
      <c r="F3129" s="74"/>
      <c r="G3129" s="74"/>
      <c r="H3129" s="74"/>
      <c r="I3129" s="74"/>
      <c r="J3129" s="74"/>
      <c r="K3129" s="74"/>
      <c r="L3129" s="74"/>
      <c r="M3129" s="74"/>
      <c r="N3129" s="74"/>
      <c r="O3129" s="75"/>
      <c r="P3129" s="74"/>
      <c r="Q3129" s="75"/>
      <c r="R3129" s="74"/>
      <c r="S3129" s="74"/>
      <c r="T3129" s="74"/>
      <c r="U3129" s="75"/>
      <c r="V3129" s="74"/>
      <c r="W3129" s="75"/>
      <c r="X3129" s="74"/>
      <c r="Y3129" s="74"/>
      <c r="Z3129" s="74"/>
      <c r="AA3129" s="74"/>
      <c r="AB3129" s="74"/>
      <c r="AC3129" s="74"/>
      <c r="AD3129" s="74"/>
      <c r="AE3129" s="74"/>
      <c r="AF3129" s="74"/>
      <c r="AG3129" s="74"/>
      <c r="AH3129" s="74"/>
    </row>
    <row r="3130" s="73" customFormat="1" spans="1:34">
      <c r="A3130" s="74"/>
      <c r="B3130" s="74"/>
      <c r="C3130" s="74"/>
      <c r="D3130" s="74"/>
      <c r="E3130" s="74"/>
      <c r="F3130" s="74"/>
      <c r="G3130" s="74"/>
      <c r="H3130" s="74"/>
      <c r="I3130" s="74"/>
      <c r="J3130" s="74"/>
      <c r="K3130" s="74"/>
      <c r="L3130" s="74"/>
      <c r="M3130" s="74"/>
      <c r="N3130" s="74"/>
      <c r="O3130" s="75"/>
      <c r="P3130" s="74"/>
      <c r="Q3130" s="75"/>
      <c r="R3130" s="74"/>
      <c r="S3130" s="74"/>
      <c r="T3130" s="74"/>
      <c r="U3130" s="75"/>
      <c r="V3130" s="74"/>
      <c r="W3130" s="75"/>
      <c r="X3130" s="74"/>
      <c r="Y3130" s="74"/>
      <c r="Z3130" s="74"/>
      <c r="AA3130" s="74"/>
      <c r="AB3130" s="74"/>
      <c r="AC3130" s="74"/>
      <c r="AD3130" s="74"/>
      <c r="AE3130" s="74"/>
      <c r="AF3130" s="74"/>
      <c r="AG3130" s="74"/>
      <c r="AH3130" s="74"/>
    </row>
    <row r="3131" s="73" customFormat="1" spans="1:34">
      <c r="A3131" s="74"/>
      <c r="B3131" s="74"/>
      <c r="C3131" s="74"/>
      <c r="D3131" s="74"/>
      <c r="E3131" s="74"/>
      <c r="F3131" s="74"/>
      <c r="G3131" s="74"/>
      <c r="H3131" s="74"/>
      <c r="I3131" s="74"/>
      <c r="J3131" s="74"/>
      <c r="K3131" s="74"/>
      <c r="L3131" s="74"/>
      <c r="M3131" s="74"/>
      <c r="N3131" s="74"/>
      <c r="O3131" s="75"/>
      <c r="P3131" s="74"/>
      <c r="Q3131" s="75"/>
      <c r="R3131" s="74"/>
      <c r="S3131" s="74"/>
      <c r="T3131" s="74"/>
      <c r="U3131" s="75"/>
      <c r="V3131" s="74"/>
      <c r="W3131" s="75"/>
      <c r="X3131" s="74"/>
      <c r="Y3131" s="74"/>
      <c r="Z3131" s="74"/>
      <c r="AA3131" s="74"/>
      <c r="AB3131" s="74"/>
      <c r="AC3131" s="74"/>
      <c r="AD3131" s="74"/>
      <c r="AE3131" s="74"/>
      <c r="AF3131" s="74"/>
      <c r="AG3131" s="74"/>
      <c r="AH3131" s="74"/>
    </row>
    <row r="3132" s="73" customFormat="1" spans="1:34">
      <c r="A3132" s="74"/>
      <c r="B3132" s="74"/>
      <c r="C3132" s="74"/>
      <c r="D3132" s="74"/>
      <c r="E3132" s="74"/>
      <c r="F3132" s="74"/>
      <c r="G3132" s="74"/>
      <c r="H3132" s="74"/>
      <c r="I3132" s="74"/>
      <c r="J3132" s="74"/>
      <c r="K3132" s="74"/>
      <c r="L3132" s="74"/>
      <c r="M3132" s="74"/>
      <c r="N3132" s="74"/>
      <c r="O3132" s="75"/>
      <c r="P3132" s="74"/>
      <c r="Q3132" s="75"/>
      <c r="R3132" s="74"/>
      <c r="S3132" s="74"/>
      <c r="T3132" s="74"/>
      <c r="U3132" s="75"/>
      <c r="V3132" s="74"/>
      <c r="W3132" s="75"/>
      <c r="X3132" s="74"/>
      <c r="Y3132" s="74"/>
      <c r="Z3132" s="74"/>
      <c r="AA3132" s="74"/>
      <c r="AB3132" s="74"/>
      <c r="AC3132" s="74"/>
      <c r="AD3132" s="74"/>
      <c r="AE3132" s="74"/>
      <c r="AF3132" s="74"/>
      <c r="AG3132" s="74"/>
      <c r="AH3132" s="74"/>
    </row>
    <row r="3133" s="73" customFormat="1" spans="1:34">
      <c r="A3133" s="74"/>
      <c r="B3133" s="74"/>
      <c r="C3133" s="74"/>
      <c r="D3133" s="74"/>
      <c r="E3133" s="74"/>
      <c r="F3133" s="74"/>
      <c r="G3133" s="74"/>
      <c r="H3133" s="74"/>
      <c r="I3133" s="74"/>
      <c r="J3133" s="74"/>
      <c r="K3133" s="74"/>
      <c r="L3133" s="74"/>
      <c r="M3133" s="74"/>
      <c r="N3133" s="74"/>
      <c r="O3133" s="75"/>
      <c r="P3133" s="74"/>
      <c r="Q3133" s="75"/>
      <c r="R3133" s="74"/>
      <c r="S3133" s="74"/>
      <c r="T3133" s="74"/>
      <c r="U3133" s="75"/>
      <c r="V3133" s="74"/>
      <c r="W3133" s="75"/>
      <c r="X3133" s="74"/>
      <c r="Y3133" s="74"/>
      <c r="Z3133" s="74"/>
      <c r="AA3133" s="74"/>
      <c r="AB3133" s="74"/>
      <c r="AC3133" s="74"/>
      <c r="AD3133" s="74"/>
      <c r="AE3133" s="74"/>
      <c r="AF3133" s="74"/>
      <c r="AG3133" s="74"/>
      <c r="AH3133" s="74"/>
    </row>
    <row r="3134" s="73" customFormat="1" spans="1:34">
      <c r="A3134" s="74"/>
      <c r="B3134" s="74"/>
      <c r="C3134" s="74"/>
      <c r="D3134" s="74"/>
      <c r="E3134" s="74"/>
      <c r="F3134" s="74"/>
      <c r="G3134" s="74"/>
      <c r="H3134" s="74"/>
      <c r="I3134" s="74"/>
      <c r="J3134" s="74"/>
      <c r="K3134" s="74"/>
      <c r="L3134" s="74"/>
      <c r="M3134" s="74"/>
      <c r="N3134" s="74"/>
      <c r="O3134" s="75"/>
      <c r="P3134" s="74"/>
      <c r="Q3134" s="75"/>
      <c r="R3134" s="74"/>
      <c r="S3134" s="74"/>
      <c r="T3134" s="74"/>
      <c r="U3134" s="75"/>
      <c r="V3134" s="74"/>
      <c r="W3134" s="75"/>
      <c r="X3134" s="74"/>
      <c r="Y3134" s="74"/>
      <c r="Z3134" s="74"/>
      <c r="AA3134" s="74"/>
      <c r="AB3134" s="74"/>
      <c r="AC3134" s="74"/>
      <c r="AD3134" s="74"/>
      <c r="AE3134" s="74"/>
      <c r="AF3134" s="74"/>
      <c r="AG3134" s="74"/>
      <c r="AH3134" s="74"/>
    </row>
    <row r="3135" s="73" customFormat="1" spans="1:34">
      <c r="A3135" s="74"/>
      <c r="B3135" s="74"/>
      <c r="C3135" s="74"/>
      <c r="D3135" s="74"/>
      <c r="E3135" s="74"/>
      <c r="F3135" s="74"/>
      <c r="G3135" s="74"/>
      <c r="H3135" s="74"/>
      <c r="I3135" s="74"/>
      <c r="J3135" s="74"/>
      <c r="K3135" s="74"/>
      <c r="L3135" s="74"/>
      <c r="M3135" s="74"/>
      <c r="N3135" s="74"/>
      <c r="O3135" s="75"/>
      <c r="P3135" s="74"/>
      <c r="Q3135" s="75"/>
      <c r="R3135" s="74"/>
      <c r="S3135" s="74"/>
      <c r="T3135" s="74"/>
      <c r="U3135" s="75"/>
      <c r="V3135" s="74"/>
      <c r="W3135" s="75"/>
      <c r="X3135" s="74"/>
      <c r="Y3135" s="74"/>
      <c r="Z3135" s="74"/>
      <c r="AA3135" s="74"/>
      <c r="AB3135" s="74"/>
      <c r="AC3135" s="74"/>
      <c r="AD3135" s="74"/>
      <c r="AE3135" s="74"/>
      <c r="AF3135" s="74"/>
      <c r="AG3135" s="74"/>
      <c r="AH3135" s="74"/>
    </row>
    <row r="3136" s="73" customFormat="1" spans="1:34">
      <c r="A3136" s="74"/>
      <c r="B3136" s="74"/>
      <c r="C3136" s="74"/>
      <c r="D3136" s="74"/>
      <c r="E3136" s="74"/>
      <c r="F3136" s="74"/>
      <c r="G3136" s="74"/>
      <c r="H3136" s="74"/>
      <c r="I3136" s="74"/>
      <c r="J3136" s="74"/>
      <c r="K3136" s="74"/>
      <c r="L3136" s="74"/>
      <c r="M3136" s="74"/>
      <c r="N3136" s="74"/>
      <c r="O3136" s="75"/>
      <c r="P3136" s="74"/>
      <c r="Q3136" s="75"/>
      <c r="R3136" s="74"/>
      <c r="S3136" s="74"/>
      <c r="T3136" s="74"/>
      <c r="U3136" s="75"/>
      <c r="V3136" s="74"/>
      <c r="W3136" s="75"/>
      <c r="X3136" s="74"/>
      <c r="Y3136" s="74"/>
      <c r="Z3136" s="74"/>
      <c r="AA3136" s="74"/>
      <c r="AB3136" s="74"/>
      <c r="AC3136" s="74"/>
      <c r="AD3136" s="74"/>
      <c r="AE3136" s="74"/>
      <c r="AF3136" s="74"/>
      <c r="AG3136" s="74"/>
      <c r="AH3136" s="74"/>
    </row>
    <row r="3137" s="73" customFormat="1" spans="1:34">
      <c r="A3137" s="74"/>
      <c r="B3137" s="74"/>
      <c r="C3137" s="74"/>
      <c r="D3137" s="74"/>
      <c r="E3137" s="74"/>
      <c r="F3137" s="74"/>
      <c r="G3137" s="74"/>
      <c r="H3137" s="74"/>
      <c r="I3137" s="74"/>
      <c r="J3137" s="74"/>
      <c r="K3137" s="74"/>
      <c r="L3137" s="74"/>
      <c r="M3137" s="74"/>
      <c r="N3137" s="74"/>
      <c r="O3137" s="75"/>
      <c r="P3137" s="74"/>
      <c r="Q3137" s="75"/>
      <c r="R3137" s="74"/>
      <c r="S3137" s="74"/>
      <c r="T3137" s="74"/>
      <c r="U3137" s="75"/>
      <c r="V3137" s="74"/>
      <c r="W3137" s="75"/>
      <c r="X3137" s="74"/>
      <c r="Y3137" s="74"/>
      <c r="Z3137" s="74"/>
      <c r="AA3137" s="74"/>
      <c r="AB3137" s="74"/>
      <c r="AC3137" s="74"/>
      <c r="AD3137" s="74"/>
      <c r="AE3137" s="74"/>
      <c r="AF3137" s="74"/>
      <c r="AG3137" s="74"/>
      <c r="AH3137" s="74"/>
    </row>
    <row r="3138" s="73" customFormat="1" spans="1:34">
      <c r="A3138" s="74"/>
      <c r="B3138" s="74"/>
      <c r="C3138" s="74"/>
      <c r="D3138" s="74"/>
      <c r="E3138" s="74"/>
      <c r="F3138" s="74"/>
      <c r="G3138" s="74"/>
      <c r="H3138" s="74"/>
      <c r="I3138" s="74"/>
      <c r="J3138" s="74"/>
      <c r="K3138" s="74"/>
      <c r="L3138" s="74"/>
      <c r="M3138" s="74"/>
      <c r="N3138" s="74"/>
      <c r="O3138" s="75"/>
      <c r="P3138" s="74"/>
      <c r="Q3138" s="75"/>
      <c r="R3138" s="74"/>
      <c r="S3138" s="74"/>
      <c r="T3138" s="74"/>
      <c r="U3138" s="75"/>
      <c r="V3138" s="74"/>
      <c r="W3138" s="75"/>
      <c r="X3138" s="74"/>
      <c r="Y3138" s="74"/>
      <c r="Z3138" s="74"/>
      <c r="AA3138" s="74"/>
      <c r="AB3138" s="74"/>
      <c r="AC3138" s="74"/>
      <c r="AD3138" s="74"/>
      <c r="AE3138" s="74"/>
      <c r="AF3138" s="74"/>
      <c r="AG3138" s="74"/>
      <c r="AH3138" s="74"/>
    </row>
    <row r="3139" s="73" customFormat="1" spans="1:34">
      <c r="A3139" s="74"/>
      <c r="B3139" s="74"/>
      <c r="C3139" s="74"/>
      <c r="D3139" s="74"/>
      <c r="E3139" s="74"/>
      <c r="F3139" s="74"/>
      <c r="G3139" s="74"/>
      <c r="H3139" s="74"/>
      <c r="I3139" s="74"/>
      <c r="J3139" s="74"/>
      <c r="K3139" s="74"/>
      <c r="L3139" s="74"/>
      <c r="M3139" s="74"/>
      <c r="N3139" s="74"/>
      <c r="O3139" s="75"/>
      <c r="P3139" s="74"/>
      <c r="Q3139" s="75"/>
      <c r="R3139" s="74"/>
      <c r="S3139" s="74"/>
      <c r="T3139" s="74"/>
      <c r="U3139" s="75"/>
      <c r="V3139" s="74"/>
      <c r="W3139" s="75"/>
      <c r="X3139" s="74"/>
      <c r="Y3139" s="74"/>
      <c r="Z3139" s="74"/>
      <c r="AA3139" s="74"/>
      <c r="AB3139" s="74"/>
      <c r="AC3139" s="74"/>
      <c r="AD3139" s="74"/>
      <c r="AE3139" s="74"/>
      <c r="AF3139" s="74"/>
      <c r="AG3139" s="74"/>
      <c r="AH3139" s="74"/>
    </row>
    <row r="3140" s="73" customFormat="1" spans="1:34">
      <c r="A3140" s="74"/>
      <c r="B3140" s="74"/>
      <c r="C3140" s="74"/>
      <c r="D3140" s="74"/>
      <c r="E3140" s="74"/>
      <c r="F3140" s="74"/>
      <c r="G3140" s="74"/>
      <c r="H3140" s="74"/>
      <c r="I3140" s="74"/>
      <c r="J3140" s="74"/>
      <c r="K3140" s="74"/>
      <c r="L3140" s="74"/>
      <c r="M3140" s="74"/>
      <c r="N3140" s="74"/>
      <c r="O3140" s="75"/>
      <c r="P3140" s="74"/>
      <c r="Q3140" s="75"/>
      <c r="R3140" s="74"/>
      <c r="S3140" s="74"/>
      <c r="T3140" s="74"/>
      <c r="U3140" s="75"/>
      <c r="V3140" s="74"/>
      <c r="W3140" s="75"/>
      <c r="X3140" s="74"/>
      <c r="Y3140" s="74"/>
      <c r="Z3140" s="74"/>
      <c r="AA3140" s="74"/>
      <c r="AB3140" s="74"/>
      <c r="AC3140" s="74"/>
      <c r="AD3140" s="74"/>
      <c r="AE3140" s="74"/>
      <c r="AF3140" s="74"/>
      <c r="AG3140" s="74"/>
      <c r="AH3140" s="74"/>
    </row>
    <row r="3141" s="73" customFormat="1" spans="1:34">
      <c r="A3141" s="74"/>
      <c r="B3141" s="74"/>
      <c r="C3141" s="74"/>
      <c r="D3141" s="74"/>
      <c r="E3141" s="74"/>
      <c r="F3141" s="74"/>
      <c r="G3141" s="74"/>
      <c r="H3141" s="74"/>
      <c r="I3141" s="74"/>
      <c r="J3141" s="74"/>
      <c r="K3141" s="74"/>
      <c r="L3141" s="74"/>
      <c r="M3141" s="74"/>
      <c r="N3141" s="74"/>
      <c r="O3141" s="75"/>
      <c r="P3141" s="74"/>
      <c r="Q3141" s="75"/>
      <c r="R3141" s="74"/>
      <c r="S3141" s="74"/>
      <c r="T3141" s="74"/>
      <c r="U3141" s="75"/>
      <c r="V3141" s="74"/>
      <c r="W3141" s="75"/>
      <c r="X3141" s="74"/>
      <c r="Y3141" s="74"/>
      <c r="Z3141" s="74"/>
      <c r="AA3141" s="74"/>
      <c r="AB3141" s="74"/>
      <c r="AC3141" s="74"/>
      <c r="AD3141" s="74"/>
      <c r="AE3141" s="74"/>
      <c r="AF3141" s="74"/>
      <c r="AG3141" s="74"/>
      <c r="AH3141" s="74"/>
    </row>
    <row r="3142" s="73" customFormat="1" spans="1:34">
      <c r="A3142" s="74"/>
      <c r="B3142" s="74"/>
      <c r="C3142" s="74"/>
      <c r="D3142" s="74"/>
      <c r="E3142" s="74"/>
      <c r="F3142" s="74"/>
      <c r="G3142" s="74"/>
      <c r="H3142" s="74"/>
      <c r="I3142" s="74"/>
      <c r="J3142" s="74"/>
      <c r="K3142" s="74"/>
      <c r="L3142" s="74"/>
      <c r="M3142" s="74"/>
      <c r="N3142" s="74"/>
      <c r="O3142" s="75"/>
      <c r="P3142" s="74"/>
      <c r="Q3142" s="75"/>
      <c r="R3142" s="74"/>
      <c r="S3142" s="74"/>
      <c r="T3142" s="74"/>
      <c r="U3142" s="75"/>
      <c r="V3142" s="74"/>
      <c r="W3142" s="75"/>
      <c r="X3142" s="74"/>
      <c r="Y3142" s="74"/>
      <c r="Z3142" s="74"/>
      <c r="AA3142" s="74"/>
      <c r="AB3142" s="74"/>
      <c r="AC3142" s="74"/>
      <c r="AD3142" s="74"/>
      <c r="AE3142" s="74"/>
      <c r="AF3142" s="74"/>
      <c r="AG3142" s="74"/>
      <c r="AH3142" s="74"/>
    </row>
    <row r="3143" s="73" customFormat="1" spans="1:34">
      <c r="A3143" s="74"/>
      <c r="B3143" s="74"/>
      <c r="C3143" s="74"/>
      <c r="D3143" s="74"/>
      <c r="E3143" s="74"/>
      <c r="F3143" s="74"/>
      <c r="G3143" s="74"/>
      <c r="H3143" s="74"/>
      <c r="I3143" s="74"/>
      <c r="J3143" s="74"/>
      <c r="K3143" s="74"/>
      <c r="L3143" s="74"/>
      <c r="M3143" s="74"/>
      <c r="N3143" s="74"/>
      <c r="O3143" s="75"/>
      <c r="P3143" s="74"/>
      <c r="Q3143" s="75"/>
      <c r="R3143" s="74"/>
      <c r="S3143" s="74"/>
      <c r="T3143" s="74"/>
      <c r="U3143" s="75"/>
      <c r="V3143" s="74"/>
      <c r="W3143" s="75"/>
      <c r="X3143" s="74"/>
      <c r="Y3143" s="74"/>
      <c r="Z3143" s="74"/>
      <c r="AA3143" s="74"/>
      <c r="AB3143" s="74"/>
      <c r="AC3143" s="74"/>
      <c r="AD3143" s="74"/>
      <c r="AE3143" s="74"/>
      <c r="AF3143" s="74"/>
      <c r="AG3143" s="74"/>
      <c r="AH3143" s="74"/>
    </row>
    <row r="3144" s="73" customFormat="1" spans="1:34">
      <c r="A3144" s="74"/>
      <c r="B3144" s="74"/>
      <c r="C3144" s="74"/>
      <c r="D3144" s="74"/>
      <c r="E3144" s="74"/>
      <c r="F3144" s="74"/>
      <c r="G3144" s="74"/>
      <c r="H3144" s="74"/>
      <c r="I3144" s="74"/>
      <c r="J3144" s="74"/>
      <c r="K3144" s="74"/>
      <c r="L3144" s="74"/>
      <c r="M3144" s="74"/>
      <c r="N3144" s="74"/>
      <c r="O3144" s="75"/>
      <c r="P3144" s="74"/>
      <c r="Q3144" s="75"/>
      <c r="R3144" s="74"/>
      <c r="S3144" s="74"/>
      <c r="T3144" s="74"/>
      <c r="U3144" s="75"/>
      <c r="V3144" s="74"/>
      <c r="W3144" s="75"/>
      <c r="X3144" s="74"/>
      <c r="Y3144" s="74"/>
      <c r="Z3144" s="74"/>
      <c r="AA3144" s="74"/>
      <c r="AB3144" s="74"/>
      <c r="AC3144" s="74"/>
      <c r="AD3144" s="74"/>
      <c r="AE3144" s="74"/>
      <c r="AF3144" s="74"/>
      <c r="AG3144" s="74"/>
      <c r="AH3144" s="74"/>
    </row>
    <row r="3145" s="73" customFormat="1" spans="1:34">
      <c r="A3145" s="74"/>
      <c r="B3145" s="74"/>
      <c r="C3145" s="74"/>
      <c r="D3145" s="74"/>
      <c r="E3145" s="74"/>
      <c r="F3145" s="74"/>
      <c r="G3145" s="74"/>
      <c r="H3145" s="74"/>
      <c r="I3145" s="74"/>
      <c r="J3145" s="74"/>
      <c r="K3145" s="74"/>
      <c r="L3145" s="74"/>
      <c r="M3145" s="74"/>
      <c r="N3145" s="74"/>
      <c r="O3145" s="75"/>
      <c r="P3145" s="74"/>
      <c r="Q3145" s="75"/>
      <c r="R3145" s="74"/>
      <c r="S3145" s="74"/>
      <c r="T3145" s="74"/>
      <c r="U3145" s="75"/>
      <c r="V3145" s="74"/>
      <c r="W3145" s="75"/>
      <c r="X3145" s="74"/>
      <c r="Y3145" s="74"/>
      <c r="Z3145" s="74"/>
      <c r="AA3145" s="74"/>
      <c r="AB3145" s="74"/>
      <c r="AC3145" s="74"/>
      <c r="AD3145" s="74"/>
      <c r="AE3145" s="74"/>
      <c r="AF3145" s="74"/>
      <c r="AG3145" s="74"/>
      <c r="AH3145" s="74"/>
    </row>
    <row r="3146" s="73" customFormat="1" spans="1:34">
      <c r="A3146" s="74"/>
      <c r="B3146" s="74"/>
      <c r="C3146" s="74"/>
      <c r="D3146" s="74"/>
      <c r="E3146" s="74"/>
      <c r="F3146" s="74"/>
      <c r="G3146" s="74"/>
      <c r="H3146" s="74"/>
      <c r="I3146" s="74"/>
      <c r="J3146" s="74"/>
      <c r="K3146" s="74"/>
      <c r="L3146" s="74"/>
      <c r="M3146" s="74"/>
      <c r="N3146" s="74"/>
      <c r="O3146" s="75"/>
      <c r="P3146" s="74"/>
      <c r="Q3146" s="75"/>
      <c r="R3146" s="74"/>
      <c r="S3146" s="74"/>
      <c r="T3146" s="74"/>
      <c r="U3146" s="75"/>
      <c r="V3146" s="74"/>
      <c r="W3146" s="75"/>
      <c r="X3146" s="74"/>
      <c r="Y3146" s="74"/>
      <c r="Z3146" s="74"/>
      <c r="AA3146" s="74"/>
      <c r="AB3146" s="74"/>
      <c r="AC3146" s="74"/>
      <c r="AD3146" s="74"/>
      <c r="AE3146" s="74"/>
      <c r="AF3146" s="74"/>
      <c r="AG3146" s="74"/>
      <c r="AH3146" s="74"/>
    </row>
    <row r="3147" s="73" customFormat="1" spans="1:34">
      <c r="A3147" s="74"/>
      <c r="B3147" s="74"/>
      <c r="C3147" s="74"/>
      <c r="D3147" s="74"/>
      <c r="E3147" s="74"/>
      <c r="F3147" s="74"/>
      <c r="G3147" s="74"/>
      <c r="H3147" s="74"/>
      <c r="I3147" s="74"/>
      <c r="J3147" s="74"/>
      <c r="K3147" s="74"/>
      <c r="L3147" s="74"/>
      <c r="M3147" s="74"/>
      <c r="N3147" s="74"/>
      <c r="O3147" s="75"/>
      <c r="P3147" s="74"/>
      <c r="Q3147" s="75"/>
      <c r="R3147" s="74"/>
      <c r="S3147" s="74"/>
      <c r="T3147" s="74"/>
      <c r="U3147" s="75"/>
      <c r="V3147" s="74"/>
      <c r="W3147" s="75"/>
      <c r="X3147" s="74"/>
      <c r="Y3147" s="74"/>
      <c r="Z3147" s="74"/>
      <c r="AA3147" s="74"/>
      <c r="AB3147" s="74"/>
      <c r="AC3147" s="74"/>
      <c r="AD3147" s="74"/>
      <c r="AE3147" s="74"/>
      <c r="AF3147" s="74"/>
      <c r="AG3147" s="74"/>
      <c r="AH3147" s="74"/>
    </row>
    <row r="3148" s="73" customFormat="1" spans="1:34">
      <c r="A3148" s="74"/>
      <c r="B3148" s="74"/>
      <c r="C3148" s="74"/>
      <c r="D3148" s="74"/>
      <c r="E3148" s="74"/>
      <c r="F3148" s="74"/>
      <c r="G3148" s="74"/>
      <c r="H3148" s="74"/>
      <c r="I3148" s="74"/>
      <c r="J3148" s="74"/>
      <c r="K3148" s="74"/>
      <c r="L3148" s="74"/>
      <c r="M3148" s="74"/>
      <c r="N3148" s="74"/>
      <c r="O3148" s="75"/>
      <c r="P3148" s="74"/>
      <c r="Q3148" s="75"/>
      <c r="R3148" s="74"/>
      <c r="S3148" s="74"/>
      <c r="T3148" s="74"/>
      <c r="U3148" s="75"/>
      <c r="V3148" s="74"/>
      <c r="W3148" s="75"/>
      <c r="X3148" s="74"/>
      <c r="Y3148" s="74"/>
      <c r="Z3148" s="74"/>
      <c r="AA3148" s="74"/>
      <c r="AB3148" s="74"/>
      <c r="AC3148" s="74"/>
      <c r="AD3148" s="74"/>
      <c r="AE3148" s="74"/>
      <c r="AF3148" s="74"/>
      <c r="AG3148" s="74"/>
      <c r="AH3148" s="74"/>
    </row>
    <row r="3149" s="73" customFormat="1" spans="1:34">
      <c r="A3149" s="74"/>
      <c r="B3149" s="74"/>
      <c r="C3149" s="74"/>
      <c r="D3149" s="74"/>
      <c r="E3149" s="74"/>
      <c r="F3149" s="74"/>
      <c r="G3149" s="74"/>
      <c r="H3149" s="74"/>
      <c r="I3149" s="74"/>
      <c r="J3149" s="74"/>
      <c r="K3149" s="74"/>
      <c r="L3149" s="74"/>
      <c r="M3149" s="74"/>
      <c r="N3149" s="74"/>
      <c r="O3149" s="75"/>
      <c r="P3149" s="74"/>
      <c r="Q3149" s="75"/>
      <c r="R3149" s="74"/>
      <c r="S3149" s="74"/>
      <c r="T3149" s="74"/>
      <c r="U3149" s="75"/>
      <c r="V3149" s="74"/>
      <c r="W3149" s="75"/>
      <c r="X3149" s="74"/>
      <c r="Y3149" s="74"/>
      <c r="Z3149" s="74"/>
      <c r="AA3149" s="74"/>
      <c r="AB3149" s="74"/>
      <c r="AC3149" s="74"/>
      <c r="AD3149" s="74"/>
      <c r="AE3149" s="74"/>
      <c r="AF3149" s="74"/>
      <c r="AG3149" s="74"/>
      <c r="AH3149" s="74"/>
    </row>
    <row r="3150" s="73" customFormat="1" spans="1:34">
      <c r="A3150" s="74"/>
      <c r="B3150" s="74"/>
      <c r="C3150" s="74"/>
      <c r="D3150" s="74"/>
      <c r="E3150" s="74"/>
      <c r="F3150" s="74"/>
      <c r="G3150" s="74"/>
      <c r="H3150" s="74"/>
      <c r="I3150" s="74"/>
      <c r="J3150" s="74"/>
      <c r="K3150" s="74"/>
      <c r="L3150" s="74"/>
      <c r="M3150" s="74"/>
      <c r="N3150" s="74"/>
      <c r="O3150" s="75"/>
      <c r="P3150" s="74"/>
      <c r="Q3150" s="75"/>
      <c r="R3150" s="74"/>
      <c r="S3150" s="74"/>
      <c r="T3150" s="74"/>
      <c r="U3150" s="75"/>
      <c r="V3150" s="74"/>
      <c r="W3150" s="75"/>
      <c r="X3150" s="74"/>
      <c r="Y3150" s="74"/>
      <c r="Z3150" s="74"/>
      <c r="AA3150" s="74"/>
      <c r="AB3150" s="74"/>
      <c r="AC3150" s="74"/>
      <c r="AD3150" s="74"/>
      <c r="AE3150" s="74"/>
      <c r="AF3150" s="74"/>
      <c r="AG3150" s="74"/>
      <c r="AH3150" s="74"/>
    </row>
    <row r="3151" s="73" customFormat="1" spans="1:34">
      <c r="A3151" s="74"/>
      <c r="B3151" s="74"/>
      <c r="C3151" s="74"/>
      <c r="D3151" s="74"/>
      <c r="E3151" s="74"/>
      <c r="F3151" s="74"/>
      <c r="G3151" s="74"/>
      <c r="H3151" s="74"/>
      <c r="I3151" s="74"/>
      <c r="J3151" s="74"/>
      <c r="K3151" s="74"/>
      <c r="L3151" s="74"/>
      <c r="M3151" s="74"/>
      <c r="N3151" s="74"/>
      <c r="O3151" s="75"/>
      <c r="P3151" s="74"/>
      <c r="Q3151" s="75"/>
      <c r="R3151" s="74"/>
      <c r="S3151" s="74"/>
      <c r="T3151" s="74"/>
      <c r="U3151" s="75"/>
      <c r="V3151" s="74"/>
      <c r="W3151" s="75"/>
      <c r="X3151" s="74"/>
      <c r="Y3151" s="74"/>
      <c r="Z3151" s="74"/>
      <c r="AA3151" s="74"/>
      <c r="AB3151" s="74"/>
      <c r="AC3151" s="74"/>
      <c r="AD3151" s="74"/>
      <c r="AE3151" s="74"/>
      <c r="AF3151" s="74"/>
      <c r="AG3151" s="74"/>
      <c r="AH3151" s="74"/>
    </row>
    <row r="3152" s="73" customFormat="1" spans="1:34">
      <c r="A3152" s="74"/>
      <c r="B3152" s="74"/>
      <c r="C3152" s="74"/>
      <c r="D3152" s="74"/>
      <c r="E3152" s="74"/>
      <c r="F3152" s="74"/>
      <c r="G3152" s="74"/>
      <c r="H3152" s="74"/>
      <c r="I3152" s="74"/>
      <c r="J3152" s="74"/>
      <c r="K3152" s="74"/>
      <c r="L3152" s="74"/>
      <c r="M3152" s="74"/>
      <c r="N3152" s="74"/>
      <c r="O3152" s="75"/>
      <c r="P3152" s="74"/>
      <c r="Q3152" s="75"/>
      <c r="R3152" s="74"/>
      <c r="S3152" s="74"/>
      <c r="T3152" s="74"/>
      <c r="U3152" s="75"/>
      <c r="V3152" s="74"/>
      <c r="W3152" s="75"/>
      <c r="X3152" s="74"/>
      <c r="Y3152" s="74"/>
      <c r="Z3152" s="74"/>
      <c r="AA3152" s="74"/>
      <c r="AB3152" s="74"/>
      <c r="AC3152" s="74"/>
      <c r="AD3152" s="74"/>
      <c r="AE3152" s="74"/>
      <c r="AF3152" s="74"/>
      <c r="AG3152" s="74"/>
      <c r="AH3152" s="74"/>
    </row>
    <row r="3153" s="73" customFormat="1" spans="1:34">
      <c r="A3153" s="74"/>
      <c r="B3153" s="74"/>
      <c r="C3153" s="74"/>
      <c r="D3153" s="74"/>
      <c r="E3153" s="74"/>
      <c r="F3153" s="74"/>
      <c r="G3153" s="74"/>
      <c r="H3153" s="74"/>
      <c r="I3153" s="74"/>
      <c r="J3153" s="74"/>
      <c r="K3153" s="74"/>
      <c r="L3153" s="74"/>
      <c r="M3153" s="74"/>
      <c r="N3153" s="74"/>
      <c r="O3153" s="75"/>
      <c r="P3153" s="74"/>
      <c r="Q3153" s="75"/>
      <c r="R3153" s="74"/>
      <c r="S3153" s="74"/>
      <c r="T3153" s="74"/>
      <c r="U3153" s="75"/>
      <c r="V3153" s="74"/>
      <c r="W3153" s="75"/>
      <c r="X3153" s="74"/>
      <c r="Y3153" s="74"/>
      <c r="Z3153" s="74"/>
      <c r="AA3153" s="74"/>
      <c r="AB3153" s="74"/>
      <c r="AC3153" s="74"/>
      <c r="AD3153" s="74"/>
      <c r="AE3153" s="74"/>
      <c r="AF3153" s="74"/>
      <c r="AG3153" s="74"/>
      <c r="AH3153" s="74"/>
    </row>
    <row r="3154" s="73" customFormat="1" spans="1:34">
      <c r="A3154" s="74"/>
      <c r="B3154" s="74"/>
      <c r="C3154" s="74"/>
      <c r="D3154" s="74"/>
      <c r="E3154" s="74"/>
      <c r="F3154" s="74"/>
      <c r="G3154" s="74"/>
      <c r="H3154" s="74"/>
      <c r="I3154" s="74"/>
      <c r="J3154" s="74"/>
      <c r="K3154" s="74"/>
      <c r="L3154" s="74"/>
      <c r="M3154" s="74"/>
      <c r="N3154" s="74"/>
      <c r="O3154" s="75"/>
      <c r="P3154" s="74"/>
      <c r="Q3154" s="75"/>
      <c r="R3154" s="74"/>
      <c r="S3154" s="74"/>
      <c r="T3154" s="74"/>
      <c r="U3154" s="75"/>
      <c r="V3154" s="74"/>
      <c r="W3154" s="75"/>
      <c r="X3154" s="74"/>
      <c r="Y3154" s="74"/>
      <c r="Z3154" s="74"/>
      <c r="AA3154" s="74"/>
      <c r="AB3154" s="74"/>
      <c r="AC3154" s="74"/>
      <c r="AD3154" s="74"/>
      <c r="AE3154" s="74"/>
      <c r="AF3154" s="74"/>
      <c r="AG3154" s="74"/>
      <c r="AH3154" s="74"/>
    </row>
    <row r="3155" s="73" customFormat="1" spans="1:34">
      <c r="A3155" s="74"/>
      <c r="B3155" s="74"/>
      <c r="C3155" s="74"/>
      <c r="D3155" s="74"/>
      <c r="E3155" s="74"/>
      <c r="F3155" s="74"/>
      <c r="G3155" s="74"/>
      <c r="H3155" s="74"/>
      <c r="I3155" s="74"/>
      <c r="J3155" s="74"/>
      <c r="K3155" s="74"/>
      <c r="L3155" s="74"/>
      <c r="M3155" s="74"/>
      <c r="N3155" s="74"/>
      <c r="O3155" s="75"/>
      <c r="P3155" s="74"/>
      <c r="Q3155" s="75"/>
      <c r="R3155" s="74"/>
      <c r="S3155" s="74"/>
      <c r="T3155" s="74"/>
      <c r="U3155" s="75"/>
      <c r="V3155" s="74"/>
      <c r="W3155" s="75"/>
      <c r="X3155" s="74"/>
      <c r="Y3155" s="74"/>
      <c r="Z3155" s="74"/>
      <c r="AA3155" s="74"/>
      <c r="AB3155" s="74"/>
      <c r="AC3155" s="74"/>
      <c r="AD3155" s="74"/>
      <c r="AE3155" s="74"/>
      <c r="AF3155" s="74"/>
      <c r="AG3155" s="74"/>
      <c r="AH3155" s="74"/>
    </row>
    <row r="3156" s="73" customFormat="1" spans="1:34">
      <c r="A3156" s="74"/>
      <c r="B3156" s="74"/>
      <c r="C3156" s="74"/>
      <c r="D3156" s="74"/>
      <c r="E3156" s="74"/>
      <c r="F3156" s="74"/>
      <c r="G3156" s="74"/>
      <c r="H3156" s="74"/>
      <c r="I3156" s="74"/>
      <c r="J3156" s="74"/>
      <c r="K3156" s="74"/>
      <c r="L3156" s="74"/>
      <c r="M3156" s="74"/>
      <c r="N3156" s="74"/>
      <c r="O3156" s="75"/>
      <c r="P3156" s="74"/>
      <c r="Q3156" s="75"/>
      <c r="R3156" s="74"/>
      <c r="S3156" s="74"/>
      <c r="T3156" s="74"/>
      <c r="U3156" s="75"/>
      <c r="V3156" s="74"/>
      <c r="W3156" s="75"/>
      <c r="X3156" s="74"/>
      <c r="Y3156" s="74"/>
      <c r="Z3156" s="74"/>
      <c r="AA3156" s="74"/>
      <c r="AB3156" s="74"/>
      <c r="AC3156" s="74"/>
      <c r="AD3156" s="74"/>
      <c r="AE3156" s="74"/>
      <c r="AF3156" s="74"/>
      <c r="AG3156" s="74"/>
      <c r="AH3156" s="74"/>
    </row>
    <row r="3158" s="73" customFormat="1" spans="1:34">
      <c r="A3158" s="74"/>
      <c r="B3158" s="74"/>
      <c r="C3158" s="74"/>
      <c r="D3158" s="74"/>
      <c r="E3158" s="74"/>
      <c r="F3158" s="74"/>
      <c r="G3158" s="74"/>
      <c r="H3158" s="74"/>
      <c r="I3158" s="74"/>
      <c r="J3158" s="74"/>
      <c r="K3158" s="74"/>
      <c r="L3158" s="74"/>
      <c r="M3158" s="74"/>
      <c r="N3158" s="74"/>
      <c r="O3158" s="75"/>
      <c r="P3158" s="74"/>
      <c r="Q3158" s="75"/>
      <c r="R3158" s="74"/>
      <c r="S3158" s="74"/>
      <c r="T3158" s="74"/>
      <c r="U3158" s="75"/>
      <c r="V3158" s="74"/>
      <c r="W3158" s="75"/>
      <c r="X3158" s="74"/>
      <c r="Y3158" s="74"/>
      <c r="Z3158" s="74"/>
      <c r="AA3158" s="74"/>
      <c r="AB3158" s="74"/>
      <c r="AC3158" s="74"/>
      <c r="AD3158" s="74"/>
      <c r="AE3158" s="74"/>
      <c r="AF3158" s="74"/>
      <c r="AG3158" s="74"/>
      <c r="AH3158" s="74"/>
    </row>
    <row r="3159" s="73" customFormat="1" spans="1:34">
      <c r="A3159" s="74"/>
      <c r="B3159" s="74"/>
      <c r="C3159" s="74"/>
      <c r="D3159" s="74"/>
      <c r="E3159" s="74"/>
      <c r="F3159" s="74"/>
      <c r="G3159" s="74"/>
      <c r="H3159" s="74"/>
      <c r="I3159" s="74"/>
      <c r="J3159" s="74"/>
      <c r="K3159" s="74"/>
      <c r="L3159" s="74"/>
      <c r="M3159" s="74"/>
      <c r="N3159" s="74"/>
      <c r="O3159" s="75"/>
      <c r="P3159" s="74"/>
      <c r="Q3159" s="75"/>
      <c r="R3159" s="74"/>
      <c r="S3159" s="74"/>
      <c r="T3159" s="74"/>
      <c r="U3159" s="75"/>
      <c r="V3159" s="74"/>
      <c r="W3159" s="75"/>
      <c r="X3159" s="74"/>
      <c r="Y3159" s="74"/>
      <c r="Z3159" s="74"/>
      <c r="AA3159" s="74"/>
      <c r="AB3159" s="74"/>
      <c r="AC3159" s="74"/>
      <c r="AD3159" s="74"/>
      <c r="AE3159" s="74"/>
      <c r="AF3159" s="74"/>
      <c r="AG3159" s="74"/>
      <c r="AH3159" s="74"/>
    </row>
    <row r="3160" s="73" customFormat="1" spans="1:34">
      <c r="A3160" s="74"/>
      <c r="B3160" s="74"/>
      <c r="C3160" s="74"/>
      <c r="D3160" s="74"/>
      <c r="E3160" s="74"/>
      <c r="F3160" s="74"/>
      <c r="G3160" s="74"/>
      <c r="H3160" s="74"/>
      <c r="I3160" s="74"/>
      <c r="J3160" s="74"/>
      <c r="K3160" s="74"/>
      <c r="L3160" s="74"/>
      <c r="M3160" s="74"/>
      <c r="N3160" s="74"/>
      <c r="O3160" s="75"/>
      <c r="P3160" s="74"/>
      <c r="Q3160" s="75"/>
      <c r="R3160" s="74"/>
      <c r="S3160" s="74"/>
      <c r="T3160" s="74"/>
      <c r="U3160" s="75"/>
      <c r="V3160" s="74"/>
      <c r="W3160" s="75"/>
      <c r="X3160" s="74"/>
      <c r="Y3160" s="74"/>
      <c r="Z3160" s="74"/>
      <c r="AA3160" s="74"/>
      <c r="AB3160" s="74"/>
      <c r="AC3160" s="74"/>
      <c r="AD3160" s="74"/>
      <c r="AE3160" s="74"/>
      <c r="AF3160" s="74"/>
      <c r="AG3160" s="74"/>
      <c r="AH3160" s="74"/>
    </row>
    <row r="3161" s="73" customFormat="1" spans="1:34">
      <c r="A3161" s="74"/>
      <c r="B3161" s="74"/>
      <c r="C3161" s="74"/>
      <c r="D3161" s="74"/>
      <c r="E3161" s="74"/>
      <c r="F3161" s="74"/>
      <c r="G3161" s="74"/>
      <c r="H3161" s="74"/>
      <c r="I3161" s="74"/>
      <c r="J3161" s="74"/>
      <c r="K3161" s="74"/>
      <c r="L3161" s="74"/>
      <c r="M3161" s="74"/>
      <c r="N3161" s="74"/>
      <c r="O3161" s="75"/>
      <c r="P3161" s="74"/>
      <c r="Q3161" s="75"/>
      <c r="R3161" s="74"/>
      <c r="S3161" s="74"/>
      <c r="T3161" s="74"/>
      <c r="U3161" s="75"/>
      <c r="V3161" s="74"/>
      <c r="W3161" s="75"/>
      <c r="X3161" s="74"/>
      <c r="Y3161" s="74"/>
      <c r="Z3161" s="74"/>
      <c r="AA3161" s="74"/>
      <c r="AB3161" s="74"/>
      <c r="AC3161" s="74"/>
      <c r="AD3161" s="74"/>
      <c r="AE3161" s="74"/>
      <c r="AF3161" s="74"/>
      <c r="AG3161" s="74"/>
      <c r="AH3161" s="74"/>
    </row>
    <row r="3162" s="73" customFormat="1" spans="1:34">
      <c r="A3162" s="74"/>
      <c r="B3162" s="74"/>
      <c r="C3162" s="74"/>
      <c r="D3162" s="74"/>
      <c r="E3162" s="74"/>
      <c r="F3162" s="74"/>
      <c r="G3162" s="74"/>
      <c r="H3162" s="74"/>
      <c r="I3162" s="74"/>
      <c r="J3162" s="74"/>
      <c r="K3162" s="74"/>
      <c r="L3162" s="74"/>
      <c r="M3162" s="74"/>
      <c r="N3162" s="74"/>
      <c r="O3162" s="75"/>
      <c r="P3162" s="74"/>
      <c r="Q3162" s="75"/>
      <c r="R3162" s="74"/>
      <c r="S3162" s="74"/>
      <c r="T3162" s="74"/>
      <c r="U3162" s="75"/>
      <c r="V3162" s="74"/>
      <c r="W3162" s="75"/>
      <c r="X3162" s="74"/>
      <c r="Y3162" s="74"/>
      <c r="Z3162" s="74"/>
      <c r="AA3162" s="74"/>
      <c r="AB3162" s="74"/>
      <c r="AC3162" s="74"/>
      <c r="AD3162" s="74"/>
      <c r="AE3162" s="74"/>
      <c r="AF3162" s="74"/>
      <c r="AG3162" s="74"/>
      <c r="AH3162" s="74"/>
    </row>
    <row r="3163" s="73" customFormat="1" spans="1:34">
      <c r="A3163" s="74"/>
      <c r="B3163" s="74"/>
      <c r="C3163" s="74"/>
      <c r="D3163" s="74"/>
      <c r="E3163" s="74"/>
      <c r="F3163" s="74"/>
      <c r="G3163" s="74"/>
      <c r="H3163" s="74"/>
      <c r="I3163" s="74"/>
      <c r="J3163" s="74"/>
      <c r="K3163" s="74"/>
      <c r="L3163" s="74"/>
      <c r="M3163" s="74"/>
      <c r="N3163" s="74"/>
      <c r="O3163" s="75"/>
      <c r="P3163" s="74"/>
      <c r="Q3163" s="75"/>
      <c r="R3163" s="74"/>
      <c r="S3163" s="74"/>
      <c r="T3163" s="74"/>
      <c r="U3163" s="75"/>
      <c r="V3163" s="74"/>
      <c r="W3163" s="75"/>
      <c r="X3163" s="74"/>
      <c r="Y3163" s="74"/>
      <c r="Z3163" s="74"/>
      <c r="AA3163" s="74"/>
      <c r="AB3163" s="74"/>
      <c r="AC3163" s="74"/>
      <c r="AD3163" s="74"/>
      <c r="AE3163" s="74"/>
      <c r="AF3163" s="74"/>
      <c r="AG3163" s="74"/>
      <c r="AH3163" s="74"/>
    </row>
    <row r="3164" s="73" customFormat="1" spans="1:34">
      <c r="A3164" s="74"/>
      <c r="B3164" s="74"/>
      <c r="C3164" s="74"/>
      <c r="D3164" s="74"/>
      <c r="E3164" s="74"/>
      <c r="F3164" s="74"/>
      <c r="G3164" s="74"/>
      <c r="H3164" s="74"/>
      <c r="I3164" s="74"/>
      <c r="J3164" s="74"/>
      <c r="K3164" s="74"/>
      <c r="L3164" s="74"/>
      <c r="M3164" s="74"/>
      <c r="N3164" s="74"/>
      <c r="O3164" s="75"/>
      <c r="P3164" s="74"/>
      <c r="Q3164" s="75"/>
      <c r="R3164" s="74"/>
      <c r="S3164" s="74"/>
      <c r="T3164" s="74"/>
      <c r="U3164" s="75"/>
      <c r="V3164" s="74"/>
      <c r="W3164" s="75"/>
      <c r="X3164" s="74"/>
      <c r="Y3164" s="74"/>
      <c r="Z3164" s="74"/>
      <c r="AA3164" s="74"/>
      <c r="AB3164" s="74"/>
      <c r="AC3164" s="74"/>
      <c r="AD3164" s="74"/>
      <c r="AE3164" s="74"/>
      <c r="AF3164" s="74"/>
      <c r="AG3164" s="74"/>
      <c r="AH3164" s="74"/>
    </row>
    <row r="3165" s="73" customFormat="1" spans="1:34">
      <c r="A3165" s="74"/>
      <c r="B3165" s="74"/>
      <c r="C3165" s="74"/>
      <c r="D3165" s="74"/>
      <c r="E3165" s="74"/>
      <c r="F3165" s="74"/>
      <c r="G3165" s="74"/>
      <c r="H3165" s="74"/>
      <c r="I3165" s="74"/>
      <c r="J3165" s="74"/>
      <c r="K3165" s="74"/>
      <c r="L3165" s="74"/>
      <c r="M3165" s="74"/>
      <c r="N3165" s="74"/>
      <c r="O3165" s="75"/>
      <c r="P3165" s="74"/>
      <c r="Q3165" s="75"/>
      <c r="R3165" s="74"/>
      <c r="S3165" s="74"/>
      <c r="T3165" s="74"/>
      <c r="U3165" s="75"/>
      <c r="V3165" s="74"/>
      <c r="W3165" s="75"/>
      <c r="X3165" s="74"/>
      <c r="Y3165" s="74"/>
      <c r="Z3165" s="74"/>
      <c r="AA3165" s="74"/>
      <c r="AB3165" s="74"/>
      <c r="AC3165" s="74"/>
      <c r="AD3165" s="74"/>
      <c r="AE3165" s="74"/>
      <c r="AF3165" s="74"/>
      <c r="AG3165" s="74"/>
      <c r="AH3165" s="74"/>
    </row>
    <row r="3166" s="73" customFormat="1" spans="1:34">
      <c r="A3166" s="74"/>
      <c r="B3166" s="74"/>
      <c r="C3166" s="74"/>
      <c r="D3166" s="74"/>
      <c r="E3166" s="74"/>
      <c r="F3166" s="74"/>
      <c r="G3166" s="74"/>
      <c r="H3166" s="74"/>
      <c r="I3166" s="74"/>
      <c r="J3166" s="74"/>
      <c r="K3166" s="74"/>
      <c r="L3166" s="74"/>
      <c r="M3166" s="74"/>
      <c r="N3166" s="74"/>
      <c r="O3166" s="75"/>
      <c r="P3166" s="74"/>
      <c r="Q3166" s="75"/>
      <c r="R3166" s="74"/>
      <c r="S3166" s="74"/>
      <c r="T3166" s="74"/>
      <c r="U3166" s="75"/>
      <c r="V3166" s="74"/>
      <c r="W3166" s="75"/>
      <c r="X3166" s="74"/>
      <c r="Y3166" s="74"/>
      <c r="Z3166" s="74"/>
      <c r="AA3166" s="74"/>
      <c r="AB3166" s="74"/>
      <c r="AC3166" s="74"/>
      <c r="AD3166" s="74"/>
      <c r="AE3166" s="74"/>
      <c r="AF3166" s="74"/>
      <c r="AG3166" s="74"/>
      <c r="AH3166" s="74"/>
    </row>
    <row r="3167" s="73" customFormat="1" spans="1:34">
      <c r="A3167" s="74"/>
      <c r="B3167" s="74"/>
      <c r="C3167" s="74"/>
      <c r="D3167" s="74"/>
      <c r="E3167" s="74"/>
      <c r="F3167" s="74"/>
      <c r="G3167" s="74"/>
      <c r="H3167" s="74"/>
      <c r="I3167" s="74"/>
      <c r="J3167" s="74"/>
      <c r="K3167" s="74"/>
      <c r="L3167" s="74"/>
      <c r="M3167" s="74"/>
      <c r="N3167" s="74"/>
      <c r="O3167" s="75"/>
      <c r="P3167" s="74"/>
      <c r="Q3167" s="75"/>
      <c r="R3167" s="74"/>
      <c r="S3167" s="74"/>
      <c r="T3167" s="74"/>
      <c r="U3167" s="75"/>
      <c r="V3167" s="74"/>
      <c r="W3167" s="75"/>
      <c r="X3167" s="74"/>
      <c r="Y3167" s="74"/>
      <c r="Z3167" s="74"/>
      <c r="AA3167" s="74"/>
      <c r="AB3167" s="74"/>
      <c r="AC3167" s="74"/>
      <c r="AD3167" s="74"/>
      <c r="AE3167" s="74"/>
      <c r="AF3167" s="74"/>
      <c r="AG3167" s="74"/>
      <c r="AH3167" s="74"/>
    </row>
    <row r="3168" s="73" customFormat="1" spans="1:34">
      <c r="A3168" s="74"/>
      <c r="B3168" s="74"/>
      <c r="C3168" s="74"/>
      <c r="D3168" s="74"/>
      <c r="E3168" s="74"/>
      <c r="F3168" s="74"/>
      <c r="G3168" s="74"/>
      <c r="H3168" s="74"/>
      <c r="I3168" s="74"/>
      <c r="J3168" s="74"/>
      <c r="K3168" s="74"/>
      <c r="L3168" s="74"/>
      <c r="M3168" s="74"/>
      <c r="N3168" s="74"/>
      <c r="O3168" s="75"/>
      <c r="P3168" s="74"/>
      <c r="Q3168" s="75"/>
      <c r="R3168" s="74"/>
      <c r="S3168" s="74"/>
      <c r="T3168" s="74"/>
      <c r="U3168" s="75"/>
      <c r="V3168" s="74"/>
      <c r="W3168" s="75"/>
      <c r="X3168" s="74"/>
      <c r="Y3168" s="74"/>
      <c r="Z3168" s="74"/>
      <c r="AA3168" s="74"/>
      <c r="AB3168" s="74"/>
      <c r="AC3168" s="74"/>
      <c r="AD3168" s="74"/>
      <c r="AE3168" s="74"/>
      <c r="AF3168" s="74"/>
      <c r="AG3168" s="74"/>
      <c r="AH3168" s="74"/>
    </row>
    <row r="3169" s="73" customFormat="1" spans="1:34">
      <c r="A3169" s="74"/>
      <c r="B3169" s="74"/>
      <c r="C3169" s="74"/>
      <c r="D3169" s="74"/>
      <c r="E3169" s="74"/>
      <c r="F3169" s="74"/>
      <c r="G3169" s="74"/>
      <c r="H3169" s="74"/>
      <c r="I3169" s="74"/>
      <c r="J3169" s="74"/>
      <c r="K3169" s="74"/>
      <c r="L3169" s="74"/>
      <c r="M3169" s="74"/>
      <c r="N3169" s="74"/>
      <c r="O3169" s="75"/>
      <c r="P3169" s="74"/>
      <c r="Q3169" s="75"/>
      <c r="R3169" s="74"/>
      <c r="S3169" s="74"/>
      <c r="T3169" s="74"/>
      <c r="U3169" s="75"/>
      <c r="V3169" s="74"/>
      <c r="W3169" s="75"/>
      <c r="X3169" s="74"/>
      <c r="Y3169" s="74"/>
      <c r="Z3169" s="74"/>
      <c r="AA3169" s="74"/>
      <c r="AB3169" s="74"/>
      <c r="AC3169" s="74"/>
      <c r="AD3169" s="74"/>
      <c r="AE3169" s="74"/>
      <c r="AF3169" s="74"/>
      <c r="AG3169" s="74"/>
      <c r="AH3169" s="74"/>
    </row>
    <row r="3170" s="73" customFormat="1" spans="1:34">
      <c r="A3170" s="74"/>
      <c r="B3170" s="74"/>
      <c r="C3170" s="74"/>
      <c r="D3170" s="74"/>
      <c r="E3170" s="74"/>
      <c r="F3170" s="74"/>
      <c r="G3170" s="74"/>
      <c r="H3170" s="74"/>
      <c r="I3170" s="74"/>
      <c r="J3170" s="74"/>
      <c r="K3170" s="74"/>
      <c r="L3170" s="74"/>
      <c r="M3170" s="74"/>
      <c r="N3170" s="74"/>
      <c r="O3170" s="75"/>
      <c r="P3170" s="74"/>
      <c r="Q3170" s="75"/>
      <c r="R3170" s="74"/>
      <c r="S3170" s="74"/>
      <c r="T3170" s="74"/>
      <c r="U3170" s="75"/>
      <c r="V3170" s="74"/>
      <c r="W3170" s="75"/>
      <c r="X3170" s="74"/>
      <c r="Y3170" s="74"/>
      <c r="Z3170" s="74"/>
      <c r="AA3170" s="74"/>
      <c r="AB3170" s="74"/>
      <c r="AC3170" s="74"/>
      <c r="AD3170" s="74"/>
      <c r="AE3170" s="74"/>
      <c r="AF3170" s="74"/>
      <c r="AG3170" s="74"/>
      <c r="AH3170" s="74"/>
    </row>
    <row r="3171" s="73" customFormat="1" spans="1:34">
      <c r="A3171" s="74"/>
      <c r="B3171" s="74"/>
      <c r="C3171" s="74"/>
      <c r="D3171" s="74"/>
      <c r="E3171" s="74"/>
      <c r="F3171" s="74"/>
      <c r="G3171" s="74"/>
      <c r="H3171" s="74"/>
      <c r="I3171" s="74"/>
      <c r="J3171" s="74"/>
      <c r="K3171" s="74"/>
      <c r="L3171" s="74"/>
      <c r="M3171" s="74"/>
      <c r="N3171" s="74"/>
      <c r="O3171" s="75"/>
      <c r="P3171" s="74"/>
      <c r="Q3171" s="75"/>
      <c r="R3171" s="74"/>
      <c r="S3171" s="74"/>
      <c r="T3171" s="74"/>
      <c r="U3171" s="75"/>
      <c r="V3171" s="74"/>
      <c r="W3171" s="75"/>
      <c r="X3171" s="74"/>
      <c r="Y3171" s="74"/>
      <c r="Z3171" s="74"/>
      <c r="AA3171" s="74"/>
      <c r="AB3171" s="74"/>
      <c r="AC3171" s="74"/>
      <c r="AD3171" s="74"/>
      <c r="AE3171" s="74"/>
      <c r="AF3171" s="74"/>
      <c r="AG3171" s="74"/>
      <c r="AH3171" s="74"/>
    </row>
    <row r="3172" s="73" customFormat="1" spans="1:34">
      <c r="A3172" s="74"/>
      <c r="B3172" s="74"/>
      <c r="C3172" s="74"/>
      <c r="D3172" s="74"/>
      <c r="E3172" s="74"/>
      <c r="F3172" s="74"/>
      <c r="G3172" s="74"/>
      <c r="H3172" s="74"/>
      <c r="I3172" s="74"/>
      <c r="J3172" s="74"/>
      <c r="K3172" s="74"/>
      <c r="L3172" s="74"/>
      <c r="M3172" s="74"/>
      <c r="N3172" s="74"/>
      <c r="O3172" s="75"/>
      <c r="P3172" s="74"/>
      <c r="Q3172" s="75"/>
      <c r="R3172" s="74"/>
      <c r="S3172" s="74"/>
      <c r="T3172" s="74"/>
      <c r="U3172" s="75"/>
      <c r="V3172" s="74"/>
      <c r="W3172" s="75"/>
      <c r="X3172" s="74"/>
      <c r="Y3172" s="74"/>
      <c r="Z3172" s="74"/>
      <c r="AA3172" s="74"/>
      <c r="AB3172" s="74"/>
      <c r="AC3172" s="74"/>
      <c r="AD3172" s="74"/>
      <c r="AE3172" s="74"/>
      <c r="AF3172" s="74"/>
      <c r="AG3172" s="74"/>
      <c r="AH3172" s="74"/>
    </row>
    <row r="3173" s="73" customFormat="1" spans="1:34">
      <c r="A3173" s="74"/>
      <c r="B3173" s="74"/>
      <c r="C3173" s="74"/>
      <c r="D3173" s="74"/>
      <c r="E3173" s="74"/>
      <c r="F3173" s="74"/>
      <c r="G3173" s="74"/>
      <c r="H3173" s="74"/>
      <c r="I3173" s="74"/>
      <c r="J3173" s="74"/>
      <c r="K3173" s="74"/>
      <c r="L3173" s="74"/>
      <c r="M3173" s="74"/>
      <c r="N3173" s="74"/>
      <c r="O3173" s="75"/>
      <c r="P3173" s="74"/>
      <c r="Q3173" s="75"/>
      <c r="R3173" s="74"/>
      <c r="S3173" s="74"/>
      <c r="T3173" s="74"/>
      <c r="U3173" s="75"/>
      <c r="V3173" s="74"/>
      <c r="W3173" s="75"/>
      <c r="X3173" s="74"/>
      <c r="Y3173" s="74"/>
      <c r="Z3173" s="74"/>
      <c r="AA3173" s="74"/>
      <c r="AB3173" s="74"/>
      <c r="AC3173" s="74"/>
      <c r="AD3173" s="74"/>
      <c r="AE3173" s="74"/>
      <c r="AF3173" s="74"/>
      <c r="AG3173" s="74"/>
      <c r="AH3173" s="74"/>
    </row>
    <row r="3174" s="73" customFormat="1" spans="1:34">
      <c r="A3174" s="74"/>
      <c r="B3174" s="74"/>
      <c r="C3174" s="74"/>
      <c r="D3174" s="74"/>
      <c r="E3174" s="74"/>
      <c r="F3174" s="74"/>
      <c r="G3174" s="74"/>
      <c r="H3174" s="74"/>
      <c r="I3174" s="74"/>
      <c r="J3174" s="74"/>
      <c r="K3174" s="74"/>
      <c r="L3174" s="74"/>
      <c r="M3174" s="74"/>
      <c r="N3174" s="74"/>
      <c r="O3174" s="75"/>
      <c r="P3174" s="74"/>
      <c r="Q3174" s="75"/>
      <c r="R3174" s="74"/>
      <c r="S3174" s="74"/>
      <c r="T3174" s="74"/>
      <c r="U3174" s="75"/>
      <c r="V3174" s="74"/>
      <c r="W3174" s="75"/>
      <c r="X3174" s="74"/>
      <c r="Y3174" s="74"/>
      <c r="Z3174" s="74"/>
      <c r="AA3174" s="74"/>
      <c r="AB3174" s="74"/>
      <c r="AC3174" s="74"/>
      <c r="AD3174" s="74"/>
      <c r="AE3174" s="74"/>
      <c r="AF3174" s="74"/>
      <c r="AG3174" s="74"/>
      <c r="AH3174" s="74"/>
    </row>
    <row r="3175" s="73" customFormat="1" spans="1:34">
      <c r="A3175" s="74"/>
      <c r="B3175" s="74"/>
      <c r="C3175" s="74"/>
      <c r="D3175" s="74"/>
      <c r="E3175" s="74"/>
      <c r="F3175" s="74"/>
      <c r="G3175" s="74"/>
      <c r="H3175" s="74"/>
      <c r="I3175" s="74"/>
      <c r="J3175" s="74"/>
      <c r="K3175" s="74"/>
      <c r="L3175" s="74"/>
      <c r="M3175" s="74"/>
      <c r="N3175" s="74"/>
      <c r="O3175" s="75"/>
      <c r="P3175" s="74"/>
      <c r="Q3175" s="75"/>
      <c r="R3175" s="74"/>
      <c r="S3175" s="74"/>
      <c r="T3175" s="74"/>
      <c r="U3175" s="75"/>
      <c r="V3175" s="74"/>
      <c r="W3175" s="75"/>
      <c r="X3175" s="74"/>
      <c r="Y3175" s="74"/>
      <c r="Z3175" s="74"/>
      <c r="AA3175" s="74"/>
      <c r="AB3175" s="74"/>
      <c r="AC3175" s="74"/>
      <c r="AD3175" s="74"/>
      <c r="AE3175" s="74"/>
      <c r="AF3175" s="74"/>
      <c r="AG3175" s="74"/>
      <c r="AH3175" s="74"/>
    </row>
    <row r="3176" s="73" customFormat="1" spans="1:34">
      <c r="A3176" s="74"/>
      <c r="B3176" s="74"/>
      <c r="C3176" s="74"/>
      <c r="D3176" s="74"/>
      <c r="E3176" s="74"/>
      <c r="F3176" s="74"/>
      <c r="G3176" s="74"/>
      <c r="H3176" s="74"/>
      <c r="I3176" s="74"/>
      <c r="J3176" s="74"/>
      <c r="K3176" s="74"/>
      <c r="L3176" s="74"/>
      <c r="M3176" s="74"/>
      <c r="N3176" s="74"/>
      <c r="O3176" s="75"/>
      <c r="P3176" s="74"/>
      <c r="Q3176" s="75"/>
      <c r="R3176" s="74"/>
      <c r="S3176" s="74"/>
      <c r="T3176" s="74"/>
      <c r="U3176" s="75"/>
      <c r="V3176" s="74"/>
      <c r="W3176" s="75"/>
      <c r="X3176" s="74"/>
      <c r="Y3176" s="74"/>
      <c r="Z3176" s="74"/>
      <c r="AA3176" s="74"/>
      <c r="AB3176" s="74"/>
      <c r="AC3176" s="74"/>
      <c r="AD3176" s="74"/>
      <c r="AE3176" s="74"/>
      <c r="AF3176" s="74"/>
      <c r="AG3176" s="74"/>
      <c r="AH3176" s="74"/>
    </row>
    <row r="3177" s="73" customFormat="1" spans="1:34">
      <c r="A3177" s="74"/>
      <c r="B3177" s="74"/>
      <c r="C3177" s="74"/>
      <c r="D3177" s="74"/>
      <c r="E3177" s="74"/>
      <c r="F3177" s="74"/>
      <c r="G3177" s="74"/>
      <c r="H3177" s="74"/>
      <c r="I3177" s="74"/>
      <c r="J3177" s="74"/>
      <c r="K3177" s="74"/>
      <c r="L3177" s="74"/>
      <c r="M3177" s="74"/>
      <c r="N3177" s="74"/>
      <c r="O3177" s="75"/>
      <c r="P3177" s="74"/>
      <c r="Q3177" s="75"/>
      <c r="R3177" s="74"/>
      <c r="S3177" s="74"/>
      <c r="T3177" s="74"/>
      <c r="U3177" s="75"/>
      <c r="V3177" s="74"/>
      <c r="W3177" s="75"/>
      <c r="X3177" s="74"/>
      <c r="Y3177" s="74"/>
      <c r="Z3177" s="74"/>
      <c r="AA3177" s="74"/>
      <c r="AB3177" s="74"/>
      <c r="AC3177" s="74"/>
      <c r="AD3177" s="74"/>
      <c r="AE3177" s="74"/>
      <c r="AF3177" s="74"/>
      <c r="AG3177" s="74"/>
      <c r="AH3177" s="74"/>
    </row>
    <row r="3178" s="73" customFormat="1" spans="1:34">
      <c r="A3178" s="74"/>
      <c r="B3178" s="74"/>
      <c r="C3178" s="74"/>
      <c r="D3178" s="74"/>
      <c r="E3178" s="74"/>
      <c r="F3178" s="74"/>
      <c r="G3178" s="74"/>
      <c r="H3178" s="74"/>
      <c r="I3178" s="74"/>
      <c r="J3178" s="74"/>
      <c r="K3178" s="74"/>
      <c r="L3178" s="74"/>
      <c r="M3178" s="74"/>
      <c r="N3178" s="74"/>
      <c r="O3178" s="75"/>
      <c r="P3178" s="74"/>
      <c r="Q3178" s="75"/>
      <c r="R3178" s="74"/>
      <c r="S3178" s="74"/>
      <c r="T3178" s="74"/>
      <c r="U3178" s="75"/>
      <c r="V3178" s="74"/>
      <c r="W3178" s="75"/>
      <c r="X3178" s="74"/>
      <c r="Y3178" s="74"/>
      <c r="Z3178" s="74"/>
      <c r="AA3178" s="74"/>
      <c r="AB3178" s="74"/>
      <c r="AC3178" s="74"/>
      <c r="AD3178" s="74"/>
      <c r="AE3178" s="74"/>
      <c r="AF3178" s="74"/>
      <c r="AG3178" s="74"/>
      <c r="AH3178" s="74"/>
    </row>
    <row r="3179" s="73" customFormat="1" spans="1:34">
      <c r="A3179" s="74"/>
      <c r="B3179" s="74"/>
      <c r="C3179" s="74"/>
      <c r="D3179" s="74"/>
      <c r="E3179" s="74"/>
      <c r="F3179" s="74"/>
      <c r="G3179" s="74"/>
      <c r="H3179" s="74"/>
      <c r="I3179" s="74"/>
      <c r="J3179" s="74"/>
      <c r="K3179" s="74"/>
      <c r="L3179" s="74"/>
      <c r="M3179" s="74"/>
      <c r="N3179" s="74"/>
      <c r="O3179" s="75"/>
      <c r="P3179" s="74"/>
      <c r="Q3179" s="75"/>
      <c r="R3179" s="74"/>
      <c r="S3179" s="74"/>
      <c r="T3179" s="74"/>
      <c r="U3179" s="75"/>
      <c r="V3179" s="74"/>
      <c r="W3179" s="75"/>
      <c r="X3179" s="74"/>
      <c r="Y3179" s="74"/>
      <c r="Z3179" s="74"/>
      <c r="AA3179" s="74"/>
      <c r="AB3179" s="74"/>
      <c r="AC3179" s="74"/>
      <c r="AD3179" s="74"/>
      <c r="AE3179" s="74"/>
      <c r="AF3179" s="74"/>
      <c r="AG3179" s="74"/>
      <c r="AH3179" s="74"/>
    </row>
    <row r="3180" s="73" customFormat="1" spans="1:34">
      <c r="A3180" s="74"/>
      <c r="B3180" s="74"/>
      <c r="C3180" s="74"/>
      <c r="D3180" s="74"/>
      <c r="E3180" s="74"/>
      <c r="F3180" s="74"/>
      <c r="G3180" s="74"/>
      <c r="H3180" s="74"/>
      <c r="I3180" s="74"/>
      <c r="J3180" s="74"/>
      <c r="K3180" s="74"/>
      <c r="L3180" s="74"/>
      <c r="M3180" s="74"/>
      <c r="N3180" s="74"/>
      <c r="O3180" s="75"/>
      <c r="P3180" s="74"/>
      <c r="Q3180" s="75"/>
      <c r="R3180" s="74"/>
      <c r="S3180" s="74"/>
      <c r="T3180" s="74"/>
      <c r="U3180" s="75"/>
      <c r="V3180" s="74"/>
      <c r="W3180" s="75"/>
      <c r="X3180" s="74"/>
      <c r="Y3180" s="74"/>
      <c r="Z3180" s="74"/>
      <c r="AA3180" s="74"/>
      <c r="AB3180" s="74"/>
      <c r="AC3180" s="74"/>
      <c r="AD3180" s="74"/>
      <c r="AE3180" s="74"/>
      <c r="AF3180" s="74"/>
      <c r="AG3180" s="74"/>
      <c r="AH3180" s="74"/>
    </row>
    <row r="3181" s="73" customFormat="1" spans="1:34">
      <c r="A3181" s="74"/>
      <c r="B3181" s="74"/>
      <c r="C3181" s="74"/>
      <c r="D3181" s="74"/>
      <c r="E3181" s="74"/>
      <c r="F3181" s="74"/>
      <c r="G3181" s="74"/>
      <c r="H3181" s="74"/>
      <c r="I3181" s="74"/>
      <c r="J3181" s="74"/>
      <c r="K3181" s="74"/>
      <c r="L3181" s="74"/>
      <c r="M3181" s="74"/>
      <c r="N3181" s="74"/>
      <c r="O3181" s="75"/>
      <c r="P3181" s="74"/>
      <c r="Q3181" s="75"/>
      <c r="R3181" s="74"/>
      <c r="S3181" s="74"/>
      <c r="T3181" s="74"/>
      <c r="U3181" s="75"/>
      <c r="V3181" s="74"/>
      <c r="W3181" s="75"/>
      <c r="X3181" s="74"/>
      <c r="Y3181" s="74"/>
      <c r="Z3181" s="74"/>
      <c r="AA3181" s="74"/>
      <c r="AB3181" s="74"/>
      <c r="AC3181" s="74"/>
      <c r="AD3181" s="74"/>
      <c r="AE3181" s="74"/>
      <c r="AF3181" s="74"/>
      <c r="AG3181" s="74"/>
      <c r="AH3181" s="74"/>
    </row>
    <row r="3182" s="73" customFormat="1" spans="1:34">
      <c r="A3182" s="74"/>
      <c r="B3182" s="74"/>
      <c r="C3182" s="74"/>
      <c r="D3182" s="74"/>
      <c r="E3182" s="74"/>
      <c r="F3182" s="74"/>
      <c r="G3182" s="74"/>
      <c r="H3182" s="74"/>
      <c r="I3182" s="74"/>
      <c r="J3182" s="74"/>
      <c r="K3182" s="74"/>
      <c r="L3182" s="74"/>
      <c r="M3182" s="74"/>
      <c r="N3182" s="74"/>
      <c r="O3182" s="75"/>
      <c r="P3182" s="74"/>
      <c r="Q3182" s="75"/>
      <c r="R3182" s="74"/>
      <c r="S3182" s="74"/>
      <c r="T3182" s="74"/>
      <c r="U3182" s="75"/>
      <c r="V3182" s="74"/>
      <c r="W3182" s="75"/>
      <c r="X3182" s="74"/>
      <c r="Y3182" s="74"/>
      <c r="Z3182" s="74"/>
      <c r="AA3182" s="74"/>
      <c r="AB3182" s="74"/>
      <c r="AC3182" s="74"/>
      <c r="AD3182" s="74"/>
      <c r="AE3182" s="74"/>
      <c r="AF3182" s="74"/>
      <c r="AG3182" s="74"/>
      <c r="AH3182" s="74"/>
    </row>
    <row r="3183" s="73" customFormat="1" spans="1:34">
      <c r="A3183" s="74"/>
      <c r="B3183" s="74"/>
      <c r="C3183" s="74"/>
      <c r="D3183" s="74"/>
      <c r="E3183" s="74"/>
      <c r="F3183" s="74"/>
      <c r="G3183" s="74"/>
      <c r="H3183" s="74"/>
      <c r="I3183" s="74"/>
      <c r="J3183" s="74"/>
      <c r="K3183" s="74"/>
      <c r="L3183" s="74"/>
      <c r="M3183" s="74"/>
      <c r="N3183" s="74"/>
      <c r="O3183" s="75"/>
      <c r="P3183" s="74"/>
      <c r="Q3183" s="75"/>
      <c r="R3183" s="74"/>
      <c r="S3183" s="74"/>
      <c r="T3183" s="74"/>
      <c r="U3183" s="75"/>
      <c r="V3183" s="74"/>
      <c r="W3183" s="75"/>
      <c r="X3183" s="74"/>
      <c r="Y3183" s="74"/>
      <c r="Z3183" s="74"/>
      <c r="AA3183" s="74"/>
      <c r="AB3183" s="74"/>
      <c r="AC3183" s="74"/>
      <c r="AD3183" s="74"/>
      <c r="AE3183" s="74"/>
      <c r="AF3183" s="74"/>
      <c r="AG3183" s="74"/>
      <c r="AH3183" s="74"/>
    </row>
    <row r="3184" s="73" customFormat="1" spans="1:34">
      <c r="A3184" s="74"/>
      <c r="B3184" s="74"/>
      <c r="C3184" s="74"/>
      <c r="D3184" s="74"/>
      <c r="E3184" s="74"/>
      <c r="F3184" s="74"/>
      <c r="G3184" s="74"/>
      <c r="H3184" s="74"/>
      <c r="I3184" s="74"/>
      <c r="J3184" s="74"/>
      <c r="K3184" s="74"/>
      <c r="L3184" s="74"/>
      <c r="M3184" s="74"/>
      <c r="N3184" s="74"/>
      <c r="O3184" s="75"/>
      <c r="P3184" s="74"/>
      <c r="Q3184" s="75"/>
      <c r="R3184" s="74"/>
      <c r="S3184" s="74"/>
      <c r="T3184" s="74"/>
      <c r="U3184" s="75"/>
      <c r="V3184" s="74"/>
      <c r="W3184" s="75"/>
      <c r="X3184" s="74"/>
      <c r="Y3184" s="74"/>
      <c r="Z3184" s="74"/>
      <c r="AA3184" s="74"/>
      <c r="AB3184" s="74"/>
      <c r="AC3184" s="74"/>
      <c r="AD3184" s="74"/>
      <c r="AE3184" s="74"/>
      <c r="AF3184" s="74"/>
      <c r="AG3184" s="74"/>
      <c r="AH3184" s="74"/>
    </row>
    <row r="3185" s="73" customFormat="1" spans="1:34">
      <c r="A3185" s="74"/>
      <c r="B3185" s="74"/>
      <c r="C3185" s="74"/>
      <c r="D3185" s="74"/>
      <c r="E3185" s="74"/>
      <c r="F3185" s="74"/>
      <c r="G3185" s="74"/>
      <c r="H3185" s="74"/>
      <c r="I3185" s="74"/>
      <c r="J3185" s="74"/>
      <c r="K3185" s="74"/>
      <c r="L3185" s="74"/>
      <c r="M3185" s="74"/>
      <c r="N3185" s="74"/>
      <c r="O3185" s="75"/>
      <c r="P3185" s="74"/>
      <c r="Q3185" s="75"/>
      <c r="R3185" s="74"/>
      <c r="S3185" s="74"/>
      <c r="T3185" s="74"/>
      <c r="U3185" s="75"/>
      <c r="V3185" s="74"/>
      <c r="W3185" s="75"/>
      <c r="X3185" s="74"/>
      <c r="Y3185" s="74"/>
      <c r="Z3185" s="74"/>
      <c r="AA3185" s="74"/>
      <c r="AB3185" s="74"/>
      <c r="AC3185" s="74"/>
      <c r="AD3185" s="74"/>
      <c r="AE3185" s="74"/>
      <c r="AF3185" s="74"/>
      <c r="AG3185" s="74"/>
      <c r="AH3185" s="74"/>
    </row>
    <row r="3186" s="73" customFormat="1" spans="1:34">
      <c r="A3186" s="74"/>
      <c r="B3186" s="74"/>
      <c r="C3186" s="74"/>
      <c r="D3186" s="74"/>
      <c r="E3186" s="74"/>
      <c r="F3186" s="74"/>
      <c r="G3186" s="74"/>
      <c r="H3186" s="74"/>
      <c r="I3186" s="74"/>
      <c r="J3186" s="74"/>
      <c r="K3186" s="74"/>
      <c r="L3186" s="74"/>
      <c r="M3186" s="74"/>
      <c r="N3186" s="74"/>
      <c r="O3186" s="75"/>
      <c r="P3186" s="74"/>
      <c r="Q3186" s="75"/>
      <c r="R3186" s="74"/>
      <c r="S3186" s="74"/>
      <c r="T3186" s="74"/>
      <c r="U3186" s="75"/>
      <c r="V3186" s="74"/>
      <c r="W3186" s="75"/>
      <c r="X3186" s="74"/>
      <c r="Y3186" s="74"/>
      <c r="Z3186" s="74"/>
      <c r="AA3186" s="74"/>
      <c r="AB3186" s="74"/>
      <c r="AC3186" s="74"/>
      <c r="AD3186" s="74"/>
      <c r="AE3186" s="74"/>
      <c r="AF3186" s="74"/>
      <c r="AG3186" s="74"/>
      <c r="AH3186" s="74"/>
    </row>
    <row r="3187" s="73" customFormat="1" spans="1:34">
      <c r="A3187" s="74"/>
      <c r="B3187" s="74"/>
      <c r="C3187" s="74"/>
      <c r="D3187" s="74"/>
      <c r="E3187" s="74"/>
      <c r="F3187" s="74"/>
      <c r="G3187" s="74"/>
      <c r="H3187" s="74"/>
      <c r="I3187" s="74"/>
      <c r="J3187" s="74"/>
      <c r="K3187" s="74"/>
      <c r="L3187" s="74"/>
      <c r="M3187" s="74"/>
      <c r="N3187" s="74"/>
      <c r="O3187" s="75"/>
      <c r="P3187" s="74"/>
      <c r="Q3187" s="75"/>
      <c r="R3187" s="74"/>
      <c r="S3187" s="74"/>
      <c r="T3187" s="74"/>
      <c r="U3187" s="75"/>
      <c r="V3187" s="74"/>
      <c r="W3187" s="75"/>
      <c r="X3187" s="74"/>
      <c r="Y3187" s="74"/>
      <c r="Z3187" s="74"/>
      <c r="AA3187" s="74"/>
      <c r="AB3187" s="74"/>
      <c r="AC3187" s="74"/>
      <c r="AD3187" s="74"/>
      <c r="AE3187" s="74"/>
      <c r="AF3187" s="74"/>
      <c r="AG3187" s="74"/>
      <c r="AH3187" s="74"/>
    </row>
    <row r="3188" s="73" customFormat="1" spans="1:34">
      <c r="A3188" s="74"/>
      <c r="B3188" s="74"/>
      <c r="C3188" s="74"/>
      <c r="D3188" s="74"/>
      <c r="E3188" s="74"/>
      <c r="F3188" s="74"/>
      <c r="G3188" s="74"/>
      <c r="H3188" s="74"/>
      <c r="I3188" s="74"/>
      <c r="J3188" s="74"/>
      <c r="K3188" s="74"/>
      <c r="L3188" s="74"/>
      <c r="M3188" s="74"/>
      <c r="N3188" s="74"/>
      <c r="O3188" s="75"/>
      <c r="P3188" s="74"/>
      <c r="Q3188" s="75"/>
      <c r="R3188" s="74"/>
      <c r="S3188" s="74"/>
      <c r="T3188" s="74"/>
      <c r="U3188" s="75"/>
      <c r="V3188" s="74"/>
      <c r="W3188" s="75"/>
      <c r="X3188" s="74"/>
      <c r="Y3188" s="74"/>
      <c r="Z3188" s="74"/>
      <c r="AA3188" s="74"/>
      <c r="AB3188" s="74"/>
      <c r="AC3188" s="74"/>
      <c r="AD3188" s="74"/>
      <c r="AE3188" s="74"/>
      <c r="AF3188" s="74"/>
      <c r="AG3188" s="74"/>
      <c r="AH3188" s="74"/>
    </row>
    <row r="3189" s="73" customFormat="1" spans="1:34">
      <c r="A3189" s="74"/>
      <c r="B3189" s="74"/>
      <c r="C3189" s="74"/>
      <c r="D3189" s="74"/>
      <c r="E3189" s="74"/>
      <c r="F3189" s="74"/>
      <c r="G3189" s="74"/>
      <c r="H3189" s="74"/>
      <c r="I3189" s="74"/>
      <c r="J3189" s="74"/>
      <c r="K3189" s="74"/>
      <c r="L3189" s="74"/>
      <c r="M3189" s="74"/>
      <c r="N3189" s="74"/>
      <c r="O3189" s="75"/>
      <c r="P3189" s="74"/>
      <c r="Q3189" s="75"/>
      <c r="R3189" s="74"/>
      <c r="S3189" s="74"/>
      <c r="T3189" s="74"/>
      <c r="U3189" s="75"/>
      <c r="V3189" s="74"/>
      <c r="W3189" s="74"/>
      <c r="X3189" s="74"/>
      <c r="Y3189" s="74"/>
      <c r="Z3189" s="74"/>
      <c r="AA3189" s="74"/>
      <c r="AB3189" s="74"/>
      <c r="AC3189" s="74"/>
      <c r="AD3189" s="74"/>
      <c r="AE3189" s="74"/>
      <c r="AF3189" s="74"/>
      <c r="AG3189" s="74"/>
      <c r="AH3189" s="74"/>
    </row>
    <row r="3190" s="73" customFormat="1" spans="1:34">
      <c r="A3190" s="74"/>
      <c r="B3190" s="74"/>
      <c r="C3190" s="74"/>
      <c r="D3190" s="74"/>
      <c r="E3190" s="74"/>
      <c r="F3190" s="74"/>
      <c r="G3190" s="74"/>
      <c r="H3190" s="74"/>
      <c r="I3190" s="74"/>
      <c r="J3190" s="74"/>
      <c r="K3190" s="74"/>
      <c r="L3190" s="74"/>
      <c r="M3190" s="74"/>
      <c r="N3190" s="74"/>
      <c r="O3190" s="75"/>
      <c r="P3190" s="74"/>
      <c r="Q3190" s="75"/>
      <c r="R3190" s="74"/>
      <c r="S3190" s="74"/>
      <c r="T3190" s="74"/>
      <c r="U3190" s="75"/>
      <c r="V3190" s="74"/>
      <c r="W3190" s="75"/>
      <c r="X3190" s="74"/>
      <c r="Y3190" s="74"/>
      <c r="Z3190" s="74"/>
      <c r="AA3190" s="74"/>
      <c r="AB3190" s="74"/>
      <c r="AC3190" s="74"/>
      <c r="AD3190" s="74"/>
      <c r="AE3190" s="74"/>
      <c r="AF3190" s="74"/>
      <c r="AG3190" s="74"/>
      <c r="AH3190" s="74"/>
    </row>
    <row r="3191" s="73" customFormat="1" spans="1:34">
      <c r="A3191" s="74"/>
      <c r="B3191" s="74"/>
      <c r="C3191" s="74"/>
      <c r="D3191" s="74"/>
      <c r="E3191" s="74"/>
      <c r="F3191" s="74"/>
      <c r="G3191" s="74"/>
      <c r="H3191" s="74"/>
      <c r="I3191" s="74"/>
      <c r="J3191" s="74"/>
      <c r="K3191" s="74"/>
      <c r="L3191" s="74"/>
      <c r="M3191" s="74"/>
      <c r="N3191" s="74"/>
      <c r="O3191" s="75"/>
      <c r="P3191" s="74"/>
      <c r="Q3191" s="75"/>
      <c r="R3191" s="74"/>
      <c r="S3191" s="74"/>
      <c r="T3191" s="74"/>
      <c r="U3191" s="75"/>
      <c r="V3191" s="74"/>
      <c r="W3191" s="75"/>
      <c r="X3191" s="74"/>
      <c r="Y3191" s="74"/>
      <c r="Z3191" s="74"/>
      <c r="AA3191" s="74"/>
      <c r="AB3191" s="74"/>
      <c r="AC3191" s="74"/>
      <c r="AD3191" s="74"/>
      <c r="AE3191" s="74"/>
      <c r="AF3191" s="74"/>
      <c r="AG3191" s="74"/>
      <c r="AH3191" s="74"/>
    </row>
    <row r="3192" s="73" customFormat="1" spans="1:34">
      <c r="A3192" s="74"/>
      <c r="B3192" s="74"/>
      <c r="C3192" s="74"/>
      <c r="D3192" s="74"/>
      <c r="E3192" s="74"/>
      <c r="F3192" s="74"/>
      <c r="G3192" s="74"/>
      <c r="H3192" s="74"/>
      <c r="I3192" s="74"/>
      <c r="J3192" s="74"/>
      <c r="K3192" s="74"/>
      <c r="L3192" s="74"/>
      <c r="M3192" s="74"/>
      <c r="N3192" s="74"/>
      <c r="O3192" s="75"/>
      <c r="P3192" s="74"/>
      <c r="Q3192" s="75"/>
      <c r="R3192" s="74"/>
      <c r="S3192" s="74"/>
      <c r="T3192" s="74"/>
      <c r="U3192" s="75"/>
      <c r="V3192" s="74"/>
      <c r="W3192" s="75"/>
      <c r="X3192" s="74"/>
      <c r="Y3192" s="74"/>
      <c r="Z3192" s="74"/>
      <c r="AA3192" s="74"/>
      <c r="AB3192" s="74"/>
      <c r="AC3192" s="74"/>
      <c r="AD3192" s="74"/>
      <c r="AE3192" s="74"/>
      <c r="AF3192" s="74"/>
      <c r="AG3192" s="74"/>
      <c r="AH3192" s="74"/>
    </row>
    <row r="3193" s="73" customFormat="1" spans="1:34">
      <c r="A3193" s="74"/>
      <c r="B3193" s="74"/>
      <c r="C3193" s="74"/>
      <c r="D3193" s="74"/>
      <c r="E3193" s="74"/>
      <c r="F3193" s="74"/>
      <c r="G3193" s="74"/>
      <c r="H3193" s="74"/>
      <c r="I3193" s="74"/>
      <c r="J3193" s="74"/>
      <c r="K3193" s="74"/>
      <c r="L3193" s="74"/>
      <c r="M3193" s="74"/>
      <c r="N3193" s="74"/>
      <c r="O3193" s="75"/>
      <c r="P3193" s="74"/>
      <c r="Q3193" s="75"/>
      <c r="R3193" s="74"/>
      <c r="S3193" s="74"/>
      <c r="T3193" s="74"/>
      <c r="U3193" s="75"/>
      <c r="V3193" s="74"/>
      <c r="W3193" s="75"/>
      <c r="X3193" s="74"/>
      <c r="Y3193" s="74"/>
      <c r="Z3193" s="74"/>
      <c r="AA3193" s="74"/>
      <c r="AB3193" s="74"/>
      <c r="AC3193" s="74"/>
      <c r="AD3193" s="74"/>
      <c r="AE3193" s="74"/>
      <c r="AF3193" s="74"/>
      <c r="AG3193" s="74"/>
      <c r="AH3193" s="74"/>
    </row>
    <row r="3194" s="73" customFormat="1" spans="1:34">
      <c r="A3194" s="74"/>
      <c r="B3194" s="74"/>
      <c r="C3194" s="74"/>
      <c r="D3194" s="74"/>
      <c r="E3194" s="74"/>
      <c r="F3194" s="74"/>
      <c r="G3194" s="74"/>
      <c r="H3194" s="74"/>
      <c r="I3194" s="74"/>
      <c r="J3194" s="74"/>
      <c r="K3194" s="74"/>
      <c r="L3194" s="74"/>
      <c r="M3194" s="74"/>
      <c r="N3194" s="74"/>
      <c r="O3194" s="75"/>
      <c r="P3194" s="74"/>
      <c r="Q3194" s="75"/>
      <c r="R3194" s="74"/>
      <c r="S3194" s="74"/>
      <c r="T3194" s="74"/>
      <c r="U3194" s="75"/>
      <c r="V3194" s="74"/>
      <c r="W3194" s="75"/>
      <c r="X3194" s="74"/>
      <c r="Y3194" s="74"/>
      <c r="Z3194" s="74"/>
      <c r="AA3194" s="74"/>
      <c r="AB3194" s="74"/>
      <c r="AC3194" s="74"/>
      <c r="AD3194" s="74"/>
      <c r="AE3194" s="74"/>
      <c r="AF3194" s="74"/>
      <c r="AG3194" s="74"/>
      <c r="AH3194" s="74"/>
    </row>
    <row r="3195" s="73" customFormat="1" spans="1:34">
      <c r="A3195" s="74"/>
      <c r="B3195" s="74"/>
      <c r="C3195" s="74"/>
      <c r="D3195" s="74"/>
      <c r="E3195" s="74"/>
      <c r="F3195" s="74"/>
      <c r="G3195" s="74"/>
      <c r="H3195" s="74"/>
      <c r="I3195" s="74"/>
      <c r="J3195" s="74"/>
      <c r="K3195" s="74"/>
      <c r="L3195" s="74"/>
      <c r="M3195" s="74"/>
      <c r="N3195" s="74"/>
      <c r="O3195" s="75"/>
      <c r="P3195" s="74"/>
      <c r="Q3195" s="75"/>
      <c r="R3195" s="74"/>
      <c r="S3195" s="74"/>
      <c r="T3195" s="74"/>
      <c r="U3195" s="75"/>
      <c r="V3195" s="74"/>
      <c r="W3195" s="75"/>
      <c r="X3195" s="74"/>
      <c r="Y3195" s="74"/>
      <c r="Z3195" s="74"/>
      <c r="AA3195" s="74"/>
      <c r="AB3195" s="74"/>
      <c r="AC3195" s="74"/>
      <c r="AD3195" s="74"/>
      <c r="AE3195" s="74"/>
      <c r="AF3195" s="74"/>
      <c r="AG3195" s="74"/>
      <c r="AH3195" s="74"/>
    </row>
    <row r="3196" s="73" customFormat="1" spans="1:34">
      <c r="A3196" s="74"/>
      <c r="B3196" s="74"/>
      <c r="C3196" s="74"/>
      <c r="D3196" s="74"/>
      <c r="E3196" s="74"/>
      <c r="F3196" s="74"/>
      <c r="G3196" s="74"/>
      <c r="H3196" s="74"/>
      <c r="I3196" s="74"/>
      <c r="J3196" s="74"/>
      <c r="K3196" s="74"/>
      <c r="L3196" s="74"/>
      <c r="M3196" s="74"/>
      <c r="N3196" s="74"/>
      <c r="O3196" s="75"/>
      <c r="P3196" s="74"/>
      <c r="Q3196" s="75"/>
      <c r="R3196" s="74"/>
      <c r="S3196" s="74"/>
      <c r="T3196" s="74"/>
      <c r="U3196" s="75"/>
      <c r="V3196" s="74"/>
      <c r="W3196" s="75"/>
      <c r="X3196" s="74"/>
      <c r="Y3196" s="74"/>
      <c r="Z3196" s="74"/>
      <c r="AA3196" s="74"/>
      <c r="AB3196" s="74"/>
      <c r="AC3196" s="74"/>
      <c r="AD3196" s="74"/>
      <c r="AE3196" s="74"/>
      <c r="AF3196" s="74"/>
      <c r="AG3196" s="74"/>
      <c r="AH3196" s="74"/>
    </row>
    <row r="3197" s="73" customFormat="1" spans="1:34">
      <c r="A3197" s="74"/>
      <c r="B3197" s="74"/>
      <c r="C3197" s="74"/>
      <c r="D3197" s="74"/>
      <c r="E3197" s="74"/>
      <c r="F3197" s="74"/>
      <c r="G3197" s="74"/>
      <c r="H3197" s="74"/>
      <c r="I3197" s="74"/>
      <c r="J3197" s="74"/>
      <c r="K3197" s="74"/>
      <c r="L3197" s="74"/>
      <c r="M3197" s="74"/>
      <c r="N3197" s="74"/>
      <c r="O3197" s="75"/>
      <c r="P3197" s="74"/>
      <c r="Q3197" s="75"/>
      <c r="R3197" s="74"/>
      <c r="S3197" s="74"/>
      <c r="T3197" s="74"/>
      <c r="U3197" s="75"/>
      <c r="V3197" s="74"/>
      <c r="W3197" s="75"/>
      <c r="X3197" s="74"/>
      <c r="Y3197" s="74"/>
      <c r="Z3197" s="74"/>
      <c r="AA3197" s="74"/>
      <c r="AB3197" s="74"/>
      <c r="AC3197" s="74"/>
      <c r="AD3197" s="74"/>
      <c r="AE3197" s="74"/>
      <c r="AF3197" s="74"/>
      <c r="AG3197" s="74"/>
      <c r="AH3197" s="74"/>
    </row>
    <row r="3198" s="73" customFormat="1" spans="1:34">
      <c r="A3198" s="74"/>
      <c r="B3198" s="74"/>
      <c r="C3198" s="74"/>
      <c r="D3198" s="74"/>
      <c r="E3198" s="74"/>
      <c r="F3198" s="74"/>
      <c r="G3198" s="74"/>
      <c r="H3198" s="74"/>
      <c r="I3198" s="74"/>
      <c r="J3198" s="74"/>
      <c r="K3198" s="74"/>
      <c r="L3198" s="74"/>
      <c r="M3198" s="74"/>
      <c r="N3198" s="74"/>
      <c r="O3198" s="75"/>
      <c r="P3198" s="74"/>
      <c r="Q3198" s="75"/>
      <c r="R3198" s="74"/>
      <c r="S3198" s="74"/>
      <c r="T3198" s="74"/>
      <c r="U3198" s="75"/>
      <c r="V3198" s="74"/>
      <c r="W3198" s="75"/>
      <c r="X3198" s="74"/>
      <c r="Y3198" s="74"/>
      <c r="Z3198" s="74"/>
      <c r="AA3198" s="74"/>
      <c r="AB3198" s="74"/>
      <c r="AC3198" s="74"/>
      <c r="AD3198" s="74"/>
      <c r="AE3198" s="74"/>
      <c r="AF3198" s="74"/>
      <c r="AG3198" s="74"/>
      <c r="AH3198" s="74"/>
    </row>
    <row r="3199" s="73" customFormat="1" spans="1:34">
      <c r="A3199" s="74"/>
      <c r="B3199" s="74"/>
      <c r="C3199" s="74"/>
      <c r="D3199" s="74"/>
      <c r="E3199" s="74"/>
      <c r="F3199" s="74"/>
      <c r="G3199" s="74"/>
      <c r="H3199" s="74"/>
      <c r="I3199" s="74"/>
      <c r="J3199" s="74"/>
      <c r="K3199" s="74"/>
      <c r="L3199" s="74"/>
      <c r="M3199" s="74"/>
      <c r="N3199" s="74"/>
      <c r="O3199" s="75"/>
      <c r="P3199" s="74"/>
      <c r="Q3199" s="75"/>
      <c r="R3199" s="74"/>
      <c r="S3199" s="74"/>
      <c r="T3199" s="74"/>
      <c r="U3199" s="75"/>
      <c r="V3199" s="74"/>
      <c r="W3199" s="75"/>
      <c r="X3199" s="74"/>
      <c r="Y3199" s="74"/>
      <c r="Z3199" s="74"/>
      <c r="AA3199" s="74"/>
      <c r="AB3199" s="74"/>
      <c r="AC3199" s="74"/>
      <c r="AD3199" s="74"/>
      <c r="AE3199" s="74"/>
      <c r="AF3199" s="74"/>
      <c r="AG3199" s="74"/>
      <c r="AH3199" s="74"/>
    </row>
    <row r="3200" s="73" customFormat="1" spans="1:34">
      <c r="A3200" s="74"/>
      <c r="B3200" s="74"/>
      <c r="C3200" s="74"/>
      <c r="D3200" s="74"/>
      <c r="E3200" s="74"/>
      <c r="F3200" s="74"/>
      <c r="G3200" s="74"/>
      <c r="H3200" s="74"/>
      <c r="I3200" s="74"/>
      <c r="J3200" s="74"/>
      <c r="K3200" s="74"/>
      <c r="L3200" s="74"/>
      <c r="M3200" s="74"/>
      <c r="N3200" s="74"/>
      <c r="O3200" s="75"/>
      <c r="P3200" s="74"/>
      <c r="Q3200" s="75"/>
      <c r="R3200" s="74"/>
      <c r="S3200" s="74"/>
      <c r="T3200" s="74"/>
      <c r="U3200" s="75"/>
      <c r="V3200" s="74"/>
      <c r="W3200" s="75"/>
      <c r="X3200" s="74"/>
      <c r="Y3200" s="74"/>
      <c r="Z3200" s="74"/>
      <c r="AA3200" s="74"/>
      <c r="AB3200" s="74"/>
      <c r="AC3200" s="74"/>
      <c r="AD3200" s="74"/>
      <c r="AE3200" s="74"/>
      <c r="AF3200" s="74"/>
      <c r="AG3200" s="74"/>
      <c r="AH3200" s="74"/>
    </row>
    <row r="3201" s="73" customFormat="1" spans="1:34">
      <c r="A3201" s="74"/>
      <c r="B3201" s="74"/>
      <c r="C3201" s="74"/>
      <c r="D3201" s="74"/>
      <c r="E3201" s="74"/>
      <c r="F3201" s="74"/>
      <c r="G3201" s="74"/>
      <c r="H3201" s="74"/>
      <c r="I3201" s="74"/>
      <c r="J3201" s="74"/>
      <c r="K3201" s="74"/>
      <c r="L3201" s="74"/>
      <c r="M3201" s="74"/>
      <c r="N3201" s="74"/>
      <c r="O3201" s="75"/>
      <c r="P3201" s="74"/>
      <c r="Q3201" s="75"/>
      <c r="R3201" s="74"/>
      <c r="S3201" s="74"/>
      <c r="T3201" s="74"/>
      <c r="U3201" s="75"/>
      <c r="V3201" s="74"/>
      <c r="W3201" s="75"/>
      <c r="X3201" s="74"/>
      <c r="Y3201" s="74"/>
      <c r="Z3201" s="74"/>
      <c r="AA3201" s="74"/>
      <c r="AB3201" s="74"/>
      <c r="AC3201" s="74"/>
      <c r="AD3201" s="74"/>
      <c r="AE3201" s="74"/>
      <c r="AF3201" s="74"/>
      <c r="AG3201" s="74"/>
      <c r="AH3201" s="74"/>
    </row>
    <row r="3202" s="73" customFormat="1" spans="1:34">
      <c r="A3202" s="74"/>
      <c r="B3202" s="74"/>
      <c r="C3202" s="74"/>
      <c r="D3202" s="74"/>
      <c r="E3202" s="74"/>
      <c r="F3202" s="74"/>
      <c r="G3202" s="74"/>
      <c r="H3202" s="74"/>
      <c r="I3202" s="74"/>
      <c r="J3202" s="74"/>
      <c r="K3202" s="74"/>
      <c r="L3202" s="74"/>
      <c r="M3202" s="74"/>
      <c r="N3202" s="74"/>
      <c r="O3202" s="75"/>
      <c r="P3202" s="74"/>
      <c r="Q3202" s="75"/>
      <c r="R3202" s="74"/>
      <c r="S3202" s="74"/>
      <c r="T3202" s="74"/>
      <c r="U3202" s="75"/>
      <c r="V3202" s="74"/>
      <c r="W3202" s="75"/>
      <c r="X3202" s="74"/>
      <c r="Y3202" s="74"/>
      <c r="Z3202" s="74"/>
      <c r="AA3202" s="74"/>
      <c r="AB3202" s="74"/>
      <c r="AC3202" s="74"/>
      <c r="AD3202" s="74"/>
      <c r="AE3202" s="74"/>
      <c r="AF3202" s="74"/>
      <c r="AG3202" s="74"/>
      <c r="AH3202" s="74"/>
    </row>
    <row r="3203" s="73" customFormat="1" spans="1:34">
      <c r="A3203" s="74"/>
      <c r="B3203" s="74"/>
      <c r="C3203" s="74"/>
      <c r="D3203" s="74"/>
      <c r="E3203" s="74"/>
      <c r="F3203" s="74"/>
      <c r="G3203" s="74"/>
      <c r="H3203" s="74"/>
      <c r="I3203" s="74"/>
      <c r="J3203" s="74"/>
      <c r="K3203" s="74"/>
      <c r="L3203" s="74"/>
      <c r="M3203" s="74"/>
      <c r="N3203" s="74"/>
      <c r="O3203" s="75"/>
      <c r="P3203" s="74"/>
      <c r="Q3203" s="75"/>
      <c r="R3203" s="74"/>
      <c r="S3203" s="74"/>
      <c r="T3203" s="74"/>
      <c r="U3203" s="75"/>
      <c r="V3203" s="74"/>
      <c r="W3203" s="75"/>
      <c r="X3203" s="74"/>
      <c r="Y3203" s="74"/>
      <c r="Z3203" s="74"/>
      <c r="AA3203" s="74"/>
      <c r="AB3203" s="74"/>
      <c r="AC3203" s="74"/>
      <c r="AD3203" s="74"/>
      <c r="AE3203" s="74"/>
      <c r="AF3203" s="74"/>
      <c r="AG3203" s="74"/>
      <c r="AH3203" s="74"/>
    </row>
    <row r="3205" s="73" customFormat="1" spans="1:34">
      <c r="A3205" s="74"/>
      <c r="B3205" s="74"/>
      <c r="C3205" s="74"/>
      <c r="D3205" s="74"/>
      <c r="E3205" s="74"/>
      <c r="F3205" s="74"/>
      <c r="G3205" s="74"/>
      <c r="H3205" s="74"/>
      <c r="I3205" s="74"/>
      <c r="J3205" s="74"/>
      <c r="K3205" s="74"/>
      <c r="L3205" s="74"/>
      <c r="M3205" s="74"/>
      <c r="N3205" s="74"/>
      <c r="O3205" s="75"/>
      <c r="P3205" s="74"/>
      <c r="Q3205" s="75"/>
      <c r="R3205" s="74"/>
      <c r="S3205" s="74"/>
      <c r="T3205" s="74"/>
      <c r="U3205" s="75"/>
      <c r="V3205" s="74"/>
      <c r="W3205" s="75"/>
      <c r="X3205" s="74"/>
      <c r="Y3205" s="74"/>
      <c r="Z3205" s="74"/>
      <c r="AA3205" s="74"/>
      <c r="AB3205" s="74"/>
      <c r="AC3205" s="74"/>
      <c r="AD3205" s="74"/>
      <c r="AE3205" s="74"/>
      <c r="AF3205" s="74"/>
      <c r="AG3205" s="74"/>
      <c r="AH3205" s="74"/>
    </row>
    <row r="3206" s="73" customFormat="1" spans="1:34">
      <c r="A3206" s="74"/>
      <c r="B3206" s="74"/>
      <c r="C3206" s="74"/>
      <c r="D3206" s="74"/>
      <c r="E3206" s="74"/>
      <c r="F3206" s="74"/>
      <c r="G3206" s="74"/>
      <c r="H3206" s="74"/>
      <c r="I3206" s="74"/>
      <c r="J3206" s="74"/>
      <c r="K3206" s="74"/>
      <c r="L3206" s="74"/>
      <c r="M3206" s="74"/>
      <c r="N3206" s="74"/>
      <c r="O3206" s="75"/>
      <c r="P3206" s="74"/>
      <c r="Q3206" s="75"/>
      <c r="R3206" s="74"/>
      <c r="S3206" s="74"/>
      <c r="T3206" s="74"/>
      <c r="U3206" s="75"/>
      <c r="V3206" s="74"/>
      <c r="W3206" s="75"/>
      <c r="X3206" s="74"/>
      <c r="Y3206" s="74"/>
      <c r="Z3206" s="74"/>
      <c r="AA3206" s="74"/>
      <c r="AB3206" s="74"/>
      <c r="AC3206" s="74"/>
      <c r="AD3206" s="74"/>
      <c r="AE3206" s="74"/>
      <c r="AF3206" s="74"/>
      <c r="AG3206" s="74"/>
      <c r="AH3206" s="74"/>
    </row>
    <row r="3207" s="73" customFormat="1" spans="1:34">
      <c r="A3207" s="74"/>
      <c r="B3207" s="74"/>
      <c r="C3207" s="74"/>
      <c r="D3207" s="74"/>
      <c r="E3207" s="74"/>
      <c r="F3207" s="74"/>
      <c r="G3207" s="74"/>
      <c r="H3207" s="74"/>
      <c r="I3207" s="74"/>
      <c r="J3207" s="74"/>
      <c r="K3207" s="74"/>
      <c r="L3207" s="74"/>
      <c r="M3207" s="74"/>
      <c r="N3207" s="74"/>
      <c r="O3207" s="75"/>
      <c r="P3207" s="74"/>
      <c r="Q3207" s="75"/>
      <c r="R3207" s="74"/>
      <c r="S3207" s="74"/>
      <c r="T3207" s="74"/>
      <c r="U3207" s="75"/>
      <c r="V3207" s="74"/>
      <c r="W3207" s="75"/>
      <c r="X3207" s="74"/>
      <c r="Y3207" s="74"/>
      <c r="Z3207" s="74"/>
      <c r="AA3207" s="74"/>
      <c r="AB3207" s="74"/>
      <c r="AC3207" s="74"/>
      <c r="AD3207" s="74"/>
      <c r="AE3207" s="74"/>
      <c r="AF3207" s="74"/>
      <c r="AG3207" s="74"/>
      <c r="AH3207" s="74"/>
    </row>
    <row r="3208" s="73" customFormat="1" spans="1:34">
      <c r="A3208" s="74"/>
      <c r="B3208" s="74"/>
      <c r="C3208" s="74"/>
      <c r="D3208" s="74"/>
      <c r="E3208" s="74"/>
      <c r="F3208" s="74"/>
      <c r="G3208" s="74"/>
      <c r="H3208" s="74"/>
      <c r="I3208" s="74"/>
      <c r="J3208" s="74"/>
      <c r="K3208" s="74"/>
      <c r="L3208" s="74"/>
      <c r="M3208" s="74"/>
      <c r="N3208" s="74"/>
      <c r="O3208" s="75"/>
      <c r="P3208" s="74"/>
      <c r="Q3208" s="75"/>
      <c r="R3208" s="74"/>
      <c r="S3208" s="74"/>
      <c r="T3208" s="74"/>
      <c r="U3208" s="75"/>
      <c r="V3208" s="74"/>
      <c r="W3208" s="75"/>
      <c r="X3208" s="74"/>
      <c r="Y3208" s="74"/>
      <c r="Z3208" s="74"/>
      <c r="AA3208" s="74"/>
      <c r="AB3208" s="74"/>
      <c r="AC3208" s="74"/>
      <c r="AD3208" s="74"/>
      <c r="AE3208" s="74"/>
      <c r="AF3208" s="74"/>
      <c r="AG3208" s="74"/>
      <c r="AH3208" s="74"/>
    </row>
    <row r="3209" s="73" customFormat="1" spans="1:34">
      <c r="A3209" s="74"/>
      <c r="B3209" s="74"/>
      <c r="C3209" s="74"/>
      <c r="D3209" s="74"/>
      <c r="E3209" s="74"/>
      <c r="F3209" s="74"/>
      <c r="G3209" s="74"/>
      <c r="H3209" s="74"/>
      <c r="I3209" s="74"/>
      <c r="J3209" s="74"/>
      <c r="K3209" s="74"/>
      <c r="L3209" s="74"/>
      <c r="M3209" s="74"/>
      <c r="N3209" s="74"/>
      <c r="O3209" s="75"/>
      <c r="P3209" s="74"/>
      <c r="Q3209" s="75"/>
      <c r="R3209" s="74"/>
      <c r="S3209" s="74"/>
      <c r="T3209" s="74"/>
      <c r="U3209" s="75"/>
      <c r="V3209" s="74"/>
      <c r="W3209" s="75"/>
      <c r="X3209" s="74"/>
      <c r="Y3209" s="74"/>
      <c r="Z3209" s="74"/>
      <c r="AA3209" s="74"/>
      <c r="AB3209" s="74"/>
      <c r="AC3209" s="74"/>
      <c r="AD3209" s="74"/>
      <c r="AE3209" s="74"/>
      <c r="AF3209" s="74"/>
      <c r="AG3209" s="74"/>
      <c r="AH3209" s="74"/>
    </row>
    <row r="3210" s="73" customFormat="1" spans="1:34">
      <c r="A3210" s="74"/>
      <c r="B3210" s="74"/>
      <c r="C3210" s="74"/>
      <c r="D3210" s="74"/>
      <c r="E3210" s="74"/>
      <c r="F3210" s="74"/>
      <c r="G3210" s="74"/>
      <c r="H3210" s="74"/>
      <c r="I3210" s="74"/>
      <c r="J3210" s="74"/>
      <c r="K3210" s="74"/>
      <c r="L3210" s="74"/>
      <c r="M3210" s="74"/>
      <c r="N3210" s="74"/>
      <c r="O3210" s="75"/>
      <c r="P3210" s="74"/>
      <c r="Q3210" s="75"/>
      <c r="R3210" s="74"/>
      <c r="S3210" s="74"/>
      <c r="T3210" s="74"/>
      <c r="U3210" s="75"/>
      <c r="V3210" s="74"/>
      <c r="W3210" s="75"/>
      <c r="X3210" s="74"/>
      <c r="Y3210" s="74"/>
      <c r="Z3210" s="74"/>
      <c r="AA3210" s="74"/>
      <c r="AB3210" s="74"/>
      <c r="AC3210" s="74"/>
      <c r="AD3210" s="74"/>
      <c r="AE3210" s="74"/>
      <c r="AF3210" s="74"/>
      <c r="AG3210" s="74"/>
      <c r="AH3210" s="74"/>
    </row>
    <row r="3211" s="73" customFormat="1" spans="1:34">
      <c r="A3211" s="74"/>
      <c r="B3211" s="74"/>
      <c r="C3211" s="74"/>
      <c r="D3211" s="74"/>
      <c r="E3211" s="74"/>
      <c r="F3211" s="74"/>
      <c r="G3211" s="74"/>
      <c r="H3211" s="74"/>
      <c r="I3211" s="74"/>
      <c r="J3211" s="74"/>
      <c r="K3211" s="74"/>
      <c r="L3211" s="74"/>
      <c r="M3211" s="74"/>
      <c r="N3211" s="74"/>
      <c r="O3211" s="75"/>
      <c r="P3211" s="74"/>
      <c r="Q3211" s="75"/>
      <c r="R3211" s="74"/>
      <c r="S3211" s="74"/>
      <c r="T3211" s="74"/>
      <c r="U3211" s="75"/>
      <c r="V3211" s="74"/>
      <c r="W3211" s="75"/>
      <c r="X3211" s="74"/>
      <c r="Y3211" s="74"/>
      <c r="Z3211" s="74"/>
      <c r="AA3211" s="74"/>
      <c r="AB3211" s="74"/>
      <c r="AC3211" s="74"/>
      <c r="AD3211" s="74"/>
      <c r="AE3211" s="74"/>
      <c r="AF3211" s="74"/>
      <c r="AG3211" s="74"/>
      <c r="AH3211" s="74"/>
    </row>
    <row r="3212" s="73" customFormat="1" spans="1:34">
      <c r="A3212" s="74"/>
      <c r="B3212" s="74"/>
      <c r="C3212" s="74"/>
      <c r="D3212" s="74"/>
      <c r="E3212" s="74"/>
      <c r="F3212" s="74"/>
      <c r="G3212" s="74"/>
      <c r="H3212" s="74"/>
      <c r="I3212" s="74"/>
      <c r="J3212" s="74"/>
      <c r="K3212" s="74"/>
      <c r="L3212" s="74"/>
      <c r="M3212" s="74"/>
      <c r="N3212" s="74"/>
      <c r="O3212" s="75"/>
      <c r="P3212" s="74"/>
      <c r="Q3212" s="75"/>
      <c r="R3212" s="74"/>
      <c r="S3212" s="74"/>
      <c r="T3212" s="74"/>
      <c r="U3212" s="75"/>
      <c r="V3212" s="74"/>
      <c r="W3212" s="75"/>
      <c r="X3212" s="74"/>
      <c r="Y3212" s="74"/>
      <c r="Z3212" s="74"/>
      <c r="AA3212" s="74"/>
      <c r="AB3212" s="74"/>
      <c r="AC3212" s="74"/>
      <c r="AD3212" s="74"/>
      <c r="AE3212" s="74"/>
      <c r="AF3212" s="74"/>
      <c r="AG3212" s="74"/>
      <c r="AH3212" s="74"/>
    </row>
    <row r="3213" s="73" customFormat="1" spans="1:34">
      <c r="A3213" s="74"/>
      <c r="B3213" s="74"/>
      <c r="C3213" s="74"/>
      <c r="D3213" s="74"/>
      <c r="E3213" s="74"/>
      <c r="F3213" s="74"/>
      <c r="G3213" s="74"/>
      <c r="H3213" s="74"/>
      <c r="I3213" s="74"/>
      <c r="J3213" s="74"/>
      <c r="K3213" s="74"/>
      <c r="L3213" s="74"/>
      <c r="M3213" s="74"/>
      <c r="N3213" s="74"/>
      <c r="O3213" s="75"/>
      <c r="P3213" s="74"/>
      <c r="Q3213" s="75"/>
      <c r="R3213" s="74"/>
      <c r="S3213" s="74"/>
      <c r="T3213" s="74"/>
      <c r="U3213" s="75"/>
      <c r="V3213" s="74"/>
      <c r="W3213" s="75"/>
      <c r="X3213" s="74"/>
      <c r="Y3213" s="74"/>
      <c r="Z3213" s="74"/>
      <c r="AA3213" s="74"/>
      <c r="AB3213" s="74"/>
      <c r="AC3213" s="74"/>
      <c r="AD3213" s="74"/>
      <c r="AE3213" s="74"/>
      <c r="AF3213" s="74"/>
      <c r="AG3213" s="74"/>
      <c r="AH3213" s="74"/>
    </row>
    <row r="3214" s="73" customFormat="1" spans="1:34">
      <c r="A3214" s="74"/>
      <c r="B3214" s="74"/>
      <c r="C3214" s="74"/>
      <c r="D3214" s="74"/>
      <c r="E3214" s="74"/>
      <c r="F3214" s="74"/>
      <c r="G3214" s="74"/>
      <c r="H3214" s="74"/>
      <c r="I3214" s="74"/>
      <c r="J3214" s="74"/>
      <c r="K3214" s="74"/>
      <c r="L3214" s="74"/>
      <c r="M3214" s="74"/>
      <c r="N3214" s="74"/>
      <c r="O3214" s="75"/>
      <c r="P3214" s="74"/>
      <c r="Q3214" s="75"/>
      <c r="R3214" s="74"/>
      <c r="S3214" s="74"/>
      <c r="T3214" s="74"/>
      <c r="U3214" s="75"/>
      <c r="V3214" s="74"/>
      <c r="W3214" s="75"/>
      <c r="X3214" s="74"/>
      <c r="Y3214" s="74"/>
      <c r="Z3214" s="74"/>
      <c r="AA3214" s="74"/>
      <c r="AB3214" s="74"/>
      <c r="AC3214" s="74"/>
      <c r="AD3214" s="74"/>
      <c r="AE3214" s="74"/>
      <c r="AF3214" s="74"/>
      <c r="AG3214" s="74"/>
      <c r="AH3214" s="74"/>
    </row>
    <row r="3215" s="73" customFormat="1" spans="1:34">
      <c r="A3215" s="74"/>
      <c r="B3215" s="74"/>
      <c r="C3215" s="74"/>
      <c r="D3215" s="74"/>
      <c r="E3215" s="74"/>
      <c r="F3215" s="74"/>
      <c r="G3215" s="74"/>
      <c r="H3215" s="74"/>
      <c r="I3215" s="74"/>
      <c r="J3215" s="74"/>
      <c r="K3215" s="74"/>
      <c r="L3215" s="74"/>
      <c r="M3215" s="74"/>
      <c r="N3215" s="74"/>
      <c r="O3215" s="75"/>
      <c r="P3215" s="74"/>
      <c r="Q3215" s="75"/>
      <c r="R3215" s="74"/>
      <c r="S3215" s="74"/>
      <c r="T3215" s="74"/>
      <c r="U3215" s="75"/>
      <c r="V3215" s="74"/>
      <c r="W3215" s="75"/>
      <c r="X3215" s="74"/>
      <c r="Y3215" s="74"/>
      <c r="Z3215" s="74"/>
      <c r="AA3215" s="74"/>
      <c r="AB3215" s="74"/>
      <c r="AC3215" s="74"/>
      <c r="AD3215" s="74"/>
      <c r="AE3215" s="74"/>
      <c r="AF3215" s="74"/>
      <c r="AG3215" s="74"/>
      <c r="AH3215" s="74"/>
    </row>
    <row r="3216" s="73" customFormat="1" spans="1:34">
      <c r="A3216" s="74"/>
      <c r="B3216" s="74"/>
      <c r="C3216" s="74"/>
      <c r="D3216" s="74"/>
      <c r="E3216" s="74"/>
      <c r="F3216" s="74"/>
      <c r="G3216" s="74"/>
      <c r="H3216" s="74"/>
      <c r="I3216" s="74"/>
      <c r="J3216" s="74"/>
      <c r="K3216" s="74"/>
      <c r="L3216" s="74"/>
      <c r="M3216" s="74"/>
      <c r="N3216" s="74"/>
      <c r="O3216" s="75"/>
      <c r="P3216" s="74"/>
      <c r="Q3216" s="75"/>
      <c r="R3216" s="74"/>
      <c r="S3216" s="74"/>
      <c r="T3216" s="74"/>
      <c r="U3216" s="75"/>
      <c r="V3216" s="74"/>
      <c r="W3216" s="75"/>
      <c r="X3216" s="74"/>
      <c r="Y3216" s="74"/>
      <c r="Z3216" s="74"/>
      <c r="AA3216" s="74"/>
      <c r="AB3216" s="74"/>
      <c r="AC3216" s="74"/>
      <c r="AD3216" s="74"/>
      <c r="AE3216" s="74"/>
      <c r="AF3216" s="74"/>
      <c r="AG3216" s="74"/>
      <c r="AH3216" s="74"/>
    </row>
    <row r="3217" s="73" customFormat="1" spans="1:34">
      <c r="A3217" s="74"/>
      <c r="B3217" s="74"/>
      <c r="C3217" s="74"/>
      <c r="D3217" s="74"/>
      <c r="E3217" s="74"/>
      <c r="F3217" s="74"/>
      <c r="G3217" s="74"/>
      <c r="H3217" s="74"/>
      <c r="I3217" s="74"/>
      <c r="J3217" s="74"/>
      <c r="K3217" s="74"/>
      <c r="L3217" s="74"/>
      <c r="M3217" s="74"/>
      <c r="N3217" s="74"/>
      <c r="O3217" s="75"/>
      <c r="P3217" s="74"/>
      <c r="Q3217" s="75"/>
      <c r="R3217" s="74"/>
      <c r="S3217" s="74"/>
      <c r="T3217" s="74"/>
      <c r="U3217" s="75"/>
      <c r="V3217" s="74"/>
      <c r="W3217" s="75"/>
      <c r="X3217" s="74"/>
      <c r="Y3217" s="74"/>
      <c r="Z3217" s="74"/>
      <c r="AA3217" s="74"/>
      <c r="AB3217" s="74"/>
      <c r="AC3217" s="74"/>
      <c r="AD3217" s="74"/>
      <c r="AE3217" s="74"/>
      <c r="AF3217" s="74"/>
      <c r="AG3217" s="74"/>
      <c r="AH3217" s="74"/>
    </row>
    <row r="3218" s="73" customFormat="1" spans="1:34">
      <c r="A3218" s="74"/>
      <c r="B3218" s="74"/>
      <c r="C3218" s="74"/>
      <c r="D3218" s="74"/>
      <c r="E3218" s="74"/>
      <c r="F3218" s="74"/>
      <c r="G3218" s="74"/>
      <c r="H3218" s="74"/>
      <c r="I3218" s="74"/>
      <c r="J3218" s="74"/>
      <c r="K3218" s="74"/>
      <c r="L3218" s="74"/>
      <c r="M3218" s="74"/>
      <c r="N3218" s="74"/>
      <c r="O3218" s="75"/>
      <c r="P3218" s="74"/>
      <c r="Q3218" s="75"/>
      <c r="R3218" s="74"/>
      <c r="S3218" s="74"/>
      <c r="T3218" s="74"/>
      <c r="U3218" s="75"/>
      <c r="V3218" s="74"/>
      <c r="W3218" s="75"/>
      <c r="X3218" s="74"/>
      <c r="Y3218" s="74"/>
      <c r="Z3218" s="74"/>
      <c r="AA3218" s="74"/>
      <c r="AB3218" s="74"/>
      <c r="AC3218" s="74"/>
      <c r="AD3218" s="74"/>
      <c r="AE3218" s="74"/>
      <c r="AF3218" s="74"/>
      <c r="AG3218" s="74"/>
      <c r="AH3218" s="74"/>
    </row>
    <row r="3219" s="73" customFormat="1" spans="1:34">
      <c r="A3219" s="74"/>
      <c r="B3219" s="74"/>
      <c r="C3219" s="74"/>
      <c r="D3219" s="74"/>
      <c r="E3219" s="74"/>
      <c r="F3219" s="74"/>
      <c r="G3219" s="74"/>
      <c r="H3219" s="74"/>
      <c r="I3219" s="74"/>
      <c r="J3219" s="74"/>
      <c r="K3219" s="74"/>
      <c r="L3219" s="74"/>
      <c r="M3219" s="74"/>
      <c r="N3219" s="74"/>
      <c r="O3219" s="75"/>
      <c r="P3219" s="74"/>
      <c r="Q3219" s="75"/>
      <c r="R3219" s="74"/>
      <c r="S3219" s="74"/>
      <c r="T3219" s="74"/>
      <c r="U3219" s="75"/>
      <c r="V3219" s="74"/>
      <c r="W3219" s="75"/>
      <c r="X3219" s="74"/>
      <c r="Y3219" s="74"/>
      <c r="Z3219" s="74"/>
      <c r="AA3219" s="74"/>
      <c r="AB3219" s="74"/>
      <c r="AC3219" s="74"/>
      <c r="AD3219" s="74"/>
      <c r="AE3219" s="74"/>
      <c r="AF3219" s="74"/>
      <c r="AG3219" s="74"/>
      <c r="AH3219" s="74"/>
    </row>
    <row r="3220" s="73" customFormat="1" spans="1:34">
      <c r="A3220" s="74"/>
      <c r="B3220" s="74"/>
      <c r="C3220" s="74"/>
      <c r="D3220" s="74"/>
      <c r="E3220" s="74"/>
      <c r="F3220" s="74"/>
      <c r="G3220" s="74"/>
      <c r="H3220" s="74"/>
      <c r="I3220" s="74"/>
      <c r="J3220" s="74"/>
      <c r="K3220" s="74"/>
      <c r="L3220" s="74"/>
      <c r="M3220" s="74"/>
      <c r="N3220" s="74"/>
      <c r="O3220" s="75"/>
      <c r="P3220" s="74"/>
      <c r="Q3220" s="75"/>
      <c r="R3220" s="74"/>
      <c r="S3220" s="74"/>
      <c r="T3220" s="74"/>
      <c r="U3220" s="75"/>
      <c r="V3220" s="74"/>
      <c r="W3220" s="75"/>
      <c r="X3220" s="74"/>
      <c r="Y3220" s="74"/>
      <c r="Z3220" s="74"/>
      <c r="AA3220" s="74"/>
      <c r="AB3220" s="74"/>
      <c r="AC3220" s="74"/>
      <c r="AD3220" s="74"/>
      <c r="AE3220" s="74"/>
      <c r="AF3220" s="74"/>
      <c r="AG3220" s="74"/>
      <c r="AH3220" s="74"/>
    </row>
    <row r="3221" s="73" customFormat="1" spans="1:34">
      <c r="A3221" s="74"/>
      <c r="B3221" s="74"/>
      <c r="C3221" s="74"/>
      <c r="D3221" s="74"/>
      <c r="E3221" s="74"/>
      <c r="F3221" s="74"/>
      <c r="G3221" s="74"/>
      <c r="H3221" s="74"/>
      <c r="I3221" s="74"/>
      <c r="J3221" s="74"/>
      <c r="K3221" s="74"/>
      <c r="L3221" s="74"/>
      <c r="M3221" s="74"/>
      <c r="N3221" s="74"/>
      <c r="O3221" s="75"/>
      <c r="P3221" s="74"/>
      <c r="Q3221" s="75"/>
      <c r="R3221" s="74"/>
      <c r="S3221" s="74"/>
      <c r="T3221" s="74"/>
      <c r="U3221" s="75"/>
      <c r="V3221" s="74"/>
      <c r="W3221" s="75"/>
      <c r="X3221" s="74"/>
      <c r="Y3221" s="74"/>
      <c r="Z3221" s="74"/>
      <c r="AA3221" s="74"/>
      <c r="AB3221" s="74"/>
      <c r="AC3221" s="74"/>
      <c r="AD3221" s="74"/>
      <c r="AE3221" s="74"/>
      <c r="AF3221" s="74"/>
      <c r="AG3221" s="74"/>
      <c r="AH3221" s="74"/>
    </row>
    <row r="3222" s="73" customFormat="1" spans="1:34">
      <c r="A3222" s="74"/>
      <c r="B3222" s="74"/>
      <c r="C3222" s="74"/>
      <c r="D3222" s="74"/>
      <c r="E3222" s="74"/>
      <c r="F3222" s="74"/>
      <c r="G3222" s="74"/>
      <c r="H3222" s="74"/>
      <c r="I3222" s="74"/>
      <c r="J3222" s="74"/>
      <c r="K3222" s="74"/>
      <c r="L3222" s="74"/>
      <c r="M3222" s="74"/>
      <c r="N3222" s="74"/>
      <c r="O3222" s="75"/>
      <c r="P3222" s="74"/>
      <c r="Q3222" s="75"/>
      <c r="R3222" s="74"/>
      <c r="S3222" s="74"/>
      <c r="T3222" s="74"/>
      <c r="U3222" s="75"/>
      <c r="V3222" s="74"/>
      <c r="W3222" s="75"/>
      <c r="X3222" s="74"/>
      <c r="Y3222" s="74"/>
      <c r="Z3222" s="74"/>
      <c r="AA3222" s="74"/>
      <c r="AB3222" s="74"/>
      <c r="AC3222" s="74"/>
      <c r="AD3222" s="74"/>
      <c r="AE3222" s="74"/>
      <c r="AF3222" s="74"/>
      <c r="AG3222" s="74"/>
      <c r="AH3222" s="74"/>
    </row>
    <row r="3223" s="73" customFormat="1" spans="1:34">
      <c r="A3223" s="74"/>
      <c r="B3223" s="74"/>
      <c r="C3223" s="74"/>
      <c r="D3223" s="74"/>
      <c r="E3223" s="74"/>
      <c r="F3223" s="74"/>
      <c r="G3223" s="74"/>
      <c r="H3223" s="74"/>
      <c r="I3223" s="74"/>
      <c r="J3223" s="74"/>
      <c r="K3223" s="74"/>
      <c r="L3223" s="74"/>
      <c r="M3223" s="74"/>
      <c r="N3223" s="74"/>
      <c r="O3223" s="75"/>
      <c r="P3223" s="74"/>
      <c r="Q3223" s="75"/>
      <c r="R3223" s="74"/>
      <c r="S3223" s="74"/>
      <c r="T3223" s="74"/>
      <c r="U3223" s="75"/>
      <c r="V3223" s="74"/>
      <c r="W3223" s="75"/>
      <c r="X3223" s="74"/>
      <c r="Y3223" s="74"/>
      <c r="Z3223" s="74"/>
      <c r="AA3223" s="74"/>
      <c r="AB3223" s="74"/>
      <c r="AC3223" s="74"/>
      <c r="AD3223" s="74"/>
      <c r="AE3223" s="74"/>
      <c r="AF3223" s="74"/>
      <c r="AG3223" s="74"/>
      <c r="AH3223" s="74"/>
    </row>
    <row r="3224" s="73" customFormat="1" spans="1:34">
      <c r="A3224" s="74"/>
      <c r="B3224" s="74"/>
      <c r="C3224" s="74"/>
      <c r="D3224" s="74"/>
      <c r="E3224" s="74"/>
      <c r="F3224" s="74"/>
      <c r="G3224" s="74"/>
      <c r="H3224" s="74"/>
      <c r="I3224" s="74"/>
      <c r="J3224" s="74"/>
      <c r="K3224" s="74"/>
      <c r="L3224" s="74"/>
      <c r="M3224" s="74"/>
      <c r="N3224" s="74"/>
      <c r="O3224" s="75"/>
      <c r="P3224" s="74"/>
      <c r="Q3224" s="75"/>
      <c r="R3224" s="74"/>
      <c r="S3224" s="74"/>
      <c r="T3224" s="74"/>
      <c r="U3224" s="75"/>
      <c r="V3224" s="74"/>
      <c r="W3224" s="75"/>
      <c r="X3224" s="74"/>
      <c r="Y3224" s="74"/>
      <c r="Z3224" s="74"/>
      <c r="AA3224" s="74"/>
      <c r="AB3224" s="74"/>
      <c r="AC3224" s="74"/>
      <c r="AD3224" s="74"/>
      <c r="AE3224" s="74"/>
      <c r="AF3224" s="74"/>
      <c r="AG3224" s="74"/>
      <c r="AH3224" s="74"/>
    </row>
    <row r="3225" s="73" customFormat="1" spans="1:34">
      <c r="A3225" s="74"/>
      <c r="B3225" s="74"/>
      <c r="C3225" s="74"/>
      <c r="D3225" s="74"/>
      <c r="E3225" s="74"/>
      <c r="F3225" s="74"/>
      <c r="G3225" s="74"/>
      <c r="H3225" s="74"/>
      <c r="I3225" s="74"/>
      <c r="J3225" s="74"/>
      <c r="K3225" s="74"/>
      <c r="L3225" s="74"/>
      <c r="M3225" s="74"/>
      <c r="N3225" s="74"/>
      <c r="O3225" s="75"/>
      <c r="P3225" s="74"/>
      <c r="Q3225" s="75"/>
      <c r="R3225" s="74"/>
      <c r="S3225" s="74"/>
      <c r="T3225" s="74"/>
      <c r="U3225" s="75"/>
      <c r="V3225" s="74"/>
      <c r="W3225" s="75"/>
      <c r="X3225" s="74"/>
      <c r="Y3225" s="74"/>
      <c r="Z3225" s="74"/>
      <c r="AA3225" s="74"/>
      <c r="AB3225" s="74"/>
      <c r="AC3225" s="74"/>
      <c r="AD3225" s="74"/>
      <c r="AE3225" s="74"/>
      <c r="AF3225" s="74"/>
      <c r="AG3225" s="74"/>
      <c r="AH3225" s="74"/>
    </row>
    <row r="3226" s="73" customFormat="1" spans="1:34">
      <c r="A3226" s="74"/>
      <c r="B3226" s="74"/>
      <c r="C3226" s="74"/>
      <c r="D3226" s="74"/>
      <c r="E3226" s="74"/>
      <c r="F3226" s="74"/>
      <c r="G3226" s="74"/>
      <c r="H3226" s="74"/>
      <c r="I3226" s="74"/>
      <c r="J3226" s="74"/>
      <c r="K3226" s="74"/>
      <c r="L3226" s="74"/>
      <c r="M3226" s="74"/>
      <c r="N3226" s="74"/>
      <c r="O3226" s="75"/>
      <c r="P3226" s="74"/>
      <c r="Q3226" s="75"/>
      <c r="R3226" s="74"/>
      <c r="S3226" s="74"/>
      <c r="T3226" s="74"/>
      <c r="U3226" s="75"/>
      <c r="V3226" s="74"/>
      <c r="W3226" s="75"/>
      <c r="X3226" s="74"/>
      <c r="Y3226" s="74"/>
      <c r="Z3226" s="74"/>
      <c r="AA3226" s="74"/>
      <c r="AB3226" s="74"/>
      <c r="AC3226" s="74"/>
      <c r="AD3226" s="74"/>
      <c r="AE3226" s="74"/>
      <c r="AF3226" s="74"/>
      <c r="AG3226" s="74"/>
      <c r="AH3226" s="74"/>
    </row>
    <row r="3227" s="73" customFormat="1" spans="1:34">
      <c r="A3227" s="74"/>
      <c r="B3227" s="74"/>
      <c r="C3227" s="74"/>
      <c r="D3227" s="74"/>
      <c r="E3227" s="74"/>
      <c r="F3227" s="74"/>
      <c r="G3227" s="74"/>
      <c r="H3227" s="74"/>
      <c r="I3227" s="74"/>
      <c r="J3227" s="74"/>
      <c r="K3227" s="74"/>
      <c r="L3227" s="74"/>
      <c r="M3227" s="74"/>
      <c r="N3227" s="74"/>
      <c r="O3227" s="75"/>
      <c r="P3227" s="74"/>
      <c r="Q3227" s="75"/>
      <c r="R3227" s="74"/>
      <c r="S3227" s="74"/>
      <c r="T3227" s="74"/>
      <c r="U3227" s="75"/>
      <c r="V3227" s="74"/>
      <c r="W3227" s="75"/>
      <c r="X3227" s="74"/>
      <c r="Y3227" s="74"/>
      <c r="Z3227" s="74"/>
      <c r="AA3227" s="74"/>
      <c r="AB3227" s="74"/>
      <c r="AC3227" s="74"/>
      <c r="AD3227" s="74"/>
      <c r="AE3227" s="74"/>
      <c r="AF3227" s="74"/>
      <c r="AG3227" s="74"/>
      <c r="AH3227" s="74"/>
    </row>
    <row r="3228" s="73" customFormat="1" spans="1:34">
      <c r="A3228" s="74"/>
      <c r="B3228" s="74"/>
      <c r="C3228" s="74"/>
      <c r="D3228" s="74"/>
      <c r="E3228" s="74"/>
      <c r="F3228" s="74"/>
      <c r="G3228" s="74"/>
      <c r="H3228" s="74"/>
      <c r="I3228" s="74"/>
      <c r="J3228" s="74"/>
      <c r="K3228" s="74"/>
      <c r="L3228" s="74"/>
      <c r="M3228" s="74"/>
      <c r="N3228" s="74"/>
      <c r="O3228" s="75"/>
      <c r="P3228" s="74"/>
      <c r="Q3228" s="75"/>
      <c r="R3228" s="74"/>
      <c r="S3228" s="74"/>
      <c r="T3228" s="74"/>
      <c r="U3228" s="75"/>
      <c r="V3228" s="74"/>
      <c r="W3228" s="75"/>
      <c r="X3228" s="74"/>
      <c r="Y3228" s="74"/>
      <c r="Z3228" s="74"/>
      <c r="AA3228" s="74"/>
      <c r="AB3228" s="74"/>
      <c r="AC3228" s="74"/>
      <c r="AD3228" s="74"/>
      <c r="AE3228" s="74"/>
      <c r="AF3228" s="74"/>
      <c r="AG3228" s="74"/>
      <c r="AH3228" s="74"/>
    </row>
    <row r="3229" s="73" customFormat="1" spans="1:34">
      <c r="A3229" s="74"/>
      <c r="B3229" s="74"/>
      <c r="C3229" s="74"/>
      <c r="D3229" s="74"/>
      <c r="E3229" s="74"/>
      <c r="F3229" s="74"/>
      <c r="G3229" s="74"/>
      <c r="H3229" s="74"/>
      <c r="I3229" s="74"/>
      <c r="J3229" s="74"/>
      <c r="K3229" s="74"/>
      <c r="L3229" s="74"/>
      <c r="M3229" s="74"/>
      <c r="N3229" s="74"/>
      <c r="O3229" s="75"/>
      <c r="P3229" s="74"/>
      <c r="Q3229" s="75"/>
      <c r="R3229" s="74"/>
      <c r="S3229" s="74"/>
      <c r="T3229" s="74"/>
      <c r="U3229" s="75"/>
      <c r="V3229" s="74"/>
      <c r="W3229" s="75"/>
      <c r="X3229" s="74"/>
      <c r="Y3229" s="74"/>
      <c r="Z3229" s="74"/>
      <c r="AA3229" s="74"/>
      <c r="AB3229" s="74"/>
      <c r="AC3229" s="74"/>
      <c r="AD3229" s="74"/>
      <c r="AE3229" s="74"/>
      <c r="AF3229" s="74"/>
      <c r="AG3229" s="74"/>
      <c r="AH3229" s="74"/>
    </row>
    <row r="3230" s="73" customFormat="1" spans="1:34">
      <c r="A3230" s="74"/>
      <c r="B3230" s="74"/>
      <c r="C3230" s="74"/>
      <c r="D3230" s="74"/>
      <c r="E3230" s="74"/>
      <c r="F3230" s="74"/>
      <c r="G3230" s="74"/>
      <c r="H3230" s="74"/>
      <c r="I3230" s="74"/>
      <c r="J3230" s="74"/>
      <c r="K3230" s="74"/>
      <c r="L3230" s="74"/>
      <c r="M3230" s="74"/>
      <c r="N3230" s="74"/>
      <c r="O3230" s="75"/>
      <c r="P3230" s="74"/>
      <c r="Q3230" s="75"/>
      <c r="R3230" s="74"/>
      <c r="S3230" s="74"/>
      <c r="T3230" s="74"/>
      <c r="U3230" s="75"/>
      <c r="V3230" s="74"/>
      <c r="W3230" s="75"/>
      <c r="X3230" s="74"/>
      <c r="Y3230" s="74"/>
      <c r="Z3230" s="74"/>
      <c r="AA3230" s="74"/>
      <c r="AB3230" s="74"/>
      <c r="AC3230" s="74"/>
      <c r="AD3230" s="74"/>
      <c r="AE3230" s="74"/>
      <c r="AF3230" s="74"/>
      <c r="AG3230" s="74"/>
      <c r="AH3230" s="74"/>
    </row>
    <row r="3231" s="73" customFormat="1" spans="1:34">
      <c r="A3231" s="74"/>
      <c r="B3231" s="74"/>
      <c r="C3231" s="74"/>
      <c r="D3231" s="74"/>
      <c r="E3231" s="74"/>
      <c r="F3231" s="74"/>
      <c r="G3231" s="74"/>
      <c r="H3231" s="74"/>
      <c r="I3231" s="74"/>
      <c r="J3231" s="74"/>
      <c r="K3231" s="74"/>
      <c r="L3231" s="74"/>
      <c r="M3231" s="74"/>
      <c r="N3231" s="74"/>
      <c r="O3231" s="75"/>
      <c r="P3231" s="74"/>
      <c r="Q3231" s="75"/>
      <c r="R3231" s="74"/>
      <c r="S3231" s="74"/>
      <c r="T3231" s="74"/>
      <c r="U3231" s="75"/>
      <c r="V3231" s="74"/>
      <c r="W3231" s="75"/>
      <c r="X3231" s="74"/>
      <c r="Y3231" s="74"/>
      <c r="Z3231" s="74"/>
      <c r="AA3231" s="74"/>
      <c r="AB3231" s="74"/>
      <c r="AC3231" s="74"/>
      <c r="AD3231" s="74"/>
      <c r="AE3231" s="74"/>
      <c r="AF3231" s="74"/>
      <c r="AG3231" s="74"/>
      <c r="AH3231" s="74"/>
    </row>
    <row r="3232" s="73" customFormat="1" spans="1:34">
      <c r="A3232" s="74"/>
      <c r="B3232" s="74"/>
      <c r="C3232" s="74"/>
      <c r="D3232" s="74"/>
      <c r="E3232" s="74"/>
      <c r="F3232" s="74"/>
      <c r="G3232" s="74"/>
      <c r="H3232" s="74"/>
      <c r="I3232" s="74"/>
      <c r="J3232" s="74"/>
      <c r="K3232" s="74"/>
      <c r="L3232" s="74"/>
      <c r="M3232" s="74"/>
      <c r="N3232" s="74"/>
      <c r="O3232" s="75"/>
      <c r="P3232" s="74"/>
      <c r="Q3232" s="75"/>
      <c r="R3232" s="74"/>
      <c r="S3232" s="74"/>
      <c r="T3232" s="74"/>
      <c r="U3232" s="75"/>
      <c r="V3232" s="74"/>
      <c r="W3232" s="75"/>
      <c r="X3232" s="74"/>
      <c r="Y3232" s="74"/>
      <c r="Z3232" s="74"/>
      <c r="AA3232" s="74"/>
      <c r="AB3232" s="74"/>
      <c r="AC3232" s="74"/>
      <c r="AD3232" s="74"/>
      <c r="AE3232" s="74"/>
      <c r="AF3232" s="74"/>
      <c r="AG3232" s="74"/>
      <c r="AH3232" s="74"/>
    </row>
    <row r="3233" s="73" customFormat="1" spans="1:34">
      <c r="A3233" s="74"/>
      <c r="B3233" s="74"/>
      <c r="C3233" s="74"/>
      <c r="D3233" s="74"/>
      <c r="E3233" s="74"/>
      <c r="F3233" s="74"/>
      <c r="G3233" s="74"/>
      <c r="H3233" s="74"/>
      <c r="I3233" s="74"/>
      <c r="J3233" s="74"/>
      <c r="K3233" s="74"/>
      <c r="L3233" s="74"/>
      <c r="M3233" s="74"/>
      <c r="N3233" s="74"/>
      <c r="O3233" s="75"/>
      <c r="P3233" s="74"/>
      <c r="Q3233" s="75"/>
      <c r="R3233" s="74"/>
      <c r="S3233" s="74"/>
      <c r="T3233" s="74"/>
      <c r="U3233" s="75"/>
      <c r="V3233" s="74"/>
      <c r="W3233" s="75"/>
      <c r="X3233" s="74"/>
      <c r="Y3233" s="74"/>
      <c r="Z3233" s="74"/>
      <c r="AA3233" s="74"/>
      <c r="AB3233" s="74"/>
      <c r="AC3233" s="74"/>
      <c r="AD3233" s="74"/>
      <c r="AE3233" s="74"/>
      <c r="AF3233" s="74"/>
      <c r="AG3233" s="74"/>
      <c r="AH3233" s="74"/>
    </row>
    <row r="3234" s="73" customFormat="1" spans="1:34">
      <c r="A3234" s="74"/>
      <c r="B3234" s="74"/>
      <c r="C3234" s="74"/>
      <c r="D3234" s="74"/>
      <c r="E3234" s="74"/>
      <c r="F3234" s="74"/>
      <c r="G3234" s="74"/>
      <c r="H3234" s="74"/>
      <c r="I3234" s="74"/>
      <c r="J3234" s="74"/>
      <c r="K3234" s="74"/>
      <c r="L3234" s="74"/>
      <c r="M3234" s="74"/>
      <c r="N3234" s="74"/>
      <c r="O3234" s="75"/>
      <c r="P3234" s="74"/>
      <c r="Q3234" s="75"/>
      <c r="R3234" s="74"/>
      <c r="S3234" s="74"/>
      <c r="T3234" s="74"/>
      <c r="U3234" s="75"/>
      <c r="V3234" s="74"/>
      <c r="W3234" s="75"/>
      <c r="X3234" s="74"/>
      <c r="Y3234" s="74"/>
      <c r="Z3234" s="74"/>
      <c r="AA3234" s="74"/>
      <c r="AB3234" s="74"/>
      <c r="AC3234" s="74"/>
      <c r="AD3234" s="74"/>
      <c r="AE3234" s="74"/>
      <c r="AF3234" s="74"/>
      <c r="AG3234" s="74"/>
      <c r="AH3234" s="74"/>
    </row>
    <row r="3235" s="73" customFormat="1" spans="1:34">
      <c r="A3235" s="74"/>
      <c r="B3235" s="74"/>
      <c r="C3235" s="74"/>
      <c r="D3235" s="74"/>
      <c r="E3235" s="74"/>
      <c r="F3235" s="74"/>
      <c r="G3235" s="74"/>
      <c r="H3235" s="74"/>
      <c r="I3235" s="74"/>
      <c r="J3235" s="74"/>
      <c r="K3235" s="74"/>
      <c r="L3235" s="74"/>
      <c r="M3235" s="74"/>
      <c r="N3235" s="74"/>
      <c r="O3235" s="75"/>
      <c r="P3235" s="74"/>
      <c r="Q3235" s="75"/>
      <c r="R3235" s="74"/>
      <c r="S3235" s="74"/>
      <c r="T3235" s="74"/>
      <c r="U3235" s="75"/>
      <c r="V3235" s="74"/>
      <c r="W3235" s="75"/>
      <c r="X3235" s="74"/>
      <c r="Y3235" s="74"/>
      <c r="Z3235" s="74"/>
      <c r="AA3235" s="74"/>
      <c r="AB3235" s="74"/>
      <c r="AC3235" s="74"/>
      <c r="AD3235" s="74"/>
      <c r="AE3235" s="74"/>
      <c r="AF3235" s="74"/>
      <c r="AG3235" s="74"/>
      <c r="AH3235" s="74"/>
    </row>
    <row r="3236" s="73" customFormat="1" spans="1:34">
      <c r="A3236" s="74"/>
      <c r="B3236" s="74"/>
      <c r="C3236" s="74"/>
      <c r="D3236" s="74"/>
      <c r="E3236" s="74"/>
      <c r="F3236" s="74"/>
      <c r="G3236" s="74"/>
      <c r="H3236" s="74"/>
      <c r="I3236" s="74"/>
      <c r="J3236" s="74"/>
      <c r="K3236" s="74"/>
      <c r="L3236" s="74"/>
      <c r="M3236" s="74"/>
      <c r="N3236" s="74"/>
      <c r="O3236" s="75"/>
      <c r="P3236" s="74"/>
      <c r="Q3236" s="75"/>
      <c r="R3236" s="74"/>
      <c r="S3236" s="74"/>
      <c r="T3236" s="74"/>
      <c r="U3236" s="75"/>
      <c r="V3236" s="74"/>
      <c r="W3236" s="75"/>
      <c r="X3236" s="74"/>
      <c r="Y3236" s="74"/>
      <c r="Z3236" s="74"/>
      <c r="AA3236" s="74"/>
      <c r="AB3236" s="74"/>
      <c r="AC3236" s="74"/>
      <c r="AD3236" s="74"/>
      <c r="AE3236" s="74"/>
      <c r="AF3236" s="74"/>
      <c r="AG3236" s="74"/>
      <c r="AH3236" s="74"/>
    </row>
    <row r="3238" s="73" customFormat="1" spans="1:34">
      <c r="A3238" s="74"/>
      <c r="B3238" s="74"/>
      <c r="C3238" s="74"/>
      <c r="D3238" s="74"/>
      <c r="E3238" s="74"/>
      <c r="F3238" s="74"/>
      <c r="G3238" s="74"/>
      <c r="H3238" s="74"/>
      <c r="I3238" s="74"/>
      <c r="J3238" s="74"/>
      <c r="K3238" s="74"/>
      <c r="L3238" s="74"/>
      <c r="M3238" s="74"/>
      <c r="N3238" s="74"/>
      <c r="O3238" s="75"/>
      <c r="P3238" s="74"/>
      <c r="Q3238" s="75"/>
      <c r="R3238" s="74"/>
      <c r="S3238" s="74"/>
      <c r="T3238" s="74"/>
      <c r="U3238" s="75"/>
      <c r="V3238" s="74"/>
      <c r="W3238" s="75"/>
      <c r="X3238" s="74"/>
      <c r="Y3238" s="74"/>
      <c r="Z3238" s="74"/>
      <c r="AA3238" s="74"/>
      <c r="AB3238" s="74"/>
      <c r="AC3238" s="74"/>
      <c r="AD3238" s="74"/>
      <c r="AE3238" s="74"/>
      <c r="AF3238" s="74"/>
      <c r="AG3238" s="74"/>
      <c r="AH3238" s="74"/>
    </row>
    <row r="3239" s="73" customFormat="1" spans="1:34">
      <c r="A3239" s="74"/>
      <c r="B3239" s="74"/>
      <c r="C3239" s="74"/>
      <c r="D3239" s="74"/>
      <c r="E3239" s="74"/>
      <c r="F3239" s="74"/>
      <c r="G3239" s="74"/>
      <c r="H3239" s="74"/>
      <c r="I3239" s="74"/>
      <c r="J3239" s="74"/>
      <c r="K3239" s="74"/>
      <c r="L3239" s="74"/>
      <c r="M3239" s="74"/>
      <c r="N3239" s="74"/>
      <c r="O3239" s="75"/>
      <c r="P3239" s="74"/>
      <c r="Q3239" s="75"/>
      <c r="R3239" s="74"/>
      <c r="S3239" s="74"/>
      <c r="T3239" s="74"/>
      <c r="U3239" s="75"/>
      <c r="V3239" s="74"/>
      <c r="W3239" s="75"/>
      <c r="X3239" s="74"/>
      <c r="Y3239" s="74"/>
      <c r="Z3239" s="74"/>
      <c r="AA3239" s="74"/>
      <c r="AB3239" s="74"/>
      <c r="AC3239" s="74"/>
      <c r="AD3239" s="74"/>
      <c r="AE3239" s="74"/>
      <c r="AF3239" s="74"/>
      <c r="AG3239" s="74"/>
      <c r="AH3239" s="74"/>
    </row>
    <row r="3240" s="73" customFormat="1" spans="1:34">
      <c r="A3240" s="74"/>
      <c r="B3240" s="74"/>
      <c r="C3240" s="74"/>
      <c r="D3240" s="74"/>
      <c r="E3240" s="74"/>
      <c r="F3240" s="74"/>
      <c r="G3240" s="74"/>
      <c r="H3240" s="74"/>
      <c r="I3240" s="74"/>
      <c r="J3240" s="74"/>
      <c r="K3240" s="74"/>
      <c r="L3240" s="74"/>
      <c r="M3240" s="74"/>
      <c r="N3240" s="74"/>
      <c r="O3240" s="75"/>
      <c r="P3240" s="74"/>
      <c r="Q3240" s="75"/>
      <c r="R3240" s="74"/>
      <c r="S3240" s="74"/>
      <c r="T3240" s="74"/>
      <c r="U3240" s="75"/>
      <c r="V3240" s="74"/>
      <c r="W3240" s="75"/>
      <c r="X3240" s="74"/>
      <c r="Y3240" s="74"/>
      <c r="Z3240" s="74"/>
      <c r="AA3240" s="74"/>
      <c r="AB3240" s="74"/>
      <c r="AC3240" s="74"/>
      <c r="AD3240" s="74"/>
      <c r="AE3240" s="74"/>
      <c r="AF3240" s="74"/>
      <c r="AG3240" s="74"/>
      <c r="AH3240" s="74"/>
    </row>
    <row r="3241" s="73" customFormat="1" spans="1:34">
      <c r="A3241" s="74"/>
      <c r="B3241" s="74"/>
      <c r="C3241" s="74"/>
      <c r="D3241" s="74"/>
      <c r="E3241" s="74"/>
      <c r="F3241" s="74"/>
      <c r="G3241" s="74"/>
      <c r="H3241" s="74"/>
      <c r="I3241" s="74"/>
      <c r="J3241" s="74"/>
      <c r="K3241" s="74"/>
      <c r="L3241" s="74"/>
      <c r="M3241" s="74"/>
      <c r="N3241" s="74"/>
      <c r="O3241" s="75"/>
      <c r="P3241" s="74"/>
      <c r="Q3241" s="75"/>
      <c r="R3241" s="74"/>
      <c r="S3241" s="74"/>
      <c r="T3241" s="74"/>
      <c r="U3241" s="75"/>
      <c r="V3241" s="74"/>
      <c r="W3241" s="75"/>
      <c r="X3241" s="74"/>
      <c r="Y3241" s="74"/>
      <c r="Z3241" s="74"/>
      <c r="AA3241" s="74"/>
      <c r="AB3241" s="74"/>
      <c r="AC3241" s="74"/>
      <c r="AD3241" s="74"/>
      <c r="AE3241" s="74"/>
      <c r="AF3241" s="74"/>
      <c r="AG3241" s="74"/>
      <c r="AH3241" s="74"/>
    </row>
    <row r="3242" s="73" customFormat="1" spans="1:34">
      <c r="A3242" s="74"/>
      <c r="B3242" s="74"/>
      <c r="C3242" s="74"/>
      <c r="D3242" s="74"/>
      <c r="E3242" s="74"/>
      <c r="F3242" s="74"/>
      <c r="G3242" s="74"/>
      <c r="H3242" s="74"/>
      <c r="I3242" s="74"/>
      <c r="J3242" s="74"/>
      <c r="K3242" s="74"/>
      <c r="L3242" s="74"/>
      <c r="M3242" s="74"/>
      <c r="N3242" s="74"/>
      <c r="O3242" s="75"/>
      <c r="P3242" s="74"/>
      <c r="Q3242" s="75"/>
      <c r="R3242" s="74"/>
      <c r="S3242" s="74"/>
      <c r="T3242" s="74"/>
      <c r="U3242" s="75"/>
      <c r="V3242" s="74"/>
      <c r="W3242" s="75"/>
      <c r="X3242" s="74"/>
      <c r="Y3242" s="74"/>
      <c r="Z3242" s="74"/>
      <c r="AA3242" s="74"/>
      <c r="AB3242" s="74"/>
      <c r="AC3242" s="74"/>
      <c r="AD3242" s="74"/>
      <c r="AE3242" s="74"/>
      <c r="AF3242" s="74"/>
      <c r="AG3242" s="74"/>
      <c r="AH3242" s="74"/>
    </row>
    <row r="3243" s="73" customFormat="1" spans="1:34">
      <c r="A3243" s="74"/>
      <c r="B3243" s="74"/>
      <c r="C3243" s="74"/>
      <c r="D3243" s="74"/>
      <c r="E3243" s="74"/>
      <c r="F3243" s="74"/>
      <c r="G3243" s="74"/>
      <c r="H3243" s="74"/>
      <c r="I3243" s="74"/>
      <c r="J3243" s="74"/>
      <c r="K3243" s="74"/>
      <c r="L3243" s="74"/>
      <c r="M3243" s="74"/>
      <c r="N3243" s="74"/>
      <c r="O3243" s="75"/>
      <c r="P3243" s="74"/>
      <c r="Q3243" s="75"/>
      <c r="R3243" s="74"/>
      <c r="S3243" s="74"/>
      <c r="T3243" s="74"/>
      <c r="U3243" s="75"/>
      <c r="V3243" s="74"/>
      <c r="W3243" s="75"/>
      <c r="X3243" s="74"/>
      <c r="Y3243" s="74"/>
      <c r="Z3243" s="74"/>
      <c r="AA3243" s="74"/>
      <c r="AB3243" s="74"/>
      <c r="AC3243" s="74"/>
      <c r="AD3243" s="74"/>
      <c r="AE3243" s="74"/>
      <c r="AF3243" s="74"/>
      <c r="AG3243" s="74"/>
      <c r="AH3243" s="74"/>
    </row>
    <row r="3244" s="73" customFormat="1" spans="1:34">
      <c r="A3244" s="74"/>
      <c r="B3244" s="74"/>
      <c r="C3244" s="74"/>
      <c r="D3244" s="74"/>
      <c r="E3244" s="74"/>
      <c r="F3244" s="74"/>
      <c r="G3244" s="74"/>
      <c r="H3244" s="74"/>
      <c r="I3244" s="74"/>
      <c r="J3244" s="74"/>
      <c r="K3244" s="74"/>
      <c r="L3244" s="74"/>
      <c r="M3244" s="74"/>
      <c r="N3244" s="74"/>
      <c r="O3244" s="75"/>
      <c r="P3244" s="74"/>
      <c r="Q3244" s="75"/>
      <c r="R3244" s="74"/>
      <c r="S3244" s="74"/>
      <c r="T3244" s="74"/>
      <c r="U3244" s="75"/>
      <c r="V3244" s="74"/>
      <c r="W3244" s="75"/>
      <c r="X3244" s="74"/>
      <c r="Y3244" s="74"/>
      <c r="Z3244" s="74"/>
      <c r="AA3244" s="74"/>
      <c r="AB3244" s="74"/>
      <c r="AC3244" s="74"/>
      <c r="AD3244" s="74"/>
      <c r="AE3244" s="74"/>
      <c r="AF3244" s="74"/>
      <c r="AG3244" s="74"/>
      <c r="AH3244" s="74"/>
    </row>
    <row r="3245" s="73" customFormat="1" spans="1:34">
      <c r="A3245" s="74"/>
      <c r="B3245" s="74"/>
      <c r="C3245" s="74"/>
      <c r="D3245" s="74"/>
      <c r="E3245" s="74"/>
      <c r="F3245" s="74"/>
      <c r="G3245" s="74"/>
      <c r="H3245" s="74"/>
      <c r="I3245" s="74"/>
      <c r="J3245" s="74"/>
      <c r="K3245" s="74"/>
      <c r="L3245" s="74"/>
      <c r="M3245" s="74"/>
      <c r="N3245" s="74"/>
      <c r="O3245" s="75"/>
      <c r="P3245" s="74"/>
      <c r="Q3245" s="75"/>
      <c r="R3245" s="74"/>
      <c r="S3245" s="74"/>
      <c r="T3245" s="74"/>
      <c r="U3245" s="75"/>
      <c r="V3245" s="74"/>
      <c r="W3245" s="75"/>
      <c r="X3245" s="74"/>
      <c r="Y3245" s="74"/>
      <c r="Z3245" s="74"/>
      <c r="AA3245" s="74"/>
      <c r="AB3245" s="74"/>
      <c r="AC3245" s="74"/>
      <c r="AD3245" s="74"/>
      <c r="AE3245" s="74"/>
      <c r="AF3245" s="74"/>
      <c r="AG3245" s="74"/>
      <c r="AH3245" s="74"/>
    </row>
    <row r="3246" s="73" customFormat="1" spans="1:34">
      <c r="A3246" s="74"/>
      <c r="B3246" s="74"/>
      <c r="C3246" s="74"/>
      <c r="D3246" s="74"/>
      <c r="E3246" s="74"/>
      <c r="F3246" s="74"/>
      <c r="G3246" s="74"/>
      <c r="H3246" s="74"/>
      <c r="I3246" s="74"/>
      <c r="J3246" s="74"/>
      <c r="K3246" s="74"/>
      <c r="L3246" s="74"/>
      <c r="M3246" s="74"/>
      <c r="N3246" s="74"/>
      <c r="O3246" s="75"/>
      <c r="P3246" s="74"/>
      <c r="Q3246" s="75"/>
      <c r="R3246" s="74"/>
      <c r="S3246" s="74"/>
      <c r="T3246" s="74"/>
      <c r="U3246" s="75"/>
      <c r="V3246" s="74"/>
      <c r="W3246" s="75"/>
      <c r="X3246" s="74"/>
      <c r="Y3246" s="74"/>
      <c r="Z3246" s="74"/>
      <c r="AA3246" s="74"/>
      <c r="AB3246" s="74"/>
      <c r="AC3246" s="74"/>
      <c r="AD3246" s="74"/>
      <c r="AE3246" s="74"/>
      <c r="AF3246" s="74"/>
      <c r="AG3246" s="74"/>
      <c r="AH3246" s="74"/>
    </row>
    <row r="3247" s="73" customFormat="1" spans="1:34">
      <c r="A3247" s="74"/>
      <c r="B3247" s="74"/>
      <c r="C3247" s="74"/>
      <c r="D3247" s="74"/>
      <c r="E3247" s="74"/>
      <c r="F3247" s="74"/>
      <c r="G3247" s="74"/>
      <c r="H3247" s="74"/>
      <c r="I3247" s="74"/>
      <c r="J3247" s="74"/>
      <c r="K3247" s="74"/>
      <c r="L3247" s="74"/>
      <c r="M3247" s="74"/>
      <c r="N3247" s="74"/>
      <c r="O3247" s="75"/>
      <c r="P3247" s="74"/>
      <c r="Q3247" s="75"/>
      <c r="R3247" s="74"/>
      <c r="S3247" s="74"/>
      <c r="T3247" s="74"/>
      <c r="U3247" s="75"/>
      <c r="V3247" s="74"/>
      <c r="W3247" s="75"/>
      <c r="X3247" s="74"/>
      <c r="Y3247" s="74"/>
      <c r="Z3247" s="74"/>
      <c r="AA3247" s="74"/>
      <c r="AB3247" s="74"/>
      <c r="AC3247" s="74"/>
      <c r="AD3247" s="74"/>
      <c r="AE3247" s="74"/>
      <c r="AF3247" s="74"/>
      <c r="AG3247" s="74"/>
      <c r="AH3247" s="74"/>
    </row>
    <row r="3249" s="73" customFormat="1" spans="1:34">
      <c r="A3249" s="74"/>
      <c r="B3249" s="74"/>
      <c r="C3249" s="74"/>
      <c r="D3249" s="74"/>
      <c r="E3249" s="74"/>
      <c r="F3249" s="74"/>
      <c r="G3249" s="74"/>
      <c r="H3249" s="74"/>
      <c r="I3249" s="74"/>
      <c r="J3249" s="74"/>
      <c r="K3249" s="74"/>
      <c r="L3249" s="74"/>
      <c r="M3249" s="74"/>
      <c r="N3249" s="74"/>
      <c r="O3249" s="75"/>
      <c r="P3249" s="74"/>
      <c r="Q3249" s="75"/>
      <c r="R3249" s="74"/>
      <c r="S3249" s="74"/>
      <c r="T3249" s="74"/>
      <c r="U3249" s="75"/>
      <c r="V3249" s="74"/>
      <c r="W3249" s="75"/>
      <c r="X3249" s="74"/>
      <c r="Y3249" s="74"/>
      <c r="Z3249" s="74"/>
      <c r="AA3249" s="74"/>
      <c r="AB3249" s="74"/>
      <c r="AC3249" s="74"/>
      <c r="AD3249" s="74"/>
      <c r="AE3249" s="74"/>
      <c r="AF3249" s="74"/>
      <c r="AG3249" s="74"/>
      <c r="AH3249" s="74"/>
    </row>
    <row r="3250" s="73" customFormat="1" spans="1:34">
      <c r="A3250" s="74"/>
      <c r="B3250" s="74"/>
      <c r="C3250" s="74"/>
      <c r="D3250" s="74"/>
      <c r="E3250" s="74"/>
      <c r="F3250" s="74"/>
      <c r="G3250" s="74"/>
      <c r="H3250" s="74"/>
      <c r="I3250" s="74"/>
      <c r="J3250" s="74"/>
      <c r="K3250" s="74"/>
      <c r="L3250" s="74"/>
      <c r="M3250" s="74"/>
      <c r="N3250" s="74"/>
      <c r="O3250" s="75"/>
      <c r="P3250" s="74"/>
      <c r="Q3250" s="75"/>
      <c r="R3250" s="74"/>
      <c r="S3250" s="74"/>
      <c r="T3250" s="74"/>
      <c r="U3250" s="75"/>
      <c r="V3250" s="74"/>
      <c r="W3250" s="75"/>
      <c r="X3250" s="74"/>
      <c r="Y3250" s="74"/>
      <c r="Z3250" s="74"/>
      <c r="AA3250" s="74"/>
      <c r="AB3250" s="74"/>
      <c r="AC3250" s="74"/>
      <c r="AD3250" s="74"/>
      <c r="AE3250" s="74"/>
      <c r="AF3250" s="74"/>
      <c r="AG3250" s="74"/>
      <c r="AH3250" s="74"/>
    </row>
    <row r="3251" s="73" customFormat="1" spans="1:34">
      <c r="A3251" s="74"/>
      <c r="B3251" s="74"/>
      <c r="C3251" s="74"/>
      <c r="D3251" s="74"/>
      <c r="E3251" s="74"/>
      <c r="F3251" s="74"/>
      <c r="G3251" s="74"/>
      <c r="H3251" s="74"/>
      <c r="I3251" s="74"/>
      <c r="J3251" s="74"/>
      <c r="K3251" s="74"/>
      <c r="L3251" s="74"/>
      <c r="M3251" s="74"/>
      <c r="N3251" s="74"/>
      <c r="O3251" s="75"/>
      <c r="P3251" s="74"/>
      <c r="Q3251" s="75"/>
      <c r="R3251" s="74"/>
      <c r="S3251" s="74"/>
      <c r="T3251" s="74"/>
      <c r="U3251" s="75"/>
      <c r="V3251" s="74"/>
      <c r="W3251" s="75"/>
      <c r="X3251" s="74"/>
      <c r="Y3251" s="74"/>
      <c r="Z3251" s="74"/>
      <c r="AA3251" s="74"/>
      <c r="AB3251" s="74"/>
      <c r="AC3251" s="74"/>
      <c r="AD3251" s="74"/>
      <c r="AE3251" s="74"/>
      <c r="AF3251" s="74"/>
      <c r="AG3251" s="74"/>
      <c r="AH3251" s="74"/>
    </row>
    <row r="3252" s="73" customFormat="1" spans="1:34">
      <c r="A3252" s="74"/>
      <c r="B3252" s="74"/>
      <c r="C3252" s="74"/>
      <c r="D3252" s="74"/>
      <c r="E3252" s="74"/>
      <c r="F3252" s="74"/>
      <c r="G3252" s="74"/>
      <c r="H3252" s="74"/>
      <c r="I3252" s="74"/>
      <c r="J3252" s="74"/>
      <c r="K3252" s="74"/>
      <c r="L3252" s="74"/>
      <c r="M3252" s="74"/>
      <c r="N3252" s="74"/>
      <c r="O3252" s="75"/>
      <c r="P3252" s="74"/>
      <c r="Q3252" s="75"/>
      <c r="R3252" s="74"/>
      <c r="S3252" s="74"/>
      <c r="T3252" s="74"/>
      <c r="U3252" s="75"/>
      <c r="V3252" s="74"/>
      <c r="W3252" s="75"/>
      <c r="X3252" s="74"/>
      <c r="Y3252" s="74"/>
      <c r="Z3252" s="74"/>
      <c r="AA3252" s="74"/>
      <c r="AB3252" s="74"/>
      <c r="AC3252" s="74"/>
      <c r="AD3252" s="74"/>
      <c r="AE3252" s="74"/>
      <c r="AF3252" s="74"/>
      <c r="AG3252" s="74"/>
      <c r="AH3252" s="74"/>
    </row>
    <row r="3253" s="73" customFormat="1" spans="1:34">
      <c r="A3253" s="74"/>
      <c r="B3253" s="74"/>
      <c r="C3253" s="74"/>
      <c r="D3253" s="74"/>
      <c r="E3253" s="74"/>
      <c r="F3253" s="74"/>
      <c r="G3253" s="74"/>
      <c r="H3253" s="74"/>
      <c r="I3253" s="74"/>
      <c r="J3253" s="74"/>
      <c r="K3253" s="74"/>
      <c r="L3253" s="74"/>
      <c r="M3253" s="74"/>
      <c r="N3253" s="74"/>
      <c r="O3253" s="75"/>
      <c r="P3253" s="74"/>
      <c r="Q3253" s="75"/>
      <c r="R3253" s="74"/>
      <c r="S3253" s="74"/>
      <c r="T3253" s="74"/>
      <c r="U3253" s="75"/>
      <c r="V3253" s="74"/>
      <c r="W3253" s="75"/>
      <c r="X3253" s="74"/>
      <c r="Y3253" s="74"/>
      <c r="Z3253" s="74"/>
      <c r="AA3253" s="74"/>
      <c r="AB3253" s="74"/>
      <c r="AC3253" s="74"/>
      <c r="AD3253" s="74"/>
      <c r="AE3253" s="74"/>
      <c r="AF3253" s="74"/>
      <c r="AG3253" s="74"/>
      <c r="AH3253" s="74"/>
    </row>
    <row r="3255" s="73" customFormat="1" spans="1:34">
      <c r="A3255" s="74"/>
      <c r="B3255" s="74"/>
      <c r="C3255" s="74"/>
      <c r="D3255" s="74"/>
      <c r="E3255" s="74"/>
      <c r="F3255" s="74"/>
      <c r="G3255" s="74"/>
      <c r="H3255" s="74"/>
      <c r="I3255" s="74"/>
      <c r="J3255" s="74"/>
      <c r="K3255" s="74"/>
      <c r="L3255" s="74"/>
      <c r="M3255" s="74"/>
      <c r="N3255" s="74"/>
      <c r="O3255" s="75"/>
      <c r="P3255" s="74"/>
      <c r="Q3255" s="75"/>
      <c r="R3255" s="74"/>
      <c r="S3255" s="74"/>
      <c r="T3255" s="74"/>
      <c r="U3255" s="75"/>
      <c r="V3255" s="74"/>
      <c r="W3255" s="75"/>
      <c r="X3255" s="74"/>
      <c r="Y3255" s="74"/>
      <c r="Z3255" s="74"/>
      <c r="AA3255" s="74"/>
      <c r="AB3255" s="74"/>
      <c r="AC3255" s="74"/>
      <c r="AD3255" s="74"/>
      <c r="AE3255" s="74"/>
      <c r="AF3255" s="74"/>
      <c r="AG3255" s="74"/>
      <c r="AH3255" s="74"/>
    </row>
    <row r="3256" s="73" customFormat="1" spans="1:34">
      <c r="A3256" s="74"/>
      <c r="B3256" s="74"/>
      <c r="C3256" s="74"/>
      <c r="D3256" s="74"/>
      <c r="E3256" s="74"/>
      <c r="F3256" s="74"/>
      <c r="G3256" s="74"/>
      <c r="H3256" s="74"/>
      <c r="I3256" s="74"/>
      <c r="J3256" s="74"/>
      <c r="K3256" s="74"/>
      <c r="L3256" s="74"/>
      <c r="M3256" s="74"/>
      <c r="N3256" s="74"/>
      <c r="O3256" s="75"/>
      <c r="P3256" s="74"/>
      <c r="Q3256" s="75"/>
      <c r="R3256" s="74"/>
      <c r="S3256" s="74"/>
      <c r="T3256" s="74"/>
      <c r="U3256" s="75"/>
      <c r="V3256" s="74"/>
      <c r="W3256" s="75"/>
      <c r="X3256" s="74"/>
      <c r="Y3256" s="74"/>
      <c r="Z3256" s="74"/>
      <c r="AA3256" s="74"/>
      <c r="AB3256" s="74"/>
      <c r="AC3256" s="74"/>
      <c r="AD3256" s="74"/>
      <c r="AE3256" s="74"/>
      <c r="AF3256" s="74"/>
      <c r="AG3256" s="74"/>
      <c r="AH3256" s="74"/>
    </row>
    <row r="3257" s="73" customFormat="1" spans="1:34">
      <c r="A3257" s="74"/>
      <c r="B3257" s="74"/>
      <c r="C3257" s="74"/>
      <c r="D3257" s="74"/>
      <c r="E3257" s="74"/>
      <c r="F3257" s="74"/>
      <c r="G3257" s="74"/>
      <c r="H3257" s="74"/>
      <c r="I3257" s="74"/>
      <c r="J3257" s="74"/>
      <c r="K3257" s="74"/>
      <c r="L3257" s="74"/>
      <c r="M3257" s="74"/>
      <c r="N3257" s="74"/>
      <c r="O3257" s="75"/>
      <c r="P3257" s="74"/>
      <c r="Q3257" s="75"/>
      <c r="R3257" s="74"/>
      <c r="S3257" s="74"/>
      <c r="T3257" s="74"/>
      <c r="U3257" s="75"/>
      <c r="V3257" s="74"/>
      <c r="W3257" s="75"/>
      <c r="X3257" s="74"/>
      <c r="Y3257" s="74"/>
      <c r="Z3257" s="74"/>
      <c r="AA3257" s="74"/>
      <c r="AB3257" s="74"/>
      <c r="AC3257" s="74"/>
      <c r="AD3257" s="74"/>
      <c r="AE3257" s="74"/>
      <c r="AF3257" s="74"/>
      <c r="AG3257" s="74"/>
      <c r="AH3257" s="74"/>
    </row>
    <row r="3258" s="73" customFormat="1" spans="1:34">
      <c r="A3258" s="74"/>
      <c r="B3258" s="74"/>
      <c r="C3258" s="74"/>
      <c r="D3258" s="74"/>
      <c r="E3258" s="74"/>
      <c r="F3258" s="74"/>
      <c r="G3258" s="74"/>
      <c r="H3258" s="74"/>
      <c r="I3258" s="74"/>
      <c r="J3258" s="74"/>
      <c r="K3258" s="74"/>
      <c r="L3258" s="74"/>
      <c r="M3258" s="74"/>
      <c r="N3258" s="74"/>
      <c r="O3258" s="75"/>
      <c r="P3258" s="74"/>
      <c r="Q3258" s="75"/>
      <c r="R3258" s="74"/>
      <c r="S3258" s="74"/>
      <c r="T3258" s="74"/>
      <c r="U3258" s="75"/>
      <c r="V3258" s="74"/>
      <c r="W3258" s="75"/>
      <c r="X3258" s="74"/>
      <c r="Y3258" s="74"/>
      <c r="Z3258" s="74"/>
      <c r="AA3258" s="74"/>
      <c r="AB3258" s="74"/>
      <c r="AC3258" s="74"/>
      <c r="AD3258" s="74"/>
      <c r="AE3258" s="74"/>
      <c r="AF3258" s="74"/>
      <c r="AG3258" s="74"/>
      <c r="AH3258" s="74"/>
    </row>
    <row r="3259" s="73" customFormat="1" spans="1:34">
      <c r="A3259" s="74"/>
      <c r="B3259" s="74"/>
      <c r="C3259" s="74"/>
      <c r="D3259" s="74"/>
      <c r="E3259" s="74"/>
      <c r="F3259" s="74"/>
      <c r="G3259" s="74"/>
      <c r="H3259" s="74"/>
      <c r="I3259" s="74"/>
      <c r="J3259" s="74"/>
      <c r="K3259" s="74"/>
      <c r="L3259" s="74"/>
      <c r="M3259" s="74"/>
      <c r="N3259" s="74"/>
      <c r="O3259" s="75"/>
      <c r="P3259" s="74"/>
      <c r="Q3259" s="75"/>
      <c r="R3259" s="74"/>
      <c r="S3259" s="74"/>
      <c r="T3259" s="74"/>
      <c r="U3259" s="75"/>
      <c r="V3259" s="74"/>
      <c r="W3259" s="75"/>
      <c r="X3259" s="74"/>
      <c r="Y3259" s="74"/>
      <c r="Z3259" s="74"/>
      <c r="AA3259" s="74"/>
      <c r="AB3259" s="74"/>
      <c r="AC3259" s="74"/>
      <c r="AD3259" s="74"/>
      <c r="AE3259" s="74"/>
      <c r="AF3259" s="74"/>
      <c r="AG3259" s="74"/>
      <c r="AH3259" s="74"/>
    </row>
    <row r="3260" s="73" customFormat="1" spans="1:34">
      <c r="A3260" s="74"/>
      <c r="B3260" s="74"/>
      <c r="C3260" s="74"/>
      <c r="D3260" s="74"/>
      <c r="E3260" s="74"/>
      <c r="F3260" s="74"/>
      <c r="G3260" s="74"/>
      <c r="H3260" s="74"/>
      <c r="I3260" s="74"/>
      <c r="J3260" s="74"/>
      <c r="K3260" s="74"/>
      <c r="L3260" s="74"/>
      <c r="M3260" s="74"/>
      <c r="N3260" s="74"/>
      <c r="O3260" s="75"/>
      <c r="P3260" s="74"/>
      <c r="Q3260" s="75"/>
      <c r="R3260" s="74"/>
      <c r="S3260" s="74"/>
      <c r="T3260" s="74"/>
      <c r="U3260" s="75"/>
      <c r="V3260" s="74"/>
      <c r="W3260" s="75"/>
      <c r="X3260" s="74"/>
      <c r="Y3260" s="74"/>
      <c r="Z3260" s="74"/>
      <c r="AA3260" s="74"/>
      <c r="AB3260" s="74"/>
      <c r="AC3260" s="74"/>
      <c r="AD3260" s="74"/>
      <c r="AE3260" s="74"/>
      <c r="AF3260" s="74"/>
      <c r="AG3260" s="74"/>
      <c r="AH3260" s="74"/>
    </row>
    <row r="3261" s="73" customFormat="1" spans="1:34">
      <c r="A3261" s="74"/>
      <c r="B3261" s="74"/>
      <c r="C3261" s="74"/>
      <c r="D3261" s="74"/>
      <c r="E3261" s="74"/>
      <c r="F3261" s="74"/>
      <c r="G3261" s="74"/>
      <c r="H3261" s="74"/>
      <c r="I3261" s="74"/>
      <c r="J3261" s="74"/>
      <c r="K3261" s="74"/>
      <c r="L3261" s="74"/>
      <c r="M3261" s="74"/>
      <c r="N3261" s="74"/>
      <c r="O3261" s="75"/>
      <c r="P3261" s="74"/>
      <c r="Q3261" s="75"/>
      <c r="R3261" s="74"/>
      <c r="S3261" s="74"/>
      <c r="T3261" s="74"/>
      <c r="U3261" s="75"/>
      <c r="V3261" s="74"/>
      <c r="W3261" s="75"/>
      <c r="X3261" s="74"/>
      <c r="Y3261" s="74"/>
      <c r="Z3261" s="74"/>
      <c r="AA3261" s="74"/>
      <c r="AB3261" s="74"/>
      <c r="AC3261" s="74"/>
      <c r="AD3261" s="74"/>
      <c r="AE3261" s="74"/>
      <c r="AF3261" s="74"/>
      <c r="AG3261" s="74"/>
      <c r="AH3261" s="74"/>
    </row>
    <row r="3262" s="73" customFormat="1" spans="1:34">
      <c r="A3262" s="74"/>
      <c r="B3262" s="74"/>
      <c r="C3262" s="74"/>
      <c r="D3262" s="74"/>
      <c r="E3262" s="74"/>
      <c r="F3262" s="74"/>
      <c r="G3262" s="74"/>
      <c r="H3262" s="74"/>
      <c r="I3262" s="74"/>
      <c r="J3262" s="74"/>
      <c r="K3262" s="74"/>
      <c r="L3262" s="74"/>
      <c r="M3262" s="74"/>
      <c r="N3262" s="74"/>
      <c r="O3262" s="75"/>
      <c r="P3262" s="74"/>
      <c r="Q3262" s="75"/>
      <c r="R3262" s="74"/>
      <c r="S3262" s="74"/>
      <c r="T3262" s="74"/>
      <c r="U3262" s="75"/>
      <c r="V3262" s="74"/>
      <c r="W3262" s="75"/>
      <c r="X3262" s="74"/>
      <c r="Y3262" s="74"/>
      <c r="Z3262" s="74"/>
      <c r="AA3262" s="74"/>
      <c r="AB3262" s="74"/>
      <c r="AC3262" s="74"/>
      <c r="AD3262" s="74"/>
      <c r="AE3262" s="74"/>
      <c r="AF3262" s="74"/>
      <c r="AG3262" s="74"/>
      <c r="AH3262" s="74"/>
    </row>
    <row r="3263" s="73" customFormat="1" spans="1:34">
      <c r="A3263" s="74"/>
      <c r="B3263" s="74"/>
      <c r="C3263" s="74"/>
      <c r="D3263" s="74"/>
      <c r="E3263" s="74"/>
      <c r="F3263" s="74"/>
      <c r="G3263" s="74"/>
      <c r="H3263" s="74"/>
      <c r="I3263" s="74"/>
      <c r="J3263" s="74"/>
      <c r="K3263" s="74"/>
      <c r="L3263" s="74"/>
      <c r="M3263" s="74"/>
      <c r="N3263" s="74"/>
      <c r="O3263" s="75"/>
      <c r="P3263" s="74"/>
      <c r="Q3263" s="75"/>
      <c r="R3263" s="74"/>
      <c r="S3263" s="74"/>
      <c r="T3263" s="74"/>
      <c r="U3263" s="75"/>
      <c r="V3263" s="74"/>
      <c r="W3263" s="75"/>
      <c r="X3263" s="74"/>
      <c r="Y3263" s="74"/>
      <c r="Z3263" s="74"/>
      <c r="AA3263" s="74"/>
      <c r="AB3263" s="74"/>
      <c r="AC3263" s="74"/>
      <c r="AD3263" s="74"/>
      <c r="AE3263" s="74"/>
      <c r="AF3263" s="74"/>
      <c r="AG3263" s="74"/>
      <c r="AH3263" s="74"/>
    </row>
    <row r="3264" s="73" customFormat="1" spans="1:34">
      <c r="A3264" s="74"/>
      <c r="B3264" s="74"/>
      <c r="C3264" s="74"/>
      <c r="D3264" s="74"/>
      <c r="E3264" s="74"/>
      <c r="F3264" s="74"/>
      <c r="G3264" s="74"/>
      <c r="H3264" s="74"/>
      <c r="I3264" s="74"/>
      <c r="J3264" s="74"/>
      <c r="K3264" s="74"/>
      <c r="L3264" s="74"/>
      <c r="M3264" s="74"/>
      <c r="N3264" s="74"/>
      <c r="O3264" s="75"/>
      <c r="P3264" s="74"/>
      <c r="Q3264" s="75"/>
      <c r="R3264" s="74"/>
      <c r="S3264" s="74"/>
      <c r="T3264" s="74"/>
      <c r="U3264" s="75"/>
      <c r="V3264" s="74"/>
      <c r="W3264" s="75"/>
      <c r="X3264" s="74"/>
      <c r="Y3264" s="74"/>
      <c r="Z3264" s="74"/>
      <c r="AA3264" s="74"/>
      <c r="AB3264" s="74"/>
      <c r="AC3264" s="74"/>
      <c r="AD3264" s="74"/>
      <c r="AE3264" s="74"/>
      <c r="AF3264" s="74"/>
      <c r="AG3264" s="74"/>
      <c r="AH3264" s="74"/>
    </row>
    <row r="3265" s="73" customFormat="1" spans="1:34">
      <c r="A3265" s="74"/>
      <c r="B3265" s="74"/>
      <c r="C3265" s="74"/>
      <c r="D3265" s="74"/>
      <c r="E3265" s="74"/>
      <c r="F3265" s="74"/>
      <c r="G3265" s="74"/>
      <c r="H3265" s="74"/>
      <c r="I3265" s="74"/>
      <c r="J3265" s="74"/>
      <c r="K3265" s="74"/>
      <c r="L3265" s="74"/>
      <c r="M3265" s="74"/>
      <c r="N3265" s="74"/>
      <c r="O3265" s="75"/>
      <c r="P3265" s="74"/>
      <c r="Q3265" s="75"/>
      <c r="R3265" s="74"/>
      <c r="S3265" s="74"/>
      <c r="T3265" s="74"/>
      <c r="U3265" s="75"/>
      <c r="V3265" s="74"/>
      <c r="W3265" s="75"/>
      <c r="X3265" s="74"/>
      <c r="Y3265" s="74"/>
      <c r="Z3265" s="74"/>
      <c r="AA3265" s="74"/>
      <c r="AB3265" s="74"/>
      <c r="AC3265" s="74"/>
      <c r="AD3265" s="74"/>
      <c r="AE3265" s="74"/>
      <c r="AF3265" s="74"/>
      <c r="AG3265" s="74"/>
      <c r="AH3265" s="74"/>
    </row>
    <row r="3266" s="73" customFormat="1" spans="1:34">
      <c r="A3266" s="74"/>
      <c r="B3266" s="74"/>
      <c r="C3266" s="74"/>
      <c r="D3266" s="74"/>
      <c r="E3266" s="74"/>
      <c r="F3266" s="74"/>
      <c r="G3266" s="74"/>
      <c r="H3266" s="74"/>
      <c r="I3266" s="74"/>
      <c r="J3266" s="74"/>
      <c r="K3266" s="74"/>
      <c r="L3266" s="74"/>
      <c r="M3266" s="74"/>
      <c r="N3266" s="74"/>
      <c r="O3266" s="75"/>
      <c r="P3266" s="74"/>
      <c r="Q3266" s="75"/>
      <c r="R3266" s="74"/>
      <c r="S3266" s="74"/>
      <c r="T3266" s="74"/>
      <c r="U3266" s="75"/>
      <c r="V3266" s="74"/>
      <c r="W3266" s="75"/>
      <c r="X3266" s="74"/>
      <c r="Y3266" s="74"/>
      <c r="Z3266" s="74"/>
      <c r="AA3266" s="74"/>
      <c r="AB3266" s="74"/>
      <c r="AC3266" s="74"/>
      <c r="AD3266" s="74"/>
      <c r="AE3266" s="74"/>
      <c r="AF3266" s="74"/>
      <c r="AG3266" s="74"/>
      <c r="AH3266" s="74"/>
    </row>
    <row r="3267" s="73" customFormat="1" spans="1:34">
      <c r="A3267" s="74"/>
      <c r="B3267" s="74"/>
      <c r="C3267" s="74"/>
      <c r="D3267" s="74"/>
      <c r="E3267" s="74"/>
      <c r="F3267" s="74"/>
      <c r="G3267" s="74"/>
      <c r="H3267" s="74"/>
      <c r="I3267" s="74"/>
      <c r="J3267" s="74"/>
      <c r="K3267" s="74"/>
      <c r="L3267" s="74"/>
      <c r="M3267" s="74"/>
      <c r="N3267" s="74"/>
      <c r="O3267" s="75"/>
      <c r="P3267" s="74"/>
      <c r="Q3267" s="75"/>
      <c r="R3267" s="74"/>
      <c r="S3267" s="74"/>
      <c r="T3267" s="74"/>
      <c r="U3267" s="75"/>
      <c r="V3267" s="74"/>
      <c r="W3267" s="75"/>
      <c r="X3267" s="74"/>
      <c r="Y3267" s="74"/>
      <c r="Z3267" s="74"/>
      <c r="AA3267" s="74"/>
      <c r="AB3267" s="74"/>
      <c r="AC3267" s="74"/>
      <c r="AD3267" s="74"/>
      <c r="AE3267" s="74"/>
      <c r="AF3267" s="74"/>
      <c r="AG3267" s="74"/>
      <c r="AH3267" s="74"/>
    </row>
    <row r="3268" s="73" customFormat="1" spans="1:34">
      <c r="A3268" s="74"/>
      <c r="B3268" s="74"/>
      <c r="C3268" s="74"/>
      <c r="D3268" s="74"/>
      <c r="E3268" s="74"/>
      <c r="F3268" s="74"/>
      <c r="G3268" s="74"/>
      <c r="H3268" s="74"/>
      <c r="I3268" s="74"/>
      <c r="J3268" s="74"/>
      <c r="K3268" s="74"/>
      <c r="L3268" s="74"/>
      <c r="M3268" s="74"/>
      <c r="N3268" s="74"/>
      <c r="O3268" s="75"/>
      <c r="P3268" s="74"/>
      <c r="Q3268" s="75"/>
      <c r="R3268" s="74"/>
      <c r="S3268" s="74"/>
      <c r="T3268" s="74"/>
      <c r="U3268" s="75"/>
      <c r="V3268" s="74"/>
      <c r="W3268" s="75"/>
      <c r="X3268" s="74"/>
      <c r="Y3268" s="74"/>
      <c r="Z3268" s="74"/>
      <c r="AA3268" s="74"/>
      <c r="AB3268" s="74"/>
      <c r="AC3268" s="74"/>
      <c r="AD3268" s="74"/>
      <c r="AE3268" s="74"/>
      <c r="AF3268" s="74"/>
      <c r="AG3268" s="74"/>
      <c r="AH3268" s="74"/>
    </row>
    <row r="3269" s="73" customFormat="1" spans="1:34">
      <c r="A3269" s="74"/>
      <c r="B3269" s="74"/>
      <c r="C3269" s="74"/>
      <c r="D3269" s="74"/>
      <c r="E3269" s="74"/>
      <c r="F3269" s="74"/>
      <c r="G3269" s="74"/>
      <c r="H3269" s="74"/>
      <c r="I3269" s="74"/>
      <c r="J3269" s="74"/>
      <c r="K3269" s="74"/>
      <c r="L3269" s="74"/>
      <c r="M3269" s="74"/>
      <c r="N3269" s="74"/>
      <c r="O3269" s="75"/>
      <c r="P3269" s="74"/>
      <c r="Q3269" s="75"/>
      <c r="R3269" s="74"/>
      <c r="S3269" s="74"/>
      <c r="T3269" s="74"/>
      <c r="U3269" s="75"/>
      <c r="V3269" s="74"/>
      <c r="W3269" s="75"/>
      <c r="X3269" s="74"/>
      <c r="Y3269" s="74"/>
      <c r="Z3269" s="74"/>
      <c r="AA3269" s="74"/>
      <c r="AB3269" s="74"/>
      <c r="AC3269" s="74"/>
      <c r="AD3269" s="74"/>
      <c r="AE3269" s="74"/>
      <c r="AF3269" s="74"/>
      <c r="AG3269" s="74"/>
      <c r="AH3269" s="74"/>
    </row>
    <row r="3270" s="73" customFormat="1" spans="1:34">
      <c r="A3270" s="74"/>
      <c r="B3270" s="74"/>
      <c r="C3270" s="74"/>
      <c r="D3270" s="74"/>
      <c r="E3270" s="74"/>
      <c r="F3270" s="74"/>
      <c r="G3270" s="74"/>
      <c r="H3270" s="74"/>
      <c r="I3270" s="74"/>
      <c r="J3270" s="74"/>
      <c r="K3270" s="74"/>
      <c r="L3270" s="74"/>
      <c r="M3270" s="74"/>
      <c r="N3270" s="74"/>
      <c r="O3270" s="75"/>
      <c r="P3270" s="74"/>
      <c r="Q3270" s="75"/>
      <c r="R3270" s="74"/>
      <c r="S3270" s="74"/>
      <c r="T3270" s="74"/>
      <c r="U3270" s="75"/>
      <c r="V3270" s="74"/>
      <c r="W3270" s="75"/>
      <c r="X3270" s="74"/>
      <c r="Y3270" s="74"/>
      <c r="Z3270" s="74"/>
      <c r="AA3270" s="74"/>
      <c r="AB3270" s="74"/>
      <c r="AC3270" s="74"/>
      <c r="AD3270" s="74"/>
      <c r="AE3270" s="74"/>
      <c r="AF3270" s="74"/>
      <c r="AG3270" s="74"/>
      <c r="AH3270" s="74"/>
    </row>
    <row r="3271" s="73" customFormat="1" spans="1:34">
      <c r="A3271" s="74"/>
      <c r="B3271" s="74"/>
      <c r="C3271" s="74"/>
      <c r="D3271" s="74"/>
      <c r="E3271" s="74"/>
      <c r="F3271" s="74"/>
      <c r="G3271" s="74"/>
      <c r="H3271" s="74"/>
      <c r="I3271" s="74"/>
      <c r="J3271" s="74"/>
      <c r="K3271" s="74"/>
      <c r="L3271" s="74"/>
      <c r="M3271" s="74"/>
      <c r="N3271" s="74"/>
      <c r="O3271" s="75"/>
      <c r="P3271" s="74"/>
      <c r="Q3271" s="75"/>
      <c r="R3271" s="74"/>
      <c r="S3271" s="74"/>
      <c r="T3271" s="74"/>
      <c r="U3271" s="75"/>
      <c r="V3271" s="74"/>
      <c r="W3271" s="75"/>
      <c r="X3271" s="74"/>
      <c r="Y3271" s="74"/>
      <c r="Z3271" s="74"/>
      <c r="AA3271" s="74"/>
      <c r="AB3271" s="74"/>
      <c r="AC3271" s="74"/>
      <c r="AD3271" s="74"/>
      <c r="AE3271" s="74"/>
      <c r="AF3271" s="74"/>
      <c r="AG3271" s="74"/>
      <c r="AH3271" s="74"/>
    </row>
    <row r="3272" s="73" customFormat="1" spans="1:34">
      <c r="A3272" s="74"/>
      <c r="B3272" s="74"/>
      <c r="C3272" s="74"/>
      <c r="D3272" s="74"/>
      <c r="E3272" s="74"/>
      <c r="F3272" s="74"/>
      <c r="G3272" s="74"/>
      <c r="H3272" s="74"/>
      <c r="I3272" s="74"/>
      <c r="J3272" s="74"/>
      <c r="K3272" s="74"/>
      <c r="L3272" s="74"/>
      <c r="M3272" s="74"/>
      <c r="N3272" s="74"/>
      <c r="O3272" s="75"/>
      <c r="P3272" s="74"/>
      <c r="Q3272" s="75"/>
      <c r="R3272" s="74"/>
      <c r="S3272" s="74"/>
      <c r="T3272" s="74"/>
      <c r="U3272" s="75"/>
      <c r="V3272" s="74"/>
      <c r="W3272" s="75"/>
      <c r="X3272" s="74"/>
      <c r="Y3272" s="74"/>
      <c r="Z3272" s="74"/>
      <c r="AA3272" s="74"/>
      <c r="AB3272" s="74"/>
      <c r="AC3272" s="74"/>
      <c r="AD3272" s="74"/>
      <c r="AE3272" s="74"/>
      <c r="AF3272" s="74"/>
      <c r="AG3272" s="74"/>
      <c r="AH3272" s="74"/>
    </row>
    <row r="3273" s="73" customFormat="1" spans="1:34">
      <c r="A3273" s="74"/>
      <c r="B3273" s="74"/>
      <c r="C3273" s="74"/>
      <c r="D3273" s="74"/>
      <c r="E3273" s="74"/>
      <c r="F3273" s="74"/>
      <c r="G3273" s="74"/>
      <c r="H3273" s="74"/>
      <c r="I3273" s="74"/>
      <c r="J3273" s="74"/>
      <c r="K3273" s="74"/>
      <c r="L3273" s="74"/>
      <c r="M3273" s="74"/>
      <c r="N3273" s="74"/>
      <c r="O3273" s="75"/>
      <c r="P3273" s="74"/>
      <c r="Q3273" s="75"/>
      <c r="R3273" s="74"/>
      <c r="S3273" s="74"/>
      <c r="T3273" s="74"/>
      <c r="U3273" s="75"/>
      <c r="V3273" s="74"/>
      <c r="W3273" s="75"/>
      <c r="X3273" s="74"/>
      <c r="Y3273" s="74"/>
      <c r="Z3273" s="74"/>
      <c r="AA3273" s="74"/>
      <c r="AB3273" s="74"/>
      <c r="AC3273" s="74"/>
      <c r="AD3273" s="74"/>
      <c r="AE3273" s="74"/>
      <c r="AF3273" s="74"/>
      <c r="AG3273" s="74"/>
      <c r="AH3273" s="74"/>
    </row>
    <row r="3274" s="73" customFormat="1" spans="1:34">
      <c r="A3274" s="74"/>
      <c r="B3274" s="74"/>
      <c r="C3274" s="74"/>
      <c r="D3274" s="74"/>
      <c r="E3274" s="74"/>
      <c r="F3274" s="74"/>
      <c r="G3274" s="74"/>
      <c r="H3274" s="74"/>
      <c r="I3274" s="74"/>
      <c r="J3274" s="74"/>
      <c r="K3274" s="74"/>
      <c r="L3274" s="74"/>
      <c r="M3274" s="74"/>
      <c r="N3274" s="74"/>
      <c r="O3274" s="75"/>
      <c r="P3274" s="74"/>
      <c r="Q3274" s="75"/>
      <c r="R3274" s="74"/>
      <c r="S3274" s="74"/>
      <c r="T3274" s="74"/>
      <c r="U3274" s="75"/>
      <c r="V3274" s="74"/>
      <c r="W3274" s="75"/>
      <c r="X3274" s="74"/>
      <c r="Y3274" s="74"/>
      <c r="Z3274" s="74"/>
      <c r="AA3274" s="74"/>
      <c r="AB3274" s="74"/>
      <c r="AC3274" s="74"/>
      <c r="AD3274" s="74"/>
      <c r="AE3274" s="74"/>
      <c r="AF3274" s="74"/>
      <c r="AG3274" s="74"/>
      <c r="AH3274" s="74"/>
    </row>
    <row r="3275" s="73" customFormat="1" spans="1:34">
      <c r="A3275" s="74"/>
      <c r="B3275" s="74"/>
      <c r="C3275" s="74"/>
      <c r="D3275" s="74"/>
      <c r="E3275" s="74"/>
      <c r="F3275" s="74"/>
      <c r="G3275" s="74"/>
      <c r="H3275" s="74"/>
      <c r="I3275" s="74"/>
      <c r="J3275" s="74"/>
      <c r="K3275" s="74"/>
      <c r="L3275" s="74"/>
      <c r="M3275" s="74"/>
      <c r="N3275" s="74"/>
      <c r="O3275" s="75"/>
      <c r="P3275" s="74"/>
      <c r="Q3275" s="75"/>
      <c r="R3275" s="74"/>
      <c r="S3275" s="74"/>
      <c r="T3275" s="74"/>
      <c r="U3275" s="75"/>
      <c r="V3275" s="74"/>
      <c r="W3275" s="75"/>
      <c r="X3275" s="74"/>
      <c r="Y3275" s="74"/>
      <c r="Z3275" s="74"/>
      <c r="AA3275" s="74"/>
      <c r="AB3275" s="74"/>
      <c r="AC3275" s="74"/>
      <c r="AD3275" s="74"/>
      <c r="AE3275" s="74"/>
      <c r="AF3275" s="74"/>
      <c r="AG3275" s="74"/>
      <c r="AH3275" s="74"/>
    </row>
    <row r="3276" s="73" customFormat="1" spans="1:34">
      <c r="A3276" s="74"/>
      <c r="B3276" s="74"/>
      <c r="C3276" s="74"/>
      <c r="D3276" s="74"/>
      <c r="E3276" s="74"/>
      <c r="F3276" s="74"/>
      <c r="G3276" s="74"/>
      <c r="H3276" s="74"/>
      <c r="I3276" s="74"/>
      <c r="J3276" s="74"/>
      <c r="K3276" s="74"/>
      <c r="L3276" s="74"/>
      <c r="M3276" s="74"/>
      <c r="N3276" s="74"/>
      <c r="O3276" s="75"/>
      <c r="P3276" s="74"/>
      <c r="Q3276" s="75"/>
      <c r="R3276" s="74"/>
      <c r="S3276" s="74"/>
      <c r="T3276" s="74"/>
      <c r="U3276" s="75"/>
      <c r="V3276" s="74"/>
      <c r="W3276" s="75"/>
      <c r="X3276" s="74"/>
      <c r="Y3276" s="74"/>
      <c r="Z3276" s="74"/>
      <c r="AA3276" s="74"/>
      <c r="AB3276" s="74"/>
      <c r="AC3276" s="74"/>
      <c r="AD3276" s="74"/>
      <c r="AE3276" s="74"/>
      <c r="AF3276" s="74"/>
      <c r="AG3276" s="74"/>
      <c r="AH3276" s="74"/>
    </row>
    <row r="3277" s="73" customFormat="1" spans="1:34">
      <c r="A3277" s="74"/>
      <c r="B3277" s="74"/>
      <c r="C3277" s="74"/>
      <c r="D3277" s="74"/>
      <c r="E3277" s="74"/>
      <c r="F3277" s="74"/>
      <c r="G3277" s="74"/>
      <c r="H3277" s="74"/>
      <c r="I3277" s="74"/>
      <c r="J3277" s="74"/>
      <c r="K3277" s="74"/>
      <c r="L3277" s="74"/>
      <c r="M3277" s="74"/>
      <c r="N3277" s="74"/>
      <c r="O3277" s="75"/>
      <c r="P3277" s="74"/>
      <c r="Q3277" s="75"/>
      <c r="R3277" s="74"/>
      <c r="S3277" s="74"/>
      <c r="T3277" s="74"/>
      <c r="U3277" s="75"/>
      <c r="V3277" s="74"/>
      <c r="W3277" s="75"/>
      <c r="X3277" s="74"/>
      <c r="Y3277" s="74"/>
      <c r="Z3277" s="74"/>
      <c r="AA3277" s="74"/>
      <c r="AB3277" s="74"/>
      <c r="AC3277" s="74"/>
      <c r="AD3277" s="74"/>
      <c r="AE3277" s="74"/>
      <c r="AF3277" s="74"/>
      <c r="AG3277" s="74"/>
      <c r="AH3277" s="74"/>
    </row>
    <row r="3278" s="73" customFormat="1" spans="1:34">
      <c r="A3278" s="74"/>
      <c r="B3278" s="74"/>
      <c r="C3278" s="74"/>
      <c r="D3278" s="74"/>
      <c r="E3278" s="74"/>
      <c r="F3278" s="74"/>
      <c r="G3278" s="74"/>
      <c r="H3278" s="74"/>
      <c r="I3278" s="74"/>
      <c r="J3278" s="74"/>
      <c r="K3278" s="74"/>
      <c r="L3278" s="74"/>
      <c r="M3278" s="74"/>
      <c r="N3278" s="74"/>
      <c r="O3278" s="75"/>
      <c r="P3278" s="74"/>
      <c r="Q3278" s="75"/>
      <c r="R3278" s="74"/>
      <c r="S3278" s="74"/>
      <c r="T3278" s="74"/>
      <c r="U3278" s="75"/>
      <c r="V3278" s="74"/>
      <c r="W3278" s="75"/>
      <c r="X3278" s="74"/>
      <c r="Y3278" s="74"/>
      <c r="Z3278" s="74"/>
      <c r="AA3278" s="74"/>
      <c r="AB3278" s="74"/>
      <c r="AC3278" s="74"/>
      <c r="AD3278" s="74"/>
      <c r="AE3278" s="74"/>
      <c r="AF3278" s="74"/>
      <c r="AG3278" s="74"/>
      <c r="AH3278" s="74"/>
    </row>
    <row r="3279" s="73" customFormat="1" spans="1:34">
      <c r="A3279" s="74"/>
      <c r="B3279" s="74"/>
      <c r="C3279" s="74"/>
      <c r="D3279" s="74"/>
      <c r="E3279" s="74"/>
      <c r="F3279" s="74"/>
      <c r="G3279" s="74"/>
      <c r="H3279" s="74"/>
      <c r="I3279" s="74"/>
      <c r="J3279" s="74"/>
      <c r="K3279" s="74"/>
      <c r="L3279" s="74"/>
      <c r="M3279" s="74"/>
      <c r="N3279" s="74"/>
      <c r="O3279" s="75"/>
      <c r="P3279" s="74"/>
      <c r="Q3279" s="75"/>
      <c r="R3279" s="74"/>
      <c r="S3279" s="74"/>
      <c r="T3279" s="74"/>
      <c r="U3279" s="75"/>
      <c r="V3279" s="74"/>
      <c r="W3279" s="75"/>
      <c r="X3279" s="74"/>
      <c r="Y3279" s="74"/>
      <c r="Z3279" s="74"/>
      <c r="AA3279" s="74"/>
      <c r="AB3279" s="74"/>
      <c r="AC3279" s="74"/>
      <c r="AD3279" s="74"/>
      <c r="AE3279" s="74"/>
      <c r="AF3279" s="74"/>
      <c r="AG3279" s="74"/>
      <c r="AH3279" s="74"/>
    </row>
    <row r="3280" s="73" customFormat="1" spans="1:34">
      <c r="A3280" s="74"/>
      <c r="B3280" s="74"/>
      <c r="C3280" s="74"/>
      <c r="D3280" s="74"/>
      <c r="E3280" s="74"/>
      <c r="F3280" s="74"/>
      <c r="G3280" s="74"/>
      <c r="H3280" s="74"/>
      <c r="I3280" s="74"/>
      <c r="J3280" s="74"/>
      <c r="K3280" s="74"/>
      <c r="L3280" s="74"/>
      <c r="M3280" s="74"/>
      <c r="N3280" s="74"/>
      <c r="O3280" s="75"/>
      <c r="P3280" s="74"/>
      <c r="Q3280" s="75"/>
      <c r="R3280" s="74"/>
      <c r="S3280" s="74"/>
      <c r="T3280" s="74"/>
      <c r="U3280" s="75"/>
      <c r="V3280" s="74"/>
      <c r="W3280" s="75"/>
      <c r="X3280" s="74"/>
      <c r="Y3280" s="74"/>
      <c r="Z3280" s="74"/>
      <c r="AA3280" s="74"/>
      <c r="AB3280" s="74"/>
      <c r="AC3280" s="74"/>
      <c r="AD3280" s="74"/>
      <c r="AE3280" s="74"/>
      <c r="AF3280" s="74"/>
      <c r="AG3280" s="74"/>
      <c r="AH3280" s="74"/>
    </row>
    <row r="3281" s="73" customFormat="1" spans="1:34">
      <c r="A3281" s="74"/>
      <c r="B3281" s="74"/>
      <c r="C3281" s="74"/>
      <c r="D3281" s="74"/>
      <c r="E3281" s="74"/>
      <c r="F3281" s="74"/>
      <c r="G3281" s="74"/>
      <c r="H3281" s="74"/>
      <c r="I3281" s="74"/>
      <c r="J3281" s="74"/>
      <c r="K3281" s="74"/>
      <c r="L3281" s="74"/>
      <c r="M3281" s="74"/>
      <c r="N3281" s="74"/>
      <c r="O3281" s="75"/>
      <c r="P3281" s="74"/>
      <c r="Q3281" s="75"/>
      <c r="R3281" s="74"/>
      <c r="S3281" s="74"/>
      <c r="T3281" s="74"/>
      <c r="U3281" s="75"/>
      <c r="V3281" s="74"/>
      <c r="W3281" s="75"/>
      <c r="X3281" s="74"/>
      <c r="Y3281" s="74"/>
      <c r="Z3281" s="74"/>
      <c r="AA3281" s="74"/>
      <c r="AB3281" s="74"/>
      <c r="AC3281" s="74"/>
      <c r="AD3281" s="74"/>
      <c r="AE3281" s="74"/>
      <c r="AF3281" s="74"/>
      <c r="AG3281" s="74"/>
      <c r="AH3281" s="74"/>
    </row>
    <row r="3282" s="73" customFormat="1" spans="1:34">
      <c r="A3282" s="74"/>
      <c r="B3282" s="74"/>
      <c r="C3282" s="74"/>
      <c r="D3282" s="74"/>
      <c r="E3282" s="74"/>
      <c r="F3282" s="74"/>
      <c r="G3282" s="74"/>
      <c r="H3282" s="74"/>
      <c r="I3282" s="74"/>
      <c r="J3282" s="74"/>
      <c r="K3282" s="74"/>
      <c r="L3282" s="74"/>
      <c r="M3282" s="74"/>
      <c r="N3282" s="74"/>
      <c r="O3282" s="75"/>
      <c r="P3282" s="74"/>
      <c r="Q3282" s="75"/>
      <c r="R3282" s="74"/>
      <c r="S3282" s="74"/>
      <c r="T3282" s="74"/>
      <c r="U3282" s="75"/>
      <c r="V3282" s="74"/>
      <c r="W3282" s="75"/>
      <c r="X3282" s="74"/>
      <c r="Y3282" s="74"/>
      <c r="Z3282" s="74"/>
      <c r="AA3282" s="74"/>
      <c r="AB3282" s="74"/>
      <c r="AC3282" s="74"/>
      <c r="AD3282" s="74"/>
      <c r="AE3282" s="74"/>
      <c r="AF3282" s="74"/>
      <c r="AG3282" s="74"/>
      <c r="AH3282" s="74"/>
    </row>
    <row r="3283" s="73" customFormat="1" spans="1:34">
      <c r="A3283" s="74"/>
      <c r="B3283" s="74"/>
      <c r="C3283" s="74"/>
      <c r="D3283" s="74"/>
      <c r="E3283" s="74"/>
      <c r="F3283" s="74"/>
      <c r="G3283" s="74"/>
      <c r="H3283" s="74"/>
      <c r="I3283" s="74"/>
      <c r="J3283" s="74"/>
      <c r="K3283" s="74"/>
      <c r="L3283" s="74"/>
      <c r="M3283" s="74"/>
      <c r="N3283" s="74"/>
      <c r="O3283" s="75"/>
      <c r="P3283" s="74"/>
      <c r="Q3283" s="75"/>
      <c r="R3283" s="74"/>
      <c r="S3283" s="74"/>
      <c r="T3283" s="74"/>
      <c r="U3283" s="75"/>
      <c r="V3283" s="74"/>
      <c r="W3283" s="75"/>
      <c r="X3283" s="74"/>
      <c r="Y3283" s="74"/>
      <c r="Z3283" s="74"/>
      <c r="AA3283" s="74"/>
      <c r="AB3283" s="74"/>
      <c r="AC3283" s="74"/>
      <c r="AD3283" s="74"/>
      <c r="AE3283" s="74"/>
      <c r="AF3283" s="74"/>
      <c r="AG3283" s="74"/>
      <c r="AH3283" s="74"/>
    </row>
    <row r="3284" s="73" customFormat="1" spans="1:34">
      <c r="A3284" s="74"/>
      <c r="B3284" s="74"/>
      <c r="C3284" s="74"/>
      <c r="D3284" s="74"/>
      <c r="E3284" s="74"/>
      <c r="F3284" s="74"/>
      <c r="G3284" s="74"/>
      <c r="H3284" s="74"/>
      <c r="I3284" s="74"/>
      <c r="J3284" s="74"/>
      <c r="K3284" s="74"/>
      <c r="L3284" s="74"/>
      <c r="M3284" s="74"/>
      <c r="N3284" s="74"/>
      <c r="O3284" s="75"/>
      <c r="P3284" s="74"/>
      <c r="Q3284" s="75"/>
      <c r="R3284" s="74"/>
      <c r="S3284" s="74"/>
      <c r="T3284" s="74"/>
      <c r="U3284" s="75"/>
      <c r="V3284" s="74"/>
      <c r="W3284" s="75"/>
      <c r="X3284" s="74"/>
      <c r="Y3284" s="74"/>
      <c r="Z3284" s="74"/>
      <c r="AA3284" s="74"/>
      <c r="AB3284" s="74"/>
      <c r="AC3284" s="74"/>
      <c r="AD3284" s="74"/>
      <c r="AE3284" s="74"/>
      <c r="AF3284" s="74"/>
      <c r="AG3284" s="74"/>
      <c r="AH3284" s="74"/>
    </row>
    <row r="3285" s="73" customFormat="1" spans="1:34">
      <c r="A3285" s="74"/>
      <c r="B3285" s="74"/>
      <c r="C3285" s="74"/>
      <c r="D3285" s="74"/>
      <c r="E3285" s="74"/>
      <c r="F3285" s="74"/>
      <c r="G3285" s="74"/>
      <c r="H3285" s="74"/>
      <c r="I3285" s="74"/>
      <c r="J3285" s="74"/>
      <c r="K3285" s="74"/>
      <c r="L3285" s="74"/>
      <c r="M3285" s="74"/>
      <c r="N3285" s="74"/>
      <c r="O3285" s="75"/>
      <c r="P3285" s="74"/>
      <c r="Q3285" s="75"/>
      <c r="R3285" s="74"/>
      <c r="S3285" s="74"/>
      <c r="T3285" s="74"/>
      <c r="U3285" s="75"/>
      <c r="V3285" s="74"/>
      <c r="W3285" s="75"/>
      <c r="X3285" s="74"/>
      <c r="Y3285" s="74"/>
      <c r="Z3285" s="74"/>
      <c r="AA3285" s="74"/>
      <c r="AB3285" s="74"/>
      <c r="AC3285" s="74"/>
      <c r="AD3285" s="74"/>
      <c r="AE3285" s="74"/>
      <c r="AF3285" s="74"/>
      <c r="AG3285" s="74"/>
      <c r="AH3285" s="74"/>
    </row>
    <row r="3286" s="73" customFormat="1" spans="1:34">
      <c r="A3286" s="74"/>
      <c r="B3286" s="74"/>
      <c r="C3286" s="74"/>
      <c r="D3286" s="74"/>
      <c r="E3286" s="74"/>
      <c r="F3286" s="74"/>
      <c r="G3286" s="74"/>
      <c r="H3286" s="74"/>
      <c r="I3286" s="74"/>
      <c r="J3286" s="74"/>
      <c r="K3286" s="74"/>
      <c r="L3286" s="74"/>
      <c r="M3286" s="74"/>
      <c r="N3286" s="74"/>
      <c r="O3286" s="75"/>
      <c r="P3286" s="74"/>
      <c r="Q3286" s="75"/>
      <c r="R3286" s="74"/>
      <c r="S3286" s="74"/>
      <c r="T3286" s="74"/>
      <c r="U3286" s="75"/>
      <c r="V3286" s="74"/>
      <c r="W3286" s="75"/>
      <c r="X3286" s="74"/>
      <c r="Y3286" s="74"/>
      <c r="Z3286" s="74"/>
      <c r="AA3286" s="74"/>
      <c r="AB3286" s="74"/>
      <c r="AC3286" s="74"/>
      <c r="AD3286" s="74"/>
      <c r="AE3286" s="74"/>
      <c r="AF3286" s="74"/>
      <c r="AG3286" s="74"/>
      <c r="AH3286" s="74"/>
    </row>
    <row r="3287" s="73" customFormat="1" spans="1:34">
      <c r="A3287" s="74"/>
      <c r="B3287" s="74"/>
      <c r="C3287" s="74"/>
      <c r="D3287" s="74"/>
      <c r="E3287" s="74"/>
      <c r="F3287" s="74"/>
      <c r="G3287" s="74"/>
      <c r="H3287" s="74"/>
      <c r="I3287" s="74"/>
      <c r="J3287" s="74"/>
      <c r="K3287" s="74"/>
      <c r="L3287" s="74"/>
      <c r="M3287" s="74"/>
      <c r="N3287" s="74"/>
      <c r="O3287" s="75"/>
      <c r="P3287" s="74"/>
      <c r="Q3287" s="75"/>
      <c r="R3287" s="74"/>
      <c r="S3287" s="74"/>
      <c r="T3287" s="74"/>
      <c r="U3287" s="75"/>
      <c r="V3287" s="74"/>
      <c r="W3287" s="75"/>
      <c r="X3287" s="74"/>
      <c r="Y3287" s="74"/>
      <c r="Z3287" s="74"/>
      <c r="AA3287" s="74"/>
      <c r="AB3287" s="74"/>
      <c r="AC3287" s="74"/>
      <c r="AD3287" s="74"/>
      <c r="AE3287" s="74"/>
      <c r="AF3287" s="74"/>
      <c r="AG3287" s="74"/>
      <c r="AH3287" s="74"/>
    </row>
    <row r="3288" s="73" customFormat="1" spans="1:34">
      <c r="A3288" s="74"/>
      <c r="B3288" s="74"/>
      <c r="C3288" s="74"/>
      <c r="D3288" s="74"/>
      <c r="E3288" s="74"/>
      <c r="F3288" s="74"/>
      <c r="G3288" s="74"/>
      <c r="H3288" s="74"/>
      <c r="I3288" s="74"/>
      <c r="J3288" s="74"/>
      <c r="K3288" s="74"/>
      <c r="L3288" s="74"/>
      <c r="M3288" s="74"/>
      <c r="N3288" s="74"/>
      <c r="O3288" s="75"/>
      <c r="P3288" s="74"/>
      <c r="Q3288" s="75"/>
      <c r="R3288" s="74"/>
      <c r="S3288" s="74"/>
      <c r="T3288" s="74"/>
      <c r="U3288" s="75"/>
      <c r="V3288" s="74"/>
      <c r="W3288" s="75"/>
      <c r="X3288" s="74"/>
      <c r="Y3288" s="74"/>
      <c r="Z3288" s="74"/>
      <c r="AA3288" s="74"/>
      <c r="AB3288" s="74"/>
      <c r="AC3288" s="74"/>
      <c r="AD3288" s="74"/>
      <c r="AE3288" s="74"/>
      <c r="AF3288" s="74"/>
      <c r="AG3288" s="74"/>
      <c r="AH3288" s="74"/>
    </row>
    <row r="3289" s="73" customFormat="1" spans="1:34">
      <c r="A3289" s="74"/>
      <c r="B3289" s="74"/>
      <c r="C3289" s="74"/>
      <c r="D3289" s="74"/>
      <c r="E3289" s="74"/>
      <c r="F3289" s="74"/>
      <c r="G3289" s="74"/>
      <c r="H3289" s="74"/>
      <c r="I3289" s="74"/>
      <c r="J3289" s="74"/>
      <c r="K3289" s="74"/>
      <c r="L3289" s="74"/>
      <c r="M3289" s="74"/>
      <c r="N3289" s="74"/>
      <c r="O3289" s="75"/>
      <c r="P3289" s="74"/>
      <c r="Q3289" s="75"/>
      <c r="R3289" s="74"/>
      <c r="S3289" s="74"/>
      <c r="T3289" s="74"/>
      <c r="U3289" s="75"/>
      <c r="V3289" s="74"/>
      <c r="W3289" s="75"/>
      <c r="X3289" s="74"/>
      <c r="Y3289" s="74"/>
      <c r="Z3289" s="74"/>
      <c r="AA3289" s="74"/>
      <c r="AB3289" s="74"/>
      <c r="AC3289" s="74"/>
      <c r="AD3289" s="74"/>
      <c r="AE3289" s="74"/>
      <c r="AF3289" s="74"/>
      <c r="AG3289" s="74"/>
      <c r="AH3289" s="74"/>
    </row>
    <row r="3290" s="73" customFormat="1" spans="1:34">
      <c r="A3290" s="74"/>
      <c r="B3290" s="74"/>
      <c r="C3290" s="74"/>
      <c r="D3290" s="74"/>
      <c r="E3290" s="74"/>
      <c r="F3290" s="74"/>
      <c r="G3290" s="74"/>
      <c r="H3290" s="74"/>
      <c r="I3290" s="74"/>
      <c r="J3290" s="74"/>
      <c r="K3290" s="74"/>
      <c r="L3290" s="74"/>
      <c r="M3290" s="74"/>
      <c r="N3290" s="74"/>
      <c r="O3290" s="75"/>
      <c r="P3290" s="74"/>
      <c r="Q3290" s="75"/>
      <c r="R3290" s="74"/>
      <c r="S3290" s="74"/>
      <c r="T3290" s="74"/>
      <c r="U3290" s="75"/>
      <c r="V3290" s="74"/>
      <c r="W3290" s="75"/>
      <c r="X3290" s="74"/>
      <c r="Y3290" s="74"/>
      <c r="Z3290" s="74"/>
      <c r="AA3290" s="74"/>
      <c r="AB3290" s="74"/>
      <c r="AC3290" s="74"/>
      <c r="AD3290" s="74"/>
      <c r="AE3290" s="74"/>
      <c r="AF3290" s="74"/>
      <c r="AG3290" s="74"/>
      <c r="AH3290" s="74"/>
    </row>
    <row r="3291" s="73" customFormat="1" spans="1:34">
      <c r="A3291" s="74"/>
      <c r="B3291" s="74"/>
      <c r="C3291" s="74"/>
      <c r="D3291" s="74"/>
      <c r="E3291" s="74"/>
      <c r="F3291" s="74"/>
      <c r="G3291" s="74"/>
      <c r="H3291" s="74"/>
      <c r="I3291" s="74"/>
      <c r="J3291" s="74"/>
      <c r="K3291" s="74"/>
      <c r="L3291" s="74"/>
      <c r="M3291" s="74"/>
      <c r="N3291" s="74"/>
      <c r="O3291" s="75"/>
      <c r="P3291" s="74"/>
      <c r="Q3291" s="75"/>
      <c r="R3291" s="74"/>
      <c r="S3291" s="74"/>
      <c r="T3291" s="74"/>
      <c r="U3291" s="75"/>
      <c r="V3291" s="74"/>
      <c r="W3291" s="75"/>
      <c r="X3291" s="74"/>
      <c r="Y3291" s="74"/>
      <c r="Z3291" s="74"/>
      <c r="AA3291" s="74"/>
      <c r="AB3291" s="74"/>
      <c r="AC3291" s="74"/>
      <c r="AD3291" s="74"/>
      <c r="AE3291" s="74"/>
      <c r="AF3291" s="74"/>
      <c r="AG3291" s="74"/>
      <c r="AH3291" s="74"/>
    </row>
    <row r="3292" s="73" customFormat="1" spans="1:34">
      <c r="A3292" s="74"/>
      <c r="B3292" s="74"/>
      <c r="C3292" s="74"/>
      <c r="D3292" s="74"/>
      <c r="E3292" s="74"/>
      <c r="F3292" s="74"/>
      <c r="G3292" s="74"/>
      <c r="H3292" s="74"/>
      <c r="I3292" s="74"/>
      <c r="J3292" s="74"/>
      <c r="K3292" s="74"/>
      <c r="L3292" s="74"/>
      <c r="M3292" s="74"/>
      <c r="N3292" s="74"/>
      <c r="O3292" s="75"/>
      <c r="P3292" s="74"/>
      <c r="Q3292" s="75"/>
      <c r="R3292" s="74"/>
      <c r="S3292" s="74"/>
      <c r="T3292" s="74"/>
      <c r="U3292" s="75"/>
      <c r="V3292" s="74"/>
      <c r="W3292" s="75"/>
      <c r="X3292" s="74"/>
      <c r="Y3292" s="74"/>
      <c r="Z3292" s="74"/>
      <c r="AA3292" s="74"/>
      <c r="AB3292" s="74"/>
      <c r="AC3292" s="74"/>
      <c r="AD3292" s="74"/>
      <c r="AE3292" s="74"/>
      <c r="AF3292" s="74"/>
      <c r="AG3292" s="74"/>
      <c r="AH3292" s="74"/>
    </row>
    <row r="3293" s="73" customFormat="1" spans="1:34">
      <c r="A3293" s="74"/>
      <c r="B3293" s="74"/>
      <c r="C3293" s="74"/>
      <c r="D3293" s="74"/>
      <c r="E3293" s="74"/>
      <c r="F3293" s="74"/>
      <c r="G3293" s="74"/>
      <c r="H3293" s="74"/>
      <c r="I3293" s="74"/>
      <c r="J3293" s="74"/>
      <c r="K3293" s="74"/>
      <c r="L3293" s="74"/>
      <c r="M3293" s="74"/>
      <c r="N3293" s="74"/>
      <c r="O3293" s="75"/>
      <c r="P3293" s="74"/>
      <c r="Q3293" s="75"/>
      <c r="R3293" s="74"/>
      <c r="S3293" s="74"/>
      <c r="T3293" s="74"/>
      <c r="U3293" s="75"/>
      <c r="V3293" s="74"/>
      <c r="W3293" s="75"/>
      <c r="X3293" s="74"/>
      <c r="Y3293" s="74"/>
      <c r="Z3293" s="74"/>
      <c r="AA3293" s="74"/>
      <c r="AB3293" s="74"/>
      <c r="AC3293" s="74"/>
      <c r="AD3293" s="74"/>
      <c r="AE3293" s="74"/>
      <c r="AF3293" s="74"/>
      <c r="AG3293" s="74"/>
      <c r="AH3293" s="74"/>
    </row>
    <row r="3294" s="73" customFormat="1" spans="1:34">
      <c r="A3294" s="74"/>
      <c r="B3294" s="74"/>
      <c r="C3294" s="74"/>
      <c r="D3294" s="74"/>
      <c r="E3294" s="74"/>
      <c r="F3294" s="74"/>
      <c r="G3294" s="74"/>
      <c r="H3294" s="74"/>
      <c r="I3294" s="74"/>
      <c r="J3294" s="74"/>
      <c r="K3294" s="74"/>
      <c r="L3294" s="74"/>
      <c r="M3294" s="74"/>
      <c r="N3294" s="74"/>
      <c r="O3294" s="75"/>
      <c r="P3294" s="74"/>
      <c r="Q3294" s="75"/>
      <c r="R3294" s="74"/>
      <c r="S3294" s="74"/>
      <c r="T3294" s="74"/>
      <c r="U3294" s="75"/>
      <c r="V3294" s="74"/>
      <c r="W3294" s="75"/>
      <c r="X3294" s="74"/>
      <c r="Y3294" s="74"/>
      <c r="Z3294" s="74"/>
      <c r="AA3294" s="74"/>
      <c r="AB3294" s="74"/>
      <c r="AC3294" s="74"/>
      <c r="AD3294" s="74"/>
      <c r="AE3294" s="74"/>
      <c r="AF3294" s="74"/>
      <c r="AG3294" s="74"/>
      <c r="AH3294" s="74"/>
    </row>
    <row r="3295" s="73" customFormat="1" spans="1:34">
      <c r="A3295" s="74"/>
      <c r="B3295" s="74"/>
      <c r="C3295" s="74"/>
      <c r="D3295" s="74"/>
      <c r="E3295" s="74"/>
      <c r="F3295" s="74"/>
      <c r="G3295" s="74"/>
      <c r="H3295" s="74"/>
      <c r="I3295" s="74"/>
      <c r="J3295" s="74"/>
      <c r="K3295" s="74"/>
      <c r="L3295" s="74"/>
      <c r="M3295" s="74"/>
      <c r="N3295" s="74"/>
      <c r="O3295" s="75"/>
      <c r="P3295" s="74"/>
      <c r="Q3295" s="75"/>
      <c r="R3295" s="74"/>
      <c r="S3295" s="74"/>
      <c r="T3295" s="74"/>
      <c r="U3295" s="75"/>
      <c r="V3295" s="74"/>
      <c r="W3295" s="75"/>
      <c r="X3295" s="74"/>
      <c r="Y3295" s="74"/>
      <c r="Z3295" s="74"/>
      <c r="AA3295" s="74"/>
      <c r="AB3295" s="74"/>
      <c r="AC3295" s="74"/>
      <c r="AD3295" s="74"/>
      <c r="AE3295" s="74"/>
      <c r="AF3295" s="74"/>
      <c r="AG3295" s="74"/>
      <c r="AH3295" s="74"/>
    </row>
    <row r="3296" s="73" customFormat="1" spans="1:34">
      <c r="A3296" s="74"/>
      <c r="B3296" s="74"/>
      <c r="C3296" s="74"/>
      <c r="D3296" s="74"/>
      <c r="E3296" s="74"/>
      <c r="F3296" s="74"/>
      <c r="G3296" s="74"/>
      <c r="H3296" s="74"/>
      <c r="I3296" s="74"/>
      <c r="J3296" s="74"/>
      <c r="K3296" s="74"/>
      <c r="L3296" s="74"/>
      <c r="M3296" s="74"/>
      <c r="N3296" s="74"/>
      <c r="O3296" s="75"/>
      <c r="P3296" s="74"/>
      <c r="Q3296" s="75"/>
      <c r="R3296" s="74"/>
      <c r="S3296" s="74"/>
      <c r="T3296" s="74"/>
      <c r="U3296" s="75"/>
      <c r="V3296" s="74"/>
      <c r="W3296" s="75"/>
      <c r="X3296" s="74"/>
      <c r="Y3296" s="74"/>
      <c r="Z3296" s="74"/>
      <c r="AA3296" s="74"/>
      <c r="AB3296" s="74"/>
      <c r="AC3296" s="74"/>
      <c r="AD3296" s="74"/>
      <c r="AE3296" s="74"/>
      <c r="AF3296" s="74"/>
      <c r="AG3296" s="74"/>
      <c r="AH3296" s="74"/>
    </row>
    <row r="3297" s="73" customFormat="1" spans="1:34">
      <c r="A3297" s="74"/>
      <c r="B3297" s="74"/>
      <c r="C3297" s="74"/>
      <c r="D3297" s="74"/>
      <c r="E3297" s="74"/>
      <c r="F3297" s="74"/>
      <c r="G3297" s="74"/>
      <c r="H3297" s="74"/>
      <c r="I3297" s="74"/>
      <c r="J3297" s="74"/>
      <c r="K3297" s="74"/>
      <c r="L3297" s="74"/>
      <c r="M3297" s="74"/>
      <c r="N3297" s="74"/>
      <c r="O3297" s="75"/>
      <c r="P3297" s="74"/>
      <c r="Q3297" s="75"/>
      <c r="R3297" s="74"/>
      <c r="S3297" s="74"/>
      <c r="T3297" s="74"/>
      <c r="U3297" s="75"/>
      <c r="V3297" s="74"/>
      <c r="W3297" s="75"/>
      <c r="X3297" s="74"/>
      <c r="Y3297" s="74"/>
      <c r="Z3297" s="74"/>
      <c r="AA3297" s="74"/>
      <c r="AB3297" s="74"/>
      <c r="AC3297" s="74"/>
      <c r="AD3297" s="74"/>
      <c r="AE3297" s="74"/>
      <c r="AF3297" s="74"/>
      <c r="AG3297" s="74"/>
      <c r="AH3297" s="74"/>
    </row>
    <row r="3298" s="73" customFormat="1" spans="1:34">
      <c r="A3298" s="74"/>
      <c r="B3298" s="74"/>
      <c r="C3298" s="74"/>
      <c r="D3298" s="74"/>
      <c r="E3298" s="74"/>
      <c r="F3298" s="74"/>
      <c r="G3298" s="74"/>
      <c r="H3298" s="74"/>
      <c r="I3298" s="74"/>
      <c r="J3298" s="74"/>
      <c r="K3298" s="74"/>
      <c r="L3298" s="74"/>
      <c r="M3298" s="74"/>
      <c r="N3298" s="74"/>
      <c r="O3298" s="75"/>
      <c r="P3298" s="74"/>
      <c r="Q3298" s="75"/>
      <c r="R3298" s="74"/>
      <c r="S3298" s="74"/>
      <c r="T3298" s="74"/>
      <c r="U3298" s="75"/>
      <c r="V3298" s="74"/>
      <c r="W3298" s="74"/>
      <c r="X3298" s="74"/>
      <c r="Y3298" s="74"/>
      <c r="Z3298" s="74"/>
      <c r="AA3298" s="74"/>
      <c r="AB3298" s="74"/>
      <c r="AC3298" s="74"/>
      <c r="AD3298" s="74"/>
      <c r="AE3298" s="74"/>
      <c r="AF3298" s="74"/>
      <c r="AG3298" s="74"/>
      <c r="AH3298" s="74"/>
    </row>
    <row r="3299" s="73" customFormat="1" spans="1:34">
      <c r="A3299" s="74"/>
      <c r="B3299" s="74"/>
      <c r="C3299" s="74"/>
      <c r="D3299" s="74"/>
      <c r="E3299" s="74"/>
      <c r="F3299" s="74"/>
      <c r="G3299" s="74"/>
      <c r="H3299" s="74"/>
      <c r="I3299" s="74"/>
      <c r="J3299" s="74"/>
      <c r="K3299" s="74"/>
      <c r="L3299" s="74"/>
      <c r="M3299" s="74"/>
      <c r="N3299" s="74"/>
      <c r="O3299" s="75"/>
      <c r="P3299" s="74"/>
      <c r="Q3299" s="75"/>
      <c r="R3299" s="74"/>
      <c r="S3299" s="74"/>
      <c r="T3299" s="74"/>
      <c r="U3299" s="75"/>
      <c r="V3299" s="74"/>
      <c r="W3299" s="75"/>
      <c r="X3299" s="74"/>
      <c r="Y3299" s="74"/>
      <c r="Z3299" s="74"/>
      <c r="AA3299" s="74"/>
      <c r="AB3299" s="74"/>
      <c r="AC3299" s="74"/>
      <c r="AD3299" s="74"/>
      <c r="AE3299" s="74"/>
      <c r="AF3299" s="74"/>
      <c r="AG3299" s="74"/>
      <c r="AH3299" s="74"/>
    </row>
    <row r="3300" s="73" customFormat="1" spans="1:34">
      <c r="A3300" s="74"/>
      <c r="B3300" s="74"/>
      <c r="C3300" s="74"/>
      <c r="D3300" s="74"/>
      <c r="E3300" s="74"/>
      <c r="F3300" s="74"/>
      <c r="G3300" s="74"/>
      <c r="H3300" s="74"/>
      <c r="I3300" s="74"/>
      <c r="J3300" s="74"/>
      <c r="K3300" s="74"/>
      <c r="L3300" s="74"/>
      <c r="M3300" s="74"/>
      <c r="N3300" s="74"/>
      <c r="O3300" s="75"/>
      <c r="P3300" s="74"/>
      <c r="Q3300" s="75"/>
      <c r="R3300" s="74"/>
      <c r="S3300" s="74"/>
      <c r="T3300" s="74"/>
      <c r="U3300" s="75"/>
      <c r="V3300" s="74"/>
      <c r="W3300" s="75"/>
      <c r="X3300" s="74"/>
      <c r="Y3300" s="74"/>
      <c r="Z3300" s="74"/>
      <c r="AA3300" s="74"/>
      <c r="AB3300" s="74"/>
      <c r="AC3300" s="74"/>
      <c r="AD3300" s="74"/>
      <c r="AE3300" s="74"/>
      <c r="AF3300" s="74"/>
      <c r="AG3300" s="74"/>
      <c r="AH3300" s="74"/>
    </row>
    <row r="3301" s="73" customFormat="1" spans="1:34">
      <c r="A3301" s="74"/>
      <c r="B3301" s="74"/>
      <c r="C3301" s="74"/>
      <c r="D3301" s="74"/>
      <c r="E3301" s="74"/>
      <c r="F3301" s="74"/>
      <c r="G3301" s="74"/>
      <c r="H3301" s="74"/>
      <c r="I3301" s="74"/>
      <c r="J3301" s="74"/>
      <c r="K3301" s="74"/>
      <c r="L3301" s="74"/>
      <c r="M3301" s="74"/>
      <c r="N3301" s="74"/>
      <c r="O3301" s="75"/>
      <c r="P3301" s="74"/>
      <c r="Q3301" s="75"/>
      <c r="R3301" s="74"/>
      <c r="S3301" s="74"/>
      <c r="T3301" s="74"/>
      <c r="U3301" s="75"/>
      <c r="V3301" s="74"/>
      <c r="W3301" s="75"/>
      <c r="X3301" s="74"/>
      <c r="Y3301" s="74"/>
      <c r="Z3301" s="74"/>
      <c r="AA3301" s="74"/>
      <c r="AB3301" s="74"/>
      <c r="AC3301" s="74"/>
      <c r="AD3301" s="74"/>
      <c r="AE3301" s="74"/>
      <c r="AF3301" s="74"/>
      <c r="AG3301" s="74"/>
      <c r="AH3301" s="74"/>
    </row>
    <row r="3302" s="73" customFormat="1" spans="1:34">
      <c r="A3302" s="74"/>
      <c r="B3302" s="74"/>
      <c r="C3302" s="74"/>
      <c r="D3302" s="74"/>
      <c r="E3302" s="74"/>
      <c r="F3302" s="74"/>
      <c r="G3302" s="74"/>
      <c r="H3302" s="74"/>
      <c r="I3302" s="74"/>
      <c r="J3302" s="74"/>
      <c r="K3302" s="74"/>
      <c r="L3302" s="74"/>
      <c r="M3302" s="74"/>
      <c r="N3302" s="74"/>
      <c r="O3302" s="75"/>
      <c r="P3302" s="74"/>
      <c r="Q3302" s="75"/>
      <c r="R3302" s="74"/>
      <c r="S3302" s="74"/>
      <c r="T3302" s="74"/>
      <c r="U3302" s="75"/>
      <c r="V3302" s="74"/>
      <c r="W3302" s="75"/>
      <c r="X3302" s="74"/>
      <c r="Y3302" s="74"/>
      <c r="Z3302" s="74"/>
      <c r="AA3302" s="74"/>
      <c r="AB3302" s="74"/>
      <c r="AC3302" s="74"/>
      <c r="AD3302" s="74"/>
      <c r="AE3302" s="74"/>
      <c r="AF3302" s="74"/>
      <c r="AG3302" s="74"/>
      <c r="AH3302" s="74"/>
    </row>
    <row r="3303" s="73" customFormat="1" spans="1:34">
      <c r="A3303" s="74"/>
      <c r="B3303" s="74"/>
      <c r="C3303" s="74"/>
      <c r="D3303" s="74"/>
      <c r="E3303" s="74"/>
      <c r="F3303" s="74"/>
      <c r="G3303" s="74"/>
      <c r="H3303" s="74"/>
      <c r="I3303" s="74"/>
      <c r="J3303" s="74"/>
      <c r="K3303" s="74"/>
      <c r="L3303" s="74"/>
      <c r="M3303" s="74"/>
      <c r="N3303" s="74"/>
      <c r="O3303" s="75"/>
      <c r="P3303" s="74"/>
      <c r="Q3303" s="75"/>
      <c r="R3303" s="74"/>
      <c r="S3303" s="74"/>
      <c r="T3303" s="74"/>
      <c r="U3303" s="75"/>
      <c r="V3303" s="74"/>
      <c r="W3303" s="75"/>
      <c r="X3303" s="74"/>
      <c r="Y3303" s="74"/>
      <c r="Z3303" s="74"/>
      <c r="AA3303" s="74"/>
      <c r="AB3303" s="74"/>
      <c r="AC3303" s="74"/>
      <c r="AD3303" s="74"/>
      <c r="AE3303" s="74"/>
      <c r="AF3303" s="74"/>
      <c r="AG3303" s="74"/>
      <c r="AH3303" s="74"/>
    </row>
    <row r="3304" s="73" customFormat="1" spans="1:34">
      <c r="A3304" s="74"/>
      <c r="B3304" s="74"/>
      <c r="C3304" s="74"/>
      <c r="D3304" s="74"/>
      <c r="E3304" s="74"/>
      <c r="F3304" s="74"/>
      <c r="G3304" s="74"/>
      <c r="H3304" s="74"/>
      <c r="I3304" s="74"/>
      <c r="J3304" s="74"/>
      <c r="K3304" s="74"/>
      <c r="L3304" s="74"/>
      <c r="M3304" s="74"/>
      <c r="N3304" s="74"/>
      <c r="O3304" s="75"/>
      <c r="P3304" s="74"/>
      <c r="Q3304" s="75"/>
      <c r="R3304" s="74"/>
      <c r="S3304" s="74"/>
      <c r="T3304" s="74"/>
      <c r="U3304" s="75"/>
      <c r="V3304" s="74"/>
      <c r="W3304" s="75"/>
      <c r="X3304" s="74"/>
      <c r="Y3304" s="74"/>
      <c r="Z3304" s="74"/>
      <c r="AA3304" s="74"/>
      <c r="AB3304" s="74"/>
      <c r="AC3304" s="74"/>
      <c r="AD3304" s="74"/>
      <c r="AE3304" s="74"/>
      <c r="AF3304" s="74"/>
      <c r="AG3304" s="74"/>
      <c r="AH3304" s="74"/>
    </row>
    <row r="3305" s="73" customFormat="1" spans="1:34">
      <c r="A3305" s="74"/>
      <c r="B3305" s="74"/>
      <c r="C3305" s="74"/>
      <c r="D3305" s="74"/>
      <c r="E3305" s="74"/>
      <c r="F3305" s="74"/>
      <c r="G3305" s="74"/>
      <c r="H3305" s="74"/>
      <c r="I3305" s="74"/>
      <c r="J3305" s="74"/>
      <c r="K3305" s="74"/>
      <c r="L3305" s="74"/>
      <c r="M3305" s="74"/>
      <c r="N3305" s="74"/>
      <c r="O3305" s="75"/>
      <c r="P3305" s="74"/>
      <c r="Q3305" s="75"/>
      <c r="R3305" s="74"/>
      <c r="S3305" s="74"/>
      <c r="T3305" s="74"/>
      <c r="U3305" s="75"/>
      <c r="V3305" s="74"/>
      <c r="W3305" s="75"/>
      <c r="X3305" s="74"/>
      <c r="Y3305" s="74"/>
      <c r="Z3305" s="74"/>
      <c r="AA3305" s="74"/>
      <c r="AB3305" s="74"/>
      <c r="AC3305" s="74"/>
      <c r="AD3305" s="74"/>
      <c r="AE3305" s="74"/>
      <c r="AF3305" s="74"/>
      <c r="AG3305" s="74"/>
      <c r="AH3305" s="74"/>
    </row>
    <row r="3306" s="73" customFormat="1" spans="1:34">
      <c r="A3306" s="74"/>
      <c r="B3306" s="74"/>
      <c r="C3306" s="74"/>
      <c r="D3306" s="74"/>
      <c r="E3306" s="74"/>
      <c r="F3306" s="74"/>
      <c r="G3306" s="74"/>
      <c r="H3306" s="74"/>
      <c r="I3306" s="74"/>
      <c r="J3306" s="74"/>
      <c r="K3306" s="74"/>
      <c r="L3306" s="74"/>
      <c r="M3306" s="74"/>
      <c r="N3306" s="74"/>
      <c r="O3306" s="75"/>
      <c r="P3306" s="74"/>
      <c r="Q3306" s="75"/>
      <c r="R3306" s="74"/>
      <c r="S3306" s="74"/>
      <c r="T3306" s="74"/>
      <c r="U3306" s="75"/>
      <c r="V3306" s="74"/>
      <c r="W3306" s="75"/>
      <c r="X3306" s="74"/>
      <c r="Y3306" s="74"/>
      <c r="Z3306" s="74"/>
      <c r="AA3306" s="74"/>
      <c r="AB3306" s="74"/>
      <c r="AC3306" s="74"/>
      <c r="AD3306" s="74"/>
      <c r="AE3306" s="74"/>
      <c r="AF3306" s="74"/>
      <c r="AG3306" s="74"/>
      <c r="AH3306" s="74"/>
    </row>
    <row r="3307" s="73" customFormat="1" spans="1:34">
      <c r="A3307" s="74"/>
      <c r="B3307" s="74"/>
      <c r="C3307" s="74"/>
      <c r="D3307" s="74"/>
      <c r="E3307" s="74"/>
      <c r="F3307" s="74"/>
      <c r="G3307" s="74"/>
      <c r="H3307" s="74"/>
      <c r="I3307" s="74"/>
      <c r="J3307" s="74"/>
      <c r="K3307" s="74"/>
      <c r="L3307" s="74"/>
      <c r="M3307" s="74"/>
      <c r="N3307" s="74"/>
      <c r="O3307" s="75"/>
      <c r="P3307" s="74"/>
      <c r="Q3307" s="75"/>
      <c r="R3307" s="74"/>
      <c r="S3307" s="74"/>
      <c r="T3307" s="74"/>
      <c r="U3307" s="75"/>
      <c r="V3307" s="74"/>
      <c r="W3307" s="75"/>
      <c r="X3307" s="74"/>
      <c r="Y3307" s="74"/>
      <c r="Z3307" s="74"/>
      <c r="AA3307" s="74"/>
      <c r="AB3307" s="74"/>
      <c r="AC3307" s="74"/>
      <c r="AD3307" s="74"/>
      <c r="AE3307" s="74"/>
      <c r="AF3307" s="74"/>
      <c r="AG3307" s="74"/>
      <c r="AH3307" s="74"/>
    </row>
    <row r="3308" s="73" customFormat="1" spans="1:34">
      <c r="A3308" s="74"/>
      <c r="B3308" s="74"/>
      <c r="C3308" s="74"/>
      <c r="D3308" s="74"/>
      <c r="E3308" s="74"/>
      <c r="F3308" s="74"/>
      <c r="G3308" s="74"/>
      <c r="H3308" s="74"/>
      <c r="I3308" s="74"/>
      <c r="J3308" s="74"/>
      <c r="K3308" s="74"/>
      <c r="L3308" s="74"/>
      <c r="M3308" s="74"/>
      <c r="N3308" s="74"/>
      <c r="O3308" s="75"/>
      <c r="P3308" s="74"/>
      <c r="Q3308" s="75"/>
      <c r="R3308" s="74"/>
      <c r="S3308" s="74"/>
      <c r="T3308" s="74"/>
      <c r="U3308" s="75"/>
      <c r="V3308" s="74"/>
      <c r="W3308" s="75"/>
      <c r="X3308" s="74"/>
      <c r="Y3308" s="74"/>
      <c r="Z3308" s="74"/>
      <c r="AA3308" s="74"/>
      <c r="AB3308" s="74"/>
      <c r="AC3308" s="74"/>
      <c r="AD3308" s="74"/>
      <c r="AE3308" s="74"/>
      <c r="AF3308" s="74"/>
      <c r="AG3308" s="74"/>
      <c r="AH3308" s="74"/>
    </row>
    <row r="3309" s="73" customFormat="1" spans="1:34">
      <c r="A3309" s="74"/>
      <c r="B3309" s="74"/>
      <c r="C3309" s="74"/>
      <c r="D3309" s="74"/>
      <c r="E3309" s="74"/>
      <c r="F3309" s="74"/>
      <c r="G3309" s="74"/>
      <c r="H3309" s="74"/>
      <c r="I3309" s="74"/>
      <c r="J3309" s="74"/>
      <c r="K3309" s="74"/>
      <c r="L3309" s="74"/>
      <c r="M3309" s="74"/>
      <c r="N3309" s="74"/>
      <c r="O3309" s="75"/>
      <c r="P3309" s="74"/>
      <c r="Q3309" s="75"/>
      <c r="R3309" s="74"/>
      <c r="S3309" s="74"/>
      <c r="T3309" s="74"/>
      <c r="U3309" s="75"/>
      <c r="V3309" s="74"/>
      <c r="W3309" s="75"/>
      <c r="X3309" s="74"/>
      <c r="Y3309" s="74"/>
      <c r="Z3309" s="74"/>
      <c r="AA3309" s="74"/>
      <c r="AB3309" s="74"/>
      <c r="AC3309" s="74"/>
      <c r="AD3309" s="74"/>
      <c r="AE3309" s="74"/>
      <c r="AF3309" s="74"/>
      <c r="AG3309" s="74"/>
      <c r="AH3309" s="74"/>
    </row>
    <row r="3310" s="73" customFormat="1" spans="1:34">
      <c r="A3310" s="74"/>
      <c r="B3310" s="74"/>
      <c r="C3310" s="74"/>
      <c r="D3310" s="74"/>
      <c r="E3310" s="74"/>
      <c r="F3310" s="74"/>
      <c r="G3310" s="74"/>
      <c r="H3310" s="74"/>
      <c r="I3310" s="74"/>
      <c r="J3310" s="74"/>
      <c r="K3310" s="74"/>
      <c r="L3310" s="74"/>
      <c r="M3310" s="74"/>
      <c r="N3310" s="74"/>
      <c r="O3310" s="75"/>
      <c r="P3310" s="74"/>
      <c r="Q3310" s="75"/>
      <c r="R3310" s="74"/>
      <c r="S3310" s="74"/>
      <c r="T3310" s="74"/>
      <c r="U3310" s="75"/>
      <c r="V3310" s="74"/>
      <c r="W3310" s="75"/>
      <c r="X3310" s="74"/>
      <c r="Y3310" s="74"/>
      <c r="Z3310" s="74"/>
      <c r="AA3310" s="74"/>
      <c r="AB3310" s="74"/>
      <c r="AC3310" s="74"/>
      <c r="AD3310" s="74"/>
      <c r="AE3310" s="74"/>
      <c r="AF3310" s="74"/>
      <c r="AG3310" s="74"/>
      <c r="AH3310" s="74"/>
    </row>
    <row r="3311" s="73" customFormat="1" spans="1:34">
      <c r="A3311" s="74"/>
      <c r="B3311" s="74"/>
      <c r="C3311" s="74"/>
      <c r="D3311" s="74"/>
      <c r="E3311" s="74"/>
      <c r="F3311" s="74"/>
      <c r="G3311" s="74"/>
      <c r="H3311" s="74"/>
      <c r="I3311" s="74"/>
      <c r="J3311" s="74"/>
      <c r="K3311" s="74"/>
      <c r="L3311" s="74"/>
      <c r="M3311" s="74"/>
      <c r="N3311" s="74"/>
      <c r="O3311" s="75"/>
      <c r="P3311" s="74"/>
      <c r="Q3311" s="75"/>
      <c r="R3311" s="74"/>
      <c r="S3311" s="74"/>
      <c r="T3311" s="74"/>
      <c r="U3311" s="75"/>
      <c r="V3311" s="74"/>
      <c r="W3311" s="75"/>
      <c r="X3311" s="74"/>
      <c r="Y3311" s="74"/>
      <c r="Z3311" s="74"/>
      <c r="AA3311" s="74"/>
      <c r="AB3311" s="74"/>
      <c r="AC3311" s="74"/>
      <c r="AD3311" s="74"/>
      <c r="AE3311" s="74"/>
      <c r="AF3311" s="74"/>
      <c r="AG3311" s="74"/>
      <c r="AH3311" s="74"/>
    </row>
    <row r="3312" s="73" customFormat="1" spans="1:34">
      <c r="A3312" s="74"/>
      <c r="B3312" s="74"/>
      <c r="C3312" s="74"/>
      <c r="D3312" s="74"/>
      <c r="E3312" s="74"/>
      <c r="F3312" s="74"/>
      <c r="G3312" s="74"/>
      <c r="H3312" s="74"/>
      <c r="I3312" s="74"/>
      <c r="J3312" s="74"/>
      <c r="K3312" s="74"/>
      <c r="L3312" s="74"/>
      <c r="M3312" s="74"/>
      <c r="N3312" s="74"/>
      <c r="O3312" s="75"/>
      <c r="P3312" s="74"/>
      <c r="Q3312" s="75"/>
      <c r="R3312" s="74"/>
      <c r="S3312" s="74"/>
      <c r="T3312" s="74"/>
      <c r="U3312" s="75"/>
      <c r="V3312" s="74"/>
      <c r="W3312" s="75"/>
      <c r="X3312" s="74"/>
      <c r="Y3312" s="74"/>
      <c r="Z3312" s="74"/>
      <c r="AA3312" s="74"/>
      <c r="AB3312" s="74"/>
      <c r="AC3312" s="74"/>
      <c r="AD3312" s="74"/>
      <c r="AE3312" s="74"/>
      <c r="AF3312" s="74"/>
      <c r="AG3312" s="74"/>
      <c r="AH3312" s="74"/>
    </row>
    <row r="3313" s="73" customFormat="1" spans="1:34">
      <c r="A3313" s="74"/>
      <c r="B3313" s="74"/>
      <c r="C3313" s="74"/>
      <c r="D3313" s="74"/>
      <c r="E3313" s="74"/>
      <c r="F3313" s="74"/>
      <c r="G3313" s="74"/>
      <c r="H3313" s="74"/>
      <c r="I3313" s="74"/>
      <c r="J3313" s="74"/>
      <c r="K3313" s="74"/>
      <c r="L3313" s="74"/>
      <c r="M3313" s="74"/>
      <c r="N3313" s="74"/>
      <c r="O3313" s="75"/>
      <c r="P3313" s="74"/>
      <c r="Q3313" s="75"/>
      <c r="R3313" s="74"/>
      <c r="S3313" s="74"/>
      <c r="T3313" s="74"/>
      <c r="U3313" s="75"/>
      <c r="V3313" s="74"/>
      <c r="W3313" s="75"/>
      <c r="X3313" s="74"/>
      <c r="Y3313" s="74"/>
      <c r="Z3313" s="74"/>
      <c r="AA3313" s="74"/>
      <c r="AB3313" s="74"/>
      <c r="AC3313" s="74"/>
      <c r="AD3313" s="74"/>
      <c r="AE3313" s="74"/>
      <c r="AF3313" s="74"/>
      <c r="AG3313" s="74"/>
      <c r="AH3313" s="74"/>
    </row>
    <row r="3314" s="73" customFormat="1" spans="1:34">
      <c r="A3314" s="74"/>
      <c r="B3314" s="74"/>
      <c r="C3314" s="74"/>
      <c r="D3314" s="74"/>
      <c r="E3314" s="74"/>
      <c r="F3314" s="74"/>
      <c r="G3314" s="74"/>
      <c r="H3314" s="74"/>
      <c r="I3314" s="74"/>
      <c r="J3314" s="74"/>
      <c r="K3314" s="74"/>
      <c r="L3314" s="74"/>
      <c r="M3314" s="74"/>
      <c r="N3314" s="74"/>
      <c r="O3314" s="75"/>
      <c r="P3314" s="74"/>
      <c r="Q3314" s="75"/>
      <c r="R3314" s="74"/>
      <c r="S3314" s="74"/>
      <c r="T3314" s="74"/>
      <c r="U3314" s="75"/>
      <c r="V3314" s="74"/>
      <c r="W3314" s="75"/>
      <c r="X3314" s="74"/>
      <c r="Y3314" s="74"/>
      <c r="Z3314" s="74"/>
      <c r="AA3314" s="74"/>
      <c r="AB3314" s="74"/>
      <c r="AC3314" s="74"/>
      <c r="AD3314" s="74"/>
      <c r="AE3314" s="74"/>
      <c r="AF3314" s="74"/>
      <c r="AG3314" s="74"/>
      <c r="AH3314" s="74"/>
    </row>
    <row r="3315" s="73" customFormat="1" spans="1:34">
      <c r="A3315" s="74"/>
      <c r="B3315" s="74"/>
      <c r="C3315" s="74"/>
      <c r="D3315" s="74"/>
      <c r="E3315" s="74"/>
      <c r="F3315" s="74"/>
      <c r="G3315" s="74"/>
      <c r="H3315" s="74"/>
      <c r="I3315" s="74"/>
      <c r="J3315" s="74"/>
      <c r="K3315" s="74"/>
      <c r="L3315" s="74"/>
      <c r="M3315" s="74"/>
      <c r="N3315" s="74"/>
      <c r="O3315" s="75"/>
      <c r="P3315" s="74"/>
      <c r="Q3315" s="75"/>
      <c r="R3315" s="74"/>
      <c r="S3315" s="74"/>
      <c r="T3315" s="74"/>
      <c r="U3315" s="75"/>
      <c r="V3315" s="74"/>
      <c r="W3315" s="75"/>
      <c r="X3315" s="74"/>
      <c r="Y3315" s="74"/>
      <c r="Z3315" s="74"/>
      <c r="AA3315" s="74"/>
      <c r="AB3315" s="74"/>
      <c r="AC3315" s="74"/>
      <c r="AD3315" s="74"/>
      <c r="AE3315" s="74"/>
      <c r="AF3315" s="74"/>
      <c r="AG3315" s="74"/>
      <c r="AH3315" s="74"/>
    </row>
    <row r="3316" s="73" customFormat="1" spans="1:34">
      <c r="A3316" s="74"/>
      <c r="B3316" s="74"/>
      <c r="C3316" s="74"/>
      <c r="D3316" s="74"/>
      <c r="E3316" s="74"/>
      <c r="F3316" s="74"/>
      <c r="G3316" s="74"/>
      <c r="H3316" s="74"/>
      <c r="I3316" s="74"/>
      <c r="J3316" s="74"/>
      <c r="K3316" s="74"/>
      <c r="L3316" s="74"/>
      <c r="M3316" s="74"/>
      <c r="N3316" s="74"/>
      <c r="O3316" s="75"/>
      <c r="P3316" s="74"/>
      <c r="Q3316" s="75"/>
      <c r="R3316" s="74"/>
      <c r="S3316" s="74"/>
      <c r="T3316" s="74"/>
      <c r="U3316" s="75"/>
      <c r="V3316" s="74"/>
      <c r="W3316" s="75"/>
      <c r="X3316" s="74"/>
      <c r="Y3316" s="74"/>
      <c r="Z3316" s="74"/>
      <c r="AA3316" s="74"/>
      <c r="AB3316" s="74"/>
      <c r="AC3316" s="74"/>
      <c r="AD3316" s="74"/>
      <c r="AE3316" s="74"/>
      <c r="AF3316" s="74"/>
      <c r="AG3316" s="74"/>
      <c r="AH3316" s="74"/>
    </row>
    <row r="3317" s="73" customFormat="1" spans="1:34">
      <c r="A3317" s="74"/>
      <c r="B3317" s="74"/>
      <c r="C3317" s="74"/>
      <c r="D3317" s="74"/>
      <c r="E3317" s="74"/>
      <c r="F3317" s="74"/>
      <c r="G3317" s="74"/>
      <c r="H3317" s="74"/>
      <c r="I3317" s="74"/>
      <c r="J3317" s="74"/>
      <c r="K3317" s="74"/>
      <c r="L3317" s="74"/>
      <c r="M3317" s="74"/>
      <c r="N3317" s="74"/>
      <c r="O3317" s="75"/>
      <c r="P3317" s="74"/>
      <c r="Q3317" s="75"/>
      <c r="R3317" s="74"/>
      <c r="S3317" s="74"/>
      <c r="T3317" s="74"/>
      <c r="U3317" s="75"/>
      <c r="V3317" s="74"/>
      <c r="W3317" s="75"/>
      <c r="X3317" s="74"/>
      <c r="Y3317" s="74"/>
      <c r="Z3317" s="74"/>
      <c r="AA3317" s="74"/>
      <c r="AB3317" s="74"/>
      <c r="AC3317" s="74"/>
      <c r="AD3317" s="74"/>
      <c r="AE3317" s="74"/>
      <c r="AF3317" s="74"/>
      <c r="AG3317" s="74"/>
      <c r="AH3317" s="74"/>
    </row>
    <row r="3318" s="73" customFormat="1" spans="1:34">
      <c r="A3318" s="74"/>
      <c r="B3318" s="74"/>
      <c r="C3318" s="74"/>
      <c r="D3318" s="74"/>
      <c r="E3318" s="74"/>
      <c r="F3318" s="74"/>
      <c r="G3318" s="74"/>
      <c r="H3318" s="74"/>
      <c r="I3318" s="74"/>
      <c r="J3318" s="74"/>
      <c r="K3318" s="74"/>
      <c r="L3318" s="74"/>
      <c r="M3318" s="74"/>
      <c r="N3318" s="74"/>
      <c r="O3318" s="75"/>
      <c r="P3318" s="74"/>
      <c r="Q3318" s="75"/>
      <c r="R3318" s="74"/>
      <c r="S3318" s="74"/>
      <c r="T3318" s="74"/>
      <c r="U3318" s="75"/>
      <c r="V3318" s="74"/>
      <c r="W3318" s="75"/>
      <c r="X3318" s="74"/>
      <c r="Y3318" s="74"/>
      <c r="Z3318" s="74"/>
      <c r="AA3318" s="74"/>
      <c r="AB3318" s="74"/>
      <c r="AC3318" s="74"/>
      <c r="AD3318" s="74"/>
      <c r="AE3318" s="74"/>
      <c r="AF3318" s="74"/>
      <c r="AG3318" s="74"/>
      <c r="AH3318" s="74"/>
    </row>
    <row r="3319" s="73" customFormat="1" spans="1:34">
      <c r="A3319" s="74"/>
      <c r="B3319" s="74"/>
      <c r="C3319" s="74"/>
      <c r="D3319" s="74"/>
      <c r="E3319" s="74"/>
      <c r="F3319" s="74"/>
      <c r="G3319" s="74"/>
      <c r="H3319" s="74"/>
      <c r="I3319" s="74"/>
      <c r="J3319" s="74"/>
      <c r="K3319" s="74"/>
      <c r="L3319" s="74"/>
      <c r="M3319" s="74"/>
      <c r="N3319" s="74"/>
      <c r="O3319" s="75"/>
      <c r="P3319" s="74"/>
      <c r="Q3319" s="75"/>
      <c r="R3319" s="74"/>
      <c r="S3319" s="74"/>
      <c r="T3319" s="74"/>
      <c r="U3319" s="75"/>
      <c r="V3319" s="74"/>
      <c r="W3319" s="75"/>
      <c r="X3319" s="74"/>
      <c r="Y3319" s="74"/>
      <c r="Z3319" s="74"/>
      <c r="AA3319" s="74"/>
      <c r="AB3319" s="74"/>
      <c r="AC3319" s="74"/>
      <c r="AD3319" s="74"/>
      <c r="AE3319" s="74"/>
      <c r="AF3319" s="74"/>
      <c r="AG3319" s="74"/>
      <c r="AH3319" s="74"/>
    </row>
    <row r="3320" s="73" customFormat="1" spans="1:34">
      <c r="A3320" s="74"/>
      <c r="B3320" s="74"/>
      <c r="C3320" s="74"/>
      <c r="D3320" s="74"/>
      <c r="E3320" s="74"/>
      <c r="F3320" s="74"/>
      <c r="G3320" s="74"/>
      <c r="H3320" s="74"/>
      <c r="I3320" s="74"/>
      <c r="J3320" s="74"/>
      <c r="K3320" s="74"/>
      <c r="L3320" s="74"/>
      <c r="M3320" s="74"/>
      <c r="N3320" s="74"/>
      <c r="O3320" s="75"/>
      <c r="P3320" s="74"/>
      <c r="Q3320" s="75"/>
      <c r="R3320" s="74"/>
      <c r="S3320" s="74"/>
      <c r="T3320" s="74"/>
      <c r="U3320" s="75"/>
      <c r="V3320" s="74"/>
      <c r="W3320" s="75"/>
      <c r="X3320" s="74"/>
      <c r="Y3320" s="74"/>
      <c r="Z3320" s="74"/>
      <c r="AA3320" s="74"/>
      <c r="AB3320" s="74"/>
      <c r="AC3320" s="74"/>
      <c r="AD3320" s="74"/>
      <c r="AE3320" s="74"/>
      <c r="AF3320" s="74"/>
      <c r="AG3320" s="74"/>
      <c r="AH3320" s="74"/>
    </row>
    <row r="3321" s="73" customFormat="1" spans="1:34">
      <c r="A3321" s="74"/>
      <c r="B3321" s="74"/>
      <c r="C3321" s="74"/>
      <c r="D3321" s="74"/>
      <c r="E3321" s="74"/>
      <c r="F3321" s="74"/>
      <c r="G3321" s="74"/>
      <c r="H3321" s="74"/>
      <c r="I3321" s="74"/>
      <c r="J3321" s="74"/>
      <c r="K3321" s="74"/>
      <c r="L3321" s="74"/>
      <c r="M3321" s="74"/>
      <c r="N3321" s="74"/>
      <c r="O3321" s="75"/>
      <c r="P3321" s="74"/>
      <c r="Q3321" s="75"/>
      <c r="R3321" s="74"/>
      <c r="S3321" s="74"/>
      <c r="T3321" s="74"/>
      <c r="U3321" s="75"/>
      <c r="V3321" s="74"/>
      <c r="W3321" s="75"/>
      <c r="X3321" s="74"/>
      <c r="Y3321" s="74"/>
      <c r="Z3321" s="74"/>
      <c r="AA3321" s="74"/>
      <c r="AB3321" s="74"/>
      <c r="AC3321" s="74"/>
      <c r="AD3321" s="74"/>
      <c r="AE3321" s="74"/>
      <c r="AF3321" s="74"/>
      <c r="AG3321" s="74"/>
      <c r="AH3321" s="74"/>
    </row>
    <row r="3322" s="73" customFormat="1" spans="1:34">
      <c r="A3322" s="74"/>
      <c r="B3322" s="74"/>
      <c r="C3322" s="74"/>
      <c r="D3322" s="74"/>
      <c r="E3322" s="74"/>
      <c r="F3322" s="74"/>
      <c r="G3322" s="74"/>
      <c r="H3322" s="74"/>
      <c r="I3322" s="74"/>
      <c r="J3322" s="74"/>
      <c r="K3322" s="74"/>
      <c r="L3322" s="74"/>
      <c r="M3322" s="74"/>
      <c r="N3322" s="74"/>
      <c r="O3322" s="75"/>
      <c r="P3322" s="74"/>
      <c r="Q3322" s="75"/>
      <c r="R3322" s="74"/>
      <c r="S3322" s="74"/>
      <c r="T3322" s="74"/>
      <c r="U3322" s="75"/>
      <c r="V3322" s="74"/>
      <c r="W3322" s="75"/>
      <c r="X3322" s="74"/>
      <c r="Y3322" s="74"/>
      <c r="Z3322" s="74"/>
      <c r="AA3322" s="74"/>
      <c r="AB3322" s="74"/>
      <c r="AC3322" s="74"/>
      <c r="AD3322" s="74"/>
      <c r="AE3322" s="74"/>
      <c r="AF3322" s="74"/>
      <c r="AG3322" s="74"/>
      <c r="AH3322" s="74"/>
    </row>
    <row r="3323" s="73" customFormat="1" spans="1:34">
      <c r="A3323" s="74"/>
      <c r="B3323" s="74"/>
      <c r="C3323" s="74"/>
      <c r="D3323" s="74"/>
      <c r="E3323" s="74"/>
      <c r="F3323" s="74"/>
      <c r="G3323" s="74"/>
      <c r="H3323" s="74"/>
      <c r="I3323" s="74"/>
      <c r="J3323" s="74"/>
      <c r="K3323" s="74"/>
      <c r="L3323" s="74"/>
      <c r="M3323" s="74"/>
      <c r="N3323" s="74"/>
      <c r="O3323" s="75"/>
      <c r="P3323" s="74"/>
      <c r="Q3323" s="75"/>
      <c r="R3323" s="74"/>
      <c r="S3323" s="74"/>
      <c r="T3323" s="74"/>
      <c r="U3323" s="75"/>
      <c r="V3323" s="74"/>
      <c r="W3323" s="75"/>
      <c r="X3323" s="74"/>
      <c r="Y3323" s="74"/>
      <c r="Z3323" s="74"/>
      <c r="AA3323" s="74"/>
      <c r="AB3323" s="74"/>
      <c r="AC3323" s="74"/>
      <c r="AD3323" s="74"/>
      <c r="AE3323" s="74"/>
      <c r="AF3323" s="74"/>
      <c r="AG3323" s="74"/>
      <c r="AH3323" s="74"/>
    </row>
    <row r="3324" s="73" customFormat="1" spans="1:34">
      <c r="A3324" s="74"/>
      <c r="B3324" s="74"/>
      <c r="C3324" s="74"/>
      <c r="D3324" s="74"/>
      <c r="E3324" s="74"/>
      <c r="F3324" s="74"/>
      <c r="G3324" s="74"/>
      <c r="H3324" s="74"/>
      <c r="I3324" s="74"/>
      <c r="J3324" s="74"/>
      <c r="K3324" s="74"/>
      <c r="L3324" s="74"/>
      <c r="M3324" s="74"/>
      <c r="N3324" s="74"/>
      <c r="O3324" s="75"/>
      <c r="P3324" s="74"/>
      <c r="Q3324" s="75"/>
      <c r="R3324" s="74"/>
      <c r="S3324" s="74"/>
      <c r="T3324" s="74"/>
      <c r="U3324" s="75"/>
      <c r="V3324" s="74"/>
      <c r="W3324" s="75"/>
      <c r="X3324" s="74"/>
      <c r="Y3324" s="74"/>
      <c r="Z3324" s="74"/>
      <c r="AA3324" s="74"/>
      <c r="AB3324" s="74"/>
      <c r="AC3324" s="74"/>
      <c r="AD3324" s="74"/>
      <c r="AE3324" s="74"/>
      <c r="AF3324" s="74"/>
      <c r="AG3324" s="74"/>
      <c r="AH3324" s="74"/>
    </row>
    <row r="3325" s="73" customFormat="1" spans="1:34">
      <c r="A3325" s="74"/>
      <c r="B3325" s="74"/>
      <c r="C3325" s="74"/>
      <c r="D3325" s="74"/>
      <c r="E3325" s="74"/>
      <c r="F3325" s="74"/>
      <c r="G3325" s="74"/>
      <c r="H3325" s="74"/>
      <c r="I3325" s="74"/>
      <c r="J3325" s="74"/>
      <c r="K3325" s="74"/>
      <c r="L3325" s="74"/>
      <c r="M3325" s="74"/>
      <c r="N3325" s="74"/>
      <c r="O3325" s="75"/>
      <c r="P3325" s="74"/>
      <c r="Q3325" s="75"/>
      <c r="R3325" s="74"/>
      <c r="S3325" s="74"/>
      <c r="T3325" s="74"/>
      <c r="U3325" s="75"/>
      <c r="V3325" s="74"/>
      <c r="W3325" s="75"/>
      <c r="X3325" s="74"/>
      <c r="Y3325" s="74"/>
      <c r="Z3325" s="74"/>
      <c r="AA3325" s="74"/>
      <c r="AB3325" s="74"/>
      <c r="AC3325" s="74"/>
      <c r="AD3325" s="74"/>
      <c r="AE3325" s="74"/>
      <c r="AF3325" s="74"/>
      <c r="AG3325" s="74"/>
      <c r="AH3325" s="74"/>
    </row>
    <row r="3326" s="73" customFormat="1" spans="1:34">
      <c r="A3326" s="74"/>
      <c r="B3326" s="74"/>
      <c r="C3326" s="74"/>
      <c r="D3326" s="74"/>
      <c r="E3326" s="74"/>
      <c r="F3326" s="74"/>
      <c r="G3326" s="74"/>
      <c r="H3326" s="74"/>
      <c r="I3326" s="74"/>
      <c r="J3326" s="74"/>
      <c r="K3326" s="74"/>
      <c r="L3326" s="74"/>
      <c r="M3326" s="74"/>
      <c r="N3326" s="74"/>
      <c r="O3326" s="75"/>
      <c r="P3326" s="74"/>
      <c r="Q3326" s="75"/>
      <c r="R3326" s="74"/>
      <c r="S3326" s="74"/>
      <c r="T3326" s="74"/>
      <c r="U3326" s="75"/>
      <c r="V3326" s="74"/>
      <c r="W3326" s="75"/>
      <c r="X3326" s="74"/>
      <c r="Y3326" s="74"/>
      <c r="Z3326" s="74"/>
      <c r="AA3326" s="74"/>
      <c r="AB3326" s="74"/>
      <c r="AC3326" s="74"/>
      <c r="AD3326" s="74"/>
      <c r="AE3326" s="74"/>
      <c r="AF3326" s="74"/>
      <c r="AG3326" s="74"/>
      <c r="AH3326" s="74"/>
    </row>
    <row r="3327" s="73" customFormat="1" spans="1:34">
      <c r="A3327" s="74"/>
      <c r="B3327" s="74"/>
      <c r="C3327" s="74"/>
      <c r="D3327" s="74"/>
      <c r="E3327" s="74"/>
      <c r="F3327" s="74"/>
      <c r="G3327" s="74"/>
      <c r="H3327" s="74"/>
      <c r="I3327" s="74"/>
      <c r="J3327" s="74"/>
      <c r="K3327" s="74"/>
      <c r="L3327" s="74"/>
      <c r="M3327" s="74"/>
      <c r="N3327" s="74"/>
      <c r="O3327" s="75"/>
      <c r="P3327" s="74"/>
      <c r="Q3327" s="75"/>
      <c r="R3327" s="74"/>
      <c r="S3327" s="74"/>
      <c r="T3327" s="74"/>
      <c r="U3327" s="75"/>
      <c r="V3327" s="74"/>
      <c r="W3327" s="75"/>
      <c r="X3327" s="74"/>
      <c r="Y3327" s="74"/>
      <c r="Z3327" s="74"/>
      <c r="AA3327" s="74"/>
      <c r="AB3327" s="74"/>
      <c r="AC3327" s="74"/>
      <c r="AD3327" s="74"/>
      <c r="AE3327" s="74"/>
      <c r="AF3327" s="74"/>
      <c r="AG3327" s="74"/>
      <c r="AH3327" s="74"/>
    </row>
    <row r="3328" s="73" customFormat="1" spans="1:34">
      <c r="A3328" s="74"/>
      <c r="B3328" s="74"/>
      <c r="C3328" s="74"/>
      <c r="D3328" s="74"/>
      <c r="E3328" s="74"/>
      <c r="F3328" s="74"/>
      <c r="G3328" s="74"/>
      <c r="H3328" s="74"/>
      <c r="I3328" s="74"/>
      <c r="J3328" s="74"/>
      <c r="K3328" s="74"/>
      <c r="L3328" s="74"/>
      <c r="M3328" s="74"/>
      <c r="N3328" s="74"/>
      <c r="O3328" s="75"/>
      <c r="P3328" s="74"/>
      <c r="Q3328" s="75"/>
      <c r="R3328" s="74"/>
      <c r="S3328" s="74"/>
      <c r="T3328" s="74"/>
      <c r="U3328" s="75"/>
      <c r="V3328" s="74"/>
      <c r="W3328" s="75"/>
      <c r="X3328" s="74"/>
      <c r="Y3328" s="74"/>
      <c r="Z3328" s="74"/>
      <c r="AA3328" s="74"/>
      <c r="AB3328" s="74"/>
      <c r="AC3328" s="74"/>
      <c r="AD3328" s="74"/>
      <c r="AE3328" s="74"/>
      <c r="AF3328" s="74"/>
      <c r="AG3328" s="74"/>
      <c r="AH3328" s="74"/>
    </row>
    <row r="3329" s="73" customFormat="1" spans="1:34">
      <c r="A3329" s="74"/>
      <c r="B3329" s="74"/>
      <c r="C3329" s="74"/>
      <c r="D3329" s="74"/>
      <c r="E3329" s="74"/>
      <c r="F3329" s="74"/>
      <c r="G3329" s="74"/>
      <c r="H3329" s="74"/>
      <c r="I3329" s="74"/>
      <c r="J3329" s="74"/>
      <c r="K3329" s="74"/>
      <c r="L3329" s="74"/>
      <c r="M3329" s="74"/>
      <c r="N3329" s="74"/>
      <c r="O3329" s="75"/>
      <c r="P3329" s="74"/>
      <c r="Q3329" s="75"/>
      <c r="R3329" s="74"/>
      <c r="S3329" s="74"/>
      <c r="T3329" s="74"/>
      <c r="U3329" s="75"/>
      <c r="V3329" s="74"/>
      <c r="W3329" s="75"/>
      <c r="X3329" s="74"/>
      <c r="Y3329" s="74"/>
      <c r="Z3329" s="74"/>
      <c r="AA3329" s="74"/>
      <c r="AB3329" s="74"/>
      <c r="AC3329" s="74"/>
      <c r="AD3329" s="74"/>
      <c r="AE3329" s="74"/>
      <c r="AF3329" s="74"/>
      <c r="AG3329" s="74"/>
      <c r="AH3329" s="74"/>
    </row>
    <row r="3330" s="73" customFormat="1" spans="1:34">
      <c r="A3330" s="74"/>
      <c r="B3330" s="74"/>
      <c r="C3330" s="74"/>
      <c r="D3330" s="74"/>
      <c r="E3330" s="74"/>
      <c r="F3330" s="74"/>
      <c r="G3330" s="74"/>
      <c r="H3330" s="74"/>
      <c r="I3330" s="74"/>
      <c r="J3330" s="74"/>
      <c r="K3330" s="74"/>
      <c r="L3330" s="74"/>
      <c r="M3330" s="74"/>
      <c r="N3330" s="74"/>
      <c r="O3330" s="75"/>
      <c r="P3330" s="74"/>
      <c r="Q3330" s="75"/>
      <c r="R3330" s="74"/>
      <c r="S3330" s="74"/>
      <c r="T3330" s="74"/>
      <c r="U3330" s="75"/>
      <c r="V3330" s="74"/>
      <c r="W3330" s="75"/>
      <c r="X3330" s="74"/>
      <c r="Y3330" s="74"/>
      <c r="Z3330" s="74"/>
      <c r="AA3330" s="74"/>
      <c r="AB3330" s="74"/>
      <c r="AC3330" s="74"/>
      <c r="AD3330" s="74"/>
      <c r="AE3330" s="74"/>
      <c r="AF3330" s="74"/>
      <c r="AG3330" s="74"/>
      <c r="AH3330" s="74"/>
    </row>
    <row r="3331" s="73" customFormat="1" spans="1:34">
      <c r="A3331" s="74"/>
      <c r="B3331" s="74"/>
      <c r="C3331" s="74"/>
      <c r="D3331" s="74"/>
      <c r="E3331" s="74"/>
      <c r="F3331" s="74"/>
      <c r="G3331" s="74"/>
      <c r="H3331" s="74"/>
      <c r="I3331" s="74"/>
      <c r="J3331" s="74"/>
      <c r="K3331" s="74"/>
      <c r="L3331" s="74"/>
      <c r="M3331" s="74"/>
      <c r="N3331" s="74"/>
      <c r="O3331" s="75"/>
      <c r="P3331" s="74"/>
      <c r="Q3331" s="75"/>
      <c r="R3331" s="74"/>
      <c r="S3331" s="74"/>
      <c r="T3331" s="74"/>
      <c r="U3331" s="75"/>
      <c r="V3331" s="74"/>
      <c r="W3331" s="75"/>
      <c r="X3331" s="74"/>
      <c r="Y3331" s="74"/>
      <c r="Z3331" s="74"/>
      <c r="AA3331" s="74"/>
      <c r="AB3331" s="74"/>
      <c r="AC3331" s="74"/>
      <c r="AD3331" s="74"/>
      <c r="AE3331" s="74"/>
      <c r="AF3331" s="74"/>
      <c r="AG3331" s="74"/>
      <c r="AH3331" s="74"/>
    </row>
    <row r="3332" s="73" customFormat="1" spans="1:34">
      <c r="A3332" s="74"/>
      <c r="B3332" s="74"/>
      <c r="C3332" s="74"/>
      <c r="D3332" s="74"/>
      <c r="E3332" s="74"/>
      <c r="F3332" s="74"/>
      <c r="G3332" s="74"/>
      <c r="H3332" s="74"/>
      <c r="I3332" s="74"/>
      <c r="J3332" s="74"/>
      <c r="K3332" s="74"/>
      <c r="L3332" s="74"/>
      <c r="M3332" s="74"/>
      <c r="N3332" s="74"/>
      <c r="O3332" s="75"/>
      <c r="P3332" s="74"/>
      <c r="Q3332" s="75"/>
      <c r="R3332" s="74"/>
      <c r="S3332" s="74"/>
      <c r="T3332" s="74"/>
      <c r="U3332" s="75"/>
      <c r="V3332" s="74"/>
      <c r="W3332" s="75"/>
      <c r="X3332" s="74"/>
      <c r="Y3332" s="74"/>
      <c r="Z3332" s="74"/>
      <c r="AA3332" s="74"/>
      <c r="AB3332" s="74"/>
      <c r="AC3332" s="74"/>
      <c r="AD3332" s="74"/>
      <c r="AE3332" s="74"/>
      <c r="AF3332" s="74"/>
      <c r="AG3332" s="74"/>
      <c r="AH3332" s="74"/>
    </row>
    <row r="3333" s="73" customFormat="1" spans="1:34">
      <c r="A3333" s="74"/>
      <c r="B3333" s="74"/>
      <c r="C3333" s="74"/>
      <c r="D3333" s="74"/>
      <c r="E3333" s="74"/>
      <c r="F3333" s="74"/>
      <c r="G3333" s="74"/>
      <c r="H3333" s="74"/>
      <c r="I3333" s="74"/>
      <c r="J3333" s="74"/>
      <c r="K3333" s="74"/>
      <c r="L3333" s="74"/>
      <c r="M3333" s="74"/>
      <c r="N3333" s="74"/>
      <c r="O3333" s="75"/>
      <c r="P3333" s="74"/>
      <c r="Q3333" s="75"/>
      <c r="R3333" s="74"/>
      <c r="S3333" s="74"/>
      <c r="T3333" s="74"/>
      <c r="U3333" s="75"/>
      <c r="V3333" s="74"/>
      <c r="W3333" s="75"/>
      <c r="X3333" s="74"/>
      <c r="Y3333" s="74"/>
      <c r="Z3333" s="74"/>
      <c r="AA3333" s="74"/>
      <c r="AB3333" s="74"/>
      <c r="AC3333" s="74"/>
      <c r="AD3333" s="74"/>
      <c r="AE3333" s="74"/>
      <c r="AF3333" s="74"/>
      <c r="AG3333" s="74"/>
      <c r="AH3333" s="74"/>
    </row>
    <row r="3334" s="73" customFormat="1" spans="1:34">
      <c r="A3334" s="74"/>
      <c r="B3334" s="74"/>
      <c r="C3334" s="74"/>
      <c r="D3334" s="74"/>
      <c r="E3334" s="74"/>
      <c r="F3334" s="74"/>
      <c r="G3334" s="74"/>
      <c r="H3334" s="74"/>
      <c r="I3334" s="74"/>
      <c r="J3334" s="74"/>
      <c r="K3334" s="74"/>
      <c r="L3334" s="74"/>
      <c r="M3334" s="74"/>
      <c r="N3334" s="74"/>
      <c r="O3334" s="75"/>
      <c r="P3334" s="74"/>
      <c r="Q3334" s="75"/>
      <c r="R3334" s="74"/>
      <c r="S3334" s="74"/>
      <c r="T3334" s="74"/>
      <c r="U3334" s="75"/>
      <c r="V3334" s="74"/>
      <c r="W3334" s="75"/>
      <c r="X3334" s="74"/>
      <c r="Y3334" s="74"/>
      <c r="Z3334" s="74"/>
      <c r="AA3334" s="74"/>
      <c r="AB3334" s="74"/>
      <c r="AC3334" s="74"/>
      <c r="AD3334" s="74"/>
      <c r="AE3334" s="74"/>
      <c r="AF3334" s="74"/>
      <c r="AG3334" s="74"/>
      <c r="AH3334" s="74"/>
    </row>
    <row r="3335" s="73" customFormat="1" spans="1:34">
      <c r="A3335" s="74"/>
      <c r="B3335" s="74"/>
      <c r="C3335" s="74"/>
      <c r="D3335" s="74"/>
      <c r="E3335" s="74"/>
      <c r="F3335" s="74"/>
      <c r="G3335" s="74"/>
      <c r="H3335" s="74"/>
      <c r="I3335" s="74"/>
      <c r="J3335" s="74"/>
      <c r="K3335" s="74"/>
      <c r="L3335" s="74"/>
      <c r="M3335" s="74"/>
      <c r="N3335" s="74"/>
      <c r="O3335" s="75"/>
      <c r="P3335" s="74"/>
      <c r="Q3335" s="75"/>
      <c r="R3335" s="74"/>
      <c r="S3335" s="74"/>
      <c r="T3335" s="74"/>
      <c r="U3335" s="75"/>
      <c r="V3335" s="74"/>
      <c r="W3335" s="75"/>
      <c r="X3335" s="74"/>
      <c r="Y3335" s="74"/>
      <c r="Z3335" s="74"/>
      <c r="AA3335" s="74"/>
      <c r="AB3335" s="74"/>
      <c r="AC3335" s="74"/>
      <c r="AD3335" s="74"/>
      <c r="AE3335" s="74"/>
      <c r="AF3335" s="74"/>
      <c r="AG3335" s="74"/>
      <c r="AH3335" s="74"/>
    </row>
    <row r="3336" s="73" customFormat="1" spans="1:34">
      <c r="A3336" s="74"/>
      <c r="B3336" s="74"/>
      <c r="C3336" s="74"/>
      <c r="D3336" s="74"/>
      <c r="E3336" s="74"/>
      <c r="F3336" s="74"/>
      <c r="G3336" s="74"/>
      <c r="H3336" s="74"/>
      <c r="I3336" s="74"/>
      <c r="J3336" s="74"/>
      <c r="K3336" s="74"/>
      <c r="L3336" s="74"/>
      <c r="M3336" s="74"/>
      <c r="N3336" s="74"/>
      <c r="O3336" s="75"/>
      <c r="P3336" s="74"/>
      <c r="Q3336" s="75"/>
      <c r="R3336" s="74"/>
      <c r="S3336" s="74"/>
      <c r="T3336" s="74"/>
      <c r="U3336" s="75"/>
      <c r="V3336" s="74"/>
      <c r="W3336" s="75"/>
      <c r="X3336" s="74"/>
      <c r="Y3336" s="74"/>
      <c r="Z3336" s="74"/>
      <c r="AA3336" s="74"/>
      <c r="AB3336" s="74"/>
      <c r="AC3336" s="74"/>
      <c r="AD3336" s="74"/>
      <c r="AE3336" s="74"/>
      <c r="AF3336" s="74"/>
      <c r="AG3336" s="74"/>
      <c r="AH3336" s="74"/>
    </row>
    <row r="3337" s="73" customFormat="1" spans="1:34">
      <c r="A3337" s="74"/>
      <c r="B3337" s="74"/>
      <c r="C3337" s="74"/>
      <c r="D3337" s="74"/>
      <c r="E3337" s="74"/>
      <c r="F3337" s="74"/>
      <c r="G3337" s="74"/>
      <c r="H3337" s="74"/>
      <c r="I3337" s="74"/>
      <c r="J3337" s="74"/>
      <c r="K3337" s="74"/>
      <c r="L3337" s="74"/>
      <c r="M3337" s="74"/>
      <c r="N3337" s="74"/>
      <c r="O3337" s="75"/>
      <c r="P3337" s="74"/>
      <c r="Q3337" s="75"/>
      <c r="R3337" s="74"/>
      <c r="S3337" s="74"/>
      <c r="T3337" s="74"/>
      <c r="U3337" s="75"/>
      <c r="V3337" s="74"/>
      <c r="W3337" s="75"/>
      <c r="X3337" s="74"/>
      <c r="Y3337" s="74"/>
      <c r="Z3337" s="74"/>
      <c r="AA3337" s="74"/>
      <c r="AB3337" s="74"/>
      <c r="AC3337" s="74"/>
      <c r="AD3337" s="74"/>
      <c r="AE3337" s="74"/>
      <c r="AF3337" s="74"/>
      <c r="AG3337" s="74"/>
      <c r="AH3337" s="74"/>
    </row>
    <row r="3338" s="73" customFormat="1" spans="1:34">
      <c r="A3338" s="74"/>
      <c r="B3338" s="74"/>
      <c r="C3338" s="74"/>
      <c r="D3338" s="74"/>
      <c r="E3338" s="74"/>
      <c r="F3338" s="74"/>
      <c r="G3338" s="74"/>
      <c r="H3338" s="74"/>
      <c r="I3338" s="74"/>
      <c r="J3338" s="74"/>
      <c r="K3338" s="74"/>
      <c r="L3338" s="74"/>
      <c r="M3338" s="74"/>
      <c r="N3338" s="74"/>
      <c r="O3338" s="75"/>
      <c r="P3338" s="74"/>
      <c r="Q3338" s="75"/>
      <c r="R3338" s="74"/>
      <c r="S3338" s="74"/>
      <c r="T3338" s="74"/>
      <c r="U3338" s="75"/>
      <c r="V3338" s="74"/>
      <c r="W3338" s="75"/>
      <c r="X3338" s="74"/>
      <c r="Y3338" s="74"/>
      <c r="Z3338" s="74"/>
      <c r="AA3338" s="74"/>
      <c r="AB3338" s="74"/>
      <c r="AC3338" s="74"/>
      <c r="AD3338" s="74"/>
      <c r="AE3338" s="74"/>
      <c r="AF3338" s="74"/>
      <c r="AG3338" s="74"/>
      <c r="AH3338" s="74"/>
    </row>
    <row r="3339" s="73" customFormat="1" spans="1:34">
      <c r="A3339" s="74"/>
      <c r="B3339" s="74"/>
      <c r="C3339" s="74"/>
      <c r="D3339" s="74"/>
      <c r="E3339" s="74"/>
      <c r="F3339" s="74"/>
      <c r="G3339" s="74"/>
      <c r="H3339" s="74"/>
      <c r="I3339" s="74"/>
      <c r="J3339" s="74"/>
      <c r="K3339" s="74"/>
      <c r="L3339" s="74"/>
      <c r="M3339" s="74"/>
      <c r="N3339" s="74"/>
      <c r="O3339" s="75"/>
      <c r="P3339" s="74"/>
      <c r="Q3339" s="75"/>
      <c r="R3339" s="74"/>
      <c r="S3339" s="74"/>
      <c r="T3339" s="74"/>
      <c r="U3339" s="75"/>
      <c r="V3339" s="74"/>
      <c r="W3339" s="75"/>
      <c r="X3339" s="74"/>
      <c r="Y3339" s="74"/>
      <c r="Z3339" s="74"/>
      <c r="AA3339" s="74"/>
      <c r="AB3339" s="74"/>
      <c r="AC3339" s="74"/>
      <c r="AD3339" s="74"/>
      <c r="AE3339" s="74"/>
      <c r="AF3339" s="74"/>
      <c r="AG3339" s="74"/>
      <c r="AH3339" s="74"/>
    </row>
  </sheetData>
  <sheetProtection sheet="1" objects="1"/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F0"/>
  </sheetPr>
  <dimension ref="A1:A92"/>
  <sheetViews>
    <sheetView workbookViewId="0">
      <selection activeCell="A1" sqref="A1"/>
    </sheetView>
  </sheetViews>
  <sheetFormatPr defaultColWidth="41.2142857142857" defaultRowHeight="28.8"/>
  <cols>
    <col min="1" max="1" width="41.1428571428571" style="62" customWidth="1"/>
    <col min="2" max="16384" width="41.2142857142857" style="63" customWidth="1"/>
  </cols>
  <sheetData>
    <row r="1" spans="1:1">
      <c r="A1" s="64"/>
    </row>
    <row r="2" spans="1:1">
      <c r="A2" s="64"/>
    </row>
    <row r="3" spans="1:1">
      <c r="A3" s="64"/>
    </row>
    <row r="4" spans="1:1">
      <c r="A4" s="65"/>
    </row>
    <row r="5" spans="1:1">
      <c r="A5" s="66"/>
    </row>
    <row r="6" spans="1:1">
      <c r="A6" s="67"/>
    </row>
    <row r="7" spans="1:1">
      <c r="A7" s="66"/>
    </row>
    <row r="8" spans="1:1">
      <c r="A8" s="68"/>
    </row>
    <row r="9" spans="1:1">
      <c r="A9" s="66"/>
    </row>
    <row r="10" spans="1:1">
      <c r="A10" s="67"/>
    </row>
    <row r="11" spans="1:1">
      <c r="A11" s="66"/>
    </row>
    <row r="12" spans="1:1">
      <c r="A12" s="67"/>
    </row>
    <row r="13" spans="1:1">
      <c r="A13" s="66"/>
    </row>
    <row r="14" spans="1:1">
      <c r="A14" s="67"/>
    </row>
    <row r="15" spans="1:1">
      <c r="A15" s="66"/>
    </row>
    <row r="16" spans="1:1">
      <c r="A16" s="68"/>
    </row>
    <row r="17" spans="1:1">
      <c r="A17" s="66"/>
    </row>
    <row r="18" spans="1:1">
      <c r="A18" s="67"/>
    </row>
    <row r="19" spans="1:1">
      <c r="A19" s="66"/>
    </row>
    <row r="20" spans="1:1">
      <c r="A20" s="66"/>
    </row>
    <row r="21" spans="1:1">
      <c r="A21" s="67"/>
    </row>
    <row r="22" spans="1:1">
      <c r="A22" s="66"/>
    </row>
    <row r="23" spans="1:1">
      <c r="A23" s="67"/>
    </row>
    <row r="24" spans="1:1">
      <c r="A24" s="66"/>
    </row>
    <row r="25" spans="1:1">
      <c r="A25" s="68"/>
    </row>
    <row r="26" spans="1:1">
      <c r="A26" s="66"/>
    </row>
    <row r="27" spans="1:1">
      <c r="A27" s="67"/>
    </row>
    <row r="28" spans="1:1">
      <c r="A28" s="66"/>
    </row>
    <row r="29" spans="1:1">
      <c r="A29" s="66"/>
    </row>
    <row r="30" spans="1:1">
      <c r="A30" s="68"/>
    </row>
    <row r="31" spans="1:1">
      <c r="A31" s="69"/>
    </row>
    <row r="32" spans="1:1">
      <c r="A32" s="65"/>
    </row>
    <row r="33" spans="1:1">
      <c r="A33" s="66"/>
    </row>
    <row r="34" spans="1:1">
      <c r="A34" s="65"/>
    </row>
    <row r="35" spans="1:1">
      <c r="A35" s="64"/>
    </row>
    <row r="36" spans="1:1">
      <c r="A36" s="65"/>
    </row>
    <row r="37" spans="1:1">
      <c r="A37" s="66"/>
    </row>
    <row r="38" spans="1:1">
      <c r="A38" s="68"/>
    </row>
    <row r="39" spans="1:1">
      <c r="A39" s="66"/>
    </row>
    <row r="41" spans="1:1">
      <c r="A41" s="70"/>
    </row>
    <row r="42" spans="1:1">
      <c r="A42" s="71"/>
    </row>
    <row r="43" spans="1:1">
      <c r="A43" s="70"/>
    </row>
    <row r="45" spans="1:1">
      <c r="A45" s="70"/>
    </row>
    <row r="47" spans="1:1">
      <c r="A47" s="71"/>
    </row>
    <row r="48" spans="1:1">
      <c r="A48" s="70"/>
    </row>
    <row r="50" spans="1:1">
      <c r="A50" s="70"/>
    </row>
    <row r="52" spans="1:1">
      <c r="A52" s="70"/>
    </row>
    <row r="55" spans="1:1">
      <c r="A55" s="70"/>
    </row>
    <row r="57" spans="1:1">
      <c r="A57" s="72"/>
    </row>
    <row r="59" spans="1:1">
      <c r="A59" s="72"/>
    </row>
    <row r="61" spans="1:1">
      <c r="A61" s="72"/>
    </row>
    <row r="63" spans="1:1">
      <c r="A63" s="72"/>
    </row>
    <row r="65" spans="1:1">
      <c r="A65" s="70"/>
    </row>
    <row r="67" spans="1:1">
      <c r="A67" s="72"/>
    </row>
    <row r="69" spans="1:1">
      <c r="A69" s="72"/>
    </row>
    <row r="71" spans="1:1">
      <c r="A71" s="72"/>
    </row>
    <row r="72" spans="1:1">
      <c r="A72" s="70"/>
    </row>
    <row r="73" spans="1:1">
      <c r="A73" s="70"/>
    </row>
    <row r="75" spans="1:1">
      <c r="A75" s="70"/>
    </row>
    <row r="76" spans="1:1">
      <c r="A76" s="70"/>
    </row>
    <row r="78" spans="1:1">
      <c r="A78" s="72"/>
    </row>
    <row r="80" spans="1:1">
      <c r="A80" s="72"/>
    </row>
    <row r="82" spans="1:1">
      <c r="A82" s="72"/>
    </row>
    <row r="84" spans="1:1">
      <c r="A84" s="72"/>
    </row>
    <row r="86" spans="1:1">
      <c r="A86" s="72"/>
    </row>
    <row r="88" spans="1:1">
      <c r="A88" s="72"/>
    </row>
    <row r="90" spans="1:1">
      <c r="A90" s="72"/>
    </row>
    <row r="92" spans="1:1">
      <c r="A92" s="72"/>
    </row>
  </sheetData>
  <sheetProtection sheet="1" formatCells="0" formatColumns="0" formatRows="0" objects="1"/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rgb="FF00B0F0"/>
  </sheetPr>
  <dimension ref="A1:Y69"/>
  <sheetViews>
    <sheetView workbookViewId="0">
      <selection activeCell="A1" sqref="A1"/>
    </sheetView>
  </sheetViews>
  <sheetFormatPr defaultColWidth="16.5178571428571" defaultRowHeight="28.8"/>
  <cols>
    <col min="1" max="19" width="16.5178571428571" style="56" customWidth="1"/>
    <col min="20" max="16384" width="16.5178571428571" style="22" customWidth="1"/>
  </cols>
  <sheetData>
    <row r="1" spans="1:19">
      <c r="A1" s="57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</row>
    <row r="2" ht="29.55" spans="1:25">
      <c r="A2" s="58"/>
      <c r="B2" s="58"/>
      <c r="C2" s="58"/>
      <c r="D2" s="58"/>
      <c r="E2" s="58"/>
      <c r="F2" s="58"/>
      <c r="G2" s="58"/>
      <c r="H2" s="58"/>
      <c r="I2" s="59"/>
      <c r="J2" s="58"/>
      <c r="K2" s="58"/>
      <c r="L2" s="58"/>
      <c r="M2" s="58"/>
      <c r="N2" s="58"/>
      <c r="O2" s="58"/>
      <c r="P2" s="58"/>
      <c r="Q2" s="58"/>
      <c r="R2" s="58"/>
      <c r="S2" s="58"/>
      <c r="T2" s="41"/>
      <c r="U2" s="41"/>
      <c r="V2" s="41"/>
      <c r="W2" s="41"/>
      <c r="X2" s="41"/>
      <c r="Y2" s="41"/>
    </row>
    <row r="3" ht="29.55" spans="1:20">
      <c r="A3" s="58"/>
      <c r="B3" s="58"/>
      <c r="C3" s="58"/>
      <c r="D3" s="58"/>
      <c r="E3" s="58"/>
      <c r="F3" s="58"/>
      <c r="G3" s="58"/>
      <c r="H3" s="58"/>
      <c r="I3" s="59"/>
      <c r="J3" s="58"/>
      <c r="K3" s="58"/>
      <c r="L3" s="58"/>
      <c r="M3" s="58"/>
      <c r="N3" s="58"/>
      <c r="O3" s="58"/>
      <c r="P3" s="58"/>
      <c r="Q3" s="58"/>
      <c r="R3" s="58"/>
      <c r="S3" s="58"/>
      <c r="T3" s="41"/>
    </row>
    <row r="4" ht="29.55" spans="1:20">
      <c r="A4" s="58"/>
      <c r="B4" s="58"/>
      <c r="C4" s="58"/>
      <c r="D4" s="58"/>
      <c r="E4" s="58"/>
      <c r="F4" s="58"/>
      <c r="G4" s="58"/>
      <c r="H4" s="58"/>
      <c r="I4" s="59"/>
      <c r="J4" s="58"/>
      <c r="K4" s="58"/>
      <c r="L4" s="58"/>
      <c r="M4" s="58"/>
      <c r="N4" s="58"/>
      <c r="O4" s="58"/>
      <c r="P4" s="58"/>
      <c r="Q4" s="58"/>
      <c r="R4" s="58"/>
      <c r="S4" s="58"/>
      <c r="T4" s="41"/>
    </row>
    <row r="5" ht="29.55" spans="1:20">
      <c r="A5" s="58"/>
      <c r="B5" s="58"/>
      <c r="C5" s="58"/>
      <c r="D5" s="58"/>
      <c r="E5" s="58"/>
      <c r="F5" s="58"/>
      <c r="G5" s="58"/>
      <c r="H5" s="58"/>
      <c r="I5" s="59"/>
      <c r="J5" s="58"/>
      <c r="K5" s="58"/>
      <c r="L5" s="58"/>
      <c r="M5" s="58"/>
      <c r="N5" s="58"/>
      <c r="O5" s="58"/>
      <c r="P5" s="58"/>
      <c r="Q5" s="58"/>
      <c r="R5" s="58"/>
      <c r="S5" s="58"/>
      <c r="T5" s="41"/>
    </row>
    <row r="6" ht="29.55" spans="1:20">
      <c r="A6" s="58"/>
      <c r="B6" s="58"/>
      <c r="C6" s="58"/>
      <c r="D6" s="58"/>
      <c r="E6" s="58"/>
      <c r="F6" s="58"/>
      <c r="G6" s="58"/>
      <c r="H6" s="58"/>
      <c r="I6" s="59"/>
      <c r="J6" s="58"/>
      <c r="K6" s="58"/>
      <c r="L6" s="58"/>
      <c r="M6" s="58"/>
      <c r="N6" s="58"/>
      <c r="O6" s="58"/>
      <c r="P6" s="58"/>
      <c r="Q6" s="58"/>
      <c r="R6" s="58"/>
      <c r="S6" s="58"/>
      <c r="T6" s="41"/>
    </row>
    <row r="7" ht="29.55" spans="1:19">
      <c r="A7" s="58"/>
      <c r="B7" s="58"/>
      <c r="C7" s="58"/>
      <c r="D7" s="58"/>
      <c r="E7" s="58"/>
      <c r="F7" s="58"/>
      <c r="G7" s="58"/>
      <c r="H7" s="58"/>
      <c r="I7" s="59"/>
      <c r="J7" s="58"/>
      <c r="K7" s="58"/>
      <c r="L7" s="58"/>
      <c r="M7" s="58"/>
      <c r="N7" s="58"/>
      <c r="O7" s="58"/>
      <c r="P7" s="58"/>
      <c r="Q7" s="58"/>
      <c r="R7" s="58"/>
      <c r="S7" s="58"/>
    </row>
    <row r="8" ht="29.55" spans="1:20">
      <c r="A8" s="58"/>
      <c r="B8" s="58"/>
      <c r="C8" s="58"/>
      <c r="D8" s="58"/>
      <c r="E8" s="58"/>
      <c r="F8" s="58"/>
      <c r="G8" s="58"/>
      <c r="H8" s="58"/>
      <c r="I8" s="59"/>
      <c r="J8" s="58"/>
      <c r="K8" s="58"/>
      <c r="L8" s="58"/>
      <c r="M8" s="58"/>
      <c r="N8" s="58"/>
      <c r="O8" s="58"/>
      <c r="P8" s="58"/>
      <c r="Q8" s="58"/>
      <c r="R8" s="58"/>
      <c r="S8" s="58"/>
      <c r="T8" s="41"/>
    </row>
    <row r="9" ht="29.55" spans="1:20">
      <c r="A9" s="58"/>
      <c r="B9" s="58"/>
      <c r="C9" s="58"/>
      <c r="D9" s="58"/>
      <c r="E9" s="58"/>
      <c r="F9" s="58"/>
      <c r="G9" s="58"/>
      <c r="H9" s="58"/>
      <c r="I9" s="59"/>
      <c r="J9" s="58"/>
      <c r="K9" s="58"/>
      <c r="L9" s="58"/>
      <c r="M9" s="58"/>
      <c r="N9" s="58"/>
      <c r="O9" s="58"/>
      <c r="P9" s="58"/>
      <c r="Q9" s="58"/>
      <c r="R9" s="58"/>
      <c r="S9" s="58"/>
      <c r="T9" s="41"/>
    </row>
    <row r="10" ht="29.55" spans="1:20">
      <c r="A10" s="58"/>
      <c r="B10" s="58"/>
      <c r="C10" s="58"/>
      <c r="D10" s="58"/>
      <c r="E10" s="58"/>
      <c r="F10" s="58"/>
      <c r="G10" s="58"/>
      <c r="H10" s="58"/>
      <c r="I10" s="59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41"/>
    </row>
    <row r="11" ht="29.55" spans="1:19">
      <c r="A11" s="58"/>
      <c r="B11" s="58"/>
      <c r="C11" s="58"/>
      <c r="D11" s="58"/>
      <c r="E11" s="58"/>
      <c r="F11" s="58"/>
      <c r="G11" s="58"/>
      <c r="H11" s="58"/>
      <c r="I11" s="59"/>
      <c r="J11" s="58"/>
      <c r="K11" s="58"/>
      <c r="L11" s="58"/>
      <c r="M11" s="58"/>
      <c r="N11" s="58"/>
      <c r="O11" s="58"/>
      <c r="P11" s="58"/>
      <c r="Q11" s="58"/>
      <c r="R11" s="58"/>
      <c r="S11" s="58"/>
    </row>
    <row r="12" ht="29.55" spans="1:19">
      <c r="A12" s="58"/>
      <c r="B12" s="58"/>
      <c r="C12" s="58"/>
      <c r="D12" s="58"/>
      <c r="E12" s="58"/>
      <c r="F12" s="58"/>
      <c r="G12" s="58"/>
      <c r="H12" s="58"/>
      <c r="I12" s="59"/>
      <c r="J12" s="58"/>
      <c r="K12" s="58"/>
      <c r="L12" s="58"/>
      <c r="M12" s="58"/>
      <c r="N12" s="58"/>
      <c r="O12" s="58"/>
      <c r="P12" s="58"/>
      <c r="Q12" s="58"/>
      <c r="R12" s="58"/>
      <c r="S12" s="58"/>
    </row>
    <row r="13" ht="29.55" spans="1:19">
      <c r="A13" s="58"/>
      <c r="B13" s="58"/>
      <c r="C13" s="58"/>
      <c r="D13" s="58"/>
      <c r="E13" s="58"/>
      <c r="F13" s="58"/>
      <c r="G13" s="58"/>
      <c r="H13" s="58"/>
      <c r="I13" s="59"/>
      <c r="J13" s="58"/>
      <c r="K13" s="58"/>
      <c r="L13" s="58"/>
      <c r="M13" s="58"/>
      <c r="N13" s="58"/>
      <c r="O13" s="58"/>
      <c r="P13" s="58"/>
      <c r="Q13" s="58"/>
      <c r="R13" s="58"/>
      <c r="S13" s="58"/>
    </row>
    <row r="14" ht="29.55" spans="1:19">
      <c r="A14" s="58"/>
      <c r="B14" s="58"/>
      <c r="C14" s="58"/>
      <c r="D14" s="58"/>
      <c r="E14" s="58"/>
      <c r="F14" s="58"/>
      <c r="G14" s="58"/>
      <c r="H14" s="58"/>
      <c r="I14" s="59"/>
      <c r="J14" s="58"/>
      <c r="K14" s="58"/>
      <c r="L14" s="58"/>
      <c r="M14" s="58"/>
      <c r="N14" s="58"/>
      <c r="O14" s="58"/>
      <c r="P14" s="58"/>
      <c r="Q14" s="58"/>
      <c r="R14" s="58"/>
      <c r="S14" s="58"/>
    </row>
    <row r="15" ht="29.55" spans="1:19">
      <c r="A15" s="58"/>
      <c r="B15" s="58"/>
      <c r="C15" s="58"/>
      <c r="D15" s="58"/>
      <c r="E15" s="58"/>
      <c r="F15" s="58"/>
      <c r="G15" s="58"/>
      <c r="H15" s="58"/>
      <c r="I15" s="59"/>
      <c r="J15" s="58"/>
      <c r="K15" s="58"/>
      <c r="L15" s="58"/>
      <c r="M15" s="58"/>
      <c r="N15" s="58"/>
      <c r="O15" s="58"/>
      <c r="P15" s="58"/>
      <c r="Q15" s="58"/>
      <c r="R15" s="58"/>
      <c r="S15" s="58"/>
    </row>
    <row r="16" ht="29.55" spans="1:19">
      <c r="A16" s="58"/>
      <c r="B16" s="58"/>
      <c r="C16" s="58"/>
      <c r="D16" s="58"/>
      <c r="E16" s="58"/>
      <c r="F16" s="58"/>
      <c r="G16" s="58"/>
      <c r="H16" s="58"/>
      <c r="I16" s="59"/>
      <c r="J16" s="58"/>
      <c r="K16" s="58"/>
      <c r="L16" s="58"/>
      <c r="M16" s="58"/>
      <c r="N16" s="58"/>
      <c r="O16" s="58"/>
      <c r="P16" s="58"/>
      <c r="Q16" s="58"/>
      <c r="R16" s="58"/>
      <c r="S16" s="58"/>
    </row>
    <row r="17" ht="29.55" spans="1:19">
      <c r="A17" s="58"/>
      <c r="B17" s="58"/>
      <c r="C17" s="58"/>
      <c r="D17" s="58"/>
      <c r="E17" s="58"/>
      <c r="F17" s="58"/>
      <c r="G17" s="58"/>
      <c r="H17" s="58"/>
      <c r="I17" s="59"/>
      <c r="J17" s="58"/>
      <c r="K17" s="58"/>
      <c r="L17" s="58"/>
      <c r="M17" s="58"/>
      <c r="N17" s="58"/>
      <c r="O17" s="58"/>
      <c r="P17" s="58"/>
      <c r="Q17" s="58"/>
      <c r="R17" s="58"/>
      <c r="S17" s="58"/>
    </row>
    <row r="18" ht="29.55" spans="1:19">
      <c r="A18" s="58"/>
      <c r="B18" s="58"/>
      <c r="C18" s="58"/>
      <c r="D18" s="58"/>
      <c r="E18" s="58"/>
      <c r="F18" s="58"/>
      <c r="G18" s="58"/>
      <c r="H18" s="58"/>
      <c r="I18" s="59"/>
      <c r="J18" s="58"/>
      <c r="K18" s="58"/>
      <c r="L18" s="58"/>
      <c r="M18" s="58"/>
      <c r="N18" s="58"/>
      <c r="O18" s="58"/>
      <c r="P18" s="58"/>
      <c r="Q18" s="58"/>
      <c r="R18" s="58"/>
      <c r="S18" s="58"/>
    </row>
    <row r="19" ht="29.55" spans="1:19">
      <c r="A19" s="58"/>
      <c r="B19" s="58"/>
      <c r="C19" s="58"/>
      <c r="D19" s="58"/>
      <c r="E19" s="58"/>
      <c r="F19" s="58"/>
      <c r="G19" s="58"/>
      <c r="H19" s="58"/>
      <c r="I19" s="59"/>
      <c r="J19" s="58"/>
      <c r="K19" s="58"/>
      <c r="L19" s="58"/>
      <c r="M19" s="58"/>
      <c r="N19" s="58"/>
      <c r="O19" s="58"/>
      <c r="P19" s="58"/>
      <c r="Q19" s="58"/>
      <c r="R19" s="58"/>
      <c r="S19" s="58"/>
    </row>
    <row r="20" ht="29.55" spans="1:19">
      <c r="A20" s="58"/>
      <c r="B20" s="58"/>
      <c r="C20" s="58"/>
      <c r="D20" s="58"/>
      <c r="E20" s="58"/>
      <c r="F20" s="58"/>
      <c r="G20" s="58"/>
      <c r="H20" s="58"/>
      <c r="I20" s="59"/>
      <c r="J20" s="58"/>
      <c r="K20" s="58"/>
      <c r="L20" s="58"/>
      <c r="M20" s="58"/>
      <c r="N20" s="58"/>
      <c r="O20" s="58"/>
      <c r="P20" s="58"/>
      <c r="Q20" s="58"/>
      <c r="R20" s="58"/>
      <c r="S20" s="58"/>
    </row>
    <row r="21" ht="29.55" spans="1:19">
      <c r="A21" s="58"/>
      <c r="B21" s="58"/>
      <c r="C21" s="58"/>
      <c r="D21" s="58"/>
      <c r="E21" s="58"/>
      <c r="F21" s="58"/>
      <c r="G21" s="58"/>
      <c r="H21" s="58"/>
      <c r="I21" s="59"/>
      <c r="J21" s="58"/>
      <c r="K21" s="58"/>
      <c r="L21" s="58"/>
      <c r="M21" s="58"/>
      <c r="N21" s="58"/>
      <c r="O21" s="58"/>
      <c r="P21" s="58"/>
      <c r="Q21" s="58"/>
      <c r="R21" s="58"/>
      <c r="S21" s="58"/>
    </row>
    <row r="22" ht="29.55" spans="1:19">
      <c r="A22" s="58"/>
      <c r="B22" s="58"/>
      <c r="C22" s="58"/>
      <c r="D22" s="58"/>
      <c r="E22" s="58"/>
      <c r="F22" s="58"/>
      <c r="G22" s="58"/>
      <c r="H22" s="58"/>
      <c r="I22" s="59"/>
      <c r="J22" s="58"/>
      <c r="K22" s="58"/>
      <c r="L22" s="58"/>
      <c r="M22" s="58"/>
      <c r="N22" s="58"/>
      <c r="O22" s="58"/>
      <c r="P22" s="58"/>
      <c r="Q22" s="58"/>
      <c r="R22" s="58"/>
      <c r="S22" s="58"/>
    </row>
    <row r="23" ht="29.55" spans="1:19">
      <c r="A23" s="58"/>
      <c r="B23" s="58"/>
      <c r="C23" s="58"/>
      <c r="D23" s="58"/>
      <c r="E23" s="58"/>
      <c r="F23" s="58"/>
      <c r="G23" s="58"/>
      <c r="H23" s="58"/>
      <c r="I23" s="59"/>
      <c r="J23" s="58"/>
      <c r="K23" s="58"/>
      <c r="L23" s="58"/>
      <c r="M23" s="58"/>
      <c r="N23" s="58"/>
      <c r="O23" s="58"/>
      <c r="P23" s="58"/>
      <c r="Q23" s="58"/>
      <c r="R23" s="58"/>
      <c r="S23" s="58"/>
    </row>
    <row r="24" ht="29.55" spans="1:19">
      <c r="A24" s="58"/>
      <c r="B24" s="58"/>
      <c r="C24" s="58"/>
      <c r="D24" s="58"/>
      <c r="E24" s="58"/>
      <c r="F24" s="58"/>
      <c r="G24" s="58"/>
      <c r="H24" s="58"/>
      <c r="I24" s="59"/>
      <c r="J24" s="58"/>
      <c r="K24" s="58"/>
      <c r="L24" s="58"/>
      <c r="M24" s="58"/>
      <c r="N24" s="58"/>
      <c r="O24" s="58"/>
      <c r="P24" s="58"/>
      <c r="Q24" s="58"/>
      <c r="R24" s="58"/>
      <c r="S24" s="58"/>
    </row>
    <row r="25" ht="29.55" spans="1:19">
      <c r="A25" s="58"/>
      <c r="B25" s="58"/>
      <c r="C25" s="58"/>
      <c r="D25" s="58"/>
      <c r="E25" s="58"/>
      <c r="F25" s="58"/>
      <c r="G25" s="58"/>
      <c r="H25" s="58"/>
      <c r="I25" s="59"/>
      <c r="J25" s="58"/>
      <c r="K25" s="58"/>
      <c r="L25" s="58"/>
      <c r="M25" s="58"/>
      <c r="N25" s="58"/>
      <c r="O25" s="58"/>
      <c r="P25" s="58"/>
      <c r="Q25" s="58"/>
      <c r="R25" s="58"/>
      <c r="S25" s="58"/>
    </row>
    <row r="26" ht="29.55" spans="1:19">
      <c r="A26" s="58"/>
      <c r="B26" s="58"/>
      <c r="C26" s="58"/>
      <c r="D26" s="58"/>
      <c r="E26" s="58"/>
      <c r="F26" s="58"/>
      <c r="G26" s="58"/>
      <c r="H26" s="58"/>
      <c r="I26" s="59"/>
      <c r="J26" s="58"/>
      <c r="K26" s="58"/>
      <c r="L26" s="58"/>
      <c r="M26" s="58"/>
      <c r="N26" s="58"/>
      <c r="O26" s="58"/>
      <c r="P26" s="58"/>
      <c r="Q26" s="58"/>
      <c r="R26" s="58"/>
      <c r="S26" s="58"/>
    </row>
    <row r="27" ht="29.55" spans="1:19">
      <c r="A27" s="58"/>
      <c r="B27" s="58"/>
      <c r="C27" s="58"/>
      <c r="D27" s="58"/>
      <c r="E27" s="58"/>
      <c r="F27" s="58"/>
      <c r="G27" s="58"/>
      <c r="H27" s="58"/>
      <c r="I27" s="59"/>
      <c r="J27" s="58"/>
      <c r="K27" s="58"/>
      <c r="L27" s="58"/>
      <c r="M27" s="58"/>
      <c r="N27" s="58"/>
      <c r="O27" s="58"/>
      <c r="P27" s="58"/>
      <c r="Q27" s="58"/>
      <c r="R27" s="58"/>
      <c r="S27" s="58"/>
    </row>
    <row r="28" ht="29.55" spans="1:19">
      <c r="A28" s="58"/>
      <c r="B28" s="58"/>
      <c r="C28" s="58"/>
      <c r="D28" s="58"/>
      <c r="E28" s="58"/>
      <c r="F28" s="58"/>
      <c r="G28" s="58"/>
      <c r="H28" s="58"/>
      <c r="I28" s="59"/>
      <c r="J28" s="58"/>
      <c r="K28" s="58"/>
      <c r="L28" s="58"/>
      <c r="M28" s="58"/>
      <c r="N28" s="58"/>
      <c r="O28" s="58"/>
      <c r="P28" s="58"/>
      <c r="Q28" s="58"/>
      <c r="R28" s="58"/>
      <c r="S28" s="58"/>
    </row>
    <row r="29" ht="29.55" spans="1:19">
      <c r="A29" s="58"/>
      <c r="B29" s="58"/>
      <c r="C29" s="58"/>
      <c r="D29" s="58"/>
      <c r="E29" s="58"/>
      <c r="F29" s="58"/>
      <c r="G29" s="58"/>
      <c r="H29" s="58"/>
      <c r="I29" s="59"/>
      <c r="J29" s="58"/>
      <c r="K29" s="58"/>
      <c r="L29" s="58"/>
      <c r="M29" s="58"/>
      <c r="N29" s="58"/>
      <c r="O29" s="58"/>
      <c r="P29" s="58"/>
      <c r="Q29" s="58"/>
      <c r="R29" s="58"/>
      <c r="S29" s="58"/>
    </row>
    <row r="30" ht="29.55" spans="1:19">
      <c r="A30" s="58"/>
      <c r="B30" s="58"/>
      <c r="C30" s="58"/>
      <c r="D30" s="58"/>
      <c r="E30" s="58"/>
      <c r="F30" s="58"/>
      <c r="G30" s="58"/>
      <c r="H30" s="58"/>
      <c r="I30" s="59"/>
      <c r="J30" s="58"/>
      <c r="K30" s="58"/>
      <c r="L30" s="58"/>
      <c r="M30" s="58"/>
      <c r="N30" s="58"/>
      <c r="O30" s="58"/>
      <c r="P30" s="58"/>
      <c r="Q30" s="58"/>
      <c r="R30" s="58"/>
      <c r="S30" s="58"/>
    </row>
    <row r="31" ht="29.55" spans="1:19">
      <c r="A31" s="58"/>
      <c r="B31" s="58"/>
      <c r="C31" s="58"/>
      <c r="D31" s="58"/>
      <c r="E31" s="58"/>
      <c r="F31" s="58"/>
      <c r="G31" s="58"/>
      <c r="H31" s="58"/>
      <c r="I31" s="59"/>
      <c r="J31" s="58"/>
      <c r="K31" s="58"/>
      <c r="L31" s="58"/>
      <c r="M31" s="58"/>
      <c r="N31" s="58"/>
      <c r="O31" s="58"/>
      <c r="P31" s="58"/>
      <c r="Q31" s="58"/>
      <c r="R31" s="58"/>
      <c r="S31" s="58"/>
    </row>
    <row r="32" ht="29.55" spans="1:19">
      <c r="A32" s="58"/>
      <c r="B32" s="58"/>
      <c r="C32" s="58"/>
      <c r="D32" s="58"/>
      <c r="E32" s="58"/>
      <c r="F32" s="58"/>
      <c r="G32" s="58"/>
      <c r="H32" s="58"/>
      <c r="I32" s="59"/>
      <c r="J32" s="58"/>
      <c r="K32" s="58"/>
      <c r="L32" s="58"/>
      <c r="M32" s="58"/>
      <c r="N32" s="58"/>
      <c r="O32" s="58"/>
      <c r="P32" s="58"/>
      <c r="Q32" s="58"/>
      <c r="R32" s="58"/>
      <c r="S32" s="58"/>
    </row>
    <row r="33" ht="29.55" spans="1:19">
      <c r="A33" s="58"/>
      <c r="B33" s="58"/>
      <c r="C33" s="58"/>
      <c r="D33" s="58"/>
      <c r="E33" s="58"/>
      <c r="F33" s="58"/>
      <c r="G33" s="58"/>
      <c r="H33" s="58"/>
      <c r="I33" s="59"/>
      <c r="J33" s="58"/>
      <c r="K33" s="58"/>
      <c r="L33" s="58"/>
      <c r="M33" s="58"/>
      <c r="N33" s="58"/>
      <c r="O33" s="58"/>
      <c r="P33" s="58"/>
      <c r="Q33" s="58"/>
      <c r="R33" s="58"/>
      <c r="S33" s="58"/>
    </row>
    <row r="34" ht="29.55" spans="1:19">
      <c r="A34" s="58"/>
      <c r="B34" s="58"/>
      <c r="C34" s="58"/>
      <c r="D34" s="58"/>
      <c r="E34" s="58"/>
      <c r="F34" s="58"/>
      <c r="G34" s="58"/>
      <c r="H34" s="58"/>
      <c r="I34" s="59"/>
      <c r="J34" s="58"/>
      <c r="K34" s="58"/>
      <c r="L34" s="58"/>
      <c r="M34" s="58"/>
      <c r="N34" s="58"/>
      <c r="O34" s="58"/>
      <c r="P34" s="58"/>
      <c r="Q34" s="58"/>
      <c r="R34" s="58"/>
      <c r="S34" s="58"/>
    </row>
    <row r="35" ht="29.55" spans="1:19">
      <c r="A35" s="58"/>
      <c r="B35" s="58"/>
      <c r="C35" s="58"/>
      <c r="D35" s="58"/>
      <c r="E35" s="58"/>
      <c r="F35" s="58"/>
      <c r="G35" s="58"/>
      <c r="H35" s="58"/>
      <c r="I35" s="59"/>
      <c r="J35" s="58"/>
      <c r="K35" s="58"/>
      <c r="L35" s="58"/>
      <c r="M35" s="58"/>
      <c r="N35" s="58"/>
      <c r="O35" s="58"/>
      <c r="P35" s="58"/>
      <c r="Q35" s="58"/>
      <c r="R35" s="58"/>
      <c r="S35" s="58"/>
    </row>
    <row r="36" ht="29.55" spans="1:19">
      <c r="A36" s="58"/>
      <c r="B36" s="58"/>
      <c r="C36" s="58"/>
      <c r="D36" s="58"/>
      <c r="E36" s="58"/>
      <c r="F36" s="58"/>
      <c r="G36" s="58"/>
      <c r="H36" s="58"/>
      <c r="I36" s="59"/>
      <c r="J36" s="58"/>
      <c r="K36" s="58"/>
      <c r="L36" s="58"/>
      <c r="M36" s="58"/>
      <c r="N36" s="58"/>
      <c r="O36" s="58"/>
      <c r="P36" s="58"/>
      <c r="Q36" s="58"/>
      <c r="R36" s="58"/>
      <c r="S36" s="58"/>
    </row>
    <row r="37" ht="29.55" spans="1:19">
      <c r="A37" s="58"/>
      <c r="B37" s="58"/>
      <c r="C37" s="58"/>
      <c r="D37" s="58"/>
      <c r="E37" s="58"/>
      <c r="F37" s="58"/>
      <c r="G37" s="58"/>
      <c r="H37" s="58"/>
      <c r="I37" s="59"/>
      <c r="J37" s="58"/>
      <c r="K37" s="58"/>
      <c r="L37" s="58"/>
      <c r="M37" s="58"/>
      <c r="N37" s="58"/>
      <c r="O37" s="58"/>
      <c r="P37" s="58"/>
      <c r="Q37" s="58"/>
      <c r="R37" s="58"/>
      <c r="S37" s="58"/>
    </row>
    <row r="38" ht="29.55" spans="1:19">
      <c r="A38" s="58"/>
      <c r="B38" s="58"/>
      <c r="C38" s="58"/>
      <c r="D38" s="58"/>
      <c r="E38" s="58"/>
      <c r="F38" s="58"/>
      <c r="G38" s="58"/>
      <c r="H38" s="58"/>
      <c r="I38" s="59"/>
      <c r="J38" s="58"/>
      <c r="K38" s="58"/>
      <c r="L38" s="58"/>
      <c r="M38" s="58"/>
      <c r="N38" s="58"/>
      <c r="O38" s="58"/>
      <c r="P38" s="58"/>
      <c r="Q38" s="58"/>
      <c r="R38" s="58"/>
      <c r="S38" s="58"/>
    </row>
    <row r="39" ht="29.55" spans="1:19">
      <c r="A39" s="58"/>
      <c r="B39" s="58"/>
      <c r="C39" s="58"/>
      <c r="D39" s="58"/>
      <c r="E39" s="58"/>
      <c r="F39" s="58"/>
      <c r="G39" s="58"/>
      <c r="H39" s="58"/>
      <c r="I39" s="59"/>
      <c r="J39" s="58"/>
      <c r="K39" s="58"/>
      <c r="L39" s="58"/>
      <c r="M39" s="58"/>
      <c r="N39" s="58"/>
      <c r="O39" s="58"/>
      <c r="P39" s="58"/>
      <c r="Q39" s="58"/>
      <c r="R39" s="58"/>
      <c r="S39" s="58"/>
    </row>
    <row r="40" ht="29.55" spans="1:19">
      <c r="A40" s="58"/>
      <c r="B40" s="58"/>
      <c r="C40" s="58"/>
      <c r="D40" s="58"/>
      <c r="E40" s="58"/>
      <c r="F40" s="58"/>
      <c r="G40" s="58"/>
      <c r="H40" s="58"/>
      <c r="I40" s="59"/>
      <c r="J40" s="58"/>
      <c r="K40" s="58"/>
      <c r="L40" s="58"/>
      <c r="M40" s="58"/>
      <c r="N40" s="58"/>
      <c r="O40" s="58"/>
      <c r="P40" s="58"/>
      <c r="Q40" s="58"/>
      <c r="R40" s="58"/>
      <c r="S40" s="58"/>
    </row>
    <row r="41" ht="29.55" spans="1:19">
      <c r="A41" s="58"/>
      <c r="B41" s="58"/>
      <c r="C41" s="58"/>
      <c r="D41" s="58"/>
      <c r="E41" s="58"/>
      <c r="F41" s="58"/>
      <c r="G41" s="58"/>
      <c r="H41" s="58"/>
      <c r="I41" s="59"/>
      <c r="J41" s="58"/>
      <c r="K41" s="58"/>
      <c r="L41" s="58"/>
      <c r="M41" s="58"/>
      <c r="N41" s="58"/>
      <c r="O41" s="58"/>
      <c r="P41" s="58"/>
      <c r="Q41" s="58"/>
      <c r="R41" s="58"/>
      <c r="S41" s="58"/>
    </row>
    <row r="42" ht="29.55" spans="1:19">
      <c r="A42" s="58"/>
      <c r="B42" s="58"/>
      <c r="C42" s="58"/>
      <c r="D42" s="58"/>
      <c r="E42" s="58"/>
      <c r="F42" s="58"/>
      <c r="G42" s="58"/>
      <c r="H42" s="58"/>
      <c r="I42" s="59"/>
      <c r="J42" s="58"/>
      <c r="K42" s="58"/>
      <c r="L42" s="58"/>
      <c r="M42" s="58"/>
      <c r="N42" s="58"/>
      <c r="O42" s="58"/>
      <c r="P42" s="58"/>
      <c r="Q42" s="58"/>
      <c r="R42" s="58"/>
      <c r="S42" s="58"/>
    </row>
    <row r="43" ht="29.55" spans="1:19">
      <c r="A43" s="58"/>
      <c r="B43" s="58"/>
      <c r="C43" s="58"/>
      <c r="D43" s="58"/>
      <c r="E43" s="58"/>
      <c r="F43" s="58"/>
      <c r="G43" s="58"/>
      <c r="H43" s="58"/>
      <c r="I43" s="59"/>
      <c r="J43" s="58"/>
      <c r="K43" s="58"/>
      <c r="L43" s="58"/>
      <c r="M43" s="58"/>
      <c r="N43" s="58"/>
      <c r="O43" s="58"/>
      <c r="P43" s="58"/>
      <c r="Q43" s="58"/>
      <c r="R43" s="58"/>
      <c r="S43" s="58"/>
    </row>
    <row r="44" ht="29.55" spans="1:19">
      <c r="A44" s="58"/>
      <c r="B44" s="58"/>
      <c r="C44" s="58"/>
      <c r="D44" s="58"/>
      <c r="E44" s="58"/>
      <c r="F44" s="58"/>
      <c r="G44" s="58"/>
      <c r="H44" s="58"/>
      <c r="I44" s="59"/>
      <c r="J44" s="58"/>
      <c r="K44" s="58"/>
      <c r="L44" s="58"/>
      <c r="M44" s="58"/>
      <c r="N44" s="58"/>
      <c r="O44" s="58"/>
      <c r="P44" s="58"/>
      <c r="Q44" s="58"/>
      <c r="R44" s="58"/>
      <c r="S44" s="58"/>
    </row>
    <row r="45" ht="29.55" spans="1:19">
      <c r="A45" s="58"/>
      <c r="B45" s="58"/>
      <c r="C45" s="58"/>
      <c r="D45" s="58"/>
      <c r="E45" s="58"/>
      <c r="F45" s="58"/>
      <c r="G45" s="58"/>
      <c r="H45" s="58"/>
      <c r="I45" s="59"/>
      <c r="J45" s="58"/>
      <c r="K45" s="58"/>
      <c r="L45" s="58"/>
      <c r="M45" s="58"/>
      <c r="N45" s="58"/>
      <c r="O45" s="58"/>
      <c r="P45" s="58"/>
      <c r="Q45" s="58"/>
      <c r="R45" s="58"/>
      <c r="S45" s="58"/>
    </row>
    <row r="46" ht="29.55" spans="1:19">
      <c r="A46" s="58"/>
      <c r="B46" s="58"/>
      <c r="C46" s="58"/>
      <c r="D46" s="58"/>
      <c r="E46" s="58"/>
      <c r="F46" s="58"/>
      <c r="G46" s="58"/>
      <c r="H46" s="58"/>
      <c r="I46" s="59"/>
      <c r="J46" s="58"/>
      <c r="K46" s="58"/>
      <c r="L46" s="58"/>
      <c r="M46" s="58"/>
      <c r="N46" s="58"/>
      <c r="O46" s="58"/>
      <c r="P46" s="58"/>
      <c r="Q46" s="58"/>
      <c r="R46" s="58"/>
      <c r="S46" s="58"/>
    </row>
    <row r="47" ht="29.55" spans="1:19">
      <c r="A47" s="58"/>
      <c r="B47" s="58"/>
      <c r="C47" s="58"/>
      <c r="D47" s="58"/>
      <c r="E47" s="58"/>
      <c r="F47" s="58"/>
      <c r="G47" s="58"/>
      <c r="H47" s="58"/>
      <c r="I47" s="59"/>
      <c r="J47" s="58"/>
      <c r="K47" s="58"/>
      <c r="L47" s="58"/>
      <c r="M47" s="58"/>
      <c r="N47" s="58"/>
      <c r="O47" s="58"/>
      <c r="P47" s="58"/>
      <c r="Q47" s="58"/>
      <c r="R47" s="58"/>
      <c r="S47" s="58"/>
    </row>
    <row r="48" ht="29.55" spans="1:19">
      <c r="A48" s="58"/>
      <c r="B48" s="58"/>
      <c r="C48" s="58"/>
      <c r="D48" s="58"/>
      <c r="E48" s="58"/>
      <c r="F48" s="58"/>
      <c r="G48" s="58"/>
      <c r="H48" s="58"/>
      <c r="I48" s="59"/>
      <c r="J48" s="58"/>
      <c r="K48" s="58"/>
      <c r="L48" s="58"/>
      <c r="M48" s="58"/>
      <c r="N48" s="58"/>
      <c r="O48" s="58"/>
      <c r="P48" s="58"/>
      <c r="Q48" s="58"/>
      <c r="R48" s="58"/>
      <c r="S48" s="58"/>
    </row>
    <row r="49" ht="29.55" spans="1:19">
      <c r="A49" s="58"/>
      <c r="B49" s="58"/>
      <c r="C49" s="58"/>
      <c r="D49" s="58"/>
      <c r="E49" s="58"/>
      <c r="F49" s="58"/>
      <c r="G49" s="58"/>
      <c r="H49" s="58"/>
      <c r="I49" s="59"/>
      <c r="J49" s="58"/>
      <c r="K49" s="58"/>
      <c r="L49" s="58"/>
      <c r="M49" s="58"/>
      <c r="N49" s="58"/>
      <c r="O49" s="58"/>
      <c r="P49" s="58"/>
      <c r="Q49" s="58"/>
      <c r="R49" s="58"/>
      <c r="S49" s="58"/>
    </row>
    <row r="50" ht="29.55" spans="1:19">
      <c r="A50" s="58"/>
      <c r="B50" s="58"/>
      <c r="C50" s="58"/>
      <c r="D50" s="58"/>
      <c r="E50" s="58"/>
      <c r="F50" s="58"/>
      <c r="G50" s="58"/>
      <c r="H50" s="58"/>
      <c r="I50" s="59"/>
      <c r="J50" s="58"/>
      <c r="K50" s="58"/>
      <c r="L50" s="58"/>
      <c r="M50" s="58"/>
      <c r="N50" s="58"/>
      <c r="O50" s="58"/>
      <c r="P50" s="58"/>
      <c r="Q50" s="58"/>
      <c r="R50" s="58"/>
      <c r="S50" s="58"/>
    </row>
    <row r="51" ht="29.55" spans="1:19">
      <c r="A51" s="58"/>
      <c r="B51" s="58"/>
      <c r="C51" s="58"/>
      <c r="D51" s="58"/>
      <c r="E51" s="58"/>
      <c r="F51" s="58"/>
      <c r="G51" s="58"/>
      <c r="H51" s="58"/>
      <c r="I51" s="59"/>
      <c r="J51" s="58"/>
      <c r="K51" s="58"/>
      <c r="L51" s="58"/>
      <c r="M51" s="58"/>
      <c r="N51" s="58"/>
      <c r="O51" s="58"/>
      <c r="P51" s="58"/>
      <c r="Q51" s="58"/>
      <c r="R51" s="58"/>
      <c r="S51" s="58"/>
    </row>
    <row r="52" ht="29.55" spans="1:19">
      <c r="A52" s="58"/>
      <c r="B52" s="58"/>
      <c r="C52" s="58"/>
      <c r="D52" s="58"/>
      <c r="E52" s="58"/>
      <c r="F52" s="58"/>
      <c r="G52" s="58"/>
      <c r="H52" s="58"/>
      <c r="I52" s="59"/>
      <c r="J52" s="58"/>
      <c r="K52" s="58"/>
      <c r="L52" s="58"/>
      <c r="M52" s="58"/>
      <c r="N52" s="58"/>
      <c r="O52" s="58"/>
      <c r="P52" s="58"/>
      <c r="Q52" s="58"/>
      <c r="R52" s="58"/>
      <c r="S52" s="58"/>
    </row>
    <row r="53" ht="29.55" spans="1:19">
      <c r="A53" s="58"/>
      <c r="B53" s="58"/>
      <c r="C53" s="58"/>
      <c r="D53" s="58"/>
      <c r="E53" s="58"/>
      <c r="F53" s="58"/>
      <c r="G53" s="58"/>
      <c r="H53" s="58"/>
      <c r="I53" s="59"/>
      <c r="J53" s="58"/>
      <c r="K53" s="58"/>
      <c r="L53" s="58"/>
      <c r="M53" s="58"/>
      <c r="N53" s="58"/>
      <c r="O53" s="58"/>
      <c r="P53" s="58"/>
      <c r="Q53" s="58"/>
      <c r="R53" s="58"/>
      <c r="S53" s="58"/>
    </row>
    <row r="54" ht="29.55" spans="1:19">
      <c r="A54" s="58"/>
      <c r="B54" s="58"/>
      <c r="C54" s="58"/>
      <c r="D54" s="58"/>
      <c r="E54" s="58"/>
      <c r="F54" s="58"/>
      <c r="G54" s="58"/>
      <c r="H54" s="58"/>
      <c r="I54" s="59"/>
      <c r="J54" s="58"/>
      <c r="K54" s="58"/>
      <c r="L54" s="58"/>
      <c r="M54" s="58"/>
      <c r="N54" s="58"/>
      <c r="O54" s="58"/>
      <c r="P54" s="58"/>
      <c r="Q54" s="58"/>
      <c r="R54" s="58"/>
      <c r="S54" s="58"/>
    </row>
    <row r="55" ht="29.55" spans="1:19">
      <c r="A55" s="58"/>
      <c r="B55" s="58"/>
      <c r="C55" s="58"/>
      <c r="D55" s="58"/>
      <c r="E55" s="58"/>
      <c r="F55" s="58"/>
      <c r="G55" s="58"/>
      <c r="H55" s="58"/>
      <c r="I55" s="59"/>
      <c r="J55" s="58"/>
      <c r="K55" s="58"/>
      <c r="L55" s="58"/>
      <c r="M55" s="58"/>
      <c r="N55" s="58"/>
      <c r="O55" s="58"/>
      <c r="P55" s="58"/>
      <c r="Q55" s="58"/>
      <c r="R55" s="58"/>
      <c r="S55" s="58"/>
    </row>
    <row r="56" ht="29.55" spans="1:19">
      <c r="A56" s="58"/>
      <c r="B56" s="58"/>
      <c r="C56" s="58"/>
      <c r="D56" s="58"/>
      <c r="E56" s="58"/>
      <c r="F56" s="58"/>
      <c r="G56" s="58"/>
      <c r="H56" s="58"/>
      <c r="I56" s="59"/>
      <c r="J56" s="58"/>
      <c r="K56" s="58"/>
      <c r="L56" s="58"/>
      <c r="M56" s="58"/>
      <c r="N56" s="58"/>
      <c r="O56" s="58"/>
      <c r="P56" s="58"/>
      <c r="Q56" s="58"/>
      <c r="R56" s="58"/>
      <c r="S56" s="58"/>
    </row>
    <row r="57" ht="29.55" spans="1:19">
      <c r="A57" s="58"/>
      <c r="B57" s="58"/>
      <c r="C57" s="58"/>
      <c r="D57" s="58"/>
      <c r="E57" s="58"/>
      <c r="F57" s="58"/>
      <c r="G57" s="58"/>
      <c r="H57" s="58"/>
      <c r="I57" s="59"/>
      <c r="J57" s="58"/>
      <c r="K57" s="58"/>
      <c r="L57" s="58"/>
      <c r="M57" s="58"/>
      <c r="N57" s="58"/>
      <c r="O57" s="58"/>
      <c r="P57" s="58"/>
      <c r="Q57" s="58"/>
      <c r="R57" s="58"/>
      <c r="S57" s="58"/>
    </row>
    <row r="58" ht="29.55" spans="1:19">
      <c r="A58" s="58"/>
      <c r="B58" s="58"/>
      <c r="C58" s="58"/>
      <c r="D58" s="58"/>
      <c r="E58" s="58"/>
      <c r="F58" s="58"/>
      <c r="G58" s="58"/>
      <c r="H58" s="58"/>
      <c r="I58" s="59"/>
      <c r="J58" s="58"/>
      <c r="K58" s="58"/>
      <c r="L58" s="58"/>
      <c r="M58" s="58"/>
      <c r="N58" s="58"/>
      <c r="O58" s="58"/>
      <c r="P58" s="58"/>
      <c r="Q58" s="58"/>
      <c r="R58" s="58"/>
      <c r="S58" s="58"/>
    </row>
    <row r="59" ht="29.55" spans="1:19">
      <c r="A59" s="58"/>
      <c r="B59" s="58"/>
      <c r="C59" s="58"/>
      <c r="D59" s="58"/>
      <c r="E59" s="58"/>
      <c r="F59" s="58"/>
      <c r="G59" s="58"/>
      <c r="H59" s="58"/>
      <c r="I59" s="59"/>
      <c r="J59" s="58"/>
      <c r="K59" s="58"/>
      <c r="L59" s="58"/>
      <c r="M59" s="58"/>
      <c r="N59" s="58"/>
      <c r="O59" s="58"/>
      <c r="P59" s="58"/>
      <c r="Q59" s="58"/>
      <c r="R59" s="58"/>
      <c r="S59" s="58"/>
    </row>
    <row r="60" ht="29.55" spans="1:19">
      <c r="A60" s="58"/>
      <c r="B60" s="58"/>
      <c r="C60" s="58"/>
      <c r="D60" s="58"/>
      <c r="E60" s="58"/>
      <c r="F60" s="58"/>
      <c r="G60" s="58"/>
      <c r="H60" s="58"/>
      <c r="I60" s="59"/>
      <c r="J60" s="58"/>
      <c r="K60" s="58"/>
      <c r="L60" s="58"/>
      <c r="M60" s="58"/>
      <c r="N60" s="58"/>
      <c r="O60" s="58"/>
      <c r="P60" s="58"/>
      <c r="Q60" s="58"/>
      <c r="R60" s="58"/>
      <c r="S60" s="58"/>
    </row>
    <row r="61" ht="29.55" spans="1:19">
      <c r="A61" s="58"/>
      <c r="B61" s="58"/>
      <c r="C61" s="58"/>
      <c r="D61" s="58"/>
      <c r="E61" s="58"/>
      <c r="F61" s="58"/>
      <c r="G61" s="58"/>
      <c r="H61" s="58"/>
      <c r="I61" s="59"/>
      <c r="J61" s="58"/>
      <c r="K61" s="58"/>
      <c r="L61" s="58"/>
      <c r="M61" s="58"/>
      <c r="N61" s="58"/>
      <c r="O61" s="58"/>
      <c r="P61" s="58"/>
      <c r="Q61" s="58"/>
      <c r="R61" s="58"/>
      <c r="S61" s="58"/>
    </row>
    <row r="62" ht="29.55" spans="1:19">
      <c r="A62" s="58"/>
      <c r="B62" s="58"/>
      <c r="C62" s="58"/>
      <c r="D62" s="58"/>
      <c r="E62" s="58"/>
      <c r="F62" s="58"/>
      <c r="G62" s="58"/>
      <c r="H62" s="58"/>
      <c r="I62" s="59"/>
      <c r="J62" s="58"/>
      <c r="K62" s="58"/>
      <c r="L62" s="58"/>
      <c r="M62" s="58"/>
      <c r="N62" s="58"/>
      <c r="O62" s="58"/>
      <c r="P62" s="58"/>
      <c r="Q62" s="58"/>
      <c r="R62" s="58"/>
      <c r="S62" s="58"/>
    </row>
    <row r="63" ht="29.55" spans="1:19">
      <c r="A63" s="58"/>
      <c r="B63" s="58"/>
      <c r="C63" s="58"/>
      <c r="D63" s="58"/>
      <c r="E63" s="58"/>
      <c r="F63" s="58"/>
      <c r="G63" s="58"/>
      <c r="H63" s="58"/>
      <c r="I63" s="59"/>
      <c r="J63" s="58"/>
      <c r="K63" s="58"/>
      <c r="L63" s="58"/>
      <c r="M63" s="58"/>
      <c r="N63" s="58"/>
      <c r="O63" s="58"/>
      <c r="P63" s="58"/>
      <c r="Q63" s="58"/>
      <c r="R63" s="58"/>
      <c r="S63" s="58"/>
    </row>
    <row r="64" ht="29.55" spans="1:19">
      <c r="A64" s="58"/>
      <c r="B64" s="58"/>
      <c r="C64" s="58"/>
      <c r="D64" s="58"/>
      <c r="E64" s="58"/>
      <c r="F64" s="58"/>
      <c r="G64" s="58"/>
      <c r="H64" s="58"/>
      <c r="I64" s="59"/>
      <c r="J64" s="58"/>
      <c r="K64" s="58"/>
      <c r="L64" s="58"/>
      <c r="M64" s="58"/>
      <c r="N64" s="58"/>
      <c r="O64" s="58"/>
      <c r="P64" s="58"/>
      <c r="Q64" s="58"/>
      <c r="R64" s="58"/>
      <c r="S64" s="58"/>
    </row>
    <row r="65" ht="29.55" spans="1:19">
      <c r="A65" s="58"/>
      <c r="B65" s="58"/>
      <c r="C65" s="58"/>
      <c r="D65" s="58"/>
      <c r="E65" s="58"/>
      <c r="F65" s="58"/>
      <c r="G65" s="58"/>
      <c r="H65" s="58"/>
      <c r="I65" s="59"/>
      <c r="J65" s="58"/>
      <c r="K65" s="58"/>
      <c r="L65" s="58"/>
      <c r="M65" s="58"/>
      <c r="N65" s="58"/>
      <c r="O65" s="58"/>
      <c r="P65" s="58"/>
      <c r="Q65" s="58"/>
      <c r="R65" s="58"/>
      <c r="S65" s="58"/>
    </row>
    <row r="66" ht="29.55" spans="1:19">
      <c r="A66" s="58"/>
      <c r="B66" s="58"/>
      <c r="C66" s="58"/>
      <c r="D66" s="58"/>
      <c r="E66" s="58"/>
      <c r="F66" s="58"/>
      <c r="G66" s="58"/>
      <c r="H66" s="58"/>
      <c r="I66" s="59"/>
      <c r="J66" s="58"/>
      <c r="K66" s="58"/>
      <c r="L66" s="58"/>
      <c r="M66" s="58"/>
      <c r="N66" s="58"/>
      <c r="O66" s="58"/>
      <c r="P66" s="58"/>
      <c r="Q66" s="58"/>
      <c r="R66" s="58"/>
      <c r="S66" s="58"/>
    </row>
    <row r="67" ht="29.55" spans="1:19">
      <c r="A67" s="58"/>
      <c r="B67" s="58"/>
      <c r="C67" s="58"/>
      <c r="D67" s="58"/>
      <c r="E67" s="58"/>
      <c r="F67" s="58"/>
      <c r="G67" s="58"/>
      <c r="H67" s="58"/>
      <c r="I67" s="59"/>
      <c r="J67" s="58"/>
      <c r="K67" s="58"/>
      <c r="L67" s="58"/>
      <c r="M67" s="58"/>
      <c r="N67" s="58"/>
      <c r="O67" s="58"/>
      <c r="P67" s="58"/>
      <c r="Q67" s="58"/>
      <c r="R67" s="58"/>
      <c r="S67" s="58"/>
    </row>
    <row r="68" ht="29.55" spans="1:19">
      <c r="A68" s="58"/>
      <c r="B68" s="58"/>
      <c r="C68" s="58"/>
      <c r="D68" s="58"/>
      <c r="E68" s="58"/>
      <c r="F68" s="58"/>
      <c r="G68" s="58"/>
      <c r="H68" s="58"/>
      <c r="I68" s="59"/>
      <c r="J68" s="58"/>
      <c r="K68" s="58"/>
      <c r="L68" s="58"/>
      <c r="M68" s="58"/>
      <c r="N68" s="58"/>
      <c r="O68" s="58"/>
      <c r="P68" s="61"/>
      <c r="Q68" s="61"/>
      <c r="R68" s="61"/>
      <c r="S68" s="61"/>
    </row>
    <row r="69" ht="29.55" spans="1:17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</row>
  </sheetData>
  <sortState ref="A2:S23">
    <sortCondition ref="E9" descending="1"/>
  </sortState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P56"/>
  <sheetViews>
    <sheetView workbookViewId="0">
      <selection activeCell="A1" sqref="A1"/>
    </sheetView>
  </sheetViews>
  <sheetFormatPr defaultColWidth="8.35714285714286" defaultRowHeight="28.8"/>
  <cols>
    <col min="1" max="4" width="16.8571428571429" style="53" customWidth="1"/>
    <col min="5" max="5" width="40.7857142857143" style="53" customWidth="1"/>
    <col min="6" max="7" width="64.7142857142857" style="53" customWidth="1"/>
    <col min="8" max="9" width="45.6428571428571" style="53" customWidth="1"/>
    <col min="10" max="11" width="33.7142857142857" style="53" customWidth="1"/>
    <col min="12" max="12" width="37.6428571428571" style="53" customWidth="1"/>
    <col min="13" max="14" width="41.6428571428571" style="53" customWidth="1"/>
    <col min="15" max="15" width="56.4285714285714" style="53" customWidth="1"/>
    <col min="16" max="16" width="33.7142857142857" style="53" customWidth="1"/>
    <col min="17" max="16384" width="8.35714285714286" style="52"/>
  </cols>
  <sheetData>
    <row r="1" s="52" customFormat="1" spans="1:16">
      <c r="A1" s="54"/>
      <c r="B1" s="54"/>
      <c r="C1" s="54"/>
      <c r="D1" s="55"/>
      <c r="E1" s="55"/>
      <c r="F1" s="54"/>
      <c r="G1" s="54"/>
      <c r="H1" s="54"/>
      <c r="I1" s="54"/>
      <c r="J1" s="54"/>
      <c r="K1" s="54"/>
      <c r="L1" s="54"/>
      <c r="M1" s="54"/>
      <c r="N1" s="54"/>
      <c r="O1" s="55"/>
      <c r="P1" s="54"/>
    </row>
    <row r="2" s="52" customFormat="1" spans="1:16">
      <c r="A2" s="54"/>
      <c r="B2" s="54"/>
      <c r="C2" s="54"/>
      <c r="D2" s="55"/>
      <c r="E2" s="55"/>
      <c r="F2" s="54"/>
      <c r="G2" s="54"/>
      <c r="H2" s="54"/>
      <c r="I2" s="54"/>
      <c r="J2" s="54"/>
      <c r="K2" s="54"/>
      <c r="L2" s="54"/>
      <c r="M2" s="54"/>
      <c r="N2" s="54"/>
      <c r="O2" s="55"/>
      <c r="P2" s="54"/>
    </row>
    <row r="3" s="52" customFormat="1" spans="1:16">
      <c r="A3" s="54"/>
      <c r="B3" s="54"/>
      <c r="C3" s="54"/>
      <c r="D3" s="55"/>
      <c r="E3" s="55"/>
      <c r="F3" s="54"/>
      <c r="G3" s="54"/>
      <c r="H3" s="54"/>
      <c r="I3" s="54"/>
      <c r="J3" s="54"/>
      <c r="K3" s="54"/>
      <c r="L3" s="54"/>
      <c r="M3" s="54"/>
      <c r="N3" s="54"/>
      <c r="O3" s="55"/>
      <c r="P3" s="54"/>
    </row>
    <row r="4" s="52" customFormat="1" spans="1:16">
      <c r="A4" s="54"/>
      <c r="B4" s="54"/>
      <c r="C4" s="54"/>
      <c r="D4" s="55"/>
      <c r="E4" s="55"/>
      <c r="F4" s="54"/>
      <c r="G4" s="54"/>
      <c r="H4" s="54"/>
      <c r="I4" s="54"/>
      <c r="J4" s="54"/>
      <c r="K4" s="54"/>
      <c r="L4" s="54"/>
      <c r="M4" s="54"/>
      <c r="N4" s="54"/>
      <c r="O4" s="55"/>
      <c r="P4" s="54"/>
    </row>
    <row r="5" s="52" customFormat="1" spans="1:16">
      <c r="A5" s="54"/>
      <c r="B5" s="54"/>
      <c r="C5" s="54"/>
      <c r="D5" s="55"/>
      <c r="E5" s="55"/>
      <c r="F5" s="54"/>
      <c r="G5" s="54"/>
      <c r="H5" s="54"/>
      <c r="I5" s="54"/>
      <c r="J5" s="54"/>
      <c r="K5" s="54"/>
      <c r="L5" s="54"/>
      <c r="M5" s="54"/>
      <c r="N5" s="54"/>
      <c r="O5" s="55"/>
      <c r="P5" s="54"/>
    </row>
    <row r="6" s="52" customFormat="1" spans="1:16">
      <c r="A6" s="54"/>
      <c r="B6" s="54"/>
      <c r="C6" s="54"/>
      <c r="D6" s="55"/>
      <c r="E6" s="55"/>
      <c r="F6" s="54"/>
      <c r="G6" s="54"/>
      <c r="H6" s="54"/>
      <c r="I6" s="54"/>
      <c r="J6" s="54"/>
      <c r="K6" s="54"/>
      <c r="L6" s="54"/>
      <c r="M6" s="54"/>
      <c r="N6" s="54"/>
      <c r="O6" s="55"/>
      <c r="P6" s="54"/>
    </row>
    <row r="7" s="52" customFormat="1" spans="1:16">
      <c r="A7" s="54"/>
      <c r="B7" s="54"/>
      <c r="C7" s="54"/>
      <c r="D7" s="55"/>
      <c r="E7" s="55"/>
      <c r="F7" s="54"/>
      <c r="G7" s="54"/>
      <c r="H7" s="54"/>
      <c r="I7" s="54"/>
      <c r="J7" s="54"/>
      <c r="K7" s="54"/>
      <c r="L7" s="54"/>
      <c r="M7" s="54"/>
      <c r="N7" s="54"/>
      <c r="O7" s="55"/>
      <c r="P7" s="54"/>
    </row>
    <row r="8" s="52" customFormat="1" spans="1:16">
      <c r="A8" s="54"/>
      <c r="B8" s="54"/>
      <c r="C8" s="54"/>
      <c r="D8" s="55"/>
      <c r="E8" s="55"/>
      <c r="F8" s="54"/>
      <c r="G8" s="54"/>
      <c r="H8" s="54"/>
      <c r="I8" s="54"/>
      <c r="J8" s="54"/>
      <c r="K8" s="54"/>
      <c r="L8" s="54"/>
      <c r="M8" s="54"/>
      <c r="N8" s="54"/>
      <c r="O8" s="55"/>
      <c r="P8" s="54"/>
    </row>
    <row r="9" s="52" customFormat="1" spans="1:16">
      <c r="A9" s="54"/>
      <c r="B9" s="54"/>
      <c r="C9" s="54"/>
      <c r="D9" s="55"/>
      <c r="E9" s="55"/>
      <c r="F9" s="54"/>
      <c r="G9" s="54"/>
      <c r="H9" s="54"/>
      <c r="I9" s="54"/>
      <c r="J9" s="54"/>
      <c r="K9" s="54"/>
      <c r="L9" s="54"/>
      <c r="M9" s="54"/>
      <c r="N9" s="54"/>
      <c r="O9" s="55"/>
      <c r="P9" s="54"/>
    </row>
    <row r="10" s="52" customFormat="1" spans="1:16">
      <c r="A10" s="54"/>
      <c r="B10" s="54"/>
      <c r="C10" s="54"/>
      <c r="D10" s="55"/>
      <c r="E10" s="55"/>
      <c r="F10" s="54"/>
      <c r="G10" s="54"/>
      <c r="H10" s="54"/>
      <c r="I10" s="54"/>
      <c r="J10" s="54"/>
      <c r="K10" s="54"/>
      <c r="L10" s="54"/>
      <c r="M10" s="54"/>
      <c r="N10" s="54"/>
      <c r="O10" s="55"/>
      <c r="P10" s="54"/>
    </row>
    <row r="11" s="52" customFormat="1" spans="1:16">
      <c r="A11" s="54"/>
      <c r="B11" s="54"/>
      <c r="C11" s="54"/>
      <c r="D11" s="55"/>
      <c r="E11" s="55"/>
      <c r="F11" s="54"/>
      <c r="G11" s="54"/>
      <c r="H11" s="54"/>
      <c r="I11" s="54"/>
      <c r="J11" s="54"/>
      <c r="K11" s="54"/>
      <c r="L11" s="54"/>
      <c r="M11" s="54"/>
      <c r="N11" s="54"/>
      <c r="O11" s="55"/>
      <c r="P11" s="54"/>
    </row>
    <row r="12" s="52" customFormat="1" spans="1:16">
      <c r="A12" s="54"/>
      <c r="B12" s="54"/>
      <c r="C12" s="54"/>
      <c r="D12" s="55"/>
      <c r="E12" s="55"/>
      <c r="F12" s="54"/>
      <c r="G12" s="54"/>
      <c r="H12" s="54"/>
      <c r="I12" s="54"/>
      <c r="J12" s="54"/>
      <c r="K12" s="54"/>
      <c r="L12" s="54"/>
      <c r="M12" s="54"/>
      <c r="N12" s="54"/>
      <c r="O12" s="55"/>
      <c r="P12" s="54"/>
    </row>
    <row r="13" s="52" customFormat="1" spans="1:16">
      <c r="A13" s="54"/>
      <c r="B13" s="54"/>
      <c r="C13" s="54"/>
      <c r="D13" s="55"/>
      <c r="E13" s="55"/>
      <c r="F13" s="54"/>
      <c r="G13" s="54"/>
      <c r="H13" s="54"/>
      <c r="I13" s="54"/>
      <c r="J13" s="54"/>
      <c r="K13" s="54"/>
      <c r="L13" s="54"/>
      <c r="M13" s="54"/>
      <c r="N13" s="54"/>
      <c r="O13" s="55"/>
      <c r="P13" s="54"/>
    </row>
    <row r="14" s="52" customFormat="1" spans="1:16">
      <c r="A14" s="54"/>
      <c r="B14" s="54"/>
      <c r="C14" s="54"/>
      <c r="D14" s="55"/>
      <c r="E14" s="55"/>
      <c r="F14" s="54"/>
      <c r="G14" s="54"/>
      <c r="H14" s="54"/>
      <c r="I14" s="54"/>
      <c r="J14" s="54"/>
      <c r="K14" s="54"/>
      <c r="L14" s="54"/>
      <c r="M14" s="54"/>
      <c r="N14" s="54"/>
      <c r="O14" s="55"/>
      <c r="P14" s="54"/>
    </row>
    <row r="15" s="52" customFormat="1" spans="1:16">
      <c r="A15" s="54"/>
      <c r="B15" s="54"/>
      <c r="C15" s="54"/>
      <c r="D15" s="55"/>
      <c r="E15" s="55"/>
      <c r="F15" s="54"/>
      <c r="G15" s="54"/>
      <c r="H15" s="54"/>
      <c r="I15" s="54"/>
      <c r="J15" s="54"/>
      <c r="K15" s="54"/>
      <c r="L15" s="54"/>
      <c r="M15" s="54"/>
      <c r="N15" s="54"/>
      <c r="O15" s="55"/>
      <c r="P15" s="54"/>
    </row>
    <row r="16" s="52" customFormat="1" spans="1:16">
      <c r="A16" s="54"/>
      <c r="B16" s="54"/>
      <c r="C16" s="54"/>
      <c r="D16" s="55"/>
      <c r="E16" s="55"/>
      <c r="F16" s="54"/>
      <c r="G16" s="54"/>
      <c r="H16" s="54"/>
      <c r="I16" s="54"/>
      <c r="J16" s="54"/>
      <c r="K16" s="54"/>
      <c r="L16" s="54"/>
      <c r="M16" s="54"/>
      <c r="N16" s="54"/>
      <c r="O16" s="55"/>
      <c r="P16" s="54"/>
    </row>
    <row r="17" s="52" customFormat="1" spans="1:16">
      <c r="A17" s="54"/>
      <c r="B17" s="54"/>
      <c r="C17" s="54"/>
      <c r="D17" s="55"/>
      <c r="E17" s="55"/>
      <c r="F17" s="54"/>
      <c r="G17" s="54"/>
      <c r="H17" s="54"/>
      <c r="I17" s="54"/>
      <c r="J17" s="54"/>
      <c r="K17" s="54"/>
      <c r="L17" s="54"/>
      <c r="M17" s="54"/>
      <c r="N17" s="54"/>
      <c r="O17" s="55"/>
      <c r="P17" s="54"/>
    </row>
    <row r="18" s="52" customFormat="1" spans="1:16">
      <c r="A18" s="54"/>
      <c r="B18" s="54"/>
      <c r="C18" s="54"/>
      <c r="D18" s="55"/>
      <c r="E18" s="55"/>
      <c r="F18" s="54"/>
      <c r="G18" s="54"/>
      <c r="H18" s="54"/>
      <c r="I18" s="54"/>
      <c r="J18" s="54"/>
      <c r="K18" s="54"/>
      <c r="L18" s="54"/>
      <c r="M18" s="54"/>
      <c r="N18" s="54"/>
      <c r="O18" s="55"/>
      <c r="P18" s="54"/>
    </row>
    <row r="19" s="52" customFormat="1" spans="1:16">
      <c r="A19" s="54"/>
      <c r="B19" s="54"/>
      <c r="C19" s="54"/>
      <c r="D19" s="55"/>
      <c r="E19" s="55"/>
      <c r="F19" s="54"/>
      <c r="G19" s="54"/>
      <c r="H19" s="54"/>
      <c r="I19" s="54"/>
      <c r="J19" s="54"/>
      <c r="K19" s="54"/>
      <c r="L19" s="54"/>
      <c r="M19" s="54"/>
      <c r="N19" s="54"/>
      <c r="O19" s="55"/>
      <c r="P19" s="54"/>
    </row>
    <row r="20" s="52" customFormat="1" spans="1:16">
      <c r="A20" s="54"/>
      <c r="B20" s="54"/>
      <c r="C20" s="54"/>
      <c r="D20" s="55"/>
      <c r="E20" s="55"/>
      <c r="F20" s="54"/>
      <c r="G20" s="54"/>
      <c r="H20" s="54"/>
      <c r="I20" s="54"/>
      <c r="J20" s="54"/>
      <c r="K20" s="54"/>
      <c r="L20" s="54"/>
      <c r="M20" s="54"/>
      <c r="N20" s="54"/>
      <c r="O20" s="55"/>
      <c r="P20" s="54"/>
    </row>
    <row r="21" s="52" customFormat="1" spans="1:16">
      <c r="A21" s="54"/>
      <c r="B21" s="54"/>
      <c r="C21" s="54"/>
      <c r="D21" s="55"/>
      <c r="E21" s="55"/>
      <c r="F21" s="54"/>
      <c r="G21" s="54"/>
      <c r="H21" s="54"/>
      <c r="I21" s="54"/>
      <c r="J21" s="54"/>
      <c r="K21" s="54"/>
      <c r="L21" s="54"/>
      <c r="M21" s="54"/>
      <c r="N21" s="54"/>
      <c r="O21" s="55"/>
      <c r="P21" s="54"/>
    </row>
    <row r="22" s="52" customFormat="1" spans="1:16">
      <c r="A22" s="54"/>
      <c r="B22" s="54"/>
      <c r="C22" s="54"/>
      <c r="D22" s="55"/>
      <c r="E22" s="55"/>
      <c r="F22" s="54"/>
      <c r="G22" s="54"/>
      <c r="H22" s="54"/>
      <c r="I22" s="54"/>
      <c r="J22" s="54"/>
      <c r="K22" s="54"/>
      <c r="L22" s="54"/>
      <c r="M22" s="54"/>
      <c r="N22" s="54"/>
      <c r="O22" s="55"/>
      <c r="P22" s="54"/>
    </row>
    <row r="23" s="52" customFormat="1" spans="1:16">
      <c r="A23" s="54"/>
      <c r="B23" s="54"/>
      <c r="C23" s="54"/>
      <c r="D23" s="55"/>
      <c r="E23" s="55"/>
      <c r="F23" s="54"/>
      <c r="G23" s="54"/>
      <c r="H23" s="54"/>
      <c r="I23" s="54"/>
      <c r="J23" s="54"/>
      <c r="K23" s="54"/>
      <c r="L23" s="54"/>
      <c r="M23" s="54"/>
      <c r="N23" s="54"/>
      <c r="O23" s="55"/>
      <c r="P23" s="54"/>
    </row>
    <row r="24" s="52" customFormat="1" spans="1:16">
      <c r="A24" s="54"/>
      <c r="B24" s="54"/>
      <c r="C24" s="54"/>
      <c r="D24" s="55"/>
      <c r="E24" s="55"/>
      <c r="F24" s="54"/>
      <c r="G24" s="54"/>
      <c r="H24" s="54"/>
      <c r="I24" s="54"/>
      <c r="J24" s="54"/>
      <c r="K24" s="54"/>
      <c r="L24" s="54"/>
      <c r="M24" s="54"/>
      <c r="N24" s="54"/>
      <c r="O24" s="55"/>
      <c r="P24" s="54"/>
    </row>
    <row r="25" s="52" customFormat="1" spans="1:16">
      <c r="A25" s="54"/>
      <c r="B25" s="54"/>
      <c r="C25" s="54"/>
      <c r="D25" s="55"/>
      <c r="E25" s="55"/>
      <c r="F25" s="54"/>
      <c r="G25" s="54"/>
      <c r="H25" s="54"/>
      <c r="I25" s="54"/>
      <c r="J25" s="54"/>
      <c r="K25" s="54"/>
      <c r="L25" s="54"/>
      <c r="M25" s="54"/>
      <c r="N25" s="54"/>
      <c r="O25" s="55"/>
      <c r="P25" s="54"/>
    </row>
    <row r="26" s="52" customFormat="1" spans="1:16">
      <c r="A26" s="54"/>
      <c r="B26" s="54"/>
      <c r="C26" s="54"/>
      <c r="D26" s="55"/>
      <c r="E26" s="55"/>
      <c r="F26" s="54"/>
      <c r="G26" s="54"/>
      <c r="H26" s="54"/>
      <c r="I26" s="54"/>
      <c r="J26" s="54"/>
      <c r="K26" s="54"/>
      <c r="L26" s="54"/>
      <c r="M26" s="54"/>
      <c r="N26" s="54"/>
      <c r="O26" s="55"/>
      <c r="P26" s="54"/>
    </row>
    <row r="27" s="52" customFormat="1" spans="1:16">
      <c r="A27" s="54"/>
      <c r="B27" s="54"/>
      <c r="C27" s="54"/>
      <c r="D27" s="55"/>
      <c r="E27" s="55"/>
      <c r="F27" s="54"/>
      <c r="G27" s="54"/>
      <c r="H27" s="54"/>
      <c r="I27" s="54"/>
      <c r="J27" s="54"/>
      <c r="K27" s="54"/>
      <c r="L27" s="54"/>
      <c r="M27" s="54"/>
      <c r="N27" s="54"/>
      <c r="O27" s="55"/>
      <c r="P27" s="54"/>
    </row>
    <row r="28" s="52" customFormat="1" spans="1:16">
      <c r="A28" s="54"/>
      <c r="B28" s="54"/>
      <c r="C28" s="54"/>
      <c r="D28" s="55"/>
      <c r="E28" s="55"/>
      <c r="F28" s="54"/>
      <c r="G28" s="54"/>
      <c r="H28" s="54"/>
      <c r="I28" s="54"/>
      <c r="J28" s="54"/>
      <c r="K28" s="54"/>
      <c r="L28" s="54"/>
      <c r="M28" s="54"/>
      <c r="N28" s="54"/>
      <c r="O28" s="55"/>
      <c r="P28" s="54"/>
    </row>
    <row r="29" s="52" customFormat="1" spans="1:16">
      <c r="A29" s="54"/>
      <c r="B29" s="54"/>
      <c r="C29" s="54"/>
      <c r="D29" s="55"/>
      <c r="E29" s="55"/>
      <c r="F29" s="54"/>
      <c r="G29" s="54"/>
      <c r="H29" s="54"/>
      <c r="I29" s="54"/>
      <c r="J29" s="54"/>
      <c r="K29" s="54"/>
      <c r="L29" s="54"/>
      <c r="M29" s="54"/>
      <c r="N29" s="54"/>
      <c r="O29" s="55"/>
      <c r="P29" s="54"/>
    </row>
    <row r="30" s="52" customFormat="1" spans="1:16">
      <c r="A30" s="54"/>
      <c r="B30" s="54"/>
      <c r="C30" s="54"/>
      <c r="D30" s="55"/>
      <c r="E30" s="55"/>
      <c r="F30" s="54"/>
      <c r="G30" s="54"/>
      <c r="H30" s="54"/>
      <c r="I30" s="54"/>
      <c r="J30" s="54"/>
      <c r="K30" s="54"/>
      <c r="L30" s="54"/>
      <c r="M30" s="54"/>
      <c r="N30" s="54"/>
      <c r="O30" s="55"/>
      <c r="P30" s="54"/>
    </row>
    <row r="31" s="52" customFormat="1" spans="1:16">
      <c r="A31" s="54"/>
      <c r="B31" s="54"/>
      <c r="C31" s="54"/>
      <c r="D31" s="55"/>
      <c r="E31" s="55"/>
      <c r="F31" s="54"/>
      <c r="G31" s="54"/>
      <c r="H31" s="54"/>
      <c r="I31" s="54"/>
      <c r="J31" s="54"/>
      <c r="K31" s="54"/>
      <c r="L31" s="54"/>
      <c r="M31" s="54"/>
      <c r="N31" s="54"/>
      <c r="O31" s="55"/>
      <c r="P31" s="54"/>
    </row>
    <row r="32" s="52" customFormat="1" spans="1:16">
      <c r="A32" s="54"/>
      <c r="B32" s="54"/>
      <c r="C32" s="54"/>
      <c r="D32" s="55"/>
      <c r="E32" s="55"/>
      <c r="F32" s="54"/>
      <c r="G32" s="54"/>
      <c r="H32" s="54"/>
      <c r="I32" s="54"/>
      <c r="J32" s="54"/>
      <c r="K32" s="54"/>
      <c r="L32" s="54"/>
      <c r="M32" s="54"/>
      <c r="N32" s="54"/>
      <c r="O32" s="55"/>
      <c r="P32" s="54"/>
    </row>
    <row r="33" s="52" customFormat="1" spans="1:16">
      <c r="A33" s="54"/>
      <c r="B33" s="54"/>
      <c r="C33" s="54"/>
      <c r="D33" s="55"/>
      <c r="E33" s="55"/>
      <c r="F33" s="54"/>
      <c r="G33" s="54"/>
      <c r="H33" s="54"/>
      <c r="I33" s="54"/>
      <c r="J33" s="54"/>
      <c r="K33" s="54"/>
      <c r="L33" s="54"/>
      <c r="M33" s="54"/>
      <c r="N33" s="54"/>
      <c r="O33" s="55"/>
      <c r="P33" s="54"/>
    </row>
    <row r="34" s="52" customFormat="1" spans="1:16">
      <c r="A34" s="54"/>
      <c r="B34" s="54"/>
      <c r="C34" s="54"/>
      <c r="D34" s="55"/>
      <c r="E34" s="55"/>
      <c r="F34" s="54"/>
      <c r="G34" s="54"/>
      <c r="H34" s="54"/>
      <c r="I34" s="54"/>
      <c r="J34" s="54"/>
      <c r="K34" s="54"/>
      <c r="L34" s="54"/>
      <c r="M34" s="54"/>
      <c r="N34" s="54"/>
      <c r="O34" s="55"/>
      <c r="P34" s="54"/>
    </row>
    <row r="35" s="52" customFormat="1" spans="1:16">
      <c r="A35" s="54"/>
      <c r="B35" s="54"/>
      <c r="C35" s="54"/>
      <c r="D35" s="55"/>
      <c r="E35" s="55"/>
      <c r="F35" s="54"/>
      <c r="G35" s="54"/>
      <c r="H35" s="54"/>
      <c r="I35" s="54"/>
      <c r="J35" s="54"/>
      <c r="K35" s="54"/>
      <c r="L35" s="54"/>
      <c r="M35" s="54"/>
      <c r="N35" s="54"/>
      <c r="O35" s="55"/>
      <c r="P35" s="54"/>
    </row>
    <row r="36" s="52" customFormat="1" spans="1:16">
      <c r="A36" s="54"/>
      <c r="B36" s="54"/>
      <c r="C36" s="54"/>
      <c r="D36" s="55"/>
      <c r="E36" s="55"/>
      <c r="F36" s="54"/>
      <c r="G36" s="54"/>
      <c r="H36" s="54"/>
      <c r="I36" s="54"/>
      <c r="J36" s="54"/>
      <c r="K36" s="54"/>
      <c r="L36" s="54"/>
      <c r="M36" s="54"/>
      <c r="N36" s="54"/>
      <c r="O36" s="55"/>
      <c r="P36" s="54"/>
    </row>
    <row r="37" s="52" customFormat="1" spans="1:16">
      <c r="A37" s="54"/>
      <c r="B37" s="54"/>
      <c r="C37" s="54"/>
      <c r="D37" s="55"/>
      <c r="E37" s="55"/>
      <c r="F37" s="54"/>
      <c r="G37" s="54"/>
      <c r="H37" s="54"/>
      <c r="I37" s="54"/>
      <c r="J37" s="54"/>
      <c r="K37" s="54"/>
      <c r="L37" s="54"/>
      <c r="M37" s="54"/>
      <c r="N37" s="54"/>
      <c r="O37" s="55"/>
      <c r="P37" s="54"/>
    </row>
    <row r="38" s="52" customFormat="1" spans="1:16">
      <c r="A38" s="54"/>
      <c r="B38" s="54"/>
      <c r="C38" s="54"/>
      <c r="D38" s="55"/>
      <c r="E38" s="55"/>
      <c r="F38" s="54"/>
      <c r="G38" s="54"/>
      <c r="H38" s="54"/>
      <c r="I38" s="54"/>
      <c r="J38" s="54"/>
      <c r="K38" s="54"/>
      <c r="L38" s="54"/>
      <c r="M38" s="54"/>
      <c r="N38" s="54"/>
      <c r="O38" s="55"/>
      <c r="P38" s="54"/>
    </row>
    <row r="39" s="52" customFormat="1" spans="1:16">
      <c r="A39" s="54"/>
      <c r="B39" s="54"/>
      <c r="C39" s="54"/>
      <c r="D39" s="55"/>
      <c r="E39" s="55"/>
      <c r="F39" s="54"/>
      <c r="G39" s="54"/>
      <c r="H39" s="54"/>
      <c r="I39" s="54"/>
      <c r="J39" s="54"/>
      <c r="K39" s="54"/>
      <c r="L39" s="54"/>
      <c r="M39" s="54"/>
      <c r="N39" s="54"/>
      <c r="O39" s="55"/>
      <c r="P39" s="54"/>
    </row>
    <row r="40" s="52" customFormat="1" spans="1:16">
      <c r="A40" s="54"/>
      <c r="B40" s="54"/>
      <c r="C40" s="54"/>
      <c r="D40" s="55"/>
      <c r="E40" s="55"/>
      <c r="F40" s="54"/>
      <c r="G40" s="54"/>
      <c r="H40" s="54"/>
      <c r="I40" s="54"/>
      <c r="J40" s="54"/>
      <c r="K40" s="54"/>
      <c r="L40" s="54"/>
      <c r="M40" s="54"/>
      <c r="N40" s="54"/>
      <c r="O40" s="55"/>
      <c r="P40" s="54"/>
    </row>
    <row r="41" s="52" customFormat="1" spans="1:16">
      <c r="A41" s="54"/>
      <c r="B41" s="54"/>
      <c r="C41" s="54"/>
      <c r="D41" s="55"/>
      <c r="E41" s="55"/>
      <c r="F41" s="54"/>
      <c r="G41" s="54"/>
      <c r="H41" s="54"/>
      <c r="I41" s="54"/>
      <c r="J41" s="54"/>
      <c r="K41" s="54"/>
      <c r="L41" s="54"/>
      <c r="M41" s="54"/>
      <c r="N41" s="54"/>
      <c r="O41" s="55"/>
      <c r="P41" s="54"/>
    </row>
    <row r="42" s="52" customFormat="1" spans="1:16">
      <c r="A42" s="54"/>
      <c r="B42" s="54"/>
      <c r="C42" s="54"/>
      <c r="D42" s="55"/>
      <c r="E42" s="55"/>
      <c r="F42" s="54"/>
      <c r="G42" s="54"/>
      <c r="H42" s="54"/>
      <c r="I42" s="54"/>
      <c r="J42" s="54"/>
      <c r="K42" s="54"/>
      <c r="L42" s="54"/>
      <c r="M42" s="54"/>
      <c r="N42" s="54"/>
      <c r="O42" s="55"/>
      <c r="P42" s="54"/>
    </row>
    <row r="43" s="52" customFormat="1" spans="1:16">
      <c r="A43" s="54"/>
      <c r="B43" s="54"/>
      <c r="C43" s="54"/>
      <c r="D43" s="55"/>
      <c r="E43" s="55"/>
      <c r="F43" s="54"/>
      <c r="G43" s="54"/>
      <c r="H43" s="54"/>
      <c r="I43" s="54"/>
      <c r="J43" s="54"/>
      <c r="K43" s="54"/>
      <c r="L43" s="54"/>
      <c r="M43" s="54"/>
      <c r="N43" s="54"/>
      <c r="O43" s="55"/>
      <c r="P43" s="54"/>
    </row>
    <row r="44" s="52" customFormat="1" spans="1:16">
      <c r="A44" s="54"/>
      <c r="B44" s="54"/>
      <c r="C44" s="54"/>
      <c r="D44" s="55"/>
      <c r="E44" s="55"/>
      <c r="F44" s="54"/>
      <c r="G44" s="54"/>
      <c r="H44" s="54"/>
      <c r="I44" s="54"/>
      <c r="J44" s="54"/>
      <c r="K44" s="54"/>
      <c r="L44" s="54"/>
      <c r="M44" s="54"/>
      <c r="N44" s="54"/>
      <c r="O44" s="55"/>
      <c r="P44" s="54"/>
    </row>
    <row r="45" s="52" customFormat="1" spans="1:16">
      <c r="A45" s="54"/>
      <c r="B45" s="54"/>
      <c r="C45" s="54"/>
      <c r="D45" s="55"/>
      <c r="E45" s="55"/>
      <c r="F45" s="54"/>
      <c r="G45" s="54"/>
      <c r="H45" s="54"/>
      <c r="I45" s="54"/>
      <c r="J45" s="54"/>
      <c r="K45" s="54"/>
      <c r="L45" s="54"/>
      <c r="M45" s="54"/>
      <c r="N45" s="54"/>
      <c r="O45" s="55"/>
      <c r="P45" s="54"/>
    </row>
    <row r="46" s="52" customFormat="1" spans="1:16">
      <c r="A46" s="54"/>
      <c r="B46" s="54"/>
      <c r="C46" s="54"/>
      <c r="D46" s="55"/>
      <c r="E46" s="55"/>
      <c r="F46" s="54"/>
      <c r="G46" s="54"/>
      <c r="H46" s="54"/>
      <c r="I46" s="54"/>
      <c r="J46" s="54"/>
      <c r="K46" s="54"/>
      <c r="L46" s="54"/>
      <c r="M46" s="54"/>
      <c r="N46" s="54"/>
      <c r="O46" s="55"/>
      <c r="P46" s="54"/>
    </row>
    <row r="47" s="52" customFormat="1" spans="1:16">
      <c r="A47" s="54"/>
      <c r="B47" s="54"/>
      <c r="C47" s="54"/>
      <c r="D47" s="55"/>
      <c r="E47" s="55"/>
      <c r="F47" s="54"/>
      <c r="G47" s="54"/>
      <c r="H47" s="54"/>
      <c r="I47" s="54"/>
      <c r="J47" s="54"/>
      <c r="K47" s="54"/>
      <c r="L47" s="54"/>
      <c r="M47" s="54"/>
      <c r="N47" s="54"/>
      <c r="O47" s="55"/>
      <c r="P47" s="54"/>
    </row>
    <row r="48" s="52" customFormat="1" spans="1:16">
      <c r="A48" s="54"/>
      <c r="B48" s="54"/>
      <c r="C48" s="54"/>
      <c r="D48" s="55"/>
      <c r="E48" s="55"/>
      <c r="F48" s="54"/>
      <c r="G48" s="54"/>
      <c r="H48" s="54"/>
      <c r="I48" s="54"/>
      <c r="J48" s="54"/>
      <c r="K48" s="54"/>
      <c r="L48" s="54"/>
      <c r="M48" s="54"/>
      <c r="N48" s="54"/>
      <c r="O48" s="55"/>
      <c r="P48" s="54"/>
    </row>
    <row r="49" s="52" customFormat="1" spans="1:16">
      <c r="A49" s="54"/>
      <c r="B49" s="54"/>
      <c r="C49" s="54"/>
      <c r="D49" s="55"/>
      <c r="E49" s="55"/>
      <c r="F49" s="54"/>
      <c r="G49" s="54"/>
      <c r="H49" s="54"/>
      <c r="I49" s="54"/>
      <c r="J49" s="54"/>
      <c r="K49" s="54"/>
      <c r="L49" s="54"/>
      <c r="M49" s="54"/>
      <c r="N49" s="54"/>
      <c r="O49" s="55"/>
      <c r="P49" s="54"/>
    </row>
    <row r="50" s="52" customFormat="1" spans="1:16">
      <c r="A50" s="54"/>
      <c r="B50" s="54"/>
      <c r="C50" s="54"/>
      <c r="D50" s="55"/>
      <c r="E50" s="55"/>
      <c r="F50" s="54"/>
      <c r="G50" s="54"/>
      <c r="H50" s="54"/>
      <c r="I50" s="54"/>
      <c r="J50" s="54"/>
      <c r="K50" s="54"/>
      <c r="L50" s="54"/>
      <c r="M50" s="54"/>
      <c r="N50" s="54"/>
      <c r="O50" s="55"/>
      <c r="P50" s="54"/>
    </row>
    <row r="51" s="52" customFormat="1" spans="1:16">
      <c r="A51" s="54"/>
      <c r="B51" s="54"/>
      <c r="C51" s="54"/>
      <c r="D51" s="55"/>
      <c r="E51" s="55"/>
      <c r="F51" s="54"/>
      <c r="G51" s="54"/>
      <c r="H51" s="54"/>
      <c r="I51" s="54"/>
      <c r="J51" s="54"/>
      <c r="K51" s="54"/>
      <c r="L51" s="54"/>
      <c r="M51" s="54"/>
      <c r="N51" s="54"/>
      <c r="O51" s="55"/>
      <c r="P51" s="54"/>
    </row>
    <row r="52" s="52" customFormat="1" spans="1:16">
      <c r="A52" s="54"/>
      <c r="B52" s="54"/>
      <c r="C52" s="54"/>
      <c r="D52" s="55"/>
      <c r="E52" s="55"/>
      <c r="F52" s="54"/>
      <c r="G52" s="54"/>
      <c r="H52" s="54"/>
      <c r="I52" s="54"/>
      <c r="J52" s="54"/>
      <c r="K52" s="54"/>
      <c r="L52" s="54"/>
      <c r="M52" s="54"/>
      <c r="N52" s="54"/>
      <c r="O52" s="55"/>
      <c r="P52" s="54"/>
    </row>
    <row r="53" s="52" customFormat="1" spans="1:16">
      <c r="A53" s="54"/>
      <c r="B53" s="54"/>
      <c r="C53" s="54"/>
      <c r="D53" s="55"/>
      <c r="E53" s="55"/>
      <c r="F53" s="54"/>
      <c r="G53" s="54"/>
      <c r="H53" s="54"/>
      <c r="I53" s="54"/>
      <c r="J53" s="54"/>
      <c r="K53" s="54"/>
      <c r="L53" s="54"/>
      <c r="M53" s="54"/>
      <c r="N53" s="54"/>
      <c r="O53" s="55"/>
      <c r="P53" s="54"/>
    </row>
    <row r="54" s="52" customFormat="1" spans="1:16">
      <c r="A54" s="54"/>
      <c r="B54" s="54"/>
      <c r="C54" s="54"/>
      <c r="D54" s="55"/>
      <c r="E54" s="55"/>
      <c r="F54" s="54"/>
      <c r="G54" s="54"/>
      <c r="H54" s="54"/>
      <c r="I54" s="54"/>
      <c r="J54" s="54"/>
      <c r="K54" s="54"/>
      <c r="L54" s="54"/>
      <c r="M54" s="54"/>
      <c r="N54" s="54"/>
      <c r="O54" s="55"/>
      <c r="P54" s="54"/>
    </row>
    <row r="55" s="52" customFormat="1" spans="1:16">
      <c r="A55" s="54"/>
      <c r="B55" s="54"/>
      <c r="C55" s="54"/>
      <c r="D55" s="55"/>
      <c r="E55" s="55"/>
      <c r="F55" s="54"/>
      <c r="G55" s="54"/>
      <c r="H55" s="54"/>
      <c r="I55" s="54"/>
      <c r="J55" s="54"/>
      <c r="K55" s="54"/>
      <c r="L55" s="54"/>
      <c r="M55" s="54"/>
      <c r="N55" s="54"/>
      <c r="O55" s="55"/>
      <c r="P55" s="54"/>
    </row>
    <row r="56" s="52" customFormat="1" spans="1:16">
      <c r="A56" s="54"/>
      <c r="B56" s="54"/>
      <c r="C56" s="54"/>
      <c r="D56" s="55"/>
      <c r="E56" s="55"/>
      <c r="F56" s="54"/>
      <c r="G56" s="54"/>
      <c r="H56" s="54"/>
      <c r="I56" s="54"/>
      <c r="J56" s="54"/>
      <c r="K56" s="54"/>
      <c r="L56" s="54"/>
      <c r="M56" s="54"/>
      <c r="N56" s="54"/>
      <c r="O56" s="55"/>
      <c r="P56" s="54"/>
    </row>
  </sheetData>
  <sheetProtection sheet="1" objects="1"/>
  <conditionalFormatting sqref="L$1:L$1048576">
    <cfRule type="duplicateValues" dxfId="9" priority="1"/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JES500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77678571428571" defaultRowHeight="28.8"/>
  <cols>
    <col min="1" max="1" width="32.7857142857143" style="20" customWidth="1"/>
    <col min="2" max="2" width="9.21428571428571" style="19" customWidth="1"/>
    <col min="3" max="3" width="13.6428571428571" style="21" customWidth="1"/>
    <col min="4" max="4" width="16.8571428571429" style="20" customWidth="1"/>
    <col min="5" max="5" width="12.8571428571429" style="20" customWidth="1"/>
    <col min="6" max="6" width="16.8571428571429" style="20" customWidth="1"/>
    <col min="7" max="7" width="20.8571428571429" style="20" customWidth="1"/>
    <col min="8" max="8" width="12.8571428571429" style="20" customWidth="1"/>
    <col min="9" max="10" width="9" style="20" customWidth="1"/>
    <col min="11" max="11" width="9" style="22" customWidth="1"/>
    <col min="12" max="12" width="20.8571428571429" style="20" customWidth="1"/>
    <col min="13" max="29" width="8.71428571428571" style="20" customWidth="1"/>
    <col min="30" max="30" width="12.8571428571429" style="20" customWidth="1"/>
    <col min="31" max="32" width="9" style="20" customWidth="1"/>
    <col min="33" max="33" width="17.7142857142857" style="22" customWidth="1"/>
    <col min="34" max="34" width="20.8571428571429" style="20" customWidth="1"/>
    <col min="35" max="39" width="7.57142857142857" style="20" customWidth="1"/>
    <col min="40" max="65" width="9.21428571428571" style="20" customWidth="1"/>
    <col min="66" max="68" width="12.8571428571429" style="22" customWidth="1"/>
    <col min="69" max="69" width="12.8571428571429" style="20" customWidth="1"/>
    <col min="70" max="70" width="9" style="20" customWidth="1"/>
    <col min="71" max="72" width="11.4285714285714" style="20" customWidth="1"/>
    <col min="73" max="73" width="16.8571428571429" style="23" customWidth="1"/>
    <col min="74" max="74" width="11.4285714285714" style="20" customWidth="1"/>
    <col min="75" max="76" width="16.8571428571429" style="20" customWidth="1"/>
    <col min="77" max="77" width="12.8571428571429" style="19" customWidth="1"/>
    <col min="78" max="78" width="37.6428571428571" style="20" customWidth="1"/>
    <col min="79" max="80" width="41.6428571428571" style="19" customWidth="1"/>
    <col min="81" max="81" width="12.8571428571429" style="20" customWidth="1"/>
    <col min="82" max="82" width="16.8571428571429" style="20" customWidth="1"/>
    <col min="83" max="83" width="9" style="22" customWidth="1"/>
    <col min="84" max="84" width="12.3571428571429" style="24" customWidth="1"/>
    <col min="85" max="85" width="12.8571428571429" style="20" customWidth="1"/>
    <col min="86" max="88" width="9" style="20" customWidth="1"/>
    <col min="89" max="89" width="20.8571428571429" style="20" customWidth="1"/>
    <col min="90" max="90" width="9" style="20" customWidth="1"/>
    <col min="91" max="91" width="20.8571428571429" style="20" customWidth="1"/>
    <col min="92" max="92" width="15.3571428571429" style="20" customWidth="1"/>
    <col min="93" max="104" width="16.8571428571429" style="20" customWidth="1"/>
    <col min="105" max="105" width="16.8571428571429" style="19" customWidth="1"/>
    <col min="106" max="106" width="16.8571428571429" style="20" customWidth="1"/>
    <col min="107" max="107" width="16.8571428571429" style="25" customWidth="1"/>
    <col min="108" max="113" width="3.5" style="20" customWidth="1"/>
    <col min="114" max="118" width="1.85714285714286" style="20" customWidth="1"/>
    <col min="119" max="16384" width="8.77678571428571" style="20" customWidth="1"/>
  </cols>
  <sheetData>
    <row r="1" s="19" customFormat="1" ht="29" spans="1:118">
      <c r="A1" s="26" t="str" cm="1">
        <f t="array" ref="A1:A5000">TEXT(生鲜批次导出!X1:X5000,"hh:mm:ss")</f>
        <v>00:00:00</v>
      </c>
      <c r="B1" s="27" t="s">
        <v>22</v>
      </c>
      <c r="C1" s="28" t="s">
        <v>26</v>
      </c>
      <c r="D1" s="27" t="s">
        <v>41</v>
      </c>
      <c r="E1" s="27" cm="1">
        <f t="array" ref="E1:E5000">_xlfn.XLOOKUP(生鲜批次导出!AD1:AD5000,骑手排行榜!C2:C200,骑手排行榜!D2:D200,"未找到")</f>
        <v>0</v>
      </c>
      <c r="F1" s="27" t="s">
        <v>42</v>
      </c>
      <c r="G1" s="27" vm="1" t="e" cm="1">
        <f t="array" ref="G1">_xlfn.UNIQUE(_xlfn._xlws.FILTER(生鲜批次导出!AD:AD,生鲜批次导出!AD:AD&lt;&gt;""))</f>
        <v>#VALUE!</v>
      </c>
      <c r="H1" s="30" t="s">
        <v>43</v>
      </c>
      <c r="I1" s="27" t="s">
        <v>19</v>
      </c>
      <c r="J1" s="27" t="s">
        <v>44</v>
      </c>
      <c r="K1" s="33" t="s">
        <v>45</v>
      </c>
      <c r="L1" s="26" vm="1" t="e" cm="1">
        <f t="array" ref="L1">_xlfn.UNIQUE(_xlfn._xlws.FILTER(生鲜批次导出!AD:AD,生鲜批次导出!AD:AD&lt;&gt;""))</f>
        <v>#VALUE!</v>
      </c>
      <c r="M1" s="34">
        <v>0.291666666666667</v>
      </c>
      <c r="N1" s="34">
        <v>0.333333333333333</v>
      </c>
      <c r="O1" s="34">
        <v>0.375</v>
      </c>
      <c r="P1" s="34">
        <v>0.416666666666667</v>
      </c>
      <c r="Q1" s="34">
        <v>0.458333333333333</v>
      </c>
      <c r="R1" s="34">
        <v>0.5</v>
      </c>
      <c r="S1" s="34">
        <v>0.541666666666667</v>
      </c>
      <c r="T1" s="34">
        <v>0.583333333333333</v>
      </c>
      <c r="U1" s="34">
        <v>0.625</v>
      </c>
      <c r="V1" s="34">
        <v>0.666666666666667</v>
      </c>
      <c r="W1" s="34">
        <v>0.708333333333333</v>
      </c>
      <c r="X1" s="34">
        <v>0.75</v>
      </c>
      <c r="Y1" s="34">
        <v>0.791666666666667</v>
      </c>
      <c r="Z1" s="34">
        <v>0.833333333333333</v>
      </c>
      <c r="AA1" s="34">
        <v>0.875</v>
      </c>
      <c r="AB1" s="34">
        <v>0.916666666666667</v>
      </c>
      <c r="AC1" s="34">
        <v>0.958333333333333</v>
      </c>
      <c r="AD1" s="30" t="s">
        <v>43</v>
      </c>
      <c r="AE1" s="27" t="s">
        <v>19</v>
      </c>
      <c r="AF1" s="27" t="s">
        <v>44</v>
      </c>
      <c r="AG1" s="27" t="s">
        <v>45</v>
      </c>
      <c r="AH1" s="27" vm="1" t="e" cm="1">
        <f t="array" ref="AH1">_xlfn.UNIQUE(_xlfn._xlws.FILTER(生鲜批次导出!AD:AD,生鲜批次导出!AD:AD&lt;&gt;""))</f>
        <v>#VALUE!</v>
      </c>
      <c r="AI1" s="35">
        <v>0.3125</v>
      </c>
      <c r="AJ1" s="35">
        <v>0.333333333333333</v>
      </c>
      <c r="AK1" s="35">
        <v>0.354166666666667</v>
      </c>
      <c r="AL1" s="35">
        <v>0.375</v>
      </c>
      <c r="AM1" s="35">
        <v>0.395833333333333</v>
      </c>
      <c r="AN1" s="35">
        <v>0.416666666666667</v>
      </c>
      <c r="AO1" s="35">
        <v>0.4375</v>
      </c>
      <c r="AP1" s="35">
        <v>0.458333333333333</v>
      </c>
      <c r="AQ1" s="35">
        <v>0.479166666666667</v>
      </c>
      <c r="AR1" s="36">
        <v>0.5</v>
      </c>
      <c r="AS1" s="36">
        <v>0.520833333333333</v>
      </c>
      <c r="AT1" s="36">
        <v>0.541666666666667</v>
      </c>
      <c r="AU1" s="36">
        <v>0.5625</v>
      </c>
      <c r="AV1" s="36">
        <v>0.583333333333333</v>
      </c>
      <c r="AW1" s="36">
        <v>0.604166666666667</v>
      </c>
      <c r="AX1" s="36">
        <v>0.625</v>
      </c>
      <c r="AY1" s="36">
        <v>0.645833333333333</v>
      </c>
      <c r="AZ1" s="36">
        <v>0.666666666666667</v>
      </c>
      <c r="BA1" s="37">
        <v>0.6875</v>
      </c>
      <c r="BB1" s="37">
        <v>0.708333333333333</v>
      </c>
      <c r="BC1" s="37">
        <v>0.729166666666667</v>
      </c>
      <c r="BD1" s="37">
        <v>0.75</v>
      </c>
      <c r="BE1" s="37">
        <v>0.770833333333333</v>
      </c>
      <c r="BF1" s="37">
        <v>0.791666666666667</v>
      </c>
      <c r="BG1" s="37">
        <v>0.8125</v>
      </c>
      <c r="BH1" s="37">
        <v>0.833333333333333</v>
      </c>
      <c r="BI1" s="37">
        <v>0.854166666666667</v>
      </c>
      <c r="BJ1" s="37">
        <v>0.875</v>
      </c>
      <c r="BK1" s="37">
        <v>0.895833333333333</v>
      </c>
      <c r="BL1" s="37">
        <v>0.916666666666667</v>
      </c>
      <c r="BM1" s="37">
        <v>0.9375</v>
      </c>
      <c r="BN1" s="38" t="s">
        <v>46</v>
      </c>
      <c r="BO1" s="39" t="s">
        <v>47</v>
      </c>
      <c r="BP1" s="40" t="s">
        <v>48</v>
      </c>
      <c r="BQ1" s="30" t="s">
        <v>43</v>
      </c>
      <c r="BR1" s="27" t="s">
        <v>49</v>
      </c>
      <c r="BS1" s="42" t="s">
        <v>27</v>
      </c>
      <c r="BT1" s="42" t="s">
        <v>50</v>
      </c>
      <c r="BU1" s="42" t="s">
        <v>51</v>
      </c>
      <c r="BV1" s="42" t="s">
        <v>8</v>
      </c>
      <c r="BW1" s="42" t="s">
        <v>4</v>
      </c>
      <c r="BX1" s="42" t="s">
        <v>5</v>
      </c>
      <c r="BY1" s="30" t="s">
        <v>43</v>
      </c>
      <c r="BZ1" s="27" t="s">
        <v>52</v>
      </c>
      <c r="CA1" s="27" t="s">
        <v>53</v>
      </c>
      <c r="CB1" s="44" t="s">
        <v>54</v>
      </c>
      <c r="CC1" s="30" t="s">
        <v>43</v>
      </c>
      <c r="CD1" s="27" t="s">
        <v>55</v>
      </c>
      <c r="CE1" s="33" t="s">
        <v>19</v>
      </c>
      <c r="CF1" s="46" t="s">
        <v>20</v>
      </c>
      <c r="CG1" s="30" t="s">
        <v>43</v>
      </c>
      <c r="CH1" s="27" t="s">
        <v>56</v>
      </c>
      <c r="CI1" s="27" t="s">
        <v>57</v>
      </c>
      <c r="CJ1" s="27" t="s">
        <v>58</v>
      </c>
      <c r="CK1" s="27" t="s">
        <v>59</v>
      </c>
      <c r="CL1" s="27" t="s">
        <v>19</v>
      </c>
      <c r="CM1" s="27" vm="1" t="e" cm="1">
        <f t="array" ref="CM1">_xlfn.UNIQUE(_xlfn._xlws.FILTER(生鲜批次导出!AD:AD,生鲜批次导出!AD:AD&lt;&gt;""))</f>
        <v>#VALUE!</v>
      </c>
      <c r="CN1" s="50" t="str" cm="1">
        <f t="array" ref="CN1:DN1">_xlfn.LET(_xlpm.data_range,区块划分表!B4:D30,_xlpm.is_empty,AND(LEN(_xlfn.TEXTJOIN("",TRUE,_xlpm.data_range))=0),_xlpm.result1,INDEX(_xlfn._xlws.SORT(_xlfn._xlws.FILTER(_xlpm.data_range,LEN(INDEX(_xlpm.data_range,,3))&gt;0),3,1),,1),_xlpm.col_A,区块划分表!A4:A30,_xlpm.match_result,_xlfn.BYROW(_xlpm.col_A,_xlfn.LAMBDA(_xlpm.row,IF(ISNUMBER(SEARCH("内环",_xlpm.row)),"内环",IF(ISNUMBER(SEARCH("外环",_xlpm.row)),"外环",IF(ISNUMBER(SEARCH("环外",_xlpm.row)),"环外",""))))),_xlpm.sort_key,IF(_xlpm.match_result="内环",1,IF(_xlpm.match_result="外环",2,IF(_xlpm.match_result="环外",3,4))),_xlpm.sorted_result,_xlfn.SORTBY(_xlpm.col_A,_xlpm.sort_key,1),_xlpm.result2,IF(_xlpm.sorted_result=0,"",_xlpm.sorted_result),_xlpm.final_result,IF(NOT(_xlpm.is_empty),_xlpm.result1,_xlpm.result2),TRANSPOSE(_xlfn.TOCOL(_xlpm.final_result,2)))</f>
        <v/>
      </c>
      <c r="CO1" s="51" t="str">
        <v/>
      </c>
      <c r="CP1" s="51" t="str">
        <v/>
      </c>
      <c r="CQ1" s="51" t="str">
        <v/>
      </c>
      <c r="CR1" s="51" t="str">
        <v/>
      </c>
      <c r="CS1" s="51" t="str">
        <v/>
      </c>
      <c r="CT1" s="51" t="str">
        <v/>
      </c>
      <c r="CU1" s="51" t="str">
        <v/>
      </c>
      <c r="CV1" s="51" t="str">
        <v/>
      </c>
      <c r="CW1" s="51" t="str">
        <v/>
      </c>
      <c r="CX1" s="51" t="str">
        <v/>
      </c>
      <c r="CY1" s="51" t="str">
        <v/>
      </c>
      <c r="CZ1" s="51" t="str">
        <v/>
      </c>
      <c r="DA1" s="51" t="str">
        <v/>
      </c>
      <c r="DB1" s="51" t="str">
        <v/>
      </c>
      <c r="DC1" s="51" t="str">
        <v/>
      </c>
      <c r="DD1" s="51" t="str">
        <v/>
      </c>
      <c r="DE1" s="51" t="str">
        <v/>
      </c>
      <c r="DF1" s="51" t="str">
        <v/>
      </c>
      <c r="DG1" s="51" t="str">
        <v/>
      </c>
      <c r="DH1" s="51" t="str">
        <v/>
      </c>
      <c r="DI1" s="51" t="str">
        <v/>
      </c>
      <c r="DJ1" s="19" t="str">
        <v/>
      </c>
      <c r="DK1" s="19" t="str">
        <v/>
      </c>
      <c r="DL1" s="19" t="str">
        <v/>
      </c>
      <c r="DM1" s="19" t="str">
        <v/>
      </c>
      <c r="DN1" s="19" t="str">
        <v/>
      </c>
    </row>
    <row r="2" ht="29" spans="1:6909">
      <c r="A2" s="20" t="str">
        <v>00:00:00</v>
      </c>
      <c r="B2" s="19" cm="1">
        <f t="array" ref="B2:B5000">MROUND(A2:A5000,60/1440)</f>
        <v>0</v>
      </c>
      <c r="C2" s="21" cm="1">
        <f t="array" ref="C2:C5000">MROUND(A2:A5000,30/1440)</f>
        <v>0</v>
      </c>
      <c r="D2" s="29" t="str" cm="1">
        <f t="array" ref="D2:D5000">_xlfn.LET(_xlpm.lookup_array,生鲜批次导出!H2:H5000,_xlpm.search_array1,区块划分表!B4:B30,_xlpm.return_array1,区块划分表!C4:C30,_xlpm.search_array2,生鲜批次导出!H2:H5000,IF(AND(ISBLANK(_xlpm.search_array1)),IF(ISNUMBER(SEARCH("内环",_xlpm.search_array2)),"内环",IF(ISNUMBER(SEARCH("外环",_xlpm.search_array2)),"外环",IF(ISNUMBER(SEARCH("环外",_xlpm.search_array2)),"环外","未匹配"))),_xlfn.XLOOKUP(_xlpm.lookup_array,_xlpm.search_array1,_xlpm.return_array1,"未找到")))</f>
        <v>未匹配</v>
      </c>
      <c r="E2" s="31">
        <v>0</v>
      </c>
      <c r="F2" s="32" t="str" cm="1">
        <f t="array" ref="F2:F28">_xlfn.LET(_xlpm.data_range,区块划分表!B4:D30,_xlpm.is_empty,AND(LEN(_xlfn.TEXTJOIN("",TRUE,_xlpm.data_range))=0),_xlpm.result1,INDEX(_xlfn._xlws.SORT(_xlfn._xlws.FILTER(_xlpm.data_range,LEN(INDEX(_xlpm.data_range,,3))&gt;0),3,1),,1),_xlpm.col_A,区块划分表!A4:A30,_xlpm.match_result,_xlfn.BYROW(_xlpm.col_A,_xlfn.LAMBDA(_xlpm.row,IF(ISNUMBER(SEARCH("内环",_xlpm.row)),"内环",IF(ISNUMBER(SEARCH("外环",_xlpm.row)),"外环",IF(ISNUMBER(SEARCH("环外",_xlpm.row)),"环外",""))))),_xlpm.sort_key,IF(_xlpm.match_result="内环",1,IF(_xlpm.match_result="外环",2,IF(_xlpm.match_result="环外",3,4))),_xlpm.sorted_result,_xlfn.SORTBY(_xlpm.col_A,_xlpm.sort_key,1),_xlpm.result2,IF(_xlpm.sorted_result=0,"",_xlpm.sorted_result),IF(NOT(_xlpm.is_empty),_xlpm.result1,_xlpm.result2))</f>
        <v/>
      </c>
      <c r="H2" s="29"/>
      <c r="I2" s="29" t="str" cm="1">
        <f t="array" ref="I2:I200">IF(_xlfn.BYROW(M2:AC200,_xlfn.LAMBDA(_xlpm.row,SUM(_xlpm.row)))=0,"",_xlfn.BYROW(M2:AC200,_xlfn.LAMBDA(_xlpm.row,SUM(_xlpm.row))))</f>
        <v/>
      </c>
      <c r="J2" s="20" cm="1">
        <f t="array" ref="J2:J200">_xlfn.BYROW(M2:AC200,_xlfn.LAMBDA(_xlpm.row,COUNTIF(_xlpm.row,"&gt;0")))</f>
        <v>0</v>
      </c>
      <c r="K2" s="22" cm="1">
        <f t="array" ref="K2:K200">IFERROR(I2:I200/J2:J200,0)</f>
        <v>0</v>
      </c>
      <c r="M2" s="20" cm="1">
        <f t="array" ref="M2:AC200">COUNTIFS(生鲜批次导出!$AD:$AD,$L2:L200,$B:$B,M$1:AC1)</f>
        <v>0</v>
      </c>
      <c r="N2" s="20">
        <v>0</v>
      </c>
      <c r="O2" s="20">
        <v>0</v>
      </c>
      <c r="P2" s="20">
        <v>0</v>
      </c>
      <c r="Q2" s="20">
        <v>0</v>
      </c>
      <c r="R2" s="20">
        <v>0</v>
      </c>
      <c r="S2" s="20">
        <v>0</v>
      </c>
      <c r="T2" s="20">
        <v>0</v>
      </c>
      <c r="U2" s="20">
        <v>0</v>
      </c>
      <c r="V2" s="20">
        <v>0</v>
      </c>
      <c r="W2" s="20">
        <v>0</v>
      </c>
      <c r="X2" s="20">
        <v>0</v>
      </c>
      <c r="Y2" s="20">
        <v>0</v>
      </c>
      <c r="Z2" s="20">
        <v>0</v>
      </c>
      <c r="AA2" s="20">
        <v>0</v>
      </c>
      <c r="AB2" s="20">
        <v>0</v>
      </c>
      <c r="AC2" s="20">
        <v>0</v>
      </c>
      <c r="AD2" s="29"/>
      <c r="AE2" s="20" t="str" cm="1">
        <f t="array" ref="AE2:AE200">IF(_xlfn.BYROW(AI2:BM200,_xlfn.LAMBDA(_xlpm.row,SUM(_xlpm.row)))=0,"",_xlfn.BYROW(AI2:BM200,_xlfn.LAMBDA(_xlpm.row,SUM(_xlpm.row))))</f>
        <v/>
      </c>
      <c r="AF2" s="20" cm="1">
        <f t="array" ref="AF2:AF200">_xlfn.BYROW(AI2:BM200,_xlfn.LAMBDA(_xlpm.row,COUNTIF(_xlpm.row,"&gt;0")))/2</f>
        <v>0</v>
      </c>
      <c r="AG2" s="22" t="e" cm="1">
        <f t="array" ref="AG2:AG200">AE2:AE200/(AF2:AF200*2)</f>
        <v>#VALUE!</v>
      </c>
      <c r="AI2" s="20" cm="1">
        <f t="array" ref="AI2:BM200">COUNTIFS(生鲜批次导出!$AD:$AD,AH2:AH200,C:C,AI$1:BM1)</f>
        <v>0</v>
      </c>
      <c r="AJ2" s="20">
        <v>0</v>
      </c>
      <c r="AK2" s="20">
        <v>0</v>
      </c>
      <c r="AL2" s="20">
        <v>0</v>
      </c>
      <c r="AM2" s="20">
        <v>0</v>
      </c>
      <c r="AN2" s="20">
        <v>0</v>
      </c>
      <c r="AO2" s="20">
        <v>0</v>
      </c>
      <c r="AP2" s="20">
        <v>0</v>
      </c>
      <c r="AQ2" s="20">
        <v>0</v>
      </c>
      <c r="AR2" s="20">
        <v>0</v>
      </c>
      <c r="AS2" s="20">
        <v>0</v>
      </c>
      <c r="AT2" s="20">
        <v>0</v>
      </c>
      <c r="AU2" s="20">
        <v>0</v>
      </c>
      <c r="AV2" s="20">
        <v>0</v>
      </c>
      <c r="AW2" s="20">
        <v>0</v>
      </c>
      <c r="AX2" s="20">
        <v>0</v>
      </c>
      <c r="AY2" s="20">
        <v>0</v>
      </c>
      <c r="AZ2" s="20">
        <v>0</v>
      </c>
      <c r="BA2" s="20">
        <v>0</v>
      </c>
      <c r="BB2" s="20">
        <v>0</v>
      </c>
      <c r="BC2" s="20">
        <v>0</v>
      </c>
      <c r="BD2" s="20">
        <v>0</v>
      </c>
      <c r="BE2" s="20">
        <v>0</v>
      </c>
      <c r="BF2" s="20">
        <v>0</v>
      </c>
      <c r="BG2" s="20">
        <v>0</v>
      </c>
      <c r="BH2" s="20">
        <v>0</v>
      </c>
      <c r="BI2" s="20">
        <v>0</v>
      </c>
      <c r="BJ2" s="20">
        <v>0</v>
      </c>
      <c r="BK2" s="20">
        <v>0</v>
      </c>
      <c r="BL2" s="20">
        <v>0</v>
      </c>
      <c r="BM2" s="20">
        <v>0</v>
      </c>
      <c r="BN2" s="41" cm="1">
        <f t="array" ref="BN2:BP200">_xlfn.MAKEARRAY(ROWS(AI2:AI200),3,_xlfn.LAMBDA(_xlpm.r,_xlpm.c,_xlfn.SWITCH(_xlpm.c,1,SUM(INDEX(AI2:BL200,_xlpm.r,_xlfn.SEQUENCE(1,9,COLUMN(AI1)-MIN(COLUMN(AI2:BL2))+1))),2,SUM(INDEX(AI2:BL200,_xlpm.r,_xlfn.SEQUENCE(1,9,COLUMN(AR1)-MIN(COLUMN(AI2:BL2))+1))),3,SUM(INDEX(AI2:BL200,_xlpm.r,_xlfn.SEQUENCE(1,12,COLUMN(BA1)-MIN(COLUMN(AI2:BL2))+1))))))</f>
        <v>0</v>
      </c>
      <c r="BO2" s="22">
        <v>0</v>
      </c>
      <c r="BP2" s="22">
        <v>0</v>
      </c>
      <c r="BR2" s="20" t="str" cm="1">
        <f t="array" ref="BR2:BR200">IFERROR(_xlfn.RANK.EQ(BU2:BU200,$BU$2:BU200,0),"")</f>
        <v/>
      </c>
      <c r="BS2" s="23" t="e" cm="1">
        <f t="array" ref="BS2">INDEX(骑手排行榜!$A$2:$S$200,0,MATCH("*"&amp;BS1&amp;"*",骑手排行榜!$A$1:$S$1,0))</f>
        <v>#N/A</v>
      </c>
      <c r="BT2" s="23" t="e" cm="1">
        <f t="array" ref="BT2">INDEX(骑手排行榜!$A$2:$S$200,0,MATCH("*"&amp;BT1&amp;"*",骑手排行榜!$A$1:$S$1,0))</f>
        <v>#N/A</v>
      </c>
      <c r="BU2" s="43" t="e" cm="1">
        <f t="array" ref="BU2">_xlfn.LET(_xlpm.result,INDEX(骑手排行榜!$A$2:$S$200,0,MATCH("*"&amp;BU1&amp;"*",骑手排行榜!$A$1:$S$1,0)),IF(_xlpm.result=0,"",_xlpm.result))</f>
        <v>#N/A</v>
      </c>
      <c r="BV2" s="23" t="e" cm="1">
        <f t="array" ref="BV2">INDEX(骑手排行榜!$A$2:$S$200,0,MATCH("*"&amp;BV1&amp;"*",骑手排行榜!$A$1:$S$1,0))</f>
        <v>#N/A</v>
      </c>
      <c r="BW2" s="23" t="e" cm="1">
        <f t="array" ref="BW2">INDEX(骑手排行榜!$A$2:$S$200,0,MATCH("*"&amp;BW1&amp;"*",骑手排行榜!$A$1:$S$1,0))</f>
        <v>#N/A</v>
      </c>
      <c r="BX2" s="23" t="e" cm="1">
        <f t="array" ref="BX2">INDEX(骑手排行榜!$A$2:$S$200,0,MATCH("*"&amp;BX1&amp;"*",骑手排行榜!$A$1:$S$1,0))</f>
        <v>#N/A</v>
      </c>
      <c r="BY2" s="45"/>
      <c r="BZ2" s="29" t="str" cm="1">
        <f t="array" ref="BZ2">_xlfn._xlws.FILTER(_xlfn.HSTACK(考勤!L:L,IF(考勤!N:N="","",DATEVALUE(考勤!N:N)+TIMEVALUE(考勤!N:N)),IF(考勤!M:M="","",DATEVALUE(考勤!M:M)+TIMEVALUE(考勤!M:M))),(考勤!O:O=0)*(考勤!O:O&lt;&gt;""),"没有找到")</f>
        <v>没有找到</v>
      </c>
      <c r="CA2" s="45"/>
      <c r="CB2" s="45"/>
      <c r="CC2" s="45"/>
      <c r="CD2" s="45" t="str" cm="1">
        <f t="array" ref="CD2:CD28">_xlfn.LET(_xlpm.data_range,区块划分表!B4:D30,_xlpm.is_empty,AND(LEN(_xlfn.TEXTJOIN("",TRUE,_xlpm.data_range))=0),_xlpm.result1,INDEX(_xlfn._xlws.SORT(_xlfn._xlws.FILTER(_xlpm.data_range,LEN(INDEX(_xlpm.data_range,,3))&gt;0),3,1),,1),_xlpm.col_A,区块划分表!A4:A30,_xlpm.match_result,_xlfn.BYROW(_xlpm.col_A,_xlfn.LAMBDA(_xlpm.row,IF(ISNUMBER(SEARCH("内环",_xlpm.row)),"内环",IF(ISNUMBER(SEARCH("外环",_xlpm.row)),"外环",IF(ISNUMBER(SEARCH("环外",_xlpm.row)),"环外",""))))),_xlpm.sort_key,IF(_xlpm.match_result="内环",1,IF(_xlpm.match_result="外环",2,IF(_xlpm.match_result="环外",3,4))),_xlpm.sorted_result,_xlfn.SORTBY(_xlpm.col_A,_xlpm.sort_key,1),_xlpm.result2,IF(_xlpm.sorted_result=0,"",_xlpm.sorted_result),_xlpm.final_result,IF(NOT(_xlpm.is_empty),_xlpm.result1,_xlpm.result2),_xlfn.TOCOL(_xlpm.final_result,2))</f>
        <v/>
      </c>
      <c r="CE2" s="41" t="str" cm="1">
        <f t="array" ref="CE2:CE24">_xlfn.LET(_xlpm.values,CD2:CD24,IF(_xlpm.values="","",COUNTIF(生鲜批次导出!$H:$H,_xlpm.values)))</f>
        <v/>
      </c>
      <c r="CF2" s="47" t="str" cm="1">
        <f t="array" ref="CF2:CF24">_xlfn.LET(_xlpm.values,CD2:CD24,_xlpm.counts,COUNTIF(生鲜批次导出!$H:$H,_xlpm.values),_xlpm.total,COUNTIF(生鲜批次导出!$H:$H,"*")-1,IF(_xlpm.values="","",_xlpm.counts/_xlpm.total))</f>
        <v/>
      </c>
      <c r="CG2" s="45"/>
      <c r="CH2" s="23" cm="1">
        <f t="array" ref="CH2:CH200">COUNTIFS(生鲜批次导出!$AD:$AD,$CM2:$CM200,$D:$D,CH1)</f>
        <v>0</v>
      </c>
      <c r="CI2" s="23" cm="1">
        <f t="array" ref="CI2:CI200">COUNTIFS(生鲜批次导出!$AD:$AD,$CM2:$CM200,$D:$D,CI1)</f>
        <v>0</v>
      </c>
      <c r="CJ2" s="23" cm="1">
        <f t="array" ref="CJ2:CJ200">COUNTIFS(生鲜批次导出!$AD:$AD,$CM2:$CM200,$D:$D,CJ1)</f>
        <v>0</v>
      </c>
      <c r="CK2" s="20" t="str" cm="1">
        <f t="array" ref="CK2:CK200">IFERROR(VLOOKUP(CM2:CM200,骑手排行榜!$C:$G,2,FALSE),"")</f>
        <v/>
      </c>
      <c r="CL2" s="20" t="str" cm="1">
        <f t="array" ref="CL2:CL200">IF(COUNTIFS(生鲜批次导出!$AD:$AD,$CM2:$CM200,$D:$D,"*")=0,"",COUNTIFS(生鲜批次导出!$AD:$AD,$CM2:$CM200,$D:$D,"*"))</f>
        <v/>
      </c>
      <c r="CN2" s="20" cm="1">
        <f t="array" ref="CN2:DI200">COUNTIFS(生鲜批次导出!$AD:$AD,CM2:CM200,生鲜批次导出!$H:$H,CN$1:DI1)</f>
        <v>0</v>
      </c>
      <c r="CO2" s="20">
        <v>0</v>
      </c>
      <c r="CP2" s="20">
        <v>0</v>
      </c>
      <c r="CQ2" s="20">
        <v>0</v>
      </c>
      <c r="CR2" s="20">
        <v>0</v>
      </c>
      <c r="CS2" s="20">
        <v>0</v>
      </c>
      <c r="CT2" s="20">
        <v>0</v>
      </c>
      <c r="CU2" s="20">
        <v>0</v>
      </c>
      <c r="CV2" s="20">
        <v>0</v>
      </c>
      <c r="CW2" s="20">
        <v>0</v>
      </c>
      <c r="CX2" s="20">
        <v>0</v>
      </c>
      <c r="CY2" s="20">
        <v>0</v>
      </c>
      <c r="CZ2" s="20">
        <v>0</v>
      </c>
      <c r="DA2" s="20">
        <v>0</v>
      </c>
      <c r="DB2" s="20">
        <v>0</v>
      </c>
      <c r="DC2" s="20">
        <v>0</v>
      </c>
      <c r="DD2" s="20">
        <v>0</v>
      </c>
      <c r="DE2" s="20">
        <v>0</v>
      </c>
      <c r="DF2" s="20">
        <v>0</v>
      </c>
      <c r="DG2" s="20">
        <v>0</v>
      </c>
      <c r="DH2" s="20">
        <v>0</v>
      </c>
      <c r="DI2" s="20">
        <v>0</v>
      </c>
      <c r="JES2" s="29"/>
    </row>
    <row r="3" ht="29" spans="1:113">
      <c r="A3" s="20" t="str">
        <v>00:00:00</v>
      </c>
      <c r="B3" s="19">
        <v>0</v>
      </c>
      <c r="C3" s="21">
        <v>0</v>
      </c>
      <c r="D3" s="29" t="str">
        <v>未匹配</v>
      </c>
      <c r="E3" s="29">
        <v>0</v>
      </c>
      <c r="F3" s="29" t="str">
        <v/>
      </c>
      <c r="H3" s="29"/>
      <c r="I3" s="20" t="str">
        <v/>
      </c>
      <c r="J3" s="20">
        <v>0</v>
      </c>
      <c r="K3" s="22">
        <v>0</v>
      </c>
      <c r="M3" s="20">
        <v>0</v>
      </c>
      <c r="N3" s="20">
        <v>0</v>
      </c>
      <c r="O3" s="20">
        <v>0</v>
      </c>
      <c r="P3" s="20">
        <v>0</v>
      </c>
      <c r="Q3" s="20">
        <v>0</v>
      </c>
      <c r="R3" s="20">
        <v>0</v>
      </c>
      <c r="S3" s="20">
        <v>0</v>
      </c>
      <c r="T3" s="20">
        <v>0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  <c r="AC3" s="20">
        <v>0</v>
      </c>
      <c r="AE3" s="20" t="str">
        <v/>
      </c>
      <c r="AF3" s="20">
        <v>0</v>
      </c>
      <c r="AG3" s="22" t="e">
        <v>#VALUE!</v>
      </c>
      <c r="AI3" s="20">
        <v>0</v>
      </c>
      <c r="AJ3" s="20">
        <v>0</v>
      </c>
      <c r="AK3" s="20">
        <v>0</v>
      </c>
      <c r="AL3" s="20">
        <v>0</v>
      </c>
      <c r="AM3" s="20">
        <v>0</v>
      </c>
      <c r="AN3" s="20">
        <v>0</v>
      </c>
      <c r="AO3" s="20">
        <v>0</v>
      </c>
      <c r="AP3" s="20">
        <v>0</v>
      </c>
      <c r="AQ3" s="20">
        <v>0</v>
      </c>
      <c r="AR3" s="20">
        <v>0</v>
      </c>
      <c r="AS3" s="20">
        <v>0</v>
      </c>
      <c r="AT3" s="20">
        <v>0</v>
      </c>
      <c r="AU3" s="20">
        <v>0</v>
      </c>
      <c r="AV3" s="20">
        <v>0</v>
      </c>
      <c r="AW3" s="20">
        <v>0</v>
      </c>
      <c r="AX3" s="20">
        <v>0</v>
      </c>
      <c r="AY3" s="20">
        <v>0</v>
      </c>
      <c r="AZ3" s="20">
        <v>0</v>
      </c>
      <c r="BA3" s="20">
        <v>0</v>
      </c>
      <c r="BB3" s="20">
        <v>0</v>
      </c>
      <c r="BC3" s="20">
        <v>0</v>
      </c>
      <c r="BD3" s="20">
        <v>0</v>
      </c>
      <c r="BE3" s="20">
        <v>0</v>
      </c>
      <c r="BF3" s="20">
        <v>0</v>
      </c>
      <c r="BG3" s="20">
        <v>0</v>
      </c>
      <c r="BH3" s="20">
        <v>0</v>
      </c>
      <c r="BI3" s="20">
        <v>0</v>
      </c>
      <c r="BJ3" s="20">
        <v>0</v>
      </c>
      <c r="BK3" s="20">
        <v>0</v>
      </c>
      <c r="BL3" s="20">
        <v>0</v>
      </c>
      <c r="BM3" s="20">
        <v>0</v>
      </c>
      <c r="BN3" s="22">
        <v>0</v>
      </c>
      <c r="BO3" s="22">
        <v>0</v>
      </c>
      <c r="BP3" s="22">
        <v>0</v>
      </c>
      <c r="BR3" s="20" t="str">
        <v/>
      </c>
      <c r="BS3" s="23"/>
      <c r="BT3" s="23"/>
      <c r="BV3" s="23"/>
      <c r="BW3" s="23"/>
      <c r="BX3" s="23"/>
      <c r="BY3" s="45"/>
      <c r="CA3" s="45"/>
      <c r="CC3" s="25"/>
      <c r="CD3" s="25" t="str">
        <v/>
      </c>
      <c r="CE3" s="48" t="str">
        <v/>
      </c>
      <c r="CF3" s="49" t="str">
        <v/>
      </c>
      <c r="CG3" s="25"/>
      <c r="CH3" s="23">
        <v>0</v>
      </c>
      <c r="CI3" s="23">
        <v>0</v>
      </c>
      <c r="CJ3" s="23">
        <v>0</v>
      </c>
      <c r="CK3" s="20" t="str">
        <v/>
      </c>
      <c r="CL3" s="20" t="str">
        <v/>
      </c>
      <c r="CN3" s="20">
        <v>0</v>
      </c>
      <c r="CO3" s="20">
        <v>0</v>
      </c>
      <c r="CP3" s="20">
        <v>0</v>
      </c>
      <c r="CQ3" s="20">
        <v>0</v>
      </c>
      <c r="CR3" s="20">
        <v>0</v>
      </c>
      <c r="CS3" s="20">
        <v>0</v>
      </c>
      <c r="CT3" s="20">
        <v>0</v>
      </c>
      <c r="CU3" s="20">
        <v>0</v>
      </c>
      <c r="CV3" s="20">
        <v>0</v>
      </c>
      <c r="CW3" s="20">
        <v>0</v>
      </c>
      <c r="CX3" s="20">
        <v>0</v>
      </c>
      <c r="CY3" s="20">
        <v>0</v>
      </c>
      <c r="CZ3" s="20">
        <v>0</v>
      </c>
      <c r="DA3" s="19">
        <v>0</v>
      </c>
      <c r="DB3" s="20">
        <v>0</v>
      </c>
      <c r="DC3" s="25">
        <v>0</v>
      </c>
      <c r="DD3" s="20">
        <v>0</v>
      </c>
      <c r="DE3" s="20">
        <v>0</v>
      </c>
      <c r="DF3" s="20">
        <v>0</v>
      </c>
      <c r="DG3" s="20">
        <v>0</v>
      </c>
      <c r="DH3" s="20">
        <v>0</v>
      </c>
      <c r="DI3" s="20">
        <v>0</v>
      </c>
    </row>
    <row r="4" ht="29" spans="1:113">
      <c r="A4" s="20" t="str">
        <v>00:00:00</v>
      </c>
      <c r="B4" s="19">
        <v>0</v>
      </c>
      <c r="C4" s="21">
        <v>0</v>
      </c>
      <c r="D4" s="29" t="str">
        <v>未匹配</v>
      </c>
      <c r="E4" s="29">
        <v>0</v>
      </c>
      <c r="F4" s="20" t="str">
        <v/>
      </c>
      <c r="H4" s="29"/>
      <c r="I4" s="20" t="str">
        <v/>
      </c>
      <c r="J4" s="20">
        <v>0</v>
      </c>
      <c r="K4" s="22">
        <v>0</v>
      </c>
      <c r="M4" s="20">
        <v>0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E4" s="20" t="str">
        <v/>
      </c>
      <c r="AF4" s="20">
        <v>0</v>
      </c>
      <c r="AG4" s="22" t="e">
        <v>#VALUE!</v>
      </c>
      <c r="AI4" s="20">
        <v>0</v>
      </c>
      <c r="AJ4" s="20">
        <v>0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Q4" s="20">
        <v>0</v>
      </c>
      <c r="AR4" s="20">
        <v>0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0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20">
        <v>0</v>
      </c>
      <c r="BJ4" s="20">
        <v>0</v>
      </c>
      <c r="BK4" s="20">
        <v>0</v>
      </c>
      <c r="BL4" s="20">
        <v>0</v>
      </c>
      <c r="BM4" s="20">
        <v>0</v>
      </c>
      <c r="BN4" s="22">
        <v>0</v>
      </c>
      <c r="BO4" s="22">
        <v>0</v>
      </c>
      <c r="BP4" s="22">
        <v>0</v>
      </c>
      <c r="BR4" s="20" t="str">
        <v/>
      </c>
      <c r="BS4" s="23"/>
      <c r="BT4" s="23"/>
      <c r="BV4" s="23"/>
      <c r="BW4" s="23"/>
      <c r="BX4" s="23"/>
      <c r="BY4" s="45"/>
      <c r="CA4" s="45"/>
      <c r="CD4" s="20" t="str">
        <v/>
      </c>
      <c r="CE4" s="22" t="str">
        <v/>
      </c>
      <c r="CF4" s="24" t="str">
        <v/>
      </c>
      <c r="CH4" s="23">
        <v>0</v>
      </c>
      <c r="CI4" s="23">
        <v>0</v>
      </c>
      <c r="CJ4" s="23">
        <v>0</v>
      </c>
      <c r="CK4" s="20" t="str">
        <v/>
      </c>
      <c r="CL4" s="20" t="str">
        <v/>
      </c>
      <c r="CN4" s="20">
        <v>0</v>
      </c>
      <c r="CO4" s="20">
        <v>0</v>
      </c>
      <c r="CP4" s="20">
        <v>0</v>
      </c>
      <c r="CQ4" s="20">
        <v>0</v>
      </c>
      <c r="CR4" s="20">
        <v>0</v>
      </c>
      <c r="CS4" s="20">
        <v>0</v>
      </c>
      <c r="CT4" s="20">
        <v>0</v>
      </c>
      <c r="CU4" s="20">
        <v>0</v>
      </c>
      <c r="CV4" s="20">
        <v>0</v>
      </c>
      <c r="CW4" s="20">
        <v>0</v>
      </c>
      <c r="CX4" s="20">
        <v>0</v>
      </c>
      <c r="CY4" s="20">
        <v>0</v>
      </c>
      <c r="CZ4" s="20">
        <v>0</v>
      </c>
      <c r="DA4" s="19">
        <v>0</v>
      </c>
      <c r="DB4" s="20">
        <v>0</v>
      </c>
      <c r="DC4" s="25">
        <v>0</v>
      </c>
      <c r="DD4" s="20">
        <v>0</v>
      </c>
      <c r="DE4" s="20">
        <v>0</v>
      </c>
      <c r="DF4" s="20">
        <v>0</v>
      </c>
      <c r="DG4" s="20">
        <v>0</v>
      </c>
      <c r="DH4" s="20">
        <v>0</v>
      </c>
      <c r="DI4" s="20">
        <v>0</v>
      </c>
    </row>
    <row r="5" ht="29" spans="1:113">
      <c r="A5" s="20" t="str">
        <v>00:00:00</v>
      </c>
      <c r="B5" s="19">
        <v>0</v>
      </c>
      <c r="C5" s="21">
        <v>0</v>
      </c>
      <c r="D5" s="29" t="str">
        <v>未匹配</v>
      </c>
      <c r="E5" s="29">
        <v>0</v>
      </c>
      <c r="F5" s="20" t="str">
        <v/>
      </c>
      <c r="I5" s="20" t="str">
        <v/>
      </c>
      <c r="J5" s="20">
        <v>0</v>
      </c>
      <c r="K5" s="22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E5" s="20" t="str">
        <v/>
      </c>
      <c r="AF5" s="20">
        <v>0</v>
      </c>
      <c r="AG5" s="22" t="e">
        <v>#VALUE!</v>
      </c>
      <c r="AI5" s="20">
        <v>0</v>
      </c>
      <c r="AJ5" s="20">
        <v>0</v>
      </c>
      <c r="AK5" s="20">
        <v>0</v>
      </c>
      <c r="AL5" s="20">
        <v>0</v>
      </c>
      <c r="AM5" s="20">
        <v>0</v>
      </c>
      <c r="AN5" s="20">
        <v>0</v>
      </c>
      <c r="AO5" s="20">
        <v>0</v>
      </c>
      <c r="AP5" s="20">
        <v>0</v>
      </c>
      <c r="AQ5" s="20">
        <v>0</v>
      </c>
      <c r="AR5" s="20">
        <v>0</v>
      </c>
      <c r="AS5" s="20">
        <v>0</v>
      </c>
      <c r="AT5" s="20">
        <v>0</v>
      </c>
      <c r="AU5" s="20">
        <v>0</v>
      </c>
      <c r="AV5" s="20">
        <v>0</v>
      </c>
      <c r="AW5" s="20">
        <v>0</v>
      </c>
      <c r="AX5" s="20">
        <v>0</v>
      </c>
      <c r="AY5" s="20">
        <v>0</v>
      </c>
      <c r="AZ5" s="20">
        <v>0</v>
      </c>
      <c r="BA5" s="20">
        <v>0</v>
      </c>
      <c r="BB5" s="20">
        <v>0</v>
      </c>
      <c r="BC5" s="20">
        <v>0</v>
      </c>
      <c r="BD5" s="20">
        <v>0</v>
      </c>
      <c r="BE5" s="20">
        <v>0</v>
      </c>
      <c r="BF5" s="20">
        <v>0</v>
      </c>
      <c r="BG5" s="20">
        <v>0</v>
      </c>
      <c r="BH5" s="20">
        <v>0</v>
      </c>
      <c r="BI5" s="20">
        <v>0</v>
      </c>
      <c r="BJ5" s="20">
        <v>0</v>
      </c>
      <c r="BK5" s="20">
        <v>0</v>
      </c>
      <c r="BL5" s="20">
        <v>0</v>
      </c>
      <c r="BM5" s="20">
        <v>0</v>
      </c>
      <c r="BN5" s="22">
        <v>0</v>
      </c>
      <c r="BO5" s="22">
        <v>0</v>
      </c>
      <c r="BP5" s="22">
        <v>0</v>
      </c>
      <c r="BR5" s="20" t="str">
        <v/>
      </c>
      <c r="BS5" s="23"/>
      <c r="BT5" s="23"/>
      <c r="BV5" s="23"/>
      <c r="BW5" s="23"/>
      <c r="BX5" s="23"/>
      <c r="BY5" s="45"/>
      <c r="CA5" s="45"/>
      <c r="CD5" s="20" t="str">
        <v/>
      </c>
      <c r="CE5" s="22" t="str">
        <v/>
      </c>
      <c r="CF5" s="24" t="str">
        <v/>
      </c>
      <c r="CH5" s="23">
        <v>0</v>
      </c>
      <c r="CI5" s="23">
        <v>0</v>
      </c>
      <c r="CJ5" s="23">
        <v>0</v>
      </c>
      <c r="CK5" s="20" t="str">
        <v/>
      </c>
      <c r="CL5" s="20" t="str">
        <v/>
      </c>
      <c r="CN5" s="20">
        <v>0</v>
      </c>
      <c r="CO5" s="20">
        <v>0</v>
      </c>
      <c r="CP5" s="20">
        <v>0</v>
      </c>
      <c r="CQ5" s="20">
        <v>0</v>
      </c>
      <c r="CR5" s="20">
        <v>0</v>
      </c>
      <c r="CS5" s="20">
        <v>0</v>
      </c>
      <c r="CT5" s="20">
        <v>0</v>
      </c>
      <c r="CU5" s="20">
        <v>0</v>
      </c>
      <c r="CV5" s="20">
        <v>0</v>
      </c>
      <c r="CW5" s="20">
        <v>0</v>
      </c>
      <c r="CX5" s="20">
        <v>0</v>
      </c>
      <c r="CY5" s="20">
        <v>0</v>
      </c>
      <c r="CZ5" s="20">
        <v>0</v>
      </c>
      <c r="DA5" s="19">
        <v>0</v>
      </c>
      <c r="DB5" s="20">
        <v>0</v>
      </c>
      <c r="DC5" s="25">
        <v>0</v>
      </c>
      <c r="DD5" s="20">
        <v>0</v>
      </c>
      <c r="DE5" s="20">
        <v>0</v>
      </c>
      <c r="DF5" s="20">
        <v>0</v>
      </c>
      <c r="DG5" s="20">
        <v>0</v>
      </c>
      <c r="DH5" s="20">
        <v>0</v>
      </c>
      <c r="DI5" s="20">
        <v>0</v>
      </c>
    </row>
    <row r="6" ht="29" spans="1:113">
      <c r="A6" s="20" t="str">
        <v>00:00:00</v>
      </c>
      <c r="B6" s="19">
        <v>0</v>
      </c>
      <c r="C6" s="21">
        <v>0</v>
      </c>
      <c r="D6" s="29" t="str">
        <v>未匹配</v>
      </c>
      <c r="E6" s="29">
        <v>0</v>
      </c>
      <c r="F6" s="20" t="str">
        <v/>
      </c>
      <c r="I6" s="20" t="str">
        <v/>
      </c>
      <c r="J6" s="20">
        <v>0</v>
      </c>
      <c r="K6" s="22">
        <v>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E6" s="20" t="str">
        <v/>
      </c>
      <c r="AF6" s="20">
        <v>0</v>
      </c>
      <c r="AG6" s="22" t="e">
        <v>#VALUE!</v>
      </c>
      <c r="AI6" s="20">
        <v>0</v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0</v>
      </c>
      <c r="AT6" s="20">
        <v>0</v>
      </c>
      <c r="AU6" s="20">
        <v>0</v>
      </c>
      <c r="AV6" s="20">
        <v>0</v>
      </c>
      <c r="AW6" s="20">
        <v>0</v>
      </c>
      <c r="AX6" s="20">
        <v>0</v>
      </c>
      <c r="AY6" s="20">
        <v>0</v>
      </c>
      <c r="AZ6" s="20">
        <v>0</v>
      </c>
      <c r="BA6" s="20">
        <v>0</v>
      </c>
      <c r="BB6" s="20">
        <v>0</v>
      </c>
      <c r="BC6" s="20">
        <v>0</v>
      </c>
      <c r="BD6" s="20">
        <v>0</v>
      </c>
      <c r="BE6" s="20">
        <v>0</v>
      </c>
      <c r="BF6" s="20">
        <v>0</v>
      </c>
      <c r="BG6" s="20">
        <v>0</v>
      </c>
      <c r="BH6" s="20">
        <v>0</v>
      </c>
      <c r="BI6" s="20">
        <v>0</v>
      </c>
      <c r="BJ6" s="20">
        <v>0</v>
      </c>
      <c r="BK6" s="20">
        <v>0</v>
      </c>
      <c r="BL6" s="20">
        <v>0</v>
      </c>
      <c r="BM6" s="20">
        <v>0</v>
      </c>
      <c r="BN6" s="22">
        <v>0</v>
      </c>
      <c r="BO6" s="22">
        <v>0</v>
      </c>
      <c r="BP6" s="22">
        <v>0</v>
      </c>
      <c r="BR6" s="20" t="str">
        <v/>
      </c>
      <c r="BS6" s="23"/>
      <c r="BT6" s="23"/>
      <c r="BV6" s="23"/>
      <c r="BW6" s="23"/>
      <c r="BX6" s="23"/>
      <c r="BY6" s="45"/>
      <c r="CA6" s="45"/>
      <c r="CD6" s="20" t="str">
        <v/>
      </c>
      <c r="CE6" s="22" t="str">
        <v/>
      </c>
      <c r="CF6" s="24" t="str">
        <v/>
      </c>
      <c r="CH6" s="23">
        <v>0</v>
      </c>
      <c r="CI6" s="23">
        <v>0</v>
      </c>
      <c r="CJ6" s="23">
        <v>0</v>
      </c>
      <c r="CK6" s="20" t="str">
        <v/>
      </c>
      <c r="CL6" s="20" t="str">
        <v/>
      </c>
      <c r="CN6" s="20">
        <v>0</v>
      </c>
      <c r="CO6" s="20">
        <v>0</v>
      </c>
      <c r="CP6" s="20">
        <v>0</v>
      </c>
      <c r="CQ6" s="20">
        <v>0</v>
      </c>
      <c r="CR6" s="20">
        <v>0</v>
      </c>
      <c r="CS6" s="20">
        <v>0</v>
      </c>
      <c r="CT6" s="20">
        <v>0</v>
      </c>
      <c r="CU6" s="20">
        <v>0</v>
      </c>
      <c r="CV6" s="20">
        <v>0</v>
      </c>
      <c r="CW6" s="20">
        <v>0</v>
      </c>
      <c r="CX6" s="20">
        <v>0</v>
      </c>
      <c r="CY6" s="20">
        <v>0</v>
      </c>
      <c r="CZ6" s="20">
        <v>0</v>
      </c>
      <c r="DA6" s="19">
        <v>0</v>
      </c>
      <c r="DB6" s="20">
        <v>0</v>
      </c>
      <c r="DC6" s="25">
        <v>0</v>
      </c>
      <c r="DD6" s="20">
        <v>0</v>
      </c>
      <c r="DE6" s="20">
        <v>0</v>
      </c>
      <c r="DF6" s="20">
        <v>0</v>
      </c>
      <c r="DG6" s="20">
        <v>0</v>
      </c>
      <c r="DH6" s="20">
        <v>0</v>
      </c>
      <c r="DI6" s="20">
        <v>0</v>
      </c>
    </row>
    <row r="7" ht="29" spans="1:113">
      <c r="A7" s="20" t="str">
        <v>00:00:00</v>
      </c>
      <c r="B7" s="19">
        <v>0</v>
      </c>
      <c r="C7" s="21">
        <v>0</v>
      </c>
      <c r="D7" s="29" t="str">
        <v>未匹配</v>
      </c>
      <c r="E7" s="29">
        <v>0</v>
      </c>
      <c r="F7" s="20" t="str">
        <v/>
      </c>
      <c r="I7" s="20" t="str">
        <v/>
      </c>
      <c r="J7" s="20">
        <v>0</v>
      </c>
      <c r="K7" s="22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E7" s="20" t="str">
        <v/>
      </c>
      <c r="AF7" s="20">
        <v>0</v>
      </c>
      <c r="AG7" s="22" t="e">
        <v>#VALUE!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0">
        <v>0</v>
      </c>
      <c r="AS7" s="20">
        <v>0</v>
      </c>
      <c r="AT7" s="20">
        <v>0</v>
      </c>
      <c r="AU7" s="20">
        <v>0</v>
      </c>
      <c r="AV7" s="20">
        <v>0</v>
      </c>
      <c r="AW7" s="20">
        <v>0</v>
      </c>
      <c r="AX7" s="20">
        <v>0</v>
      </c>
      <c r="AY7" s="20">
        <v>0</v>
      </c>
      <c r="AZ7" s="20">
        <v>0</v>
      </c>
      <c r="BA7" s="20">
        <v>0</v>
      </c>
      <c r="BB7" s="20">
        <v>0</v>
      </c>
      <c r="BC7" s="20">
        <v>0</v>
      </c>
      <c r="BD7" s="20">
        <v>0</v>
      </c>
      <c r="BE7" s="20">
        <v>0</v>
      </c>
      <c r="BF7" s="20">
        <v>0</v>
      </c>
      <c r="BG7" s="20">
        <v>0</v>
      </c>
      <c r="BH7" s="20">
        <v>0</v>
      </c>
      <c r="BI7" s="20">
        <v>0</v>
      </c>
      <c r="BJ7" s="20">
        <v>0</v>
      </c>
      <c r="BK7" s="20">
        <v>0</v>
      </c>
      <c r="BL7" s="20">
        <v>0</v>
      </c>
      <c r="BM7" s="20">
        <v>0</v>
      </c>
      <c r="BN7" s="22">
        <v>0</v>
      </c>
      <c r="BO7" s="22">
        <v>0</v>
      </c>
      <c r="BP7" s="22">
        <v>0</v>
      </c>
      <c r="BR7" s="20" t="str">
        <v/>
      </c>
      <c r="BS7" s="23"/>
      <c r="BT7" s="23"/>
      <c r="BV7" s="23"/>
      <c r="BW7" s="23"/>
      <c r="BX7" s="23"/>
      <c r="BY7" s="45"/>
      <c r="CA7" s="45"/>
      <c r="CD7" s="20" t="str">
        <v/>
      </c>
      <c r="CE7" s="22" t="str">
        <v/>
      </c>
      <c r="CF7" s="24" t="str">
        <v/>
      </c>
      <c r="CH7" s="23">
        <v>0</v>
      </c>
      <c r="CI7" s="23">
        <v>0</v>
      </c>
      <c r="CJ7" s="23">
        <v>0</v>
      </c>
      <c r="CK7" s="20" t="str">
        <v/>
      </c>
      <c r="CL7" s="20" t="str">
        <v/>
      </c>
      <c r="CN7" s="20">
        <v>0</v>
      </c>
      <c r="CO7" s="20">
        <v>0</v>
      </c>
      <c r="CP7" s="20">
        <v>0</v>
      </c>
      <c r="CQ7" s="20">
        <v>0</v>
      </c>
      <c r="CR7" s="20">
        <v>0</v>
      </c>
      <c r="CS7" s="20">
        <v>0</v>
      </c>
      <c r="CT7" s="20">
        <v>0</v>
      </c>
      <c r="CU7" s="20">
        <v>0</v>
      </c>
      <c r="CV7" s="20">
        <v>0</v>
      </c>
      <c r="CW7" s="20">
        <v>0</v>
      </c>
      <c r="CX7" s="20">
        <v>0</v>
      </c>
      <c r="CY7" s="20">
        <v>0</v>
      </c>
      <c r="CZ7" s="20">
        <v>0</v>
      </c>
      <c r="DA7" s="19">
        <v>0</v>
      </c>
      <c r="DB7" s="20">
        <v>0</v>
      </c>
      <c r="DC7" s="25">
        <v>0</v>
      </c>
      <c r="DD7" s="20">
        <v>0</v>
      </c>
      <c r="DE7" s="20">
        <v>0</v>
      </c>
      <c r="DF7" s="20">
        <v>0</v>
      </c>
      <c r="DG7" s="20">
        <v>0</v>
      </c>
      <c r="DH7" s="20">
        <v>0</v>
      </c>
      <c r="DI7" s="20">
        <v>0</v>
      </c>
    </row>
    <row r="8" ht="29" spans="1:113">
      <c r="A8" s="20" t="str">
        <v>00:00:00</v>
      </c>
      <c r="B8" s="19">
        <v>0</v>
      </c>
      <c r="C8" s="21">
        <v>0</v>
      </c>
      <c r="D8" s="29" t="str">
        <v>未匹配</v>
      </c>
      <c r="E8" s="29">
        <v>0</v>
      </c>
      <c r="F8" s="20" t="str">
        <v/>
      </c>
      <c r="I8" s="20" t="str">
        <v/>
      </c>
      <c r="J8" s="20">
        <v>0</v>
      </c>
      <c r="K8" s="22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E8" s="20" t="str">
        <v/>
      </c>
      <c r="AF8" s="20">
        <v>0</v>
      </c>
      <c r="AG8" s="22" t="e">
        <v>#VALUE!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20">
        <v>0</v>
      </c>
      <c r="BK8" s="20">
        <v>0</v>
      </c>
      <c r="BL8" s="20">
        <v>0</v>
      </c>
      <c r="BM8" s="20">
        <v>0</v>
      </c>
      <c r="BN8" s="22">
        <v>0</v>
      </c>
      <c r="BO8" s="22">
        <v>0</v>
      </c>
      <c r="BP8" s="22">
        <v>0</v>
      </c>
      <c r="BR8" s="20" t="str">
        <v/>
      </c>
      <c r="BS8" s="23"/>
      <c r="BT8" s="23"/>
      <c r="BV8" s="23"/>
      <c r="BW8" s="23"/>
      <c r="BX8" s="23"/>
      <c r="BY8" s="45"/>
      <c r="CA8" s="45"/>
      <c r="CD8" s="20" t="str">
        <v/>
      </c>
      <c r="CE8" s="22" t="str">
        <v/>
      </c>
      <c r="CF8" s="24" t="str">
        <v/>
      </c>
      <c r="CH8" s="23">
        <v>0</v>
      </c>
      <c r="CI8" s="23">
        <v>0</v>
      </c>
      <c r="CJ8" s="23">
        <v>0</v>
      </c>
      <c r="CK8" s="20" t="str">
        <v/>
      </c>
      <c r="CL8" s="20" t="str">
        <v/>
      </c>
      <c r="CN8" s="20">
        <v>0</v>
      </c>
      <c r="CO8" s="20">
        <v>0</v>
      </c>
      <c r="CP8" s="20">
        <v>0</v>
      </c>
      <c r="CQ8" s="20">
        <v>0</v>
      </c>
      <c r="CR8" s="20">
        <v>0</v>
      </c>
      <c r="CS8" s="20">
        <v>0</v>
      </c>
      <c r="CT8" s="20">
        <v>0</v>
      </c>
      <c r="CU8" s="20">
        <v>0</v>
      </c>
      <c r="CV8" s="20">
        <v>0</v>
      </c>
      <c r="CW8" s="20">
        <v>0</v>
      </c>
      <c r="CX8" s="20">
        <v>0</v>
      </c>
      <c r="CY8" s="20">
        <v>0</v>
      </c>
      <c r="CZ8" s="20">
        <v>0</v>
      </c>
      <c r="DA8" s="19">
        <v>0</v>
      </c>
      <c r="DB8" s="20">
        <v>0</v>
      </c>
      <c r="DC8" s="25">
        <v>0</v>
      </c>
      <c r="DD8" s="20">
        <v>0</v>
      </c>
      <c r="DE8" s="20">
        <v>0</v>
      </c>
      <c r="DF8" s="20">
        <v>0</v>
      </c>
      <c r="DG8" s="20">
        <v>0</v>
      </c>
      <c r="DH8" s="20">
        <v>0</v>
      </c>
      <c r="DI8" s="20">
        <v>0</v>
      </c>
    </row>
    <row r="9" ht="29" spans="1:113">
      <c r="A9" s="20" t="str">
        <v>00:00:00</v>
      </c>
      <c r="B9" s="19">
        <v>0</v>
      </c>
      <c r="C9" s="21">
        <v>0</v>
      </c>
      <c r="D9" s="29" t="str">
        <v>未匹配</v>
      </c>
      <c r="E9" s="29">
        <v>0</v>
      </c>
      <c r="F9" s="20" t="str">
        <v/>
      </c>
      <c r="I9" s="20" t="str">
        <v/>
      </c>
      <c r="J9" s="20">
        <v>0</v>
      </c>
      <c r="K9" s="22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E9" s="20" t="str">
        <v/>
      </c>
      <c r="AF9" s="20">
        <v>0</v>
      </c>
      <c r="AG9" s="22" t="e">
        <v>#VALUE!</v>
      </c>
      <c r="AI9" s="20">
        <v>0</v>
      </c>
      <c r="AJ9" s="20">
        <v>0</v>
      </c>
      <c r="AK9" s="20">
        <v>0</v>
      </c>
      <c r="AL9" s="20">
        <v>0</v>
      </c>
      <c r="AM9" s="20">
        <v>0</v>
      </c>
      <c r="AN9" s="20">
        <v>0</v>
      </c>
      <c r="AO9" s="20">
        <v>0</v>
      </c>
      <c r="AP9" s="20">
        <v>0</v>
      </c>
      <c r="AQ9" s="20">
        <v>0</v>
      </c>
      <c r="AR9" s="20">
        <v>0</v>
      </c>
      <c r="AS9" s="20">
        <v>0</v>
      </c>
      <c r="AT9" s="20">
        <v>0</v>
      </c>
      <c r="AU9" s="20">
        <v>0</v>
      </c>
      <c r="AV9" s="20">
        <v>0</v>
      </c>
      <c r="AW9" s="20">
        <v>0</v>
      </c>
      <c r="AX9" s="20">
        <v>0</v>
      </c>
      <c r="AY9" s="20">
        <v>0</v>
      </c>
      <c r="AZ9" s="20">
        <v>0</v>
      </c>
      <c r="BA9" s="20">
        <v>0</v>
      </c>
      <c r="BB9" s="20">
        <v>0</v>
      </c>
      <c r="BC9" s="20">
        <v>0</v>
      </c>
      <c r="BD9" s="20">
        <v>0</v>
      </c>
      <c r="BE9" s="20">
        <v>0</v>
      </c>
      <c r="BF9" s="20">
        <v>0</v>
      </c>
      <c r="BG9" s="20">
        <v>0</v>
      </c>
      <c r="BH9" s="20">
        <v>0</v>
      </c>
      <c r="BI9" s="20">
        <v>0</v>
      </c>
      <c r="BJ9" s="20">
        <v>0</v>
      </c>
      <c r="BK9" s="20">
        <v>0</v>
      </c>
      <c r="BL9" s="20">
        <v>0</v>
      </c>
      <c r="BM9" s="20">
        <v>0</v>
      </c>
      <c r="BN9" s="22">
        <v>0</v>
      </c>
      <c r="BO9" s="22">
        <v>0</v>
      </c>
      <c r="BP9" s="22">
        <v>0</v>
      </c>
      <c r="BR9" s="20" t="str">
        <v/>
      </c>
      <c r="BS9" s="23"/>
      <c r="BT9" s="23"/>
      <c r="BV9" s="23"/>
      <c r="BW9" s="23"/>
      <c r="BX9" s="23"/>
      <c r="BY9" s="45"/>
      <c r="CA9" s="45"/>
      <c r="CD9" s="20" t="str">
        <v/>
      </c>
      <c r="CE9" s="22" t="str">
        <v/>
      </c>
      <c r="CF9" s="24" t="str">
        <v/>
      </c>
      <c r="CH9" s="23">
        <v>0</v>
      </c>
      <c r="CI9" s="23">
        <v>0</v>
      </c>
      <c r="CJ9" s="23">
        <v>0</v>
      </c>
      <c r="CK9" s="20" t="str">
        <v/>
      </c>
      <c r="CL9" s="20" t="str">
        <v/>
      </c>
      <c r="CN9" s="20">
        <v>0</v>
      </c>
      <c r="CO9" s="20">
        <v>0</v>
      </c>
      <c r="CP9" s="20">
        <v>0</v>
      </c>
      <c r="CQ9" s="20">
        <v>0</v>
      </c>
      <c r="CR9" s="20">
        <v>0</v>
      </c>
      <c r="CS9" s="20">
        <v>0</v>
      </c>
      <c r="CT9" s="20">
        <v>0</v>
      </c>
      <c r="CU9" s="20">
        <v>0</v>
      </c>
      <c r="CV9" s="20">
        <v>0</v>
      </c>
      <c r="CW9" s="20">
        <v>0</v>
      </c>
      <c r="CX9" s="20">
        <v>0</v>
      </c>
      <c r="CY9" s="20">
        <v>0</v>
      </c>
      <c r="CZ9" s="20">
        <v>0</v>
      </c>
      <c r="DA9" s="19">
        <v>0</v>
      </c>
      <c r="DB9" s="20">
        <v>0</v>
      </c>
      <c r="DC9" s="25">
        <v>0</v>
      </c>
      <c r="DD9" s="20">
        <v>0</v>
      </c>
      <c r="DE9" s="20">
        <v>0</v>
      </c>
      <c r="DF9" s="20">
        <v>0</v>
      </c>
      <c r="DG9" s="20">
        <v>0</v>
      </c>
      <c r="DH9" s="20">
        <v>0</v>
      </c>
      <c r="DI9" s="20">
        <v>0</v>
      </c>
    </row>
    <row r="10" ht="29" spans="1:113">
      <c r="A10" s="20" t="str">
        <v>00:00:00</v>
      </c>
      <c r="B10" s="19">
        <v>0</v>
      </c>
      <c r="C10" s="21">
        <v>0</v>
      </c>
      <c r="D10" s="29" t="str">
        <v>未匹配</v>
      </c>
      <c r="E10" s="29">
        <v>0</v>
      </c>
      <c r="F10" s="20" t="str">
        <v/>
      </c>
      <c r="I10" s="20" t="str">
        <v/>
      </c>
      <c r="J10" s="20">
        <v>0</v>
      </c>
      <c r="K10" s="22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E10" s="20" t="str">
        <v/>
      </c>
      <c r="AF10" s="20">
        <v>0</v>
      </c>
      <c r="AG10" s="22" t="e">
        <v>#VALUE!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  <c r="BK10" s="20">
        <v>0</v>
      </c>
      <c r="BL10" s="20">
        <v>0</v>
      </c>
      <c r="BM10" s="20">
        <v>0</v>
      </c>
      <c r="BN10" s="22">
        <v>0</v>
      </c>
      <c r="BO10" s="22">
        <v>0</v>
      </c>
      <c r="BP10" s="22">
        <v>0</v>
      </c>
      <c r="BR10" s="20" t="str">
        <v/>
      </c>
      <c r="BS10" s="23"/>
      <c r="BT10" s="23"/>
      <c r="BV10" s="23"/>
      <c r="BW10" s="23"/>
      <c r="BX10" s="23"/>
      <c r="BY10" s="45"/>
      <c r="CA10" s="45"/>
      <c r="CD10" s="20" t="str">
        <v/>
      </c>
      <c r="CE10" s="22" t="str">
        <v/>
      </c>
      <c r="CF10" s="24" t="str">
        <v/>
      </c>
      <c r="CH10" s="23">
        <v>0</v>
      </c>
      <c r="CI10" s="23">
        <v>0</v>
      </c>
      <c r="CJ10" s="23">
        <v>0</v>
      </c>
      <c r="CK10" s="20" t="str">
        <v/>
      </c>
      <c r="CL10" s="20" t="str">
        <v/>
      </c>
      <c r="CN10" s="20">
        <v>0</v>
      </c>
      <c r="CO10" s="20">
        <v>0</v>
      </c>
      <c r="CP10" s="20">
        <v>0</v>
      </c>
      <c r="CQ10" s="20">
        <v>0</v>
      </c>
      <c r="CR10" s="20">
        <v>0</v>
      </c>
      <c r="CS10" s="20">
        <v>0</v>
      </c>
      <c r="CT10" s="20">
        <v>0</v>
      </c>
      <c r="CU10" s="20">
        <v>0</v>
      </c>
      <c r="CV10" s="20">
        <v>0</v>
      </c>
      <c r="CW10" s="20">
        <v>0</v>
      </c>
      <c r="CX10" s="20">
        <v>0</v>
      </c>
      <c r="CY10" s="20">
        <v>0</v>
      </c>
      <c r="CZ10" s="20">
        <v>0</v>
      </c>
      <c r="DA10" s="19">
        <v>0</v>
      </c>
      <c r="DB10" s="20">
        <v>0</v>
      </c>
      <c r="DC10" s="25">
        <v>0</v>
      </c>
      <c r="DD10" s="20">
        <v>0</v>
      </c>
      <c r="DE10" s="20">
        <v>0</v>
      </c>
      <c r="DF10" s="20">
        <v>0</v>
      </c>
      <c r="DG10" s="20">
        <v>0</v>
      </c>
      <c r="DH10" s="20">
        <v>0</v>
      </c>
      <c r="DI10" s="20">
        <v>0</v>
      </c>
    </row>
    <row r="11" ht="29" spans="1:113">
      <c r="A11" s="20" t="str">
        <v>00:00:00</v>
      </c>
      <c r="B11" s="19">
        <v>0</v>
      </c>
      <c r="C11" s="21">
        <v>0</v>
      </c>
      <c r="D11" s="29" t="str">
        <v>未匹配</v>
      </c>
      <c r="E11" s="29">
        <v>0</v>
      </c>
      <c r="F11" s="20" t="str">
        <v/>
      </c>
      <c r="I11" s="20" t="str">
        <v/>
      </c>
      <c r="J11" s="20">
        <v>0</v>
      </c>
      <c r="K11" s="22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E11" s="20" t="str">
        <v/>
      </c>
      <c r="AF11" s="20">
        <v>0</v>
      </c>
      <c r="AG11" s="22" t="e">
        <v>#VALUE!</v>
      </c>
      <c r="AI11" s="20">
        <v>0</v>
      </c>
      <c r="AJ11" s="20">
        <v>0</v>
      </c>
      <c r="AK11" s="20">
        <v>0</v>
      </c>
      <c r="AL11" s="20">
        <v>0</v>
      </c>
      <c r="AM11" s="20">
        <v>0</v>
      </c>
      <c r="AN11" s="20">
        <v>0</v>
      </c>
      <c r="AO11" s="20">
        <v>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0</v>
      </c>
      <c r="AX11" s="20">
        <v>0</v>
      </c>
      <c r="AY11" s="20">
        <v>0</v>
      </c>
      <c r="AZ11" s="20">
        <v>0</v>
      </c>
      <c r="BA11" s="20">
        <v>0</v>
      </c>
      <c r="BB11" s="20">
        <v>0</v>
      </c>
      <c r="BC11" s="20">
        <v>0</v>
      </c>
      <c r="BD11" s="20">
        <v>0</v>
      </c>
      <c r="BE11" s="20">
        <v>0</v>
      </c>
      <c r="BF11" s="20">
        <v>0</v>
      </c>
      <c r="BG11" s="20">
        <v>0</v>
      </c>
      <c r="BH11" s="20">
        <v>0</v>
      </c>
      <c r="BI11" s="20">
        <v>0</v>
      </c>
      <c r="BJ11" s="20">
        <v>0</v>
      </c>
      <c r="BK11" s="20">
        <v>0</v>
      </c>
      <c r="BL11" s="20">
        <v>0</v>
      </c>
      <c r="BM11" s="20">
        <v>0</v>
      </c>
      <c r="BN11" s="22">
        <v>0</v>
      </c>
      <c r="BO11" s="22">
        <v>0</v>
      </c>
      <c r="BP11" s="22">
        <v>0</v>
      </c>
      <c r="BR11" s="20" t="str">
        <v/>
      </c>
      <c r="BS11" s="23"/>
      <c r="BT11" s="23"/>
      <c r="BV11" s="23"/>
      <c r="BW11" s="23"/>
      <c r="BX11" s="23"/>
      <c r="BY11" s="45"/>
      <c r="CA11" s="45"/>
      <c r="CD11" s="20" t="str">
        <v/>
      </c>
      <c r="CE11" s="22" t="str">
        <v/>
      </c>
      <c r="CF11" s="24" t="str">
        <v/>
      </c>
      <c r="CH11" s="23">
        <v>0</v>
      </c>
      <c r="CI11" s="23">
        <v>0</v>
      </c>
      <c r="CJ11" s="23">
        <v>0</v>
      </c>
      <c r="CK11" s="20" t="str">
        <v/>
      </c>
      <c r="CL11" s="20" t="str">
        <v/>
      </c>
      <c r="CN11" s="20">
        <v>0</v>
      </c>
      <c r="CO11" s="20">
        <v>0</v>
      </c>
      <c r="CP11" s="20">
        <v>0</v>
      </c>
      <c r="CQ11" s="20">
        <v>0</v>
      </c>
      <c r="CR11" s="20">
        <v>0</v>
      </c>
      <c r="CS11" s="20">
        <v>0</v>
      </c>
      <c r="CT11" s="20">
        <v>0</v>
      </c>
      <c r="CU11" s="20">
        <v>0</v>
      </c>
      <c r="CV11" s="20">
        <v>0</v>
      </c>
      <c r="CW11" s="20">
        <v>0</v>
      </c>
      <c r="CX11" s="20">
        <v>0</v>
      </c>
      <c r="CY11" s="20">
        <v>0</v>
      </c>
      <c r="CZ11" s="20">
        <v>0</v>
      </c>
      <c r="DA11" s="19">
        <v>0</v>
      </c>
      <c r="DB11" s="20">
        <v>0</v>
      </c>
      <c r="DC11" s="25">
        <v>0</v>
      </c>
      <c r="DD11" s="20">
        <v>0</v>
      </c>
      <c r="DE11" s="20">
        <v>0</v>
      </c>
      <c r="DF11" s="20">
        <v>0</v>
      </c>
      <c r="DG11" s="20">
        <v>0</v>
      </c>
      <c r="DH11" s="20">
        <v>0</v>
      </c>
      <c r="DI11" s="20">
        <v>0</v>
      </c>
    </row>
    <row r="12" ht="29" spans="1:113">
      <c r="A12" s="20" t="str">
        <v>00:00:00</v>
      </c>
      <c r="B12" s="19">
        <v>0</v>
      </c>
      <c r="C12" s="21">
        <v>0</v>
      </c>
      <c r="D12" s="29" t="str">
        <v>未匹配</v>
      </c>
      <c r="E12" s="29">
        <v>0</v>
      </c>
      <c r="F12" s="20" t="str">
        <v/>
      </c>
      <c r="I12" s="20" t="str">
        <v/>
      </c>
      <c r="J12" s="20">
        <v>0</v>
      </c>
      <c r="K12" s="22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E12" s="20" t="str">
        <v/>
      </c>
      <c r="AF12" s="20">
        <v>0</v>
      </c>
      <c r="AG12" s="22" t="e">
        <v>#VALUE!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  <c r="BK12" s="20">
        <v>0</v>
      </c>
      <c r="BL12" s="20">
        <v>0</v>
      </c>
      <c r="BM12" s="20">
        <v>0</v>
      </c>
      <c r="BN12" s="22">
        <v>0</v>
      </c>
      <c r="BO12" s="22">
        <v>0</v>
      </c>
      <c r="BP12" s="22">
        <v>0</v>
      </c>
      <c r="BR12" s="20" t="str">
        <v/>
      </c>
      <c r="BS12" s="23"/>
      <c r="BT12" s="23"/>
      <c r="BV12" s="23"/>
      <c r="BW12" s="23"/>
      <c r="BX12" s="23"/>
      <c r="BY12" s="45"/>
      <c r="CA12" s="45"/>
      <c r="CD12" s="20" t="str">
        <v/>
      </c>
      <c r="CE12" s="22" t="str">
        <v/>
      </c>
      <c r="CF12" s="24" t="str">
        <v/>
      </c>
      <c r="CH12" s="20">
        <v>0</v>
      </c>
      <c r="CI12" s="20">
        <v>0</v>
      </c>
      <c r="CJ12" s="20">
        <v>0</v>
      </c>
      <c r="CK12" s="20" t="str">
        <v/>
      </c>
      <c r="CL12" s="20" t="str">
        <v/>
      </c>
      <c r="CN12" s="20">
        <v>0</v>
      </c>
      <c r="CO12" s="20">
        <v>0</v>
      </c>
      <c r="CP12" s="20">
        <v>0</v>
      </c>
      <c r="CQ12" s="20">
        <v>0</v>
      </c>
      <c r="CR12" s="20">
        <v>0</v>
      </c>
      <c r="CS12" s="20">
        <v>0</v>
      </c>
      <c r="CT12" s="20">
        <v>0</v>
      </c>
      <c r="CU12" s="20">
        <v>0</v>
      </c>
      <c r="CV12" s="20">
        <v>0</v>
      </c>
      <c r="CW12" s="20">
        <v>0</v>
      </c>
      <c r="CX12" s="20">
        <v>0</v>
      </c>
      <c r="CY12" s="20">
        <v>0</v>
      </c>
      <c r="CZ12" s="20">
        <v>0</v>
      </c>
      <c r="DA12" s="19">
        <v>0</v>
      </c>
      <c r="DB12" s="20">
        <v>0</v>
      </c>
      <c r="DC12" s="25">
        <v>0</v>
      </c>
      <c r="DD12" s="20">
        <v>0</v>
      </c>
      <c r="DE12" s="20">
        <v>0</v>
      </c>
      <c r="DF12" s="20">
        <v>0</v>
      </c>
      <c r="DG12" s="20">
        <v>0</v>
      </c>
      <c r="DH12" s="20">
        <v>0</v>
      </c>
      <c r="DI12" s="20">
        <v>0</v>
      </c>
    </row>
    <row r="13" ht="29" spans="1:113">
      <c r="A13" s="20" t="str">
        <v>00:00:00</v>
      </c>
      <c r="B13" s="19">
        <v>0</v>
      </c>
      <c r="C13" s="21">
        <v>0</v>
      </c>
      <c r="D13" s="29" t="str">
        <v>未匹配</v>
      </c>
      <c r="E13" s="29">
        <v>0</v>
      </c>
      <c r="F13" s="20" t="str">
        <v/>
      </c>
      <c r="I13" s="20" t="str">
        <v/>
      </c>
      <c r="J13" s="20">
        <v>0</v>
      </c>
      <c r="K13" s="22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E13" s="20" t="str">
        <v/>
      </c>
      <c r="AF13" s="20">
        <v>0</v>
      </c>
      <c r="AG13" s="22" t="e">
        <v>#VALUE!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0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  <c r="BK13" s="20">
        <v>0</v>
      </c>
      <c r="BL13" s="20">
        <v>0</v>
      </c>
      <c r="BM13" s="20">
        <v>0</v>
      </c>
      <c r="BN13" s="22">
        <v>0</v>
      </c>
      <c r="BO13" s="22">
        <v>0</v>
      </c>
      <c r="BP13" s="22">
        <v>0</v>
      </c>
      <c r="BR13" s="20" t="str">
        <v/>
      </c>
      <c r="BS13" s="23"/>
      <c r="BT13" s="23"/>
      <c r="BV13" s="23"/>
      <c r="BW13" s="23"/>
      <c r="BX13" s="23"/>
      <c r="BY13" s="45"/>
      <c r="CA13" s="45"/>
      <c r="CD13" s="20" t="str">
        <v/>
      </c>
      <c r="CE13" s="22" t="str">
        <v/>
      </c>
      <c r="CF13" s="24" t="str">
        <v/>
      </c>
      <c r="CH13" s="20">
        <v>0</v>
      </c>
      <c r="CI13" s="20">
        <v>0</v>
      </c>
      <c r="CJ13" s="20">
        <v>0</v>
      </c>
      <c r="CK13" s="20" t="str">
        <v/>
      </c>
      <c r="CL13" s="20" t="str">
        <v/>
      </c>
      <c r="CN13" s="20">
        <v>0</v>
      </c>
      <c r="CO13" s="20">
        <v>0</v>
      </c>
      <c r="CP13" s="20">
        <v>0</v>
      </c>
      <c r="CQ13" s="20">
        <v>0</v>
      </c>
      <c r="CR13" s="20">
        <v>0</v>
      </c>
      <c r="CS13" s="20">
        <v>0</v>
      </c>
      <c r="CT13" s="20">
        <v>0</v>
      </c>
      <c r="CU13" s="20">
        <v>0</v>
      </c>
      <c r="CV13" s="20">
        <v>0</v>
      </c>
      <c r="CW13" s="20">
        <v>0</v>
      </c>
      <c r="CX13" s="20">
        <v>0</v>
      </c>
      <c r="CY13" s="20">
        <v>0</v>
      </c>
      <c r="CZ13" s="20">
        <v>0</v>
      </c>
      <c r="DA13" s="19">
        <v>0</v>
      </c>
      <c r="DB13" s="20">
        <v>0</v>
      </c>
      <c r="DC13" s="25">
        <v>0</v>
      </c>
      <c r="DD13" s="20">
        <v>0</v>
      </c>
      <c r="DE13" s="20">
        <v>0</v>
      </c>
      <c r="DF13" s="20">
        <v>0</v>
      </c>
      <c r="DG13" s="20">
        <v>0</v>
      </c>
      <c r="DH13" s="20">
        <v>0</v>
      </c>
      <c r="DI13" s="20">
        <v>0</v>
      </c>
    </row>
    <row r="14" spans="1:113">
      <c r="A14" s="20" t="str">
        <v>00:00:00</v>
      </c>
      <c r="B14" s="19">
        <v>0</v>
      </c>
      <c r="C14" s="21">
        <v>0</v>
      </c>
      <c r="D14" s="20" t="str">
        <v>未匹配</v>
      </c>
      <c r="E14" s="20">
        <v>0</v>
      </c>
      <c r="F14" s="20" t="str">
        <v/>
      </c>
      <c r="I14" s="20" t="str">
        <v/>
      </c>
      <c r="J14" s="20">
        <v>0</v>
      </c>
      <c r="K14" s="22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E14" s="20" t="str">
        <v/>
      </c>
      <c r="AF14" s="20">
        <v>0</v>
      </c>
      <c r="AG14" s="22" t="e">
        <v>#VALUE!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0</v>
      </c>
      <c r="BM14" s="20">
        <v>0</v>
      </c>
      <c r="BN14" s="22">
        <v>0</v>
      </c>
      <c r="BO14" s="22">
        <v>0</v>
      </c>
      <c r="BP14" s="22">
        <v>0</v>
      </c>
      <c r="BR14" s="20" t="str">
        <v/>
      </c>
      <c r="BS14" s="23"/>
      <c r="BT14" s="23"/>
      <c r="BV14" s="23"/>
      <c r="BW14" s="23"/>
      <c r="BX14" s="23"/>
      <c r="BY14" s="45"/>
      <c r="CA14" s="45"/>
      <c r="CD14" s="20" t="str">
        <v/>
      </c>
      <c r="CE14" s="22" t="str">
        <v/>
      </c>
      <c r="CF14" s="24" t="str">
        <v/>
      </c>
      <c r="CH14" s="20">
        <v>0</v>
      </c>
      <c r="CI14" s="20">
        <v>0</v>
      </c>
      <c r="CJ14" s="20">
        <v>0</v>
      </c>
      <c r="CK14" s="20" t="str">
        <v/>
      </c>
      <c r="CL14" s="20" t="str">
        <v/>
      </c>
      <c r="CN14" s="20">
        <v>0</v>
      </c>
      <c r="CO14" s="20">
        <v>0</v>
      </c>
      <c r="CP14" s="20">
        <v>0</v>
      </c>
      <c r="CQ14" s="20">
        <v>0</v>
      </c>
      <c r="CR14" s="20">
        <v>0</v>
      </c>
      <c r="CS14" s="20">
        <v>0</v>
      </c>
      <c r="CT14" s="20">
        <v>0</v>
      </c>
      <c r="CU14" s="20">
        <v>0</v>
      </c>
      <c r="CV14" s="20">
        <v>0</v>
      </c>
      <c r="CW14" s="20">
        <v>0</v>
      </c>
      <c r="CX14" s="20">
        <v>0</v>
      </c>
      <c r="CY14" s="20">
        <v>0</v>
      </c>
      <c r="CZ14" s="20">
        <v>0</v>
      </c>
      <c r="DA14" s="19">
        <v>0</v>
      </c>
      <c r="DB14" s="20">
        <v>0</v>
      </c>
      <c r="DC14" s="25">
        <v>0</v>
      </c>
      <c r="DD14" s="20">
        <v>0</v>
      </c>
      <c r="DE14" s="20">
        <v>0</v>
      </c>
      <c r="DF14" s="20">
        <v>0</v>
      </c>
      <c r="DG14" s="20">
        <v>0</v>
      </c>
      <c r="DH14" s="20">
        <v>0</v>
      </c>
      <c r="DI14" s="20">
        <v>0</v>
      </c>
    </row>
    <row r="15" spans="1:113">
      <c r="A15" s="20" t="str">
        <v>00:00:00</v>
      </c>
      <c r="B15" s="19">
        <v>0</v>
      </c>
      <c r="C15" s="21">
        <v>0</v>
      </c>
      <c r="D15" s="20" t="str">
        <v>未匹配</v>
      </c>
      <c r="E15" s="20">
        <v>0</v>
      </c>
      <c r="F15" s="20" t="str">
        <v/>
      </c>
      <c r="I15" s="20" t="str">
        <v/>
      </c>
      <c r="J15" s="20">
        <v>0</v>
      </c>
      <c r="K15" s="22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E15" s="20" t="str">
        <v/>
      </c>
      <c r="AF15" s="20">
        <v>0</v>
      </c>
      <c r="AG15" s="22" t="e">
        <v>#VALUE!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0</v>
      </c>
      <c r="BM15" s="20">
        <v>0</v>
      </c>
      <c r="BN15" s="22">
        <v>0</v>
      </c>
      <c r="BO15" s="22">
        <v>0</v>
      </c>
      <c r="BP15" s="22">
        <v>0</v>
      </c>
      <c r="BR15" s="20" t="str">
        <v/>
      </c>
      <c r="BS15" s="23"/>
      <c r="BT15" s="23"/>
      <c r="BV15" s="23"/>
      <c r="BW15" s="23"/>
      <c r="BX15" s="23"/>
      <c r="BY15" s="45"/>
      <c r="CA15" s="45"/>
      <c r="CD15" s="20" t="str">
        <v/>
      </c>
      <c r="CE15" s="22" t="str">
        <v/>
      </c>
      <c r="CF15" s="24" t="str">
        <v/>
      </c>
      <c r="CH15" s="20">
        <v>0</v>
      </c>
      <c r="CI15" s="20">
        <v>0</v>
      </c>
      <c r="CJ15" s="20">
        <v>0</v>
      </c>
      <c r="CK15" s="20" t="str">
        <v/>
      </c>
      <c r="CL15" s="20" t="str">
        <v/>
      </c>
      <c r="CN15" s="20">
        <v>0</v>
      </c>
      <c r="CO15" s="20">
        <v>0</v>
      </c>
      <c r="CP15" s="20">
        <v>0</v>
      </c>
      <c r="CQ15" s="20">
        <v>0</v>
      </c>
      <c r="CR15" s="20">
        <v>0</v>
      </c>
      <c r="CS15" s="20">
        <v>0</v>
      </c>
      <c r="CT15" s="20">
        <v>0</v>
      </c>
      <c r="CU15" s="20">
        <v>0</v>
      </c>
      <c r="CV15" s="20">
        <v>0</v>
      </c>
      <c r="CW15" s="20">
        <v>0</v>
      </c>
      <c r="CX15" s="20">
        <v>0</v>
      </c>
      <c r="CY15" s="20">
        <v>0</v>
      </c>
      <c r="CZ15" s="20">
        <v>0</v>
      </c>
      <c r="DA15" s="19">
        <v>0</v>
      </c>
      <c r="DB15" s="20">
        <v>0</v>
      </c>
      <c r="DC15" s="25">
        <v>0</v>
      </c>
      <c r="DD15" s="20">
        <v>0</v>
      </c>
      <c r="DE15" s="20">
        <v>0</v>
      </c>
      <c r="DF15" s="20">
        <v>0</v>
      </c>
      <c r="DG15" s="20">
        <v>0</v>
      </c>
      <c r="DH15" s="20">
        <v>0</v>
      </c>
      <c r="DI15" s="20">
        <v>0</v>
      </c>
    </row>
    <row r="16" spans="1:113">
      <c r="A16" s="20" t="str">
        <v>00:00:00</v>
      </c>
      <c r="B16" s="19">
        <v>0</v>
      </c>
      <c r="C16" s="21">
        <v>0</v>
      </c>
      <c r="D16" s="20" t="str">
        <v>未匹配</v>
      </c>
      <c r="E16" s="20">
        <v>0</v>
      </c>
      <c r="F16" s="20" t="str">
        <v/>
      </c>
      <c r="I16" s="20" t="str">
        <v/>
      </c>
      <c r="J16" s="20">
        <v>0</v>
      </c>
      <c r="K16" s="22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E16" s="20" t="str">
        <v/>
      </c>
      <c r="AF16" s="20">
        <v>0</v>
      </c>
      <c r="AG16" s="22" t="e">
        <v>#VALUE!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0</v>
      </c>
      <c r="BM16" s="20">
        <v>0</v>
      </c>
      <c r="BN16" s="22">
        <v>0</v>
      </c>
      <c r="BO16" s="22">
        <v>0</v>
      </c>
      <c r="BP16" s="22">
        <v>0</v>
      </c>
      <c r="BR16" s="20" t="str">
        <v/>
      </c>
      <c r="BS16" s="23"/>
      <c r="BT16" s="23"/>
      <c r="BV16" s="23"/>
      <c r="BW16" s="23"/>
      <c r="BX16" s="23"/>
      <c r="BY16" s="45"/>
      <c r="CA16" s="45"/>
      <c r="CD16" s="20" t="str">
        <v/>
      </c>
      <c r="CE16" s="22" t="str">
        <v/>
      </c>
      <c r="CF16" s="24" t="str">
        <v/>
      </c>
      <c r="CH16" s="20">
        <v>0</v>
      </c>
      <c r="CI16" s="20">
        <v>0</v>
      </c>
      <c r="CJ16" s="20">
        <v>0</v>
      </c>
      <c r="CK16" s="20" t="str">
        <v/>
      </c>
      <c r="CL16" s="20" t="str">
        <v/>
      </c>
      <c r="CN16" s="20">
        <v>0</v>
      </c>
      <c r="CO16" s="20">
        <v>0</v>
      </c>
      <c r="CP16" s="20">
        <v>0</v>
      </c>
      <c r="CQ16" s="20">
        <v>0</v>
      </c>
      <c r="CR16" s="20">
        <v>0</v>
      </c>
      <c r="CS16" s="20">
        <v>0</v>
      </c>
      <c r="CT16" s="20">
        <v>0</v>
      </c>
      <c r="CU16" s="20">
        <v>0</v>
      </c>
      <c r="CV16" s="20">
        <v>0</v>
      </c>
      <c r="CW16" s="20">
        <v>0</v>
      </c>
      <c r="CX16" s="20">
        <v>0</v>
      </c>
      <c r="CY16" s="20">
        <v>0</v>
      </c>
      <c r="CZ16" s="20">
        <v>0</v>
      </c>
      <c r="DA16" s="19">
        <v>0</v>
      </c>
      <c r="DB16" s="20">
        <v>0</v>
      </c>
      <c r="DC16" s="25">
        <v>0</v>
      </c>
      <c r="DD16" s="20">
        <v>0</v>
      </c>
      <c r="DE16" s="20">
        <v>0</v>
      </c>
      <c r="DF16" s="20">
        <v>0</v>
      </c>
      <c r="DG16" s="20">
        <v>0</v>
      </c>
      <c r="DH16" s="20">
        <v>0</v>
      </c>
      <c r="DI16" s="20">
        <v>0</v>
      </c>
    </row>
    <row r="17" spans="1:113">
      <c r="A17" s="20" t="str">
        <v>00:00:00</v>
      </c>
      <c r="B17" s="19">
        <v>0</v>
      </c>
      <c r="C17" s="21">
        <v>0</v>
      </c>
      <c r="D17" s="20" t="str">
        <v>未匹配</v>
      </c>
      <c r="E17" s="20">
        <v>0</v>
      </c>
      <c r="F17" s="20" t="str">
        <v/>
      </c>
      <c r="I17" s="20" t="str">
        <v/>
      </c>
      <c r="J17" s="20">
        <v>0</v>
      </c>
      <c r="K17" s="22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E17" s="20" t="str">
        <v/>
      </c>
      <c r="AF17" s="20">
        <v>0</v>
      </c>
      <c r="AG17" s="22" t="e">
        <v>#VALUE!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0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  <c r="BK17" s="20">
        <v>0</v>
      </c>
      <c r="BL17" s="20">
        <v>0</v>
      </c>
      <c r="BM17" s="20">
        <v>0</v>
      </c>
      <c r="BN17" s="22">
        <v>0</v>
      </c>
      <c r="BO17" s="22">
        <v>0</v>
      </c>
      <c r="BP17" s="22">
        <v>0</v>
      </c>
      <c r="BR17" s="20" t="str">
        <v/>
      </c>
      <c r="BS17" s="23"/>
      <c r="BT17" s="23"/>
      <c r="BV17" s="23"/>
      <c r="BW17" s="23"/>
      <c r="BX17" s="23"/>
      <c r="BY17" s="45"/>
      <c r="CA17" s="45"/>
      <c r="CD17" s="20" t="str">
        <v/>
      </c>
      <c r="CE17" s="22" t="str">
        <v/>
      </c>
      <c r="CF17" s="24" t="str">
        <v/>
      </c>
      <c r="CH17" s="20">
        <v>0</v>
      </c>
      <c r="CI17" s="20">
        <v>0</v>
      </c>
      <c r="CJ17" s="20">
        <v>0</v>
      </c>
      <c r="CK17" s="20" t="str">
        <v/>
      </c>
      <c r="CL17" s="20" t="str">
        <v/>
      </c>
      <c r="CN17" s="20">
        <v>0</v>
      </c>
      <c r="CO17" s="20">
        <v>0</v>
      </c>
      <c r="CP17" s="20">
        <v>0</v>
      </c>
      <c r="CQ17" s="20">
        <v>0</v>
      </c>
      <c r="CR17" s="20">
        <v>0</v>
      </c>
      <c r="CS17" s="20">
        <v>0</v>
      </c>
      <c r="CT17" s="20">
        <v>0</v>
      </c>
      <c r="CU17" s="20">
        <v>0</v>
      </c>
      <c r="CV17" s="20">
        <v>0</v>
      </c>
      <c r="CW17" s="20">
        <v>0</v>
      </c>
      <c r="CX17" s="20">
        <v>0</v>
      </c>
      <c r="CY17" s="20">
        <v>0</v>
      </c>
      <c r="CZ17" s="20">
        <v>0</v>
      </c>
      <c r="DA17" s="19">
        <v>0</v>
      </c>
      <c r="DB17" s="20">
        <v>0</v>
      </c>
      <c r="DC17" s="25">
        <v>0</v>
      </c>
      <c r="DD17" s="20">
        <v>0</v>
      </c>
      <c r="DE17" s="20">
        <v>0</v>
      </c>
      <c r="DF17" s="20">
        <v>0</v>
      </c>
      <c r="DG17" s="20">
        <v>0</v>
      </c>
      <c r="DH17" s="20">
        <v>0</v>
      </c>
      <c r="DI17" s="20">
        <v>0</v>
      </c>
    </row>
    <row r="18" spans="1:113">
      <c r="A18" s="20" t="str">
        <v>00:00:00</v>
      </c>
      <c r="B18" s="19">
        <v>0</v>
      </c>
      <c r="C18" s="21">
        <v>0</v>
      </c>
      <c r="D18" s="20" t="str">
        <v>未匹配</v>
      </c>
      <c r="E18" s="20">
        <v>0</v>
      </c>
      <c r="F18" s="20" t="str">
        <v/>
      </c>
      <c r="I18" s="20" t="str">
        <v/>
      </c>
      <c r="J18" s="20">
        <v>0</v>
      </c>
      <c r="K18" s="22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E18" s="20" t="str">
        <v/>
      </c>
      <c r="AF18" s="20">
        <v>0</v>
      </c>
      <c r="AG18" s="22" t="e">
        <v>#VALUE!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  <c r="BM18" s="20">
        <v>0</v>
      </c>
      <c r="BN18" s="22">
        <v>0</v>
      </c>
      <c r="BO18" s="22">
        <v>0</v>
      </c>
      <c r="BP18" s="22">
        <v>0</v>
      </c>
      <c r="BR18" s="20" t="str">
        <v/>
      </c>
      <c r="BS18" s="23"/>
      <c r="BT18" s="23"/>
      <c r="BV18" s="23"/>
      <c r="BW18" s="23"/>
      <c r="BX18" s="23"/>
      <c r="BY18" s="45"/>
      <c r="CA18" s="45"/>
      <c r="CD18" s="20" t="str">
        <v/>
      </c>
      <c r="CE18" s="22" t="str">
        <v/>
      </c>
      <c r="CF18" s="24" t="str">
        <v/>
      </c>
      <c r="CH18" s="20">
        <v>0</v>
      </c>
      <c r="CI18" s="20">
        <v>0</v>
      </c>
      <c r="CJ18" s="20">
        <v>0</v>
      </c>
      <c r="CK18" s="20" t="str">
        <v/>
      </c>
      <c r="CL18" s="20" t="str">
        <v/>
      </c>
      <c r="CN18" s="20">
        <v>0</v>
      </c>
      <c r="CO18" s="20">
        <v>0</v>
      </c>
      <c r="CP18" s="20">
        <v>0</v>
      </c>
      <c r="CQ18" s="20">
        <v>0</v>
      </c>
      <c r="CR18" s="20">
        <v>0</v>
      </c>
      <c r="CS18" s="20">
        <v>0</v>
      </c>
      <c r="CT18" s="20">
        <v>0</v>
      </c>
      <c r="CU18" s="20">
        <v>0</v>
      </c>
      <c r="CV18" s="20">
        <v>0</v>
      </c>
      <c r="CW18" s="20">
        <v>0</v>
      </c>
      <c r="CX18" s="20">
        <v>0</v>
      </c>
      <c r="CY18" s="20">
        <v>0</v>
      </c>
      <c r="CZ18" s="20">
        <v>0</v>
      </c>
      <c r="DA18" s="19">
        <v>0</v>
      </c>
      <c r="DB18" s="20">
        <v>0</v>
      </c>
      <c r="DC18" s="25">
        <v>0</v>
      </c>
      <c r="DD18" s="20">
        <v>0</v>
      </c>
      <c r="DE18" s="20">
        <v>0</v>
      </c>
      <c r="DF18" s="20">
        <v>0</v>
      </c>
      <c r="DG18" s="20">
        <v>0</v>
      </c>
      <c r="DH18" s="20">
        <v>0</v>
      </c>
      <c r="DI18" s="20">
        <v>0</v>
      </c>
    </row>
    <row r="19" spans="1:113">
      <c r="A19" s="20" t="str">
        <v>00:00:00</v>
      </c>
      <c r="B19" s="19">
        <v>0</v>
      </c>
      <c r="C19" s="21">
        <v>0</v>
      </c>
      <c r="D19" s="20" t="str">
        <v>未匹配</v>
      </c>
      <c r="E19" s="20">
        <v>0</v>
      </c>
      <c r="F19" s="20" t="str">
        <v/>
      </c>
      <c r="I19" s="20" t="str">
        <v/>
      </c>
      <c r="J19" s="20">
        <v>0</v>
      </c>
      <c r="K19" s="22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E19" s="20" t="str">
        <v/>
      </c>
      <c r="AF19" s="20">
        <v>0</v>
      </c>
      <c r="AG19" s="22" t="e">
        <v>#VALUE!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0</v>
      </c>
      <c r="BK19" s="20">
        <v>0</v>
      </c>
      <c r="BL19" s="20">
        <v>0</v>
      </c>
      <c r="BM19" s="20">
        <v>0</v>
      </c>
      <c r="BN19" s="22">
        <v>0</v>
      </c>
      <c r="BO19" s="22">
        <v>0</v>
      </c>
      <c r="BP19" s="22">
        <v>0</v>
      </c>
      <c r="BR19" s="20" t="str">
        <v/>
      </c>
      <c r="BS19" s="23"/>
      <c r="BT19" s="23"/>
      <c r="BV19" s="23"/>
      <c r="BW19" s="23"/>
      <c r="BX19" s="23"/>
      <c r="BY19" s="45"/>
      <c r="CA19" s="45"/>
      <c r="CD19" s="20" t="str">
        <v/>
      </c>
      <c r="CE19" s="22" t="str">
        <v/>
      </c>
      <c r="CF19" s="24" t="str">
        <v/>
      </c>
      <c r="CH19" s="20">
        <v>0</v>
      </c>
      <c r="CI19" s="20">
        <v>0</v>
      </c>
      <c r="CJ19" s="20">
        <v>0</v>
      </c>
      <c r="CK19" s="20" t="str">
        <v/>
      </c>
      <c r="CL19" s="20" t="str">
        <v/>
      </c>
      <c r="CN19" s="20">
        <v>0</v>
      </c>
      <c r="CO19" s="20">
        <v>0</v>
      </c>
      <c r="CP19" s="20">
        <v>0</v>
      </c>
      <c r="CQ19" s="20">
        <v>0</v>
      </c>
      <c r="CR19" s="20">
        <v>0</v>
      </c>
      <c r="CS19" s="20">
        <v>0</v>
      </c>
      <c r="CT19" s="20">
        <v>0</v>
      </c>
      <c r="CU19" s="20">
        <v>0</v>
      </c>
      <c r="CV19" s="20">
        <v>0</v>
      </c>
      <c r="CW19" s="20">
        <v>0</v>
      </c>
      <c r="CX19" s="20">
        <v>0</v>
      </c>
      <c r="CY19" s="20">
        <v>0</v>
      </c>
      <c r="CZ19" s="20">
        <v>0</v>
      </c>
      <c r="DA19" s="19">
        <v>0</v>
      </c>
      <c r="DB19" s="20">
        <v>0</v>
      </c>
      <c r="DC19" s="25">
        <v>0</v>
      </c>
      <c r="DD19" s="20">
        <v>0</v>
      </c>
      <c r="DE19" s="20">
        <v>0</v>
      </c>
      <c r="DF19" s="20">
        <v>0</v>
      </c>
      <c r="DG19" s="20">
        <v>0</v>
      </c>
      <c r="DH19" s="20">
        <v>0</v>
      </c>
      <c r="DI19" s="20">
        <v>0</v>
      </c>
    </row>
    <row r="20" spans="1:113">
      <c r="A20" s="20" t="str">
        <v>00:00:00</v>
      </c>
      <c r="B20" s="19">
        <v>0</v>
      </c>
      <c r="C20" s="21">
        <v>0</v>
      </c>
      <c r="D20" s="20" t="str">
        <v>未匹配</v>
      </c>
      <c r="E20" s="20">
        <v>0</v>
      </c>
      <c r="F20" s="20" t="str">
        <v/>
      </c>
      <c r="I20" s="20" t="str">
        <v/>
      </c>
      <c r="J20" s="20">
        <v>0</v>
      </c>
      <c r="K20" s="22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E20" s="20" t="str">
        <v/>
      </c>
      <c r="AF20" s="20">
        <v>0</v>
      </c>
      <c r="AG20" s="22" t="e">
        <v>#VALUE!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  <c r="BK20" s="20">
        <v>0</v>
      </c>
      <c r="BL20" s="20">
        <v>0</v>
      </c>
      <c r="BM20" s="20">
        <v>0</v>
      </c>
      <c r="BN20" s="22">
        <v>0</v>
      </c>
      <c r="BO20" s="22">
        <v>0</v>
      </c>
      <c r="BP20" s="22">
        <v>0</v>
      </c>
      <c r="BR20" s="20" t="str">
        <v/>
      </c>
      <c r="BS20" s="23"/>
      <c r="BT20" s="23"/>
      <c r="BV20" s="23"/>
      <c r="BW20" s="23"/>
      <c r="BX20" s="23"/>
      <c r="BY20" s="45"/>
      <c r="CA20" s="45"/>
      <c r="CD20" s="20" t="str">
        <v/>
      </c>
      <c r="CE20" s="22" t="str">
        <v/>
      </c>
      <c r="CF20" s="24" t="str">
        <v/>
      </c>
      <c r="CH20" s="20">
        <v>0</v>
      </c>
      <c r="CI20" s="20">
        <v>0</v>
      </c>
      <c r="CJ20" s="20">
        <v>0</v>
      </c>
      <c r="CK20" s="20" t="str">
        <v/>
      </c>
      <c r="CL20" s="20" t="str">
        <v/>
      </c>
      <c r="CN20" s="20">
        <v>0</v>
      </c>
      <c r="CO20" s="20">
        <v>0</v>
      </c>
      <c r="CP20" s="20">
        <v>0</v>
      </c>
      <c r="CQ20" s="20">
        <v>0</v>
      </c>
      <c r="CR20" s="20">
        <v>0</v>
      </c>
      <c r="CS20" s="20">
        <v>0</v>
      </c>
      <c r="CT20" s="20">
        <v>0</v>
      </c>
      <c r="CU20" s="20">
        <v>0</v>
      </c>
      <c r="CV20" s="20">
        <v>0</v>
      </c>
      <c r="CW20" s="20">
        <v>0</v>
      </c>
      <c r="CX20" s="20">
        <v>0</v>
      </c>
      <c r="CY20" s="20">
        <v>0</v>
      </c>
      <c r="CZ20" s="20">
        <v>0</v>
      </c>
      <c r="DA20" s="19">
        <v>0</v>
      </c>
      <c r="DB20" s="20">
        <v>0</v>
      </c>
      <c r="DC20" s="25">
        <v>0</v>
      </c>
      <c r="DD20" s="20">
        <v>0</v>
      </c>
      <c r="DE20" s="20">
        <v>0</v>
      </c>
      <c r="DF20" s="20">
        <v>0</v>
      </c>
      <c r="DG20" s="20">
        <v>0</v>
      </c>
      <c r="DH20" s="20">
        <v>0</v>
      </c>
      <c r="DI20" s="20">
        <v>0</v>
      </c>
    </row>
    <row r="21" spans="1:113">
      <c r="A21" s="20" t="str">
        <v>00:00:00</v>
      </c>
      <c r="B21" s="19">
        <v>0</v>
      </c>
      <c r="C21" s="21">
        <v>0</v>
      </c>
      <c r="D21" s="20" t="str">
        <v>未匹配</v>
      </c>
      <c r="E21" s="20">
        <v>0</v>
      </c>
      <c r="F21" s="20" t="str">
        <v/>
      </c>
      <c r="I21" s="20" t="str">
        <v/>
      </c>
      <c r="J21" s="20">
        <v>0</v>
      </c>
      <c r="K21" s="22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E21" s="20" t="str">
        <v/>
      </c>
      <c r="AF21" s="20">
        <v>0</v>
      </c>
      <c r="AG21" s="22" t="e">
        <v>#VALUE!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0">
        <v>0</v>
      </c>
      <c r="BJ21" s="20">
        <v>0</v>
      </c>
      <c r="BK21" s="20">
        <v>0</v>
      </c>
      <c r="BL21" s="20">
        <v>0</v>
      </c>
      <c r="BM21" s="20">
        <v>0</v>
      </c>
      <c r="BN21" s="22">
        <v>0</v>
      </c>
      <c r="BO21" s="22">
        <v>0</v>
      </c>
      <c r="BP21" s="22">
        <v>0</v>
      </c>
      <c r="BR21" s="20" t="str">
        <v/>
      </c>
      <c r="BS21" s="23"/>
      <c r="BT21" s="23"/>
      <c r="BV21" s="23"/>
      <c r="BW21" s="23"/>
      <c r="BX21" s="23"/>
      <c r="BY21" s="45"/>
      <c r="CA21" s="45"/>
      <c r="CD21" s="20" t="str">
        <v/>
      </c>
      <c r="CE21" s="22" t="str">
        <v/>
      </c>
      <c r="CF21" s="24" t="str">
        <v/>
      </c>
      <c r="CH21" s="20">
        <v>0</v>
      </c>
      <c r="CI21" s="20">
        <v>0</v>
      </c>
      <c r="CJ21" s="20">
        <v>0</v>
      </c>
      <c r="CK21" s="20" t="str">
        <v/>
      </c>
      <c r="CL21" s="20" t="str">
        <v/>
      </c>
      <c r="CN21" s="20">
        <v>0</v>
      </c>
      <c r="CO21" s="20">
        <v>0</v>
      </c>
      <c r="CP21" s="20">
        <v>0</v>
      </c>
      <c r="CQ21" s="20">
        <v>0</v>
      </c>
      <c r="CR21" s="20">
        <v>0</v>
      </c>
      <c r="CS21" s="20">
        <v>0</v>
      </c>
      <c r="CT21" s="20">
        <v>0</v>
      </c>
      <c r="CU21" s="20">
        <v>0</v>
      </c>
      <c r="CV21" s="20">
        <v>0</v>
      </c>
      <c r="CW21" s="20">
        <v>0</v>
      </c>
      <c r="CX21" s="20">
        <v>0</v>
      </c>
      <c r="CY21" s="20">
        <v>0</v>
      </c>
      <c r="CZ21" s="20">
        <v>0</v>
      </c>
      <c r="DA21" s="19">
        <v>0</v>
      </c>
      <c r="DB21" s="20">
        <v>0</v>
      </c>
      <c r="DC21" s="25">
        <v>0</v>
      </c>
      <c r="DD21" s="20">
        <v>0</v>
      </c>
      <c r="DE21" s="20">
        <v>0</v>
      </c>
      <c r="DF21" s="20">
        <v>0</v>
      </c>
      <c r="DG21" s="20">
        <v>0</v>
      </c>
      <c r="DH21" s="20">
        <v>0</v>
      </c>
      <c r="DI21" s="20">
        <v>0</v>
      </c>
    </row>
    <row r="22" spans="1:113">
      <c r="A22" s="20" t="str">
        <v>00:00:00</v>
      </c>
      <c r="B22" s="19">
        <v>0</v>
      </c>
      <c r="C22" s="21">
        <v>0</v>
      </c>
      <c r="D22" s="20" t="str">
        <v>未匹配</v>
      </c>
      <c r="E22" s="20">
        <v>0</v>
      </c>
      <c r="F22" s="20" t="str">
        <v/>
      </c>
      <c r="I22" s="20" t="str">
        <v/>
      </c>
      <c r="J22" s="20">
        <v>0</v>
      </c>
      <c r="K22" s="22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E22" s="20" t="str">
        <v/>
      </c>
      <c r="AF22" s="20">
        <v>0</v>
      </c>
      <c r="AG22" s="22" t="e">
        <v>#VALUE!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  <c r="BK22" s="20">
        <v>0</v>
      </c>
      <c r="BL22" s="20">
        <v>0</v>
      </c>
      <c r="BM22" s="20">
        <v>0</v>
      </c>
      <c r="BN22" s="22">
        <v>0</v>
      </c>
      <c r="BO22" s="22">
        <v>0</v>
      </c>
      <c r="BP22" s="22">
        <v>0</v>
      </c>
      <c r="BR22" s="20" t="str">
        <v/>
      </c>
      <c r="BS22" s="23"/>
      <c r="BT22" s="23"/>
      <c r="BV22" s="23"/>
      <c r="BW22" s="23"/>
      <c r="BX22" s="23"/>
      <c r="BY22" s="45"/>
      <c r="CA22" s="45"/>
      <c r="CD22" s="20" t="str">
        <v/>
      </c>
      <c r="CE22" s="22" t="str">
        <v/>
      </c>
      <c r="CF22" s="24" t="str">
        <v/>
      </c>
      <c r="CH22" s="20">
        <v>0</v>
      </c>
      <c r="CI22" s="20">
        <v>0</v>
      </c>
      <c r="CJ22" s="20">
        <v>0</v>
      </c>
      <c r="CK22" s="20" t="str">
        <v/>
      </c>
      <c r="CL22" s="20" t="str">
        <v/>
      </c>
      <c r="CN22" s="20">
        <v>0</v>
      </c>
      <c r="CO22" s="20">
        <v>0</v>
      </c>
      <c r="CP22" s="20">
        <v>0</v>
      </c>
      <c r="CQ22" s="20">
        <v>0</v>
      </c>
      <c r="CR22" s="20">
        <v>0</v>
      </c>
      <c r="CS22" s="20">
        <v>0</v>
      </c>
      <c r="CT22" s="20">
        <v>0</v>
      </c>
      <c r="CU22" s="20">
        <v>0</v>
      </c>
      <c r="CV22" s="20">
        <v>0</v>
      </c>
      <c r="CW22" s="20">
        <v>0</v>
      </c>
      <c r="CX22" s="20">
        <v>0</v>
      </c>
      <c r="CY22" s="20">
        <v>0</v>
      </c>
      <c r="CZ22" s="20">
        <v>0</v>
      </c>
      <c r="DA22" s="19">
        <v>0</v>
      </c>
      <c r="DB22" s="20">
        <v>0</v>
      </c>
      <c r="DC22" s="25">
        <v>0</v>
      </c>
      <c r="DD22" s="20">
        <v>0</v>
      </c>
      <c r="DE22" s="20">
        <v>0</v>
      </c>
      <c r="DF22" s="20">
        <v>0</v>
      </c>
      <c r="DG22" s="20">
        <v>0</v>
      </c>
      <c r="DH22" s="20">
        <v>0</v>
      </c>
      <c r="DI22" s="20">
        <v>0</v>
      </c>
    </row>
    <row r="23" spans="1:113">
      <c r="A23" s="20" t="str">
        <v>00:00:00</v>
      </c>
      <c r="B23" s="19">
        <v>0</v>
      </c>
      <c r="C23" s="21">
        <v>0</v>
      </c>
      <c r="D23" s="20" t="str">
        <v>未匹配</v>
      </c>
      <c r="E23" s="20">
        <v>0</v>
      </c>
      <c r="F23" s="20" t="str">
        <v/>
      </c>
      <c r="I23" s="20" t="str">
        <v/>
      </c>
      <c r="J23" s="20">
        <v>0</v>
      </c>
      <c r="K23" s="22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E23" s="20" t="str">
        <v/>
      </c>
      <c r="AF23" s="20">
        <v>0</v>
      </c>
      <c r="AG23" s="22" t="e">
        <v>#VALUE!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0">
        <v>0</v>
      </c>
      <c r="BA23" s="20">
        <v>0</v>
      </c>
      <c r="BB23" s="20">
        <v>0</v>
      </c>
      <c r="BC23" s="20">
        <v>0</v>
      </c>
      <c r="BD23" s="20">
        <v>0</v>
      </c>
      <c r="BE23" s="20">
        <v>0</v>
      </c>
      <c r="BF23" s="20">
        <v>0</v>
      </c>
      <c r="BG23" s="20">
        <v>0</v>
      </c>
      <c r="BH23" s="20">
        <v>0</v>
      </c>
      <c r="BI23" s="20">
        <v>0</v>
      </c>
      <c r="BJ23" s="20">
        <v>0</v>
      </c>
      <c r="BK23" s="20">
        <v>0</v>
      </c>
      <c r="BL23" s="20">
        <v>0</v>
      </c>
      <c r="BM23" s="20">
        <v>0</v>
      </c>
      <c r="BN23" s="22">
        <v>0</v>
      </c>
      <c r="BO23" s="22">
        <v>0</v>
      </c>
      <c r="BP23" s="22">
        <v>0</v>
      </c>
      <c r="BR23" s="20" t="str">
        <v/>
      </c>
      <c r="BS23" s="23"/>
      <c r="BT23" s="23"/>
      <c r="BV23" s="23"/>
      <c r="BW23" s="23"/>
      <c r="BX23" s="23"/>
      <c r="BY23" s="45"/>
      <c r="CA23" s="45"/>
      <c r="CD23" s="20" t="str">
        <v/>
      </c>
      <c r="CE23" s="22" t="str">
        <v/>
      </c>
      <c r="CF23" s="24" t="str">
        <v/>
      </c>
      <c r="CH23" s="20">
        <v>0</v>
      </c>
      <c r="CI23" s="20">
        <v>0</v>
      </c>
      <c r="CJ23" s="20">
        <v>0</v>
      </c>
      <c r="CK23" s="20" t="str">
        <v/>
      </c>
      <c r="CL23" s="20" t="str">
        <v/>
      </c>
      <c r="CN23" s="20">
        <v>0</v>
      </c>
      <c r="CO23" s="20">
        <v>0</v>
      </c>
      <c r="CP23" s="20">
        <v>0</v>
      </c>
      <c r="CQ23" s="20">
        <v>0</v>
      </c>
      <c r="CR23" s="20">
        <v>0</v>
      </c>
      <c r="CS23" s="20">
        <v>0</v>
      </c>
      <c r="CT23" s="20">
        <v>0</v>
      </c>
      <c r="CU23" s="20">
        <v>0</v>
      </c>
      <c r="CV23" s="20">
        <v>0</v>
      </c>
      <c r="CW23" s="20">
        <v>0</v>
      </c>
      <c r="CX23" s="20">
        <v>0</v>
      </c>
      <c r="CY23" s="20">
        <v>0</v>
      </c>
      <c r="CZ23" s="20">
        <v>0</v>
      </c>
      <c r="DA23" s="19">
        <v>0</v>
      </c>
      <c r="DB23" s="20">
        <v>0</v>
      </c>
      <c r="DC23" s="25">
        <v>0</v>
      </c>
      <c r="DD23" s="20">
        <v>0</v>
      </c>
      <c r="DE23" s="20">
        <v>0</v>
      </c>
      <c r="DF23" s="20">
        <v>0</v>
      </c>
      <c r="DG23" s="20">
        <v>0</v>
      </c>
      <c r="DH23" s="20">
        <v>0</v>
      </c>
      <c r="DI23" s="20">
        <v>0</v>
      </c>
    </row>
    <row r="24" spans="1:113">
      <c r="A24" s="20" t="str">
        <v>00:00:00</v>
      </c>
      <c r="B24" s="19">
        <v>0</v>
      </c>
      <c r="C24" s="21">
        <v>0</v>
      </c>
      <c r="D24" s="20" t="str">
        <v>未匹配</v>
      </c>
      <c r="E24" s="20">
        <v>0</v>
      </c>
      <c r="F24" s="20" t="str">
        <v/>
      </c>
      <c r="I24" s="20" t="str">
        <v/>
      </c>
      <c r="J24" s="20">
        <v>0</v>
      </c>
      <c r="K24" s="22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E24" s="20" t="str">
        <v/>
      </c>
      <c r="AF24" s="20">
        <v>0</v>
      </c>
      <c r="AG24" s="22" t="e">
        <v>#VALUE!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  <c r="BM24" s="20">
        <v>0</v>
      </c>
      <c r="BN24" s="22">
        <v>0</v>
      </c>
      <c r="BO24" s="22">
        <v>0</v>
      </c>
      <c r="BP24" s="22">
        <v>0</v>
      </c>
      <c r="BR24" s="20" t="str">
        <v/>
      </c>
      <c r="BS24" s="23"/>
      <c r="BT24" s="23"/>
      <c r="BV24" s="23"/>
      <c r="BW24" s="23"/>
      <c r="BX24" s="23"/>
      <c r="BY24" s="45"/>
      <c r="CA24" s="45"/>
      <c r="CD24" s="20" t="str">
        <v/>
      </c>
      <c r="CE24" s="22" t="str">
        <v/>
      </c>
      <c r="CF24" s="24" t="str">
        <v/>
      </c>
      <c r="CH24" s="20">
        <v>0</v>
      </c>
      <c r="CI24" s="20">
        <v>0</v>
      </c>
      <c r="CJ24" s="20">
        <v>0</v>
      </c>
      <c r="CK24" s="20" t="str">
        <v/>
      </c>
      <c r="CL24" s="20" t="str">
        <v/>
      </c>
      <c r="CN24" s="20">
        <v>0</v>
      </c>
      <c r="CO24" s="20">
        <v>0</v>
      </c>
      <c r="CP24" s="20">
        <v>0</v>
      </c>
      <c r="CQ24" s="20">
        <v>0</v>
      </c>
      <c r="CR24" s="20">
        <v>0</v>
      </c>
      <c r="CS24" s="20">
        <v>0</v>
      </c>
      <c r="CT24" s="20">
        <v>0</v>
      </c>
      <c r="CU24" s="20">
        <v>0</v>
      </c>
      <c r="CV24" s="20">
        <v>0</v>
      </c>
      <c r="CW24" s="20">
        <v>0</v>
      </c>
      <c r="CX24" s="20">
        <v>0</v>
      </c>
      <c r="CY24" s="20">
        <v>0</v>
      </c>
      <c r="CZ24" s="20">
        <v>0</v>
      </c>
      <c r="DA24" s="19">
        <v>0</v>
      </c>
      <c r="DB24" s="20">
        <v>0</v>
      </c>
      <c r="DC24" s="25">
        <v>0</v>
      </c>
      <c r="DD24" s="20">
        <v>0</v>
      </c>
      <c r="DE24" s="20">
        <v>0</v>
      </c>
      <c r="DF24" s="20">
        <v>0</v>
      </c>
      <c r="DG24" s="20">
        <v>0</v>
      </c>
      <c r="DH24" s="20">
        <v>0</v>
      </c>
      <c r="DI24" s="20">
        <v>0</v>
      </c>
    </row>
    <row r="25" spans="1:113">
      <c r="A25" s="20" t="str">
        <v>00:00:00</v>
      </c>
      <c r="B25" s="19">
        <v>0</v>
      </c>
      <c r="C25" s="21">
        <v>0</v>
      </c>
      <c r="D25" s="20" t="str">
        <v>未匹配</v>
      </c>
      <c r="E25" s="20">
        <v>0</v>
      </c>
      <c r="F25" s="20" t="str">
        <v/>
      </c>
      <c r="I25" s="20" t="str">
        <v/>
      </c>
      <c r="J25" s="20">
        <v>0</v>
      </c>
      <c r="K25" s="22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E25" s="20" t="str">
        <v/>
      </c>
      <c r="AF25" s="20">
        <v>0</v>
      </c>
      <c r="AG25" s="22" t="e">
        <v>#VALUE!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  <c r="BK25" s="20">
        <v>0</v>
      </c>
      <c r="BL25" s="20">
        <v>0</v>
      </c>
      <c r="BM25" s="20">
        <v>0</v>
      </c>
      <c r="BN25" s="22">
        <v>0</v>
      </c>
      <c r="BO25" s="22">
        <v>0</v>
      </c>
      <c r="BP25" s="22">
        <v>0</v>
      </c>
      <c r="BR25" s="20" t="str">
        <v/>
      </c>
      <c r="BS25" s="23"/>
      <c r="BT25" s="23"/>
      <c r="BV25" s="23"/>
      <c r="BW25" s="23"/>
      <c r="BX25" s="23"/>
      <c r="BY25" s="45"/>
      <c r="CA25" s="45"/>
      <c r="CD25" s="20" t="str">
        <v/>
      </c>
      <c r="CH25" s="20">
        <v>0</v>
      </c>
      <c r="CI25" s="20">
        <v>0</v>
      </c>
      <c r="CJ25" s="20">
        <v>0</v>
      </c>
      <c r="CK25" s="20" t="str">
        <v/>
      </c>
      <c r="CL25" s="20" t="str">
        <v/>
      </c>
      <c r="CN25" s="20">
        <v>0</v>
      </c>
      <c r="CO25" s="20">
        <v>0</v>
      </c>
      <c r="CP25" s="20">
        <v>0</v>
      </c>
      <c r="CQ25" s="20">
        <v>0</v>
      </c>
      <c r="CR25" s="20">
        <v>0</v>
      </c>
      <c r="CS25" s="20">
        <v>0</v>
      </c>
      <c r="CT25" s="20">
        <v>0</v>
      </c>
      <c r="CU25" s="20">
        <v>0</v>
      </c>
      <c r="CV25" s="20">
        <v>0</v>
      </c>
      <c r="CW25" s="20">
        <v>0</v>
      </c>
      <c r="CX25" s="20">
        <v>0</v>
      </c>
      <c r="CY25" s="20">
        <v>0</v>
      </c>
      <c r="CZ25" s="20">
        <v>0</v>
      </c>
      <c r="DA25" s="19">
        <v>0</v>
      </c>
      <c r="DB25" s="20">
        <v>0</v>
      </c>
      <c r="DC25" s="25">
        <v>0</v>
      </c>
      <c r="DD25" s="20">
        <v>0</v>
      </c>
      <c r="DE25" s="20">
        <v>0</v>
      </c>
      <c r="DF25" s="20">
        <v>0</v>
      </c>
      <c r="DG25" s="20">
        <v>0</v>
      </c>
      <c r="DH25" s="20">
        <v>0</v>
      </c>
      <c r="DI25" s="20">
        <v>0</v>
      </c>
    </row>
    <row r="26" spans="1:113">
      <c r="A26" s="20" t="str">
        <v>00:00:00</v>
      </c>
      <c r="B26" s="19">
        <v>0</v>
      </c>
      <c r="C26" s="21">
        <v>0</v>
      </c>
      <c r="D26" s="20" t="str">
        <v>未匹配</v>
      </c>
      <c r="E26" s="20">
        <v>0</v>
      </c>
      <c r="F26" s="20" t="str">
        <v/>
      </c>
      <c r="I26" s="20" t="str">
        <v/>
      </c>
      <c r="J26" s="20">
        <v>0</v>
      </c>
      <c r="K26" s="22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E26" s="20" t="str">
        <v/>
      </c>
      <c r="AF26" s="20">
        <v>0</v>
      </c>
      <c r="AG26" s="22" t="e">
        <v>#VALUE!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0">
        <v>0</v>
      </c>
      <c r="BN26" s="22">
        <v>0</v>
      </c>
      <c r="BO26" s="22">
        <v>0</v>
      </c>
      <c r="BP26" s="22">
        <v>0</v>
      </c>
      <c r="BR26" s="20" t="str">
        <v/>
      </c>
      <c r="BS26" s="23"/>
      <c r="BT26" s="23"/>
      <c r="BV26" s="23"/>
      <c r="BW26" s="23"/>
      <c r="BX26" s="23"/>
      <c r="BY26" s="45"/>
      <c r="CA26" s="45"/>
      <c r="CD26" s="20" t="str">
        <v/>
      </c>
      <c r="CH26" s="20">
        <v>0</v>
      </c>
      <c r="CI26" s="20">
        <v>0</v>
      </c>
      <c r="CJ26" s="20">
        <v>0</v>
      </c>
      <c r="CK26" s="20" t="str">
        <v/>
      </c>
      <c r="CL26" s="20" t="str">
        <v/>
      </c>
      <c r="CN26" s="20">
        <v>0</v>
      </c>
      <c r="CO26" s="20">
        <v>0</v>
      </c>
      <c r="CP26" s="20">
        <v>0</v>
      </c>
      <c r="CQ26" s="20">
        <v>0</v>
      </c>
      <c r="CR26" s="20">
        <v>0</v>
      </c>
      <c r="CS26" s="20">
        <v>0</v>
      </c>
      <c r="CT26" s="20">
        <v>0</v>
      </c>
      <c r="CU26" s="20">
        <v>0</v>
      </c>
      <c r="CV26" s="20">
        <v>0</v>
      </c>
      <c r="CW26" s="20">
        <v>0</v>
      </c>
      <c r="CX26" s="20">
        <v>0</v>
      </c>
      <c r="CY26" s="20">
        <v>0</v>
      </c>
      <c r="CZ26" s="20">
        <v>0</v>
      </c>
      <c r="DA26" s="19">
        <v>0</v>
      </c>
      <c r="DB26" s="20">
        <v>0</v>
      </c>
      <c r="DC26" s="25">
        <v>0</v>
      </c>
      <c r="DD26" s="20">
        <v>0</v>
      </c>
      <c r="DE26" s="20">
        <v>0</v>
      </c>
      <c r="DF26" s="20">
        <v>0</v>
      </c>
      <c r="DG26" s="20">
        <v>0</v>
      </c>
      <c r="DH26" s="20">
        <v>0</v>
      </c>
      <c r="DI26" s="20">
        <v>0</v>
      </c>
    </row>
    <row r="27" spans="1:113">
      <c r="A27" s="20" t="str">
        <v>00:00:00</v>
      </c>
      <c r="B27" s="19">
        <v>0</v>
      </c>
      <c r="C27" s="21">
        <v>0</v>
      </c>
      <c r="D27" s="20" t="str">
        <v>未匹配</v>
      </c>
      <c r="E27" s="20">
        <v>0</v>
      </c>
      <c r="F27" s="20" t="str">
        <v/>
      </c>
      <c r="I27" s="20" t="str">
        <v/>
      </c>
      <c r="J27" s="20">
        <v>0</v>
      </c>
      <c r="K27" s="22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E27" s="20" t="str">
        <v/>
      </c>
      <c r="AF27" s="20">
        <v>0</v>
      </c>
      <c r="AG27" s="22" t="e">
        <v>#VALUE!</v>
      </c>
      <c r="AI27" s="20">
        <v>0</v>
      </c>
      <c r="AJ27" s="20">
        <v>0</v>
      </c>
      <c r="AK27" s="20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0</v>
      </c>
      <c r="AY27" s="20">
        <v>0</v>
      </c>
      <c r="AZ27" s="20">
        <v>0</v>
      </c>
      <c r="BA27" s="20">
        <v>0</v>
      </c>
      <c r="BB27" s="20">
        <v>0</v>
      </c>
      <c r="BC27" s="20">
        <v>0</v>
      </c>
      <c r="BD27" s="20">
        <v>0</v>
      </c>
      <c r="BE27" s="20">
        <v>0</v>
      </c>
      <c r="BF27" s="20">
        <v>0</v>
      </c>
      <c r="BG27" s="20">
        <v>0</v>
      </c>
      <c r="BH27" s="20">
        <v>0</v>
      </c>
      <c r="BI27" s="20">
        <v>0</v>
      </c>
      <c r="BJ27" s="20">
        <v>0</v>
      </c>
      <c r="BK27" s="20">
        <v>0</v>
      </c>
      <c r="BL27" s="20">
        <v>0</v>
      </c>
      <c r="BM27" s="20">
        <v>0</v>
      </c>
      <c r="BN27" s="22">
        <v>0</v>
      </c>
      <c r="BO27" s="22">
        <v>0</v>
      </c>
      <c r="BP27" s="22">
        <v>0</v>
      </c>
      <c r="BR27" s="20" t="str">
        <v/>
      </c>
      <c r="BS27" s="23"/>
      <c r="BT27" s="23"/>
      <c r="BV27" s="23"/>
      <c r="BW27" s="23"/>
      <c r="BX27" s="23"/>
      <c r="BY27" s="45"/>
      <c r="CA27" s="45"/>
      <c r="CD27" s="20" t="str">
        <v/>
      </c>
      <c r="CH27" s="20">
        <v>0</v>
      </c>
      <c r="CI27" s="20">
        <v>0</v>
      </c>
      <c r="CJ27" s="20">
        <v>0</v>
      </c>
      <c r="CK27" s="20" t="str">
        <v/>
      </c>
      <c r="CL27" s="20" t="str">
        <v/>
      </c>
      <c r="CN27" s="20">
        <v>0</v>
      </c>
      <c r="CO27" s="20">
        <v>0</v>
      </c>
      <c r="CP27" s="20">
        <v>0</v>
      </c>
      <c r="CQ27" s="20">
        <v>0</v>
      </c>
      <c r="CR27" s="20">
        <v>0</v>
      </c>
      <c r="CS27" s="20">
        <v>0</v>
      </c>
      <c r="CT27" s="20">
        <v>0</v>
      </c>
      <c r="CU27" s="20">
        <v>0</v>
      </c>
      <c r="CV27" s="20">
        <v>0</v>
      </c>
      <c r="CW27" s="20">
        <v>0</v>
      </c>
      <c r="CX27" s="20">
        <v>0</v>
      </c>
      <c r="CY27" s="20">
        <v>0</v>
      </c>
      <c r="CZ27" s="20">
        <v>0</v>
      </c>
      <c r="DA27" s="19">
        <v>0</v>
      </c>
      <c r="DB27" s="20">
        <v>0</v>
      </c>
      <c r="DC27" s="25">
        <v>0</v>
      </c>
      <c r="DD27" s="20">
        <v>0</v>
      </c>
      <c r="DE27" s="20">
        <v>0</v>
      </c>
      <c r="DF27" s="20">
        <v>0</v>
      </c>
      <c r="DG27" s="20">
        <v>0</v>
      </c>
      <c r="DH27" s="20">
        <v>0</v>
      </c>
      <c r="DI27" s="20">
        <v>0</v>
      </c>
    </row>
    <row r="28" spans="1:113">
      <c r="A28" s="20" t="str">
        <v>00:00:00</v>
      </c>
      <c r="B28" s="19">
        <v>0</v>
      </c>
      <c r="C28" s="21">
        <v>0</v>
      </c>
      <c r="D28" s="20" t="str">
        <v>未匹配</v>
      </c>
      <c r="E28" s="20">
        <v>0</v>
      </c>
      <c r="F28" s="20" t="str">
        <v/>
      </c>
      <c r="I28" s="20" t="str">
        <v/>
      </c>
      <c r="J28" s="20">
        <v>0</v>
      </c>
      <c r="K28" s="22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E28" s="20" t="str">
        <v/>
      </c>
      <c r="AF28" s="20">
        <v>0</v>
      </c>
      <c r="AG28" s="22" t="e">
        <v>#VALUE!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0</v>
      </c>
      <c r="BL28" s="20">
        <v>0</v>
      </c>
      <c r="BM28" s="20">
        <v>0</v>
      </c>
      <c r="BN28" s="22">
        <v>0</v>
      </c>
      <c r="BO28" s="22">
        <v>0</v>
      </c>
      <c r="BP28" s="22">
        <v>0</v>
      </c>
      <c r="BR28" s="20" t="str">
        <v/>
      </c>
      <c r="BS28" s="23"/>
      <c r="BT28" s="23"/>
      <c r="BV28" s="23"/>
      <c r="BW28" s="23"/>
      <c r="BX28" s="23"/>
      <c r="BY28" s="45"/>
      <c r="CA28" s="45"/>
      <c r="CD28" s="20" t="str">
        <v/>
      </c>
      <c r="CH28" s="20">
        <v>0</v>
      </c>
      <c r="CI28" s="20">
        <v>0</v>
      </c>
      <c r="CJ28" s="20">
        <v>0</v>
      </c>
      <c r="CK28" s="20" t="str">
        <v/>
      </c>
      <c r="CL28" s="20" t="str">
        <v/>
      </c>
      <c r="CN28" s="20">
        <v>0</v>
      </c>
      <c r="CO28" s="20">
        <v>0</v>
      </c>
      <c r="CP28" s="20">
        <v>0</v>
      </c>
      <c r="CQ28" s="20">
        <v>0</v>
      </c>
      <c r="CR28" s="20">
        <v>0</v>
      </c>
      <c r="CS28" s="20">
        <v>0</v>
      </c>
      <c r="CT28" s="20">
        <v>0</v>
      </c>
      <c r="CU28" s="20">
        <v>0</v>
      </c>
      <c r="CV28" s="20">
        <v>0</v>
      </c>
      <c r="CW28" s="20">
        <v>0</v>
      </c>
      <c r="CX28" s="20">
        <v>0</v>
      </c>
      <c r="CY28" s="20">
        <v>0</v>
      </c>
      <c r="CZ28" s="20">
        <v>0</v>
      </c>
      <c r="DA28" s="19">
        <v>0</v>
      </c>
      <c r="DB28" s="20">
        <v>0</v>
      </c>
      <c r="DC28" s="25">
        <v>0</v>
      </c>
      <c r="DD28" s="20">
        <v>0</v>
      </c>
      <c r="DE28" s="20">
        <v>0</v>
      </c>
      <c r="DF28" s="20">
        <v>0</v>
      </c>
      <c r="DG28" s="20">
        <v>0</v>
      </c>
      <c r="DH28" s="20">
        <v>0</v>
      </c>
      <c r="DI28" s="20">
        <v>0</v>
      </c>
    </row>
    <row r="29" spans="1:113">
      <c r="A29" s="20" t="str">
        <v>00:00:00</v>
      </c>
      <c r="B29" s="19">
        <v>0</v>
      </c>
      <c r="C29" s="21">
        <v>0</v>
      </c>
      <c r="D29" s="20" t="str">
        <v>未匹配</v>
      </c>
      <c r="E29" s="20">
        <v>0</v>
      </c>
      <c r="I29" s="20" t="str">
        <v/>
      </c>
      <c r="J29" s="20">
        <v>0</v>
      </c>
      <c r="K29" s="22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E29" s="20" t="str">
        <v/>
      </c>
      <c r="AF29" s="20">
        <v>0</v>
      </c>
      <c r="AG29" s="22" t="e">
        <v>#VALUE!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  <c r="BK29" s="20">
        <v>0</v>
      </c>
      <c r="BL29" s="20">
        <v>0</v>
      </c>
      <c r="BM29" s="20">
        <v>0</v>
      </c>
      <c r="BN29" s="22">
        <v>0</v>
      </c>
      <c r="BO29" s="22">
        <v>0</v>
      </c>
      <c r="BP29" s="22">
        <v>0</v>
      </c>
      <c r="BR29" s="20" t="str">
        <v/>
      </c>
      <c r="BS29" s="23"/>
      <c r="BT29" s="23"/>
      <c r="BV29" s="23"/>
      <c r="BW29" s="23"/>
      <c r="BX29" s="23"/>
      <c r="BY29" s="45"/>
      <c r="CA29" s="45"/>
      <c r="CH29" s="20">
        <v>0</v>
      </c>
      <c r="CI29" s="20">
        <v>0</v>
      </c>
      <c r="CJ29" s="20">
        <v>0</v>
      </c>
      <c r="CK29" s="20" t="str">
        <v/>
      </c>
      <c r="CL29" s="20" t="str">
        <v/>
      </c>
      <c r="CN29" s="20">
        <v>0</v>
      </c>
      <c r="CO29" s="20">
        <v>0</v>
      </c>
      <c r="CP29" s="20">
        <v>0</v>
      </c>
      <c r="CQ29" s="20">
        <v>0</v>
      </c>
      <c r="CR29" s="20">
        <v>0</v>
      </c>
      <c r="CS29" s="20">
        <v>0</v>
      </c>
      <c r="CT29" s="20">
        <v>0</v>
      </c>
      <c r="CU29" s="20">
        <v>0</v>
      </c>
      <c r="CV29" s="20">
        <v>0</v>
      </c>
      <c r="CW29" s="20">
        <v>0</v>
      </c>
      <c r="CX29" s="20">
        <v>0</v>
      </c>
      <c r="CY29" s="20">
        <v>0</v>
      </c>
      <c r="CZ29" s="20">
        <v>0</v>
      </c>
      <c r="DA29" s="19">
        <v>0</v>
      </c>
      <c r="DB29" s="20">
        <v>0</v>
      </c>
      <c r="DC29" s="25">
        <v>0</v>
      </c>
      <c r="DD29" s="20">
        <v>0</v>
      </c>
      <c r="DE29" s="20">
        <v>0</v>
      </c>
      <c r="DF29" s="20">
        <v>0</v>
      </c>
      <c r="DG29" s="20">
        <v>0</v>
      </c>
      <c r="DH29" s="20">
        <v>0</v>
      </c>
      <c r="DI29" s="20">
        <v>0</v>
      </c>
    </row>
    <row r="30" spans="1:113">
      <c r="A30" s="20" t="str">
        <v>00:00:00</v>
      </c>
      <c r="B30" s="19">
        <v>0</v>
      </c>
      <c r="C30" s="21">
        <v>0</v>
      </c>
      <c r="D30" s="20" t="str">
        <v>未匹配</v>
      </c>
      <c r="E30" s="20">
        <v>0</v>
      </c>
      <c r="I30" s="20" t="str">
        <v/>
      </c>
      <c r="J30" s="20">
        <v>0</v>
      </c>
      <c r="K30" s="22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E30" s="20" t="str">
        <v/>
      </c>
      <c r="AF30" s="20">
        <v>0</v>
      </c>
      <c r="AG30" s="22" t="e">
        <v>#VALUE!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  <c r="BK30" s="20">
        <v>0</v>
      </c>
      <c r="BL30" s="20">
        <v>0</v>
      </c>
      <c r="BM30" s="20">
        <v>0</v>
      </c>
      <c r="BN30" s="22">
        <v>0</v>
      </c>
      <c r="BO30" s="22">
        <v>0</v>
      </c>
      <c r="BP30" s="22">
        <v>0</v>
      </c>
      <c r="BR30" s="20" t="str">
        <v/>
      </c>
      <c r="BS30" s="23"/>
      <c r="BT30" s="23"/>
      <c r="BV30" s="23"/>
      <c r="BW30" s="23"/>
      <c r="BX30" s="23"/>
      <c r="BY30" s="45"/>
      <c r="CA30" s="45"/>
      <c r="CH30" s="20">
        <v>0</v>
      </c>
      <c r="CI30" s="20">
        <v>0</v>
      </c>
      <c r="CJ30" s="20">
        <v>0</v>
      </c>
      <c r="CK30" s="20" t="str">
        <v/>
      </c>
      <c r="CL30" s="20" t="str">
        <v/>
      </c>
      <c r="CN30" s="20">
        <v>0</v>
      </c>
      <c r="CO30" s="20">
        <v>0</v>
      </c>
      <c r="CP30" s="20">
        <v>0</v>
      </c>
      <c r="CQ30" s="20">
        <v>0</v>
      </c>
      <c r="CR30" s="20">
        <v>0</v>
      </c>
      <c r="CS30" s="20">
        <v>0</v>
      </c>
      <c r="CT30" s="20">
        <v>0</v>
      </c>
      <c r="CU30" s="20">
        <v>0</v>
      </c>
      <c r="CV30" s="20">
        <v>0</v>
      </c>
      <c r="CW30" s="20">
        <v>0</v>
      </c>
      <c r="CX30" s="20">
        <v>0</v>
      </c>
      <c r="CY30" s="20">
        <v>0</v>
      </c>
      <c r="CZ30" s="20">
        <v>0</v>
      </c>
      <c r="DA30" s="19">
        <v>0</v>
      </c>
      <c r="DB30" s="20">
        <v>0</v>
      </c>
      <c r="DC30" s="25">
        <v>0</v>
      </c>
      <c r="DD30" s="20">
        <v>0</v>
      </c>
      <c r="DE30" s="20">
        <v>0</v>
      </c>
      <c r="DF30" s="20">
        <v>0</v>
      </c>
      <c r="DG30" s="20">
        <v>0</v>
      </c>
      <c r="DH30" s="20">
        <v>0</v>
      </c>
      <c r="DI30" s="20">
        <v>0</v>
      </c>
    </row>
    <row r="31" spans="1:113">
      <c r="A31" s="20" t="str">
        <v>00:00:00</v>
      </c>
      <c r="B31" s="19">
        <v>0</v>
      </c>
      <c r="C31" s="21">
        <v>0</v>
      </c>
      <c r="D31" s="20" t="str">
        <v>未匹配</v>
      </c>
      <c r="E31" s="20">
        <v>0</v>
      </c>
      <c r="I31" s="20" t="str">
        <v/>
      </c>
      <c r="J31" s="20">
        <v>0</v>
      </c>
      <c r="K31" s="22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E31" s="20" t="str">
        <v/>
      </c>
      <c r="AF31" s="20">
        <v>0</v>
      </c>
      <c r="AG31" s="22" t="e">
        <v>#VALUE!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0</v>
      </c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  <c r="BK31" s="20">
        <v>0</v>
      </c>
      <c r="BL31" s="20">
        <v>0</v>
      </c>
      <c r="BM31" s="20">
        <v>0</v>
      </c>
      <c r="BN31" s="22">
        <v>0</v>
      </c>
      <c r="BO31" s="22">
        <v>0</v>
      </c>
      <c r="BP31" s="22">
        <v>0</v>
      </c>
      <c r="BR31" s="20" t="str">
        <v/>
      </c>
      <c r="BS31" s="23"/>
      <c r="BT31" s="23"/>
      <c r="BV31" s="23"/>
      <c r="BW31" s="23"/>
      <c r="BX31" s="23"/>
      <c r="BY31" s="45"/>
      <c r="CA31" s="45"/>
      <c r="CH31" s="20">
        <v>0</v>
      </c>
      <c r="CI31" s="20">
        <v>0</v>
      </c>
      <c r="CJ31" s="20">
        <v>0</v>
      </c>
      <c r="CK31" s="20" t="str">
        <v/>
      </c>
      <c r="CL31" s="20" t="str">
        <v/>
      </c>
      <c r="CN31" s="20">
        <v>0</v>
      </c>
      <c r="CO31" s="20">
        <v>0</v>
      </c>
      <c r="CP31" s="20">
        <v>0</v>
      </c>
      <c r="CQ31" s="20">
        <v>0</v>
      </c>
      <c r="CR31" s="20">
        <v>0</v>
      </c>
      <c r="CS31" s="20">
        <v>0</v>
      </c>
      <c r="CT31" s="20">
        <v>0</v>
      </c>
      <c r="CU31" s="20">
        <v>0</v>
      </c>
      <c r="CV31" s="20">
        <v>0</v>
      </c>
      <c r="CW31" s="20">
        <v>0</v>
      </c>
      <c r="CX31" s="20">
        <v>0</v>
      </c>
      <c r="CY31" s="20">
        <v>0</v>
      </c>
      <c r="CZ31" s="20">
        <v>0</v>
      </c>
      <c r="DA31" s="19">
        <v>0</v>
      </c>
      <c r="DB31" s="20">
        <v>0</v>
      </c>
      <c r="DC31" s="25">
        <v>0</v>
      </c>
      <c r="DD31" s="20">
        <v>0</v>
      </c>
      <c r="DE31" s="20">
        <v>0</v>
      </c>
      <c r="DF31" s="20">
        <v>0</v>
      </c>
      <c r="DG31" s="20">
        <v>0</v>
      </c>
      <c r="DH31" s="20">
        <v>0</v>
      </c>
      <c r="DI31" s="20">
        <v>0</v>
      </c>
    </row>
    <row r="32" spans="1:113">
      <c r="A32" s="20" t="str">
        <v>00:00:00</v>
      </c>
      <c r="B32" s="19">
        <v>0</v>
      </c>
      <c r="C32" s="21">
        <v>0</v>
      </c>
      <c r="D32" s="20" t="str">
        <v>未匹配</v>
      </c>
      <c r="E32" s="20">
        <v>0</v>
      </c>
      <c r="I32" s="20" t="str">
        <v/>
      </c>
      <c r="J32" s="20">
        <v>0</v>
      </c>
      <c r="K32" s="22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E32" s="20" t="str">
        <v/>
      </c>
      <c r="AF32" s="20">
        <v>0</v>
      </c>
      <c r="AG32" s="22" t="e">
        <v>#VALUE!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  <c r="BK32" s="20">
        <v>0</v>
      </c>
      <c r="BL32" s="20">
        <v>0</v>
      </c>
      <c r="BM32" s="20">
        <v>0</v>
      </c>
      <c r="BN32" s="22">
        <v>0</v>
      </c>
      <c r="BO32" s="22">
        <v>0</v>
      </c>
      <c r="BP32" s="22">
        <v>0</v>
      </c>
      <c r="BR32" s="20" t="str">
        <v/>
      </c>
      <c r="BS32" s="23"/>
      <c r="BT32" s="23"/>
      <c r="BV32" s="23"/>
      <c r="BW32" s="23"/>
      <c r="BX32" s="23"/>
      <c r="BY32" s="45"/>
      <c r="CA32" s="45"/>
      <c r="CH32" s="20">
        <v>0</v>
      </c>
      <c r="CI32" s="20">
        <v>0</v>
      </c>
      <c r="CJ32" s="20">
        <v>0</v>
      </c>
      <c r="CK32" s="20" t="str">
        <v/>
      </c>
      <c r="CL32" s="20" t="str">
        <v/>
      </c>
      <c r="CN32" s="20">
        <v>0</v>
      </c>
      <c r="CO32" s="20">
        <v>0</v>
      </c>
      <c r="CP32" s="20">
        <v>0</v>
      </c>
      <c r="CQ32" s="20">
        <v>0</v>
      </c>
      <c r="CR32" s="20">
        <v>0</v>
      </c>
      <c r="CS32" s="20">
        <v>0</v>
      </c>
      <c r="CT32" s="20">
        <v>0</v>
      </c>
      <c r="CU32" s="20">
        <v>0</v>
      </c>
      <c r="CV32" s="20">
        <v>0</v>
      </c>
      <c r="CW32" s="20">
        <v>0</v>
      </c>
      <c r="CX32" s="20">
        <v>0</v>
      </c>
      <c r="CY32" s="20">
        <v>0</v>
      </c>
      <c r="CZ32" s="20">
        <v>0</v>
      </c>
      <c r="DA32" s="19">
        <v>0</v>
      </c>
      <c r="DB32" s="20">
        <v>0</v>
      </c>
      <c r="DC32" s="25">
        <v>0</v>
      </c>
      <c r="DD32" s="20">
        <v>0</v>
      </c>
      <c r="DE32" s="20">
        <v>0</v>
      </c>
      <c r="DF32" s="20">
        <v>0</v>
      </c>
      <c r="DG32" s="20">
        <v>0</v>
      </c>
      <c r="DH32" s="20">
        <v>0</v>
      </c>
      <c r="DI32" s="20">
        <v>0</v>
      </c>
    </row>
    <row r="33" spans="1:113">
      <c r="A33" s="20" t="str">
        <v>00:00:00</v>
      </c>
      <c r="B33" s="19">
        <v>0</v>
      </c>
      <c r="C33" s="21">
        <v>0</v>
      </c>
      <c r="D33" s="20" t="str">
        <v>未匹配</v>
      </c>
      <c r="E33" s="20">
        <v>0</v>
      </c>
      <c r="I33" s="20" t="str">
        <v/>
      </c>
      <c r="J33" s="20">
        <v>0</v>
      </c>
      <c r="K33" s="22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E33" s="20" t="str">
        <v/>
      </c>
      <c r="AF33" s="20">
        <v>0</v>
      </c>
      <c r="AG33" s="22" t="e">
        <v>#VALUE!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0</v>
      </c>
      <c r="BA33" s="20">
        <v>0</v>
      </c>
      <c r="BB33" s="20">
        <v>0</v>
      </c>
      <c r="BC33" s="20">
        <v>0</v>
      </c>
      <c r="BD33" s="20">
        <v>0</v>
      </c>
      <c r="BE33" s="20">
        <v>0</v>
      </c>
      <c r="BF33" s="20">
        <v>0</v>
      </c>
      <c r="BG33" s="20">
        <v>0</v>
      </c>
      <c r="BH33" s="20">
        <v>0</v>
      </c>
      <c r="BI33" s="20">
        <v>0</v>
      </c>
      <c r="BJ33" s="20">
        <v>0</v>
      </c>
      <c r="BK33" s="20">
        <v>0</v>
      </c>
      <c r="BL33" s="20">
        <v>0</v>
      </c>
      <c r="BM33" s="20">
        <v>0</v>
      </c>
      <c r="BN33" s="22">
        <v>0</v>
      </c>
      <c r="BO33" s="22">
        <v>0</v>
      </c>
      <c r="BP33" s="22">
        <v>0</v>
      </c>
      <c r="BR33" s="20" t="str">
        <v/>
      </c>
      <c r="BS33" s="23"/>
      <c r="BT33" s="23"/>
      <c r="BV33" s="23"/>
      <c r="BW33" s="23"/>
      <c r="BX33" s="23"/>
      <c r="BY33" s="45"/>
      <c r="CA33" s="45"/>
      <c r="CH33" s="20">
        <v>0</v>
      </c>
      <c r="CI33" s="20">
        <v>0</v>
      </c>
      <c r="CJ33" s="20">
        <v>0</v>
      </c>
      <c r="CK33" s="20" t="str">
        <v/>
      </c>
      <c r="CL33" s="20" t="str">
        <v/>
      </c>
      <c r="CN33" s="20">
        <v>0</v>
      </c>
      <c r="CO33" s="20">
        <v>0</v>
      </c>
      <c r="CP33" s="20">
        <v>0</v>
      </c>
      <c r="CQ33" s="20">
        <v>0</v>
      </c>
      <c r="CR33" s="20">
        <v>0</v>
      </c>
      <c r="CS33" s="20">
        <v>0</v>
      </c>
      <c r="CT33" s="20">
        <v>0</v>
      </c>
      <c r="CU33" s="20">
        <v>0</v>
      </c>
      <c r="CV33" s="20">
        <v>0</v>
      </c>
      <c r="CW33" s="20">
        <v>0</v>
      </c>
      <c r="CX33" s="20">
        <v>0</v>
      </c>
      <c r="CY33" s="20">
        <v>0</v>
      </c>
      <c r="CZ33" s="20">
        <v>0</v>
      </c>
      <c r="DA33" s="19">
        <v>0</v>
      </c>
      <c r="DB33" s="20">
        <v>0</v>
      </c>
      <c r="DC33" s="25">
        <v>0</v>
      </c>
      <c r="DD33" s="20">
        <v>0</v>
      </c>
      <c r="DE33" s="20">
        <v>0</v>
      </c>
      <c r="DF33" s="20">
        <v>0</v>
      </c>
      <c r="DG33" s="20">
        <v>0</v>
      </c>
      <c r="DH33" s="20">
        <v>0</v>
      </c>
      <c r="DI33" s="20">
        <v>0</v>
      </c>
    </row>
    <row r="34" spans="1:113">
      <c r="A34" s="20" t="str">
        <v>00:00:00</v>
      </c>
      <c r="B34" s="19">
        <v>0</v>
      </c>
      <c r="C34" s="21">
        <v>0</v>
      </c>
      <c r="D34" s="20" t="str">
        <v>未匹配</v>
      </c>
      <c r="E34" s="20">
        <v>0</v>
      </c>
      <c r="I34" s="20" t="str">
        <v/>
      </c>
      <c r="J34" s="20">
        <v>0</v>
      </c>
      <c r="K34" s="22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E34" s="20" t="str">
        <v/>
      </c>
      <c r="AF34" s="20">
        <v>0</v>
      </c>
      <c r="AG34" s="22" t="e">
        <v>#VALUE!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0</v>
      </c>
      <c r="BF34" s="20">
        <v>0</v>
      </c>
      <c r="BG34" s="20">
        <v>0</v>
      </c>
      <c r="BH34" s="20">
        <v>0</v>
      </c>
      <c r="BI34" s="20">
        <v>0</v>
      </c>
      <c r="BJ34" s="20">
        <v>0</v>
      </c>
      <c r="BK34" s="20">
        <v>0</v>
      </c>
      <c r="BL34" s="20">
        <v>0</v>
      </c>
      <c r="BM34" s="20">
        <v>0</v>
      </c>
      <c r="BN34" s="22">
        <v>0</v>
      </c>
      <c r="BO34" s="22">
        <v>0</v>
      </c>
      <c r="BP34" s="22">
        <v>0</v>
      </c>
      <c r="BR34" s="20" t="str">
        <v/>
      </c>
      <c r="BS34" s="23"/>
      <c r="BT34" s="23"/>
      <c r="BV34" s="23"/>
      <c r="BW34" s="23"/>
      <c r="BX34" s="23"/>
      <c r="BY34" s="45"/>
      <c r="CA34" s="45"/>
      <c r="CH34" s="20">
        <v>0</v>
      </c>
      <c r="CI34" s="20">
        <v>0</v>
      </c>
      <c r="CJ34" s="20">
        <v>0</v>
      </c>
      <c r="CK34" s="20" t="str">
        <v/>
      </c>
      <c r="CL34" s="20" t="str">
        <v/>
      </c>
      <c r="CN34" s="20">
        <v>0</v>
      </c>
      <c r="CO34" s="20">
        <v>0</v>
      </c>
      <c r="CP34" s="20">
        <v>0</v>
      </c>
      <c r="CQ34" s="20">
        <v>0</v>
      </c>
      <c r="CR34" s="20">
        <v>0</v>
      </c>
      <c r="CS34" s="20">
        <v>0</v>
      </c>
      <c r="CT34" s="20">
        <v>0</v>
      </c>
      <c r="CU34" s="20">
        <v>0</v>
      </c>
      <c r="CV34" s="20">
        <v>0</v>
      </c>
      <c r="CW34" s="20">
        <v>0</v>
      </c>
      <c r="CX34" s="20">
        <v>0</v>
      </c>
      <c r="CY34" s="20">
        <v>0</v>
      </c>
      <c r="CZ34" s="20">
        <v>0</v>
      </c>
      <c r="DA34" s="19">
        <v>0</v>
      </c>
      <c r="DB34" s="20">
        <v>0</v>
      </c>
      <c r="DC34" s="25">
        <v>0</v>
      </c>
      <c r="DD34" s="20">
        <v>0</v>
      </c>
      <c r="DE34" s="20">
        <v>0</v>
      </c>
      <c r="DF34" s="20">
        <v>0</v>
      </c>
      <c r="DG34" s="20">
        <v>0</v>
      </c>
      <c r="DH34" s="20">
        <v>0</v>
      </c>
      <c r="DI34" s="20">
        <v>0</v>
      </c>
    </row>
    <row r="35" spans="1:113">
      <c r="A35" s="20" t="str">
        <v>00:00:00</v>
      </c>
      <c r="B35" s="19">
        <v>0</v>
      </c>
      <c r="C35" s="21">
        <v>0</v>
      </c>
      <c r="D35" s="20" t="str">
        <v>未匹配</v>
      </c>
      <c r="E35" s="20">
        <v>0</v>
      </c>
      <c r="I35" s="20" t="str">
        <v/>
      </c>
      <c r="J35" s="20">
        <v>0</v>
      </c>
      <c r="K35" s="22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E35" s="20" t="str">
        <v/>
      </c>
      <c r="AF35" s="20">
        <v>0</v>
      </c>
      <c r="AG35" s="22" t="e">
        <v>#VALUE!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0</v>
      </c>
      <c r="AY35" s="20">
        <v>0</v>
      </c>
      <c r="AZ35" s="20">
        <v>0</v>
      </c>
      <c r="BA35" s="20">
        <v>0</v>
      </c>
      <c r="BB35" s="20">
        <v>0</v>
      </c>
      <c r="BC35" s="20">
        <v>0</v>
      </c>
      <c r="BD35" s="20">
        <v>0</v>
      </c>
      <c r="BE35" s="20">
        <v>0</v>
      </c>
      <c r="BF35" s="20">
        <v>0</v>
      </c>
      <c r="BG35" s="20">
        <v>0</v>
      </c>
      <c r="BH35" s="20">
        <v>0</v>
      </c>
      <c r="BI35" s="20">
        <v>0</v>
      </c>
      <c r="BJ35" s="20">
        <v>0</v>
      </c>
      <c r="BK35" s="20">
        <v>0</v>
      </c>
      <c r="BL35" s="20">
        <v>0</v>
      </c>
      <c r="BM35" s="20">
        <v>0</v>
      </c>
      <c r="BN35" s="22">
        <v>0</v>
      </c>
      <c r="BO35" s="22">
        <v>0</v>
      </c>
      <c r="BP35" s="22">
        <v>0</v>
      </c>
      <c r="BR35" s="20" t="str">
        <v/>
      </c>
      <c r="BS35" s="23"/>
      <c r="BT35" s="23"/>
      <c r="BV35" s="23"/>
      <c r="BW35" s="23"/>
      <c r="BX35" s="23"/>
      <c r="BY35" s="45"/>
      <c r="CA35" s="45"/>
      <c r="CH35" s="20">
        <v>0</v>
      </c>
      <c r="CI35" s="20">
        <v>0</v>
      </c>
      <c r="CJ35" s="20">
        <v>0</v>
      </c>
      <c r="CK35" s="20" t="str">
        <v/>
      </c>
      <c r="CL35" s="20" t="str">
        <v/>
      </c>
      <c r="CN35" s="20">
        <v>0</v>
      </c>
      <c r="CO35" s="20">
        <v>0</v>
      </c>
      <c r="CP35" s="20">
        <v>0</v>
      </c>
      <c r="CQ35" s="20">
        <v>0</v>
      </c>
      <c r="CR35" s="20">
        <v>0</v>
      </c>
      <c r="CS35" s="20">
        <v>0</v>
      </c>
      <c r="CT35" s="20">
        <v>0</v>
      </c>
      <c r="CU35" s="20">
        <v>0</v>
      </c>
      <c r="CV35" s="20">
        <v>0</v>
      </c>
      <c r="CW35" s="20">
        <v>0</v>
      </c>
      <c r="CX35" s="20">
        <v>0</v>
      </c>
      <c r="CY35" s="20">
        <v>0</v>
      </c>
      <c r="CZ35" s="20">
        <v>0</v>
      </c>
      <c r="DA35" s="19">
        <v>0</v>
      </c>
      <c r="DB35" s="20">
        <v>0</v>
      </c>
      <c r="DC35" s="25">
        <v>0</v>
      </c>
      <c r="DD35" s="20">
        <v>0</v>
      </c>
      <c r="DE35" s="20">
        <v>0</v>
      </c>
      <c r="DF35" s="20">
        <v>0</v>
      </c>
      <c r="DG35" s="20">
        <v>0</v>
      </c>
      <c r="DH35" s="20">
        <v>0</v>
      </c>
      <c r="DI35" s="20">
        <v>0</v>
      </c>
    </row>
    <row r="36" spans="1:113">
      <c r="A36" s="20" t="str">
        <v>00:00:00</v>
      </c>
      <c r="B36" s="19">
        <v>0</v>
      </c>
      <c r="C36" s="21">
        <v>0</v>
      </c>
      <c r="D36" s="20" t="str">
        <v>未匹配</v>
      </c>
      <c r="E36" s="20">
        <v>0</v>
      </c>
      <c r="I36" s="20" t="str">
        <v/>
      </c>
      <c r="J36" s="20">
        <v>0</v>
      </c>
      <c r="K36" s="22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E36" s="20" t="str">
        <v/>
      </c>
      <c r="AF36" s="20">
        <v>0</v>
      </c>
      <c r="AG36" s="22" t="e">
        <v>#VALUE!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0</v>
      </c>
      <c r="BI36" s="20">
        <v>0</v>
      </c>
      <c r="BJ36" s="20">
        <v>0</v>
      </c>
      <c r="BK36" s="20">
        <v>0</v>
      </c>
      <c r="BL36" s="20">
        <v>0</v>
      </c>
      <c r="BM36" s="20">
        <v>0</v>
      </c>
      <c r="BN36" s="22">
        <v>0</v>
      </c>
      <c r="BO36" s="22">
        <v>0</v>
      </c>
      <c r="BP36" s="22">
        <v>0</v>
      </c>
      <c r="BR36" s="20" t="str">
        <v/>
      </c>
      <c r="BS36" s="23"/>
      <c r="BT36" s="23"/>
      <c r="BV36" s="23"/>
      <c r="BW36" s="23"/>
      <c r="BX36" s="23"/>
      <c r="BY36" s="45"/>
      <c r="CA36" s="45"/>
      <c r="CH36" s="20">
        <v>0</v>
      </c>
      <c r="CI36" s="20">
        <v>0</v>
      </c>
      <c r="CJ36" s="20">
        <v>0</v>
      </c>
      <c r="CK36" s="20" t="str">
        <v/>
      </c>
      <c r="CL36" s="20" t="str">
        <v/>
      </c>
      <c r="CN36" s="20">
        <v>0</v>
      </c>
      <c r="CO36" s="20">
        <v>0</v>
      </c>
      <c r="CP36" s="20">
        <v>0</v>
      </c>
      <c r="CQ36" s="20">
        <v>0</v>
      </c>
      <c r="CR36" s="20">
        <v>0</v>
      </c>
      <c r="CS36" s="20">
        <v>0</v>
      </c>
      <c r="CT36" s="20">
        <v>0</v>
      </c>
      <c r="CU36" s="20">
        <v>0</v>
      </c>
      <c r="CV36" s="20">
        <v>0</v>
      </c>
      <c r="CW36" s="20">
        <v>0</v>
      </c>
      <c r="CX36" s="20">
        <v>0</v>
      </c>
      <c r="CY36" s="20">
        <v>0</v>
      </c>
      <c r="CZ36" s="20">
        <v>0</v>
      </c>
      <c r="DA36" s="19">
        <v>0</v>
      </c>
      <c r="DB36" s="20">
        <v>0</v>
      </c>
      <c r="DC36" s="25">
        <v>0</v>
      </c>
      <c r="DD36" s="20">
        <v>0</v>
      </c>
      <c r="DE36" s="20">
        <v>0</v>
      </c>
      <c r="DF36" s="20">
        <v>0</v>
      </c>
      <c r="DG36" s="20">
        <v>0</v>
      </c>
      <c r="DH36" s="20">
        <v>0</v>
      </c>
      <c r="DI36" s="20">
        <v>0</v>
      </c>
    </row>
    <row r="37" spans="1:113">
      <c r="A37" s="20" t="str">
        <v>00:00:00</v>
      </c>
      <c r="B37" s="19">
        <v>0</v>
      </c>
      <c r="C37" s="21">
        <v>0</v>
      </c>
      <c r="D37" s="20" t="str">
        <v>未匹配</v>
      </c>
      <c r="E37" s="20">
        <v>0</v>
      </c>
      <c r="I37" s="20" t="str">
        <v/>
      </c>
      <c r="J37" s="20">
        <v>0</v>
      </c>
      <c r="K37" s="22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E37" s="20" t="str">
        <v/>
      </c>
      <c r="AF37" s="20">
        <v>0</v>
      </c>
      <c r="AG37" s="22" t="e">
        <v>#VALUE!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0">
        <v>0</v>
      </c>
      <c r="BJ37" s="20">
        <v>0</v>
      </c>
      <c r="BK37" s="20">
        <v>0</v>
      </c>
      <c r="BL37" s="20">
        <v>0</v>
      </c>
      <c r="BM37" s="20">
        <v>0</v>
      </c>
      <c r="BN37" s="22">
        <v>0</v>
      </c>
      <c r="BO37" s="22">
        <v>0</v>
      </c>
      <c r="BP37" s="22">
        <v>0</v>
      </c>
      <c r="BR37" s="20" t="str">
        <v/>
      </c>
      <c r="BS37" s="23"/>
      <c r="BT37" s="23"/>
      <c r="BV37" s="23"/>
      <c r="BW37" s="23"/>
      <c r="BX37" s="23"/>
      <c r="BY37" s="45"/>
      <c r="CA37" s="45"/>
      <c r="CH37" s="20">
        <v>0</v>
      </c>
      <c r="CI37" s="20">
        <v>0</v>
      </c>
      <c r="CJ37" s="20">
        <v>0</v>
      </c>
      <c r="CK37" s="20" t="str">
        <v/>
      </c>
      <c r="CL37" s="20" t="str">
        <v/>
      </c>
      <c r="CN37" s="20">
        <v>0</v>
      </c>
      <c r="CO37" s="20">
        <v>0</v>
      </c>
      <c r="CP37" s="20">
        <v>0</v>
      </c>
      <c r="CQ37" s="20">
        <v>0</v>
      </c>
      <c r="CR37" s="20">
        <v>0</v>
      </c>
      <c r="CS37" s="20">
        <v>0</v>
      </c>
      <c r="CT37" s="20">
        <v>0</v>
      </c>
      <c r="CU37" s="20">
        <v>0</v>
      </c>
      <c r="CV37" s="20">
        <v>0</v>
      </c>
      <c r="CW37" s="20">
        <v>0</v>
      </c>
      <c r="CX37" s="20">
        <v>0</v>
      </c>
      <c r="CY37" s="20">
        <v>0</v>
      </c>
      <c r="CZ37" s="20">
        <v>0</v>
      </c>
      <c r="DA37" s="19">
        <v>0</v>
      </c>
      <c r="DB37" s="20">
        <v>0</v>
      </c>
      <c r="DC37" s="25">
        <v>0</v>
      </c>
      <c r="DD37" s="20">
        <v>0</v>
      </c>
      <c r="DE37" s="20">
        <v>0</v>
      </c>
      <c r="DF37" s="20">
        <v>0</v>
      </c>
      <c r="DG37" s="20">
        <v>0</v>
      </c>
      <c r="DH37" s="20">
        <v>0</v>
      </c>
      <c r="DI37" s="20">
        <v>0</v>
      </c>
    </row>
    <row r="38" spans="1:113">
      <c r="A38" s="20" t="str">
        <v>00:00:00</v>
      </c>
      <c r="B38" s="19">
        <v>0</v>
      </c>
      <c r="C38" s="21">
        <v>0</v>
      </c>
      <c r="D38" s="20" t="str">
        <v>未匹配</v>
      </c>
      <c r="E38" s="20">
        <v>0</v>
      </c>
      <c r="I38" s="20" t="str">
        <v/>
      </c>
      <c r="J38" s="20">
        <v>0</v>
      </c>
      <c r="K38" s="22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E38" s="20" t="str">
        <v/>
      </c>
      <c r="AF38" s="20">
        <v>0</v>
      </c>
      <c r="AG38" s="22" t="e">
        <v>#VALUE!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0">
        <v>0</v>
      </c>
      <c r="BF38" s="20">
        <v>0</v>
      </c>
      <c r="BG38" s="20">
        <v>0</v>
      </c>
      <c r="BH38" s="20">
        <v>0</v>
      </c>
      <c r="BI38" s="20">
        <v>0</v>
      </c>
      <c r="BJ38" s="20">
        <v>0</v>
      </c>
      <c r="BK38" s="20">
        <v>0</v>
      </c>
      <c r="BL38" s="20">
        <v>0</v>
      </c>
      <c r="BM38" s="20">
        <v>0</v>
      </c>
      <c r="BN38" s="22">
        <v>0</v>
      </c>
      <c r="BO38" s="22">
        <v>0</v>
      </c>
      <c r="BP38" s="22">
        <v>0</v>
      </c>
      <c r="BR38" s="20" t="str">
        <v/>
      </c>
      <c r="BS38" s="23"/>
      <c r="BT38" s="23"/>
      <c r="BV38" s="23"/>
      <c r="BW38" s="23"/>
      <c r="BX38" s="23"/>
      <c r="BY38" s="45"/>
      <c r="CA38" s="45"/>
      <c r="CH38" s="20">
        <v>0</v>
      </c>
      <c r="CI38" s="20">
        <v>0</v>
      </c>
      <c r="CJ38" s="20">
        <v>0</v>
      </c>
      <c r="CK38" s="20" t="str">
        <v/>
      </c>
      <c r="CL38" s="20" t="str">
        <v/>
      </c>
      <c r="CN38" s="20">
        <v>0</v>
      </c>
      <c r="CO38" s="20">
        <v>0</v>
      </c>
      <c r="CP38" s="20">
        <v>0</v>
      </c>
      <c r="CQ38" s="20">
        <v>0</v>
      </c>
      <c r="CR38" s="20">
        <v>0</v>
      </c>
      <c r="CS38" s="20">
        <v>0</v>
      </c>
      <c r="CT38" s="20">
        <v>0</v>
      </c>
      <c r="CU38" s="20">
        <v>0</v>
      </c>
      <c r="CV38" s="20">
        <v>0</v>
      </c>
      <c r="CW38" s="20">
        <v>0</v>
      </c>
      <c r="CX38" s="20">
        <v>0</v>
      </c>
      <c r="CY38" s="20">
        <v>0</v>
      </c>
      <c r="CZ38" s="20">
        <v>0</v>
      </c>
      <c r="DA38" s="19">
        <v>0</v>
      </c>
      <c r="DB38" s="20">
        <v>0</v>
      </c>
      <c r="DC38" s="25">
        <v>0</v>
      </c>
      <c r="DD38" s="20">
        <v>0</v>
      </c>
      <c r="DE38" s="20">
        <v>0</v>
      </c>
      <c r="DF38" s="20">
        <v>0</v>
      </c>
      <c r="DG38" s="20">
        <v>0</v>
      </c>
      <c r="DH38" s="20">
        <v>0</v>
      </c>
      <c r="DI38" s="20">
        <v>0</v>
      </c>
    </row>
    <row r="39" spans="1:113">
      <c r="A39" s="20" t="str">
        <v>00:00:00</v>
      </c>
      <c r="B39" s="19">
        <v>0</v>
      </c>
      <c r="C39" s="21">
        <v>0</v>
      </c>
      <c r="D39" s="20" t="str">
        <v>未匹配</v>
      </c>
      <c r="E39" s="20">
        <v>0</v>
      </c>
      <c r="I39" s="20" t="str">
        <v/>
      </c>
      <c r="J39" s="20">
        <v>0</v>
      </c>
      <c r="K39" s="22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E39" s="20" t="str">
        <v/>
      </c>
      <c r="AF39" s="20">
        <v>0</v>
      </c>
      <c r="AG39" s="22" t="e">
        <v>#VALUE!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  <c r="BK39" s="20">
        <v>0</v>
      </c>
      <c r="BL39" s="20">
        <v>0</v>
      </c>
      <c r="BM39" s="20">
        <v>0</v>
      </c>
      <c r="BN39" s="22">
        <v>0</v>
      </c>
      <c r="BO39" s="22">
        <v>0</v>
      </c>
      <c r="BP39" s="22">
        <v>0</v>
      </c>
      <c r="BR39" s="20" t="str">
        <v/>
      </c>
      <c r="BS39" s="23"/>
      <c r="BT39" s="23"/>
      <c r="BV39" s="23"/>
      <c r="BW39" s="23"/>
      <c r="BX39" s="23"/>
      <c r="BY39" s="45"/>
      <c r="CA39" s="45"/>
      <c r="CH39" s="20">
        <v>0</v>
      </c>
      <c r="CI39" s="20">
        <v>0</v>
      </c>
      <c r="CJ39" s="20">
        <v>0</v>
      </c>
      <c r="CK39" s="20" t="str">
        <v/>
      </c>
      <c r="CL39" s="20" t="str">
        <v/>
      </c>
      <c r="CN39" s="20">
        <v>0</v>
      </c>
      <c r="CO39" s="20">
        <v>0</v>
      </c>
      <c r="CP39" s="20">
        <v>0</v>
      </c>
      <c r="CQ39" s="20">
        <v>0</v>
      </c>
      <c r="CR39" s="20">
        <v>0</v>
      </c>
      <c r="CS39" s="20">
        <v>0</v>
      </c>
      <c r="CT39" s="20">
        <v>0</v>
      </c>
      <c r="CU39" s="20">
        <v>0</v>
      </c>
      <c r="CV39" s="20">
        <v>0</v>
      </c>
      <c r="CW39" s="20">
        <v>0</v>
      </c>
      <c r="CX39" s="20">
        <v>0</v>
      </c>
      <c r="CY39" s="20">
        <v>0</v>
      </c>
      <c r="CZ39" s="20">
        <v>0</v>
      </c>
      <c r="DA39" s="19">
        <v>0</v>
      </c>
      <c r="DB39" s="20">
        <v>0</v>
      </c>
      <c r="DC39" s="25">
        <v>0</v>
      </c>
      <c r="DD39" s="20">
        <v>0</v>
      </c>
      <c r="DE39" s="20">
        <v>0</v>
      </c>
      <c r="DF39" s="20">
        <v>0</v>
      </c>
      <c r="DG39" s="20">
        <v>0</v>
      </c>
      <c r="DH39" s="20">
        <v>0</v>
      </c>
      <c r="DI39" s="20">
        <v>0</v>
      </c>
    </row>
    <row r="40" spans="1:113">
      <c r="A40" s="20" t="str">
        <v>00:00:00</v>
      </c>
      <c r="B40" s="19">
        <v>0</v>
      </c>
      <c r="C40" s="21">
        <v>0</v>
      </c>
      <c r="D40" s="20" t="str">
        <v>未匹配</v>
      </c>
      <c r="E40" s="20">
        <v>0</v>
      </c>
      <c r="I40" s="20" t="str">
        <v/>
      </c>
      <c r="J40" s="20">
        <v>0</v>
      </c>
      <c r="K40" s="22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E40" s="20" t="str">
        <v/>
      </c>
      <c r="AF40" s="20">
        <v>0</v>
      </c>
      <c r="AG40" s="22" t="e">
        <v>#VALUE!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  <c r="BK40" s="20">
        <v>0</v>
      </c>
      <c r="BL40" s="20">
        <v>0</v>
      </c>
      <c r="BM40" s="20">
        <v>0</v>
      </c>
      <c r="BN40" s="22">
        <v>0</v>
      </c>
      <c r="BO40" s="22">
        <v>0</v>
      </c>
      <c r="BP40" s="22">
        <v>0</v>
      </c>
      <c r="BR40" s="20" t="str">
        <v/>
      </c>
      <c r="BS40" s="23"/>
      <c r="BT40" s="23"/>
      <c r="BV40" s="23"/>
      <c r="BW40" s="23"/>
      <c r="BX40" s="23"/>
      <c r="BY40" s="45"/>
      <c r="CA40" s="45"/>
      <c r="CH40" s="20">
        <v>0</v>
      </c>
      <c r="CI40" s="20">
        <v>0</v>
      </c>
      <c r="CJ40" s="20">
        <v>0</v>
      </c>
      <c r="CK40" s="20" t="str">
        <v/>
      </c>
      <c r="CL40" s="20" t="str">
        <v/>
      </c>
      <c r="CN40" s="20">
        <v>0</v>
      </c>
      <c r="CO40" s="20">
        <v>0</v>
      </c>
      <c r="CP40" s="20">
        <v>0</v>
      </c>
      <c r="CQ40" s="20">
        <v>0</v>
      </c>
      <c r="CR40" s="20">
        <v>0</v>
      </c>
      <c r="CS40" s="20">
        <v>0</v>
      </c>
      <c r="CT40" s="20">
        <v>0</v>
      </c>
      <c r="CU40" s="20">
        <v>0</v>
      </c>
      <c r="CV40" s="20">
        <v>0</v>
      </c>
      <c r="CW40" s="20">
        <v>0</v>
      </c>
      <c r="CX40" s="20">
        <v>0</v>
      </c>
      <c r="CY40" s="20">
        <v>0</v>
      </c>
      <c r="CZ40" s="20">
        <v>0</v>
      </c>
      <c r="DA40" s="19">
        <v>0</v>
      </c>
      <c r="DB40" s="20">
        <v>0</v>
      </c>
      <c r="DC40" s="25">
        <v>0</v>
      </c>
      <c r="DD40" s="20">
        <v>0</v>
      </c>
      <c r="DE40" s="20">
        <v>0</v>
      </c>
      <c r="DF40" s="20">
        <v>0</v>
      </c>
      <c r="DG40" s="20">
        <v>0</v>
      </c>
      <c r="DH40" s="20">
        <v>0</v>
      </c>
      <c r="DI40" s="20">
        <v>0</v>
      </c>
    </row>
    <row r="41" spans="1:113">
      <c r="A41" s="20" t="str">
        <v>00:00:00</v>
      </c>
      <c r="B41" s="19">
        <v>0</v>
      </c>
      <c r="C41" s="21">
        <v>0</v>
      </c>
      <c r="D41" s="20" t="str">
        <v>未匹配</v>
      </c>
      <c r="E41" s="20">
        <v>0</v>
      </c>
      <c r="I41" s="20" t="str">
        <v/>
      </c>
      <c r="J41" s="20">
        <v>0</v>
      </c>
      <c r="K41" s="22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E41" s="20" t="str">
        <v/>
      </c>
      <c r="AF41" s="20">
        <v>0</v>
      </c>
      <c r="AG41" s="22" t="e">
        <v>#VALUE!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0</v>
      </c>
      <c r="AY41" s="20">
        <v>0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0">
        <v>0</v>
      </c>
      <c r="BF41" s="20">
        <v>0</v>
      </c>
      <c r="BG41" s="20">
        <v>0</v>
      </c>
      <c r="BH41" s="20">
        <v>0</v>
      </c>
      <c r="BI41" s="20">
        <v>0</v>
      </c>
      <c r="BJ41" s="20">
        <v>0</v>
      </c>
      <c r="BK41" s="20">
        <v>0</v>
      </c>
      <c r="BL41" s="20">
        <v>0</v>
      </c>
      <c r="BM41" s="20">
        <v>0</v>
      </c>
      <c r="BN41" s="22">
        <v>0</v>
      </c>
      <c r="BO41" s="22">
        <v>0</v>
      </c>
      <c r="BP41" s="22">
        <v>0</v>
      </c>
      <c r="BR41" s="20" t="str">
        <v/>
      </c>
      <c r="BS41" s="23"/>
      <c r="BT41" s="23"/>
      <c r="BV41" s="23"/>
      <c r="BW41" s="23"/>
      <c r="BX41" s="23"/>
      <c r="BY41" s="45"/>
      <c r="CA41" s="45"/>
      <c r="CH41" s="20">
        <v>0</v>
      </c>
      <c r="CI41" s="20">
        <v>0</v>
      </c>
      <c r="CJ41" s="20">
        <v>0</v>
      </c>
      <c r="CK41" s="20" t="str">
        <v/>
      </c>
      <c r="CL41" s="20" t="str">
        <v/>
      </c>
      <c r="CN41" s="20">
        <v>0</v>
      </c>
      <c r="CO41" s="20">
        <v>0</v>
      </c>
      <c r="CP41" s="20">
        <v>0</v>
      </c>
      <c r="CQ41" s="20">
        <v>0</v>
      </c>
      <c r="CR41" s="20">
        <v>0</v>
      </c>
      <c r="CS41" s="20">
        <v>0</v>
      </c>
      <c r="CT41" s="20">
        <v>0</v>
      </c>
      <c r="CU41" s="20">
        <v>0</v>
      </c>
      <c r="CV41" s="20">
        <v>0</v>
      </c>
      <c r="CW41" s="20">
        <v>0</v>
      </c>
      <c r="CX41" s="20">
        <v>0</v>
      </c>
      <c r="CY41" s="20">
        <v>0</v>
      </c>
      <c r="CZ41" s="20">
        <v>0</v>
      </c>
      <c r="DA41" s="19">
        <v>0</v>
      </c>
      <c r="DB41" s="20">
        <v>0</v>
      </c>
      <c r="DC41" s="25">
        <v>0</v>
      </c>
      <c r="DD41" s="20">
        <v>0</v>
      </c>
      <c r="DE41" s="20">
        <v>0</v>
      </c>
      <c r="DF41" s="20">
        <v>0</v>
      </c>
      <c r="DG41" s="20">
        <v>0</v>
      </c>
      <c r="DH41" s="20">
        <v>0</v>
      </c>
      <c r="DI41" s="20">
        <v>0</v>
      </c>
    </row>
    <row r="42" spans="1:113">
      <c r="A42" s="20" t="str">
        <v>00:00:00</v>
      </c>
      <c r="B42" s="19">
        <v>0</v>
      </c>
      <c r="C42" s="21">
        <v>0</v>
      </c>
      <c r="D42" s="20" t="str">
        <v>未匹配</v>
      </c>
      <c r="E42" s="20">
        <v>0</v>
      </c>
      <c r="I42" s="20" t="str">
        <v/>
      </c>
      <c r="J42" s="20">
        <v>0</v>
      </c>
      <c r="K42" s="22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E42" s="20" t="str">
        <v/>
      </c>
      <c r="AF42" s="20">
        <v>0</v>
      </c>
      <c r="AG42" s="22" t="e">
        <v>#VALUE!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  <c r="BK42" s="20">
        <v>0</v>
      </c>
      <c r="BL42" s="20">
        <v>0</v>
      </c>
      <c r="BM42" s="20">
        <v>0</v>
      </c>
      <c r="BN42" s="22">
        <v>0</v>
      </c>
      <c r="BO42" s="22">
        <v>0</v>
      </c>
      <c r="BP42" s="22">
        <v>0</v>
      </c>
      <c r="BR42" s="20" t="str">
        <v/>
      </c>
      <c r="BS42" s="23"/>
      <c r="BT42" s="23"/>
      <c r="BV42" s="23"/>
      <c r="BW42" s="23"/>
      <c r="BX42" s="23"/>
      <c r="BY42" s="45"/>
      <c r="CA42" s="45"/>
      <c r="CH42" s="20">
        <v>0</v>
      </c>
      <c r="CI42" s="20">
        <v>0</v>
      </c>
      <c r="CJ42" s="20">
        <v>0</v>
      </c>
      <c r="CK42" s="20" t="str">
        <v/>
      </c>
      <c r="CL42" s="20" t="str">
        <v/>
      </c>
      <c r="CN42" s="20">
        <v>0</v>
      </c>
      <c r="CO42" s="20">
        <v>0</v>
      </c>
      <c r="CP42" s="20">
        <v>0</v>
      </c>
      <c r="CQ42" s="20">
        <v>0</v>
      </c>
      <c r="CR42" s="20">
        <v>0</v>
      </c>
      <c r="CS42" s="20">
        <v>0</v>
      </c>
      <c r="CT42" s="20">
        <v>0</v>
      </c>
      <c r="CU42" s="20">
        <v>0</v>
      </c>
      <c r="CV42" s="20">
        <v>0</v>
      </c>
      <c r="CW42" s="20">
        <v>0</v>
      </c>
      <c r="CX42" s="20">
        <v>0</v>
      </c>
      <c r="CY42" s="20">
        <v>0</v>
      </c>
      <c r="CZ42" s="20">
        <v>0</v>
      </c>
      <c r="DA42" s="19">
        <v>0</v>
      </c>
      <c r="DB42" s="20">
        <v>0</v>
      </c>
      <c r="DC42" s="25">
        <v>0</v>
      </c>
      <c r="DD42" s="20">
        <v>0</v>
      </c>
      <c r="DE42" s="20">
        <v>0</v>
      </c>
      <c r="DF42" s="20">
        <v>0</v>
      </c>
      <c r="DG42" s="20">
        <v>0</v>
      </c>
      <c r="DH42" s="20">
        <v>0</v>
      </c>
      <c r="DI42" s="20">
        <v>0</v>
      </c>
    </row>
    <row r="43" spans="1:113">
      <c r="A43" s="20" t="str">
        <v>00:00:00</v>
      </c>
      <c r="B43" s="19">
        <v>0</v>
      </c>
      <c r="C43" s="21">
        <v>0</v>
      </c>
      <c r="D43" s="20" t="str">
        <v>未匹配</v>
      </c>
      <c r="E43" s="20">
        <v>0</v>
      </c>
      <c r="I43" s="20" t="str">
        <v/>
      </c>
      <c r="J43" s="20">
        <v>0</v>
      </c>
      <c r="K43" s="22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E43" s="20" t="str">
        <v/>
      </c>
      <c r="AF43" s="20">
        <v>0</v>
      </c>
      <c r="AG43" s="22" t="e">
        <v>#VALUE!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0</v>
      </c>
      <c r="BA43" s="20">
        <v>0</v>
      </c>
      <c r="BB43" s="20">
        <v>0</v>
      </c>
      <c r="BC43" s="20">
        <v>0</v>
      </c>
      <c r="BD43" s="20">
        <v>0</v>
      </c>
      <c r="BE43" s="20">
        <v>0</v>
      </c>
      <c r="BF43" s="20">
        <v>0</v>
      </c>
      <c r="BG43" s="20">
        <v>0</v>
      </c>
      <c r="BH43" s="20">
        <v>0</v>
      </c>
      <c r="BI43" s="20">
        <v>0</v>
      </c>
      <c r="BJ43" s="20">
        <v>0</v>
      </c>
      <c r="BK43" s="20">
        <v>0</v>
      </c>
      <c r="BL43" s="20">
        <v>0</v>
      </c>
      <c r="BM43" s="20">
        <v>0</v>
      </c>
      <c r="BN43" s="22">
        <v>0</v>
      </c>
      <c r="BO43" s="22">
        <v>0</v>
      </c>
      <c r="BP43" s="22">
        <v>0</v>
      </c>
      <c r="BR43" s="20" t="str">
        <v/>
      </c>
      <c r="BS43" s="23"/>
      <c r="BT43" s="23"/>
      <c r="BV43" s="23"/>
      <c r="BW43" s="23"/>
      <c r="BX43" s="23"/>
      <c r="BY43" s="45"/>
      <c r="CA43" s="45"/>
      <c r="CH43" s="20">
        <v>0</v>
      </c>
      <c r="CI43" s="20">
        <v>0</v>
      </c>
      <c r="CJ43" s="20">
        <v>0</v>
      </c>
      <c r="CK43" s="20" t="str">
        <v/>
      </c>
      <c r="CL43" s="20" t="str">
        <v/>
      </c>
      <c r="CN43" s="20">
        <v>0</v>
      </c>
      <c r="CO43" s="20">
        <v>0</v>
      </c>
      <c r="CP43" s="20">
        <v>0</v>
      </c>
      <c r="CQ43" s="20">
        <v>0</v>
      </c>
      <c r="CR43" s="20">
        <v>0</v>
      </c>
      <c r="CS43" s="20">
        <v>0</v>
      </c>
      <c r="CT43" s="20">
        <v>0</v>
      </c>
      <c r="CU43" s="20">
        <v>0</v>
      </c>
      <c r="CV43" s="20">
        <v>0</v>
      </c>
      <c r="CW43" s="20">
        <v>0</v>
      </c>
      <c r="CX43" s="20">
        <v>0</v>
      </c>
      <c r="CY43" s="20">
        <v>0</v>
      </c>
      <c r="CZ43" s="20">
        <v>0</v>
      </c>
      <c r="DA43" s="19">
        <v>0</v>
      </c>
      <c r="DB43" s="20">
        <v>0</v>
      </c>
      <c r="DC43" s="25">
        <v>0</v>
      </c>
      <c r="DD43" s="20">
        <v>0</v>
      </c>
      <c r="DE43" s="20">
        <v>0</v>
      </c>
      <c r="DF43" s="20">
        <v>0</v>
      </c>
      <c r="DG43" s="20">
        <v>0</v>
      </c>
      <c r="DH43" s="20">
        <v>0</v>
      </c>
      <c r="DI43" s="20">
        <v>0</v>
      </c>
    </row>
    <row r="44" spans="1:113">
      <c r="A44" s="20" t="str">
        <v>00:00:00</v>
      </c>
      <c r="B44" s="19">
        <v>0</v>
      </c>
      <c r="C44" s="21">
        <v>0</v>
      </c>
      <c r="D44" s="20" t="str">
        <v>未匹配</v>
      </c>
      <c r="E44" s="20">
        <v>0</v>
      </c>
      <c r="I44" s="20" t="str">
        <v/>
      </c>
      <c r="J44" s="20">
        <v>0</v>
      </c>
      <c r="K44" s="22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E44" s="20" t="str">
        <v/>
      </c>
      <c r="AF44" s="20">
        <v>0</v>
      </c>
      <c r="AG44" s="22" t="e">
        <v>#VALUE!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</v>
      </c>
      <c r="AZ44" s="20">
        <v>0</v>
      </c>
      <c r="BA44" s="20">
        <v>0</v>
      </c>
      <c r="BB44" s="20">
        <v>0</v>
      </c>
      <c r="BC44" s="20">
        <v>0</v>
      </c>
      <c r="BD44" s="20">
        <v>0</v>
      </c>
      <c r="BE44" s="20">
        <v>0</v>
      </c>
      <c r="BF44" s="20">
        <v>0</v>
      </c>
      <c r="BG44" s="20">
        <v>0</v>
      </c>
      <c r="BH44" s="20">
        <v>0</v>
      </c>
      <c r="BI44" s="20">
        <v>0</v>
      </c>
      <c r="BJ44" s="20">
        <v>0</v>
      </c>
      <c r="BK44" s="20">
        <v>0</v>
      </c>
      <c r="BL44" s="20">
        <v>0</v>
      </c>
      <c r="BM44" s="20">
        <v>0</v>
      </c>
      <c r="BN44" s="22">
        <v>0</v>
      </c>
      <c r="BO44" s="22">
        <v>0</v>
      </c>
      <c r="BP44" s="22">
        <v>0</v>
      </c>
      <c r="BR44" s="20" t="str">
        <v/>
      </c>
      <c r="BS44" s="23"/>
      <c r="BT44" s="23"/>
      <c r="BV44" s="23"/>
      <c r="BW44" s="23"/>
      <c r="BX44" s="23"/>
      <c r="BY44" s="45"/>
      <c r="CA44" s="45"/>
      <c r="CH44" s="20">
        <v>0</v>
      </c>
      <c r="CI44" s="20">
        <v>0</v>
      </c>
      <c r="CJ44" s="20">
        <v>0</v>
      </c>
      <c r="CK44" s="20" t="str">
        <v/>
      </c>
      <c r="CL44" s="20" t="str">
        <v/>
      </c>
      <c r="CN44" s="20">
        <v>0</v>
      </c>
      <c r="CO44" s="20">
        <v>0</v>
      </c>
      <c r="CP44" s="20">
        <v>0</v>
      </c>
      <c r="CQ44" s="20">
        <v>0</v>
      </c>
      <c r="CR44" s="20">
        <v>0</v>
      </c>
      <c r="CS44" s="20">
        <v>0</v>
      </c>
      <c r="CT44" s="20">
        <v>0</v>
      </c>
      <c r="CU44" s="20">
        <v>0</v>
      </c>
      <c r="CV44" s="20">
        <v>0</v>
      </c>
      <c r="CW44" s="20">
        <v>0</v>
      </c>
      <c r="CX44" s="20">
        <v>0</v>
      </c>
      <c r="CY44" s="20">
        <v>0</v>
      </c>
      <c r="CZ44" s="20">
        <v>0</v>
      </c>
      <c r="DA44" s="19">
        <v>0</v>
      </c>
      <c r="DB44" s="20">
        <v>0</v>
      </c>
      <c r="DC44" s="25">
        <v>0</v>
      </c>
      <c r="DD44" s="20">
        <v>0</v>
      </c>
      <c r="DE44" s="20">
        <v>0</v>
      </c>
      <c r="DF44" s="20">
        <v>0</v>
      </c>
      <c r="DG44" s="20">
        <v>0</v>
      </c>
      <c r="DH44" s="20">
        <v>0</v>
      </c>
      <c r="DI44" s="20">
        <v>0</v>
      </c>
    </row>
    <row r="45" spans="1:113">
      <c r="A45" s="20" t="str">
        <v>00:00:00</v>
      </c>
      <c r="B45" s="19">
        <v>0</v>
      </c>
      <c r="C45" s="21">
        <v>0</v>
      </c>
      <c r="D45" s="20" t="str">
        <v>未匹配</v>
      </c>
      <c r="E45" s="20">
        <v>0</v>
      </c>
      <c r="I45" s="20" t="str">
        <v/>
      </c>
      <c r="J45" s="20">
        <v>0</v>
      </c>
      <c r="K45" s="22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E45" s="20" t="str">
        <v/>
      </c>
      <c r="AF45" s="20">
        <v>0</v>
      </c>
      <c r="AG45" s="22" t="e">
        <v>#VALUE!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0">
        <v>0</v>
      </c>
      <c r="BC45" s="20">
        <v>0</v>
      </c>
      <c r="BD45" s="20">
        <v>0</v>
      </c>
      <c r="BE45" s="20">
        <v>0</v>
      </c>
      <c r="BF45" s="20">
        <v>0</v>
      </c>
      <c r="BG45" s="20">
        <v>0</v>
      </c>
      <c r="BH45" s="20">
        <v>0</v>
      </c>
      <c r="BI45" s="20">
        <v>0</v>
      </c>
      <c r="BJ45" s="20">
        <v>0</v>
      </c>
      <c r="BK45" s="20">
        <v>0</v>
      </c>
      <c r="BL45" s="20">
        <v>0</v>
      </c>
      <c r="BM45" s="20">
        <v>0</v>
      </c>
      <c r="BN45" s="22">
        <v>0</v>
      </c>
      <c r="BO45" s="22">
        <v>0</v>
      </c>
      <c r="BP45" s="22">
        <v>0</v>
      </c>
      <c r="BR45" s="20" t="str">
        <v/>
      </c>
      <c r="BS45" s="23"/>
      <c r="BT45" s="23"/>
      <c r="BV45" s="23"/>
      <c r="BW45" s="23"/>
      <c r="BX45" s="23"/>
      <c r="BY45" s="45"/>
      <c r="CA45" s="45"/>
      <c r="CH45" s="20">
        <v>0</v>
      </c>
      <c r="CI45" s="20">
        <v>0</v>
      </c>
      <c r="CJ45" s="20">
        <v>0</v>
      </c>
      <c r="CK45" s="20" t="str">
        <v/>
      </c>
      <c r="CL45" s="20" t="str">
        <v/>
      </c>
      <c r="CN45" s="20">
        <v>0</v>
      </c>
      <c r="CO45" s="20">
        <v>0</v>
      </c>
      <c r="CP45" s="20">
        <v>0</v>
      </c>
      <c r="CQ45" s="20">
        <v>0</v>
      </c>
      <c r="CR45" s="20">
        <v>0</v>
      </c>
      <c r="CS45" s="20">
        <v>0</v>
      </c>
      <c r="CT45" s="20">
        <v>0</v>
      </c>
      <c r="CU45" s="20">
        <v>0</v>
      </c>
      <c r="CV45" s="20">
        <v>0</v>
      </c>
      <c r="CW45" s="20">
        <v>0</v>
      </c>
      <c r="CX45" s="20">
        <v>0</v>
      </c>
      <c r="CY45" s="20">
        <v>0</v>
      </c>
      <c r="CZ45" s="20">
        <v>0</v>
      </c>
      <c r="DA45" s="19">
        <v>0</v>
      </c>
      <c r="DB45" s="20">
        <v>0</v>
      </c>
      <c r="DC45" s="25">
        <v>0</v>
      </c>
      <c r="DD45" s="20">
        <v>0</v>
      </c>
      <c r="DE45" s="20">
        <v>0</v>
      </c>
      <c r="DF45" s="20">
        <v>0</v>
      </c>
      <c r="DG45" s="20">
        <v>0</v>
      </c>
      <c r="DH45" s="20">
        <v>0</v>
      </c>
      <c r="DI45" s="20">
        <v>0</v>
      </c>
    </row>
    <row r="46" spans="1:113">
      <c r="A46" s="20" t="str">
        <v>00:00:00</v>
      </c>
      <c r="B46" s="19">
        <v>0</v>
      </c>
      <c r="C46" s="21">
        <v>0</v>
      </c>
      <c r="D46" s="20" t="str">
        <v>未匹配</v>
      </c>
      <c r="E46" s="20">
        <v>0</v>
      </c>
      <c r="I46" s="20" t="str">
        <v/>
      </c>
      <c r="J46" s="20">
        <v>0</v>
      </c>
      <c r="K46" s="22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E46" s="20" t="str">
        <v/>
      </c>
      <c r="AF46" s="20">
        <v>0</v>
      </c>
      <c r="AG46" s="22" t="e">
        <v>#VALUE!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20">
        <v>0</v>
      </c>
      <c r="BE46" s="20">
        <v>0</v>
      </c>
      <c r="BF46" s="20">
        <v>0</v>
      </c>
      <c r="BG46" s="20">
        <v>0</v>
      </c>
      <c r="BH46" s="20">
        <v>0</v>
      </c>
      <c r="BI46" s="20">
        <v>0</v>
      </c>
      <c r="BJ46" s="20">
        <v>0</v>
      </c>
      <c r="BK46" s="20">
        <v>0</v>
      </c>
      <c r="BL46" s="20">
        <v>0</v>
      </c>
      <c r="BM46" s="20">
        <v>0</v>
      </c>
      <c r="BN46" s="22">
        <v>0</v>
      </c>
      <c r="BO46" s="22">
        <v>0</v>
      </c>
      <c r="BP46" s="22">
        <v>0</v>
      </c>
      <c r="BR46" s="20" t="str">
        <v/>
      </c>
      <c r="BS46" s="23"/>
      <c r="BT46" s="23"/>
      <c r="BV46" s="23"/>
      <c r="BW46" s="23"/>
      <c r="BX46" s="23"/>
      <c r="BY46" s="45"/>
      <c r="CA46" s="45"/>
      <c r="CH46" s="20">
        <v>0</v>
      </c>
      <c r="CI46" s="20">
        <v>0</v>
      </c>
      <c r="CJ46" s="20">
        <v>0</v>
      </c>
      <c r="CK46" s="20" t="str">
        <v/>
      </c>
      <c r="CL46" s="20" t="str">
        <v/>
      </c>
      <c r="CN46" s="20">
        <v>0</v>
      </c>
      <c r="CO46" s="20">
        <v>0</v>
      </c>
      <c r="CP46" s="20">
        <v>0</v>
      </c>
      <c r="CQ46" s="20">
        <v>0</v>
      </c>
      <c r="CR46" s="20">
        <v>0</v>
      </c>
      <c r="CS46" s="20">
        <v>0</v>
      </c>
      <c r="CT46" s="20">
        <v>0</v>
      </c>
      <c r="CU46" s="20">
        <v>0</v>
      </c>
      <c r="CV46" s="20">
        <v>0</v>
      </c>
      <c r="CW46" s="20">
        <v>0</v>
      </c>
      <c r="CX46" s="20">
        <v>0</v>
      </c>
      <c r="CY46" s="20">
        <v>0</v>
      </c>
      <c r="CZ46" s="20">
        <v>0</v>
      </c>
      <c r="DA46" s="19">
        <v>0</v>
      </c>
      <c r="DB46" s="20">
        <v>0</v>
      </c>
      <c r="DC46" s="25">
        <v>0</v>
      </c>
      <c r="DD46" s="20">
        <v>0</v>
      </c>
      <c r="DE46" s="20">
        <v>0</v>
      </c>
      <c r="DF46" s="20">
        <v>0</v>
      </c>
      <c r="DG46" s="20">
        <v>0</v>
      </c>
      <c r="DH46" s="20">
        <v>0</v>
      </c>
      <c r="DI46" s="20">
        <v>0</v>
      </c>
    </row>
    <row r="47" spans="1:113">
      <c r="A47" s="20" t="str">
        <v>00:00:00</v>
      </c>
      <c r="B47" s="19">
        <v>0</v>
      </c>
      <c r="C47" s="21">
        <v>0</v>
      </c>
      <c r="D47" s="20" t="str">
        <v>未匹配</v>
      </c>
      <c r="E47" s="20">
        <v>0</v>
      </c>
      <c r="I47" s="20" t="str">
        <v/>
      </c>
      <c r="J47" s="20">
        <v>0</v>
      </c>
      <c r="K47" s="22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E47" s="20" t="str">
        <v/>
      </c>
      <c r="AF47" s="20">
        <v>0</v>
      </c>
      <c r="AG47" s="22" t="e">
        <v>#VALUE!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0</v>
      </c>
      <c r="AT47" s="20">
        <v>0</v>
      </c>
      <c r="AU47" s="20">
        <v>0</v>
      </c>
      <c r="AV47" s="20">
        <v>0</v>
      </c>
      <c r="AW47" s="20">
        <v>0</v>
      </c>
      <c r="AX47" s="20">
        <v>0</v>
      </c>
      <c r="AY47" s="20">
        <v>0</v>
      </c>
      <c r="AZ47" s="20">
        <v>0</v>
      </c>
      <c r="BA47" s="20">
        <v>0</v>
      </c>
      <c r="BB47" s="20">
        <v>0</v>
      </c>
      <c r="BC47" s="20">
        <v>0</v>
      </c>
      <c r="BD47" s="20">
        <v>0</v>
      </c>
      <c r="BE47" s="20">
        <v>0</v>
      </c>
      <c r="BF47" s="20">
        <v>0</v>
      </c>
      <c r="BG47" s="20">
        <v>0</v>
      </c>
      <c r="BH47" s="20">
        <v>0</v>
      </c>
      <c r="BI47" s="20">
        <v>0</v>
      </c>
      <c r="BJ47" s="20">
        <v>0</v>
      </c>
      <c r="BK47" s="20">
        <v>0</v>
      </c>
      <c r="BL47" s="20">
        <v>0</v>
      </c>
      <c r="BM47" s="20">
        <v>0</v>
      </c>
      <c r="BN47" s="22">
        <v>0</v>
      </c>
      <c r="BO47" s="22">
        <v>0</v>
      </c>
      <c r="BP47" s="22">
        <v>0</v>
      </c>
      <c r="BR47" s="20" t="str">
        <v/>
      </c>
      <c r="BS47" s="23"/>
      <c r="BT47" s="23"/>
      <c r="BV47" s="23"/>
      <c r="BW47" s="23"/>
      <c r="BX47" s="23"/>
      <c r="BY47" s="45"/>
      <c r="CA47" s="45"/>
      <c r="CH47" s="20">
        <v>0</v>
      </c>
      <c r="CI47" s="20">
        <v>0</v>
      </c>
      <c r="CJ47" s="20">
        <v>0</v>
      </c>
      <c r="CK47" s="20" t="str">
        <v/>
      </c>
      <c r="CL47" s="20" t="str">
        <v/>
      </c>
      <c r="CN47" s="20">
        <v>0</v>
      </c>
      <c r="CO47" s="20">
        <v>0</v>
      </c>
      <c r="CP47" s="20">
        <v>0</v>
      </c>
      <c r="CQ47" s="20">
        <v>0</v>
      </c>
      <c r="CR47" s="20">
        <v>0</v>
      </c>
      <c r="CS47" s="20">
        <v>0</v>
      </c>
      <c r="CT47" s="20">
        <v>0</v>
      </c>
      <c r="CU47" s="20">
        <v>0</v>
      </c>
      <c r="CV47" s="20">
        <v>0</v>
      </c>
      <c r="CW47" s="20">
        <v>0</v>
      </c>
      <c r="CX47" s="20">
        <v>0</v>
      </c>
      <c r="CY47" s="20">
        <v>0</v>
      </c>
      <c r="CZ47" s="20">
        <v>0</v>
      </c>
      <c r="DA47" s="19">
        <v>0</v>
      </c>
      <c r="DB47" s="20">
        <v>0</v>
      </c>
      <c r="DC47" s="25">
        <v>0</v>
      </c>
      <c r="DD47" s="20">
        <v>0</v>
      </c>
      <c r="DE47" s="20">
        <v>0</v>
      </c>
      <c r="DF47" s="20">
        <v>0</v>
      </c>
      <c r="DG47" s="20">
        <v>0</v>
      </c>
      <c r="DH47" s="20">
        <v>0</v>
      </c>
      <c r="DI47" s="20">
        <v>0</v>
      </c>
    </row>
    <row r="48" spans="1:113">
      <c r="A48" s="20" t="str">
        <v>00:00:00</v>
      </c>
      <c r="B48" s="19">
        <v>0</v>
      </c>
      <c r="C48" s="21">
        <v>0</v>
      </c>
      <c r="D48" s="20" t="str">
        <v>未匹配</v>
      </c>
      <c r="E48" s="20">
        <v>0</v>
      </c>
      <c r="I48" s="20" t="str">
        <v/>
      </c>
      <c r="J48" s="20">
        <v>0</v>
      </c>
      <c r="K48" s="22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E48" s="20" t="str">
        <v/>
      </c>
      <c r="AF48" s="20">
        <v>0</v>
      </c>
      <c r="AG48" s="22" t="e">
        <v>#VALUE!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>
        <v>0</v>
      </c>
      <c r="BE48" s="20">
        <v>0</v>
      </c>
      <c r="BF48" s="20">
        <v>0</v>
      </c>
      <c r="BG48" s="20">
        <v>0</v>
      </c>
      <c r="BH48" s="20">
        <v>0</v>
      </c>
      <c r="BI48" s="20">
        <v>0</v>
      </c>
      <c r="BJ48" s="20">
        <v>0</v>
      </c>
      <c r="BK48" s="20">
        <v>0</v>
      </c>
      <c r="BL48" s="20">
        <v>0</v>
      </c>
      <c r="BM48" s="20">
        <v>0</v>
      </c>
      <c r="BN48" s="22">
        <v>0</v>
      </c>
      <c r="BO48" s="22">
        <v>0</v>
      </c>
      <c r="BP48" s="22">
        <v>0</v>
      </c>
      <c r="BR48" s="20" t="str">
        <v/>
      </c>
      <c r="BS48" s="23"/>
      <c r="BT48" s="23"/>
      <c r="BV48" s="23"/>
      <c r="BW48" s="23"/>
      <c r="BX48" s="23"/>
      <c r="BY48" s="45"/>
      <c r="CA48" s="45"/>
      <c r="CH48" s="20">
        <v>0</v>
      </c>
      <c r="CI48" s="20">
        <v>0</v>
      </c>
      <c r="CJ48" s="20">
        <v>0</v>
      </c>
      <c r="CK48" s="20" t="str">
        <v/>
      </c>
      <c r="CL48" s="20" t="str">
        <v/>
      </c>
      <c r="CN48" s="20">
        <v>0</v>
      </c>
      <c r="CO48" s="20">
        <v>0</v>
      </c>
      <c r="CP48" s="20">
        <v>0</v>
      </c>
      <c r="CQ48" s="20">
        <v>0</v>
      </c>
      <c r="CR48" s="20">
        <v>0</v>
      </c>
      <c r="CS48" s="20">
        <v>0</v>
      </c>
      <c r="CT48" s="20">
        <v>0</v>
      </c>
      <c r="CU48" s="20">
        <v>0</v>
      </c>
      <c r="CV48" s="20">
        <v>0</v>
      </c>
      <c r="CW48" s="20">
        <v>0</v>
      </c>
      <c r="CX48" s="20">
        <v>0</v>
      </c>
      <c r="CY48" s="20">
        <v>0</v>
      </c>
      <c r="CZ48" s="20">
        <v>0</v>
      </c>
      <c r="DA48" s="19">
        <v>0</v>
      </c>
      <c r="DB48" s="20">
        <v>0</v>
      </c>
      <c r="DC48" s="25">
        <v>0</v>
      </c>
      <c r="DD48" s="20">
        <v>0</v>
      </c>
      <c r="DE48" s="20">
        <v>0</v>
      </c>
      <c r="DF48" s="20">
        <v>0</v>
      </c>
      <c r="DG48" s="20">
        <v>0</v>
      </c>
      <c r="DH48" s="20">
        <v>0</v>
      </c>
      <c r="DI48" s="20">
        <v>0</v>
      </c>
    </row>
    <row r="49" spans="1:113">
      <c r="A49" s="20" t="str">
        <v>00:00:00</v>
      </c>
      <c r="B49" s="19">
        <v>0</v>
      </c>
      <c r="C49" s="21">
        <v>0</v>
      </c>
      <c r="D49" s="20" t="str">
        <v>未匹配</v>
      </c>
      <c r="E49" s="20">
        <v>0</v>
      </c>
      <c r="I49" s="20" t="str">
        <v/>
      </c>
      <c r="J49" s="20">
        <v>0</v>
      </c>
      <c r="K49" s="22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E49" s="20" t="str">
        <v/>
      </c>
      <c r="AF49" s="20">
        <v>0</v>
      </c>
      <c r="AG49" s="22" t="e">
        <v>#VALUE!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0</v>
      </c>
      <c r="AX49" s="20">
        <v>0</v>
      </c>
      <c r="AY49" s="20">
        <v>0</v>
      </c>
      <c r="AZ49" s="20">
        <v>0</v>
      </c>
      <c r="BA49" s="20">
        <v>0</v>
      </c>
      <c r="BB49" s="20">
        <v>0</v>
      </c>
      <c r="BC49" s="20">
        <v>0</v>
      </c>
      <c r="BD49" s="20">
        <v>0</v>
      </c>
      <c r="BE49" s="20">
        <v>0</v>
      </c>
      <c r="BF49" s="20">
        <v>0</v>
      </c>
      <c r="BG49" s="20">
        <v>0</v>
      </c>
      <c r="BH49" s="20">
        <v>0</v>
      </c>
      <c r="BI49" s="20">
        <v>0</v>
      </c>
      <c r="BJ49" s="20">
        <v>0</v>
      </c>
      <c r="BK49" s="20">
        <v>0</v>
      </c>
      <c r="BL49" s="20">
        <v>0</v>
      </c>
      <c r="BM49" s="20">
        <v>0</v>
      </c>
      <c r="BN49" s="22">
        <v>0</v>
      </c>
      <c r="BO49" s="22">
        <v>0</v>
      </c>
      <c r="BP49" s="22">
        <v>0</v>
      </c>
      <c r="BR49" s="20" t="str">
        <v/>
      </c>
      <c r="BS49" s="23"/>
      <c r="BT49" s="23"/>
      <c r="BV49" s="23"/>
      <c r="BW49" s="23"/>
      <c r="BX49" s="23"/>
      <c r="BY49" s="45"/>
      <c r="CA49" s="45"/>
      <c r="CH49" s="20">
        <v>0</v>
      </c>
      <c r="CI49" s="20">
        <v>0</v>
      </c>
      <c r="CJ49" s="20">
        <v>0</v>
      </c>
      <c r="CK49" s="20" t="str">
        <v/>
      </c>
      <c r="CL49" s="20" t="str">
        <v/>
      </c>
      <c r="CN49" s="20">
        <v>0</v>
      </c>
      <c r="CO49" s="20">
        <v>0</v>
      </c>
      <c r="CP49" s="20">
        <v>0</v>
      </c>
      <c r="CQ49" s="20">
        <v>0</v>
      </c>
      <c r="CR49" s="20">
        <v>0</v>
      </c>
      <c r="CS49" s="20">
        <v>0</v>
      </c>
      <c r="CT49" s="20">
        <v>0</v>
      </c>
      <c r="CU49" s="20">
        <v>0</v>
      </c>
      <c r="CV49" s="20">
        <v>0</v>
      </c>
      <c r="CW49" s="20">
        <v>0</v>
      </c>
      <c r="CX49" s="20">
        <v>0</v>
      </c>
      <c r="CY49" s="20">
        <v>0</v>
      </c>
      <c r="CZ49" s="20">
        <v>0</v>
      </c>
      <c r="DA49" s="19">
        <v>0</v>
      </c>
      <c r="DB49" s="20">
        <v>0</v>
      </c>
      <c r="DC49" s="25">
        <v>0</v>
      </c>
      <c r="DD49" s="20">
        <v>0</v>
      </c>
      <c r="DE49" s="20">
        <v>0</v>
      </c>
      <c r="DF49" s="20">
        <v>0</v>
      </c>
      <c r="DG49" s="20">
        <v>0</v>
      </c>
      <c r="DH49" s="20">
        <v>0</v>
      </c>
      <c r="DI49" s="20">
        <v>0</v>
      </c>
    </row>
    <row r="50" spans="1:113">
      <c r="A50" s="20" t="str">
        <v>00:00:00</v>
      </c>
      <c r="B50" s="19">
        <v>0</v>
      </c>
      <c r="C50" s="21">
        <v>0</v>
      </c>
      <c r="D50" s="20" t="str">
        <v>未匹配</v>
      </c>
      <c r="E50" s="20">
        <v>0</v>
      </c>
      <c r="I50" s="20" t="str">
        <v/>
      </c>
      <c r="J50" s="20">
        <v>0</v>
      </c>
      <c r="K50" s="22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  <c r="AE50" s="20" t="str">
        <v/>
      </c>
      <c r="AF50" s="20">
        <v>0</v>
      </c>
      <c r="AG50" s="22" t="e">
        <v>#VALUE!</v>
      </c>
      <c r="AI50" s="20">
        <v>0</v>
      </c>
      <c r="AJ50" s="20">
        <v>0</v>
      </c>
      <c r="AK50" s="20">
        <v>0</v>
      </c>
      <c r="AL50" s="20">
        <v>0</v>
      </c>
      <c r="AM50" s="20">
        <v>0</v>
      </c>
      <c r="AN50" s="20">
        <v>0</v>
      </c>
      <c r="AO50" s="20">
        <v>0</v>
      </c>
      <c r="AP50" s="20">
        <v>0</v>
      </c>
      <c r="AQ50" s="20">
        <v>0</v>
      </c>
      <c r="AR50" s="20">
        <v>0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0</v>
      </c>
      <c r="BK50" s="20">
        <v>0</v>
      </c>
      <c r="BL50" s="20">
        <v>0</v>
      </c>
      <c r="BM50" s="20">
        <v>0</v>
      </c>
      <c r="BN50" s="22">
        <v>0</v>
      </c>
      <c r="BO50" s="22">
        <v>0</v>
      </c>
      <c r="BP50" s="22">
        <v>0</v>
      </c>
      <c r="BR50" s="20" t="str">
        <v/>
      </c>
      <c r="BS50" s="23"/>
      <c r="BT50" s="23"/>
      <c r="BV50" s="23"/>
      <c r="BW50" s="23"/>
      <c r="BX50" s="23"/>
      <c r="BY50" s="45"/>
      <c r="CA50" s="45"/>
      <c r="CH50" s="20">
        <v>0</v>
      </c>
      <c r="CI50" s="20">
        <v>0</v>
      </c>
      <c r="CJ50" s="20">
        <v>0</v>
      </c>
      <c r="CK50" s="20" t="str">
        <v/>
      </c>
      <c r="CL50" s="20" t="str">
        <v/>
      </c>
      <c r="CN50" s="20">
        <v>0</v>
      </c>
      <c r="CO50" s="20">
        <v>0</v>
      </c>
      <c r="CP50" s="20">
        <v>0</v>
      </c>
      <c r="CQ50" s="20">
        <v>0</v>
      </c>
      <c r="CR50" s="20">
        <v>0</v>
      </c>
      <c r="CS50" s="20">
        <v>0</v>
      </c>
      <c r="CT50" s="20">
        <v>0</v>
      </c>
      <c r="CU50" s="20">
        <v>0</v>
      </c>
      <c r="CV50" s="20">
        <v>0</v>
      </c>
      <c r="CW50" s="20">
        <v>0</v>
      </c>
      <c r="CX50" s="20">
        <v>0</v>
      </c>
      <c r="CY50" s="20">
        <v>0</v>
      </c>
      <c r="CZ50" s="20">
        <v>0</v>
      </c>
      <c r="DA50" s="19">
        <v>0</v>
      </c>
      <c r="DB50" s="20">
        <v>0</v>
      </c>
      <c r="DC50" s="25">
        <v>0</v>
      </c>
      <c r="DD50" s="20">
        <v>0</v>
      </c>
      <c r="DE50" s="20">
        <v>0</v>
      </c>
      <c r="DF50" s="20">
        <v>0</v>
      </c>
      <c r="DG50" s="20">
        <v>0</v>
      </c>
      <c r="DH50" s="20">
        <v>0</v>
      </c>
      <c r="DI50" s="20">
        <v>0</v>
      </c>
    </row>
    <row r="51" spans="1:113">
      <c r="A51" s="20" t="str">
        <v>00:00:00</v>
      </c>
      <c r="B51" s="19">
        <v>0</v>
      </c>
      <c r="C51" s="21">
        <v>0</v>
      </c>
      <c r="D51" s="20" t="str">
        <v>未匹配</v>
      </c>
      <c r="E51" s="20">
        <v>0</v>
      </c>
      <c r="I51" s="20" t="str">
        <v/>
      </c>
      <c r="J51" s="20">
        <v>0</v>
      </c>
      <c r="K51" s="22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0</v>
      </c>
      <c r="AE51" s="20" t="str">
        <v/>
      </c>
      <c r="AF51" s="20">
        <v>0</v>
      </c>
      <c r="AG51" s="22" t="e">
        <v>#VALUE!</v>
      </c>
      <c r="AI51" s="20">
        <v>0</v>
      </c>
      <c r="AJ51" s="20">
        <v>0</v>
      </c>
      <c r="AK51" s="20">
        <v>0</v>
      </c>
      <c r="AL51" s="20">
        <v>0</v>
      </c>
      <c r="AM51" s="20">
        <v>0</v>
      </c>
      <c r="AN51" s="20">
        <v>0</v>
      </c>
      <c r="AO51" s="20">
        <v>0</v>
      </c>
      <c r="AP51" s="20">
        <v>0</v>
      </c>
      <c r="AQ51" s="20">
        <v>0</v>
      </c>
      <c r="AR51" s="20">
        <v>0</v>
      </c>
      <c r="AS51" s="20">
        <v>0</v>
      </c>
      <c r="AT51" s="20">
        <v>0</v>
      </c>
      <c r="AU51" s="20">
        <v>0</v>
      </c>
      <c r="AV51" s="20">
        <v>0</v>
      </c>
      <c r="AW51" s="20">
        <v>0</v>
      </c>
      <c r="AX51" s="20">
        <v>0</v>
      </c>
      <c r="AY51" s="20">
        <v>0</v>
      </c>
      <c r="AZ51" s="20">
        <v>0</v>
      </c>
      <c r="BA51" s="20">
        <v>0</v>
      </c>
      <c r="BB51" s="20">
        <v>0</v>
      </c>
      <c r="BC51" s="20">
        <v>0</v>
      </c>
      <c r="BD51" s="20">
        <v>0</v>
      </c>
      <c r="BE51" s="20">
        <v>0</v>
      </c>
      <c r="BF51" s="20">
        <v>0</v>
      </c>
      <c r="BG51" s="20">
        <v>0</v>
      </c>
      <c r="BH51" s="20">
        <v>0</v>
      </c>
      <c r="BI51" s="20">
        <v>0</v>
      </c>
      <c r="BJ51" s="20">
        <v>0</v>
      </c>
      <c r="BK51" s="20">
        <v>0</v>
      </c>
      <c r="BL51" s="20">
        <v>0</v>
      </c>
      <c r="BM51" s="20">
        <v>0</v>
      </c>
      <c r="BN51" s="22">
        <v>0</v>
      </c>
      <c r="BO51" s="22">
        <v>0</v>
      </c>
      <c r="BP51" s="22">
        <v>0</v>
      </c>
      <c r="BR51" s="20" t="str">
        <v/>
      </c>
      <c r="BS51" s="23"/>
      <c r="BT51" s="23"/>
      <c r="BV51" s="23"/>
      <c r="BW51" s="23"/>
      <c r="BX51" s="23"/>
      <c r="BY51" s="45"/>
      <c r="CA51" s="45"/>
      <c r="CH51" s="20">
        <v>0</v>
      </c>
      <c r="CI51" s="20">
        <v>0</v>
      </c>
      <c r="CJ51" s="20">
        <v>0</v>
      </c>
      <c r="CK51" s="20" t="str">
        <v/>
      </c>
      <c r="CL51" s="20" t="str">
        <v/>
      </c>
      <c r="CN51" s="20">
        <v>0</v>
      </c>
      <c r="CO51" s="20">
        <v>0</v>
      </c>
      <c r="CP51" s="20">
        <v>0</v>
      </c>
      <c r="CQ51" s="20">
        <v>0</v>
      </c>
      <c r="CR51" s="20">
        <v>0</v>
      </c>
      <c r="CS51" s="20">
        <v>0</v>
      </c>
      <c r="CT51" s="20">
        <v>0</v>
      </c>
      <c r="CU51" s="20">
        <v>0</v>
      </c>
      <c r="CV51" s="20">
        <v>0</v>
      </c>
      <c r="CW51" s="20">
        <v>0</v>
      </c>
      <c r="CX51" s="20">
        <v>0</v>
      </c>
      <c r="CY51" s="20">
        <v>0</v>
      </c>
      <c r="CZ51" s="20">
        <v>0</v>
      </c>
      <c r="DA51" s="19">
        <v>0</v>
      </c>
      <c r="DB51" s="20">
        <v>0</v>
      </c>
      <c r="DC51" s="25">
        <v>0</v>
      </c>
      <c r="DD51" s="20">
        <v>0</v>
      </c>
      <c r="DE51" s="20">
        <v>0</v>
      </c>
      <c r="DF51" s="20">
        <v>0</v>
      </c>
      <c r="DG51" s="20">
        <v>0</v>
      </c>
      <c r="DH51" s="20">
        <v>0</v>
      </c>
      <c r="DI51" s="20">
        <v>0</v>
      </c>
    </row>
    <row r="52" spans="1:113">
      <c r="A52" s="20" t="str">
        <v>00:00:00</v>
      </c>
      <c r="B52" s="19">
        <v>0</v>
      </c>
      <c r="C52" s="21">
        <v>0</v>
      </c>
      <c r="D52" s="20" t="str">
        <v>未匹配</v>
      </c>
      <c r="E52" s="20">
        <v>0</v>
      </c>
      <c r="I52" s="20" t="str">
        <v/>
      </c>
      <c r="J52" s="20">
        <v>0</v>
      </c>
      <c r="K52" s="22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E52" s="20" t="str">
        <v/>
      </c>
      <c r="AF52" s="20">
        <v>0</v>
      </c>
      <c r="AG52" s="22" t="e">
        <v>#VALUE!</v>
      </c>
      <c r="AI52" s="20">
        <v>0</v>
      </c>
      <c r="AJ52" s="20">
        <v>0</v>
      </c>
      <c r="AK52" s="20">
        <v>0</v>
      </c>
      <c r="AL52" s="20">
        <v>0</v>
      </c>
      <c r="AM52" s="20">
        <v>0</v>
      </c>
      <c r="AN52" s="20">
        <v>0</v>
      </c>
      <c r="AO52" s="20">
        <v>0</v>
      </c>
      <c r="AP52" s="20">
        <v>0</v>
      </c>
      <c r="AQ52" s="20">
        <v>0</v>
      </c>
      <c r="AR52" s="20">
        <v>0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  <c r="AX52" s="20">
        <v>0</v>
      </c>
      <c r="AY52" s="20">
        <v>0</v>
      </c>
      <c r="AZ52" s="20">
        <v>0</v>
      </c>
      <c r="BA52" s="20">
        <v>0</v>
      </c>
      <c r="BB52" s="20">
        <v>0</v>
      </c>
      <c r="BC52" s="20">
        <v>0</v>
      </c>
      <c r="BD52" s="20">
        <v>0</v>
      </c>
      <c r="BE52" s="20">
        <v>0</v>
      </c>
      <c r="BF52" s="20">
        <v>0</v>
      </c>
      <c r="BG52" s="20">
        <v>0</v>
      </c>
      <c r="BH52" s="20">
        <v>0</v>
      </c>
      <c r="BI52" s="20">
        <v>0</v>
      </c>
      <c r="BJ52" s="20">
        <v>0</v>
      </c>
      <c r="BK52" s="20">
        <v>0</v>
      </c>
      <c r="BL52" s="20">
        <v>0</v>
      </c>
      <c r="BM52" s="20">
        <v>0</v>
      </c>
      <c r="BN52" s="22">
        <v>0</v>
      </c>
      <c r="BO52" s="22">
        <v>0</v>
      </c>
      <c r="BP52" s="22">
        <v>0</v>
      </c>
      <c r="BR52" s="20" t="str">
        <v/>
      </c>
      <c r="BS52" s="23"/>
      <c r="BT52" s="23"/>
      <c r="BV52" s="23"/>
      <c r="BW52" s="23"/>
      <c r="BX52" s="23"/>
      <c r="BY52" s="45"/>
      <c r="CA52" s="45"/>
      <c r="CH52" s="20">
        <v>0</v>
      </c>
      <c r="CI52" s="20">
        <v>0</v>
      </c>
      <c r="CJ52" s="20">
        <v>0</v>
      </c>
      <c r="CK52" s="20" t="str">
        <v/>
      </c>
      <c r="CL52" s="20" t="str">
        <v/>
      </c>
      <c r="CN52" s="20">
        <v>0</v>
      </c>
      <c r="CO52" s="20">
        <v>0</v>
      </c>
      <c r="CP52" s="20">
        <v>0</v>
      </c>
      <c r="CQ52" s="20">
        <v>0</v>
      </c>
      <c r="CR52" s="20">
        <v>0</v>
      </c>
      <c r="CS52" s="20">
        <v>0</v>
      </c>
      <c r="CT52" s="20">
        <v>0</v>
      </c>
      <c r="CU52" s="20">
        <v>0</v>
      </c>
      <c r="CV52" s="20">
        <v>0</v>
      </c>
      <c r="CW52" s="20">
        <v>0</v>
      </c>
      <c r="CX52" s="20">
        <v>0</v>
      </c>
      <c r="CY52" s="20">
        <v>0</v>
      </c>
      <c r="CZ52" s="20">
        <v>0</v>
      </c>
      <c r="DA52" s="19">
        <v>0</v>
      </c>
      <c r="DB52" s="20">
        <v>0</v>
      </c>
      <c r="DC52" s="25">
        <v>0</v>
      </c>
      <c r="DD52" s="20">
        <v>0</v>
      </c>
      <c r="DE52" s="20">
        <v>0</v>
      </c>
      <c r="DF52" s="20">
        <v>0</v>
      </c>
      <c r="DG52" s="20">
        <v>0</v>
      </c>
      <c r="DH52" s="20">
        <v>0</v>
      </c>
      <c r="DI52" s="20">
        <v>0</v>
      </c>
    </row>
    <row r="53" spans="1:113">
      <c r="A53" s="20" t="str">
        <v>00:00:00</v>
      </c>
      <c r="B53" s="19">
        <v>0</v>
      </c>
      <c r="C53" s="21">
        <v>0</v>
      </c>
      <c r="D53" s="20" t="str">
        <v>未匹配</v>
      </c>
      <c r="E53" s="20">
        <v>0</v>
      </c>
      <c r="I53" s="20" t="str">
        <v/>
      </c>
      <c r="J53" s="20">
        <v>0</v>
      </c>
      <c r="K53" s="22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E53" s="20" t="str">
        <v/>
      </c>
      <c r="AF53" s="20">
        <v>0</v>
      </c>
      <c r="AG53" s="22" t="e">
        <v>#VALUE!</v>
      </c>
      <c r="AI53" s="20">
        <v>0</v>
      </c>
      <c r="AJ53" s="20">
        <v>0</v>
      </c>
      <c r="AK53" s="20">
        <v>0</v>
      </c>
      <c r="AL53" s="20">
        <v>0</v>
      </c>
      <c r="AM53" s="20">
        <v>0</v>
      </c>
      <c r="AN53" s="20">
        <v>0</v>
      </c>
      <c r="AO53" s="20">
        <v>0</v>
      </c>
      <c r="AP53" s="20">
        <v>0</v>
      </c>
      <c r="AQ53" s="20">
        <v>0</v>
      </c>
      <c r="AR53" s="20">
        <v>0</v>
      </c>
      <c r="AS53" s="20">
        <v>0</v>
      </c>
      <c r="AT53" s="20">
        <v>0</v>
      </c>
      <c r="AU53" s="20">
        <v>0</v>
      </c>
      <c r="AV53" s="20">
        <v>0</v>
      </c>
      <c r="AW53" s="20">
        <v>0</v>
      </c>
      <c r="AX53" s="20">
        <v>0</v>
      </c>
      <c r="AY53" s="20">
        <v>0</v>
      </c>
      <c r="AZ53" s="20">
        <v>0</v>
      </c>
      <c r="BA53" s="20">
        <v>0</v>
      </c>
      <c r="BB53" s="20">
        <v>0</v>
      </c>
      <c r="BC53" s="20">
        <v>0</v>
      </c>
      <c r="BD53" s="20">
        <v>0</v>
      </c>
      <c r="BE53" s="20">
        <v>0</v>
      </c>
      <c r="BF53" s="20">
        <v>0</v>
      </c>
      <c r="BG53" s="20">
        <v>0</v>
      </c>
      <c r="BH53" s="20">
        <v>0</v>
      </c>
      <c r="BI53" s="20">
        <v>0</v>
      </c>
      <c r="BJ53" s="20">
        <v>0</v>
      </c>
      <c r="BK53" s="20">
        <v>0</v>
      </c>
      <c r="BL53" s="20">
        <v>0</v>
      </c>
      <c r="BM53" s="20">
        <v>0</v>
      </c>
      <c r="BN53" s="22">
        <v>0</v>
      </c>
      <c r="BO53" s="22">
        <v>0</v>
      </c>
      <c r="BP53" s="22">
        <v>0</v>
      </c>
      <c r="BR53" s="20" t="str">
        <v/>
      </c>
      <c r="BS53" s="23"/>
      <c r="BT53" s="23"/>
      <c r="BV53" s="23"/>
      <c r="BW53" s="23"/>
      <c r="BX53" s="23"/>
      <c r="BY53" s="45"/>
      <c r="CA53" s="45"/>
      <c r="CH53" s="20">
        <v>0</v>
      </c>
      <c r="CI53" s="20">
        <v>0</v>
      </c>
      <c r="CJ53" s="20">
        <v>0</v>
      </c>
      <c r="CK53" s="20" t="str">
        <v/>
      </c>
      <c r="CL53" s="20" t="str">
        <v/>
      </c>
      <c r="CN53" s="20">
        <v>0</v>
      </c>
      <c r="CO53" s="20">
        <v>0</v>
      </c>
      <c r="CP53" s="20">
        <v>0</v>
      </c>
      <c r="CQ53" s="20">
        <v>0</v>
      </c>
      <c r="CR53" s="20">
        <v>0</v>
      </c>
      <c r="CS53" s="20">
        <v>0</v>
      </c>
      <c r="CT53" s="20">
        <v>0</v>
      </c>
      <c r="CU53" s="20">
        <v>0</v>
      </c>
      <c r="CV53" s="20">
        <v>0</v>
      </c>
      <c r="CW53" s="20">
        <v>0</v>
      </c>
      <c r="CX53" s="20">
        <v>0</v>
      </c>
      <c r="CY53" s="20">
        <v>0</v>
      </c>
      <c r="CZ53" s="20">
        <v>0</v>
      </c>
      <c r="DA53" s="19">
        <v>0</v>
      </c>
      <c r="DB53" s="20">
        <v>0</v>
      </c>
      <c r="DC53" s="25">
        <v>0</v>
      </c>
      <c r="DD53" s="20">
        <v>0</v>
      </c>
      <c r="DE53" s="20">
        <v>0</v>
      </c>
      <c r="DF53" s="20">
        <v>0</v>
      </c>
      <c r="DG53" s="20">
        <v>0</v>
      </c>
      <c r="DH53" s="20">
        <v>0</v>
      </c>
      <c r="DI53" s="20">
        <v>0</v>
      </c>
    </row>
    <row r="54" spans="1:113">
      <c r="A54" s="20" t="str">
        <v>00:00:00</v>
      </c>
      <c r="B54" s="19">
        <v>0</v>
      </c>
      <c r="C54" s="21">
        <v>0</v>
      </c>
      <c r="D54" s="20" t="str">
        <v>未匹配</v>
      </c>
      <c r="E54" s="20">
        <v>0</v>
      </c>
      <c r="I54" s="20" t="str">
        <v/>
      </c>
      <c r="J54" s="20">
        <v>0</v>
      </c>
      <c r="K54" s="22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E54" s="20" t="str">
        <v/>
      </c>
      <c r="AF54" s="20">
        <v>0</v>
      </c>
      <c r="AG54" s="22" t="e">
        <v>#VALUE!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  <c r="BF54" s="20">
        <v>0</v>
      </c>
      <c r="BG54" s="20">
        <v>0</v>
      </c>
      <c r="BH54" s="20">
        <v>0</v>
      </c>
      <c r="BI54" s="20">
        <v>0</v>
      </c>
      <c r="BJ54" s="20">
        <v>0</v>
      </c>
      <c r="BK54" s="20">
        <v>0</v>
      </c>
      <c r="BL54" s="20">
        <v>0</v>
      </c>
      <c r="BM54" s="20">
        <v>0</v>
      </c>
      <c r="BN54" s="22">
        <v>0</v>
      </c>
      <c r="BO54" s="22">
        <v>0</v>
      </c>
      <c r="BP54" s="22">
        <v>0</v>
      </c>
      <c r="BR54" s="20" t="str">
        <v/>
      </c>
      <c r="BS54" s="23"/>
      <c r="BT54" s="23"/>
      <c r="BV54" s="23"/>
      <c r="BW54" s="23"/>
      <c r="BX54" s="23"/>
      <c r="BY54" s="45"/>
      <c r="CA54" s="45"/>
      <c r="CH54" s="20">
        <v>0</v>
      </c>
      <c r="CI54" s="20">
        <v>0</v>
      </c>
      <c r="CJ54" s="20">
        <v>0</v>
      </c>
      <c r="CK54" s="20" t="str">
        <v/>
      </c>
      <c r="CL54" s="20" t="str">
        <v/>
      </c>
      <c r="CN54" s="20">
        <v>0</v>
      </c>
      <c r="CO54" s="20">
        <v>0</v>
      </c>
      <c r="CP54" s="20">
        <v>0</v>
      </c>
      <c r="CQ54" s="20">
        <v>0</v>
      </c>
      <c r="CR54" s="20">
        <v>0</v>
      </c>
      <c r="CS54" s="20">
        <v>0</v>
      </c>
      <c r="CT54" s="20">
        <v>0</v>
      </c>
      <c r="CU54" s="20">
        <v>0</v>
      </c>
      <c r="CV54" s="20">
        <v>0</v>
      </c>
      <c r="CW54" s="20">
        <v>0</v>
      </c>
      <c r="CX54" s="20">
        <v>0</v>
      </c>
      <c r="CY54" s="20">
        <v>0</v>
      </c>
      <c r="CZ54" s="20">
        <v>0</v>
      </c>
      <c r="DA54" s="19">
        <v>0</v>
      </c>
      <c r="DB54" s="20">
        <v>0</v>
      </c>
      <c r="DC54" s="25">
        <v>0</v>
      </c>
      <c r="DD54" s="20">
        <v>0</v>
      </c>
      <c r="DE54" s="20">
        <v>0</v>
      </c>
      <c r="DF54" s="20">
        <v>0</v>
      </c>
      <c r="DG54" s="20">
        <v>0</v>
      </c>
      <c r="DH54" s="20">
        <v>0</v>
      </c>
      <c r="DI54" s="20">
        <v>0</v>
      </c>
    </row>
    <row r="55" spans="1:113">
      <c r="A55" s="20" t="str">
        <v>00:00:00</v>
      </c>
      <c r="B55" s="19">
        <v>0</v>
      </c>
      <c r="C55" s="21">
        <v>0</v>
      </c>
      <c r="D55" s="20" t="str">
        <v>未匹配</v>
      </c>
      <c r="E55" s="20">
        <v>0</v>
      </c>
      <c r="I55" s="20" t="str">
        <v/>
      </c>
      <c r="J55" s="20">
        <v>0</v>
      </c>
      <c r="K55" s="22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E55" s="20" t="str">
        <v/>
      </c>
      <c r="AF55" s="20">
        <v>0</v>
      </c>
      <c r="AG55" s="22" t="e">
        <v>#VALUE!</v>
      </c>
      <c r="AI55" s="20">
        <v>0</v>
      </c>
      <c r="AJ55" s="20">
        <v>0</v>
      </c>
      <c r="AK55" s="20">
        <v>0</v>
      </c>
      <c r="AL55" s="20">
        <v>0</v>
      </c>
      <c r="AM55" s="20">
        <v>0</v>
      </c>
      <c r="AN55" s="20">
        <v>0</v>
      </c>
      <c r="AO55" s="20">
        <v>0</v>
      </c>
      <c r="AP55" s="20">
        <v>0</v>
      </c>
      <c r="AQ55" s="20">
        <v>0</v>
      </c>
      <c r="AR55" s="20">
        <v>0</v>
      </c>
      <c r="AS55" s="20">
        <v>0</v>
      </c>
      <c r="AT55" s="20">
        <v>0</v>
      </c>
      <c r="AU55" s="20">
        <v>0</v>
      </c>
      <c r="AV55" s="20">
        <v>0</v>
      </c>
      <c r="AW55" s="20">
        <v>0</v>
      </c>
      <c r="AX55" s="20">
        <v>0</v>
      </c>
      <c r="AY55" s="20">
        <v>0</v>
      </c>
      <c r="AZ55" s="20">
        <v>0</v>
      </c>
      <c r="BA55" s="20">
        <v>0</v>
      </c>
      <c r="BB55" s="20">
        <v>0</v>
      </c>
      <c r="BC55" s="20">
        <v>0</v>
      </c>
      <c r="BD55" s="20">
        <v>0</v>
      </c>
      <c r="BE55" s="20">
        <v>0</v>
      </c>
      <c r="BF55" s="20">
        <v>0</v>
      </c>
      <c r="BG55" s="20">
        <v>0</v>
      </c>
      <c r="BH55" s="20">
        <v>0</v>
      </c>
      <c r="BI55" s="20">
        <v>0</v>
      </c>
      <c r="BJ55" s="20">
        <v>0</v>
      </c>
      <c r="BK55" s="20">
        <v>0</v>
      </c>
      <c r="BL55" s="20">
        <v>0</v>
      </c>
      <c r="BM55" s="20">
        <v>0</v>
      </c>
      <c r="BN55" s="22">
        <v>0</v>
      </c>
      <c r="BO55" s="22">
        <v>0</v>
      </c>
      <c r="BP55" s="22">
        <v>0</v>
      </c>
      <c r="BR55" s="20" t="str">
        <v/>
      </c>
      <c r="BS55" s="23"/>
      <c r="BT55" s="23"/>
      <c r="BV55" s="23"/>
      <c r="BW55" s="23"/>
      <c r="BX55" s="23"/>
      <c r="BY55" s="45"/>
      <c r="CA55" s="45"/>
      <c r="CH55" s="20">
        <v>0</v>
      </c>
      <c r="CI55" s="20">
        <v>0</v>
      </c>
      <c r="CJ55" s="20">
        <v>0</v>
      </c>
      <c r="CK55" s="20" t="str">
        <v/>
      </c>
      <c r="CL55" s="20" t="str">
        <v/>
      </c>
      <c r="CN55" s="20">
        <v>0</v>
      </c>
      <c r="CO55" s="20">
        <v>0</v>
      </c>
      <c r="CP55" s="20">
        <v>0</v>
      </c>
      <c r="CQ55" s="20">
        <v>0</v>
      </c>
      <c r="CR55" s="20">
        <v>0</v>
      </c>
      <c r="CS55" s="20">
        <v>0</v>
      </c>
      <c r="CT55" s="20">
        <v>0</v>
      </c>
      <c r="CU55" s="20">
        <v>0</v>
      </c>
      <c r="CV55" s="20">
        <v>0</v>
      </c>
      <c r="CW55" s="20">
        <v>0</v>
      </c>
      <c r="CX55" s="20">
        <v>0</v>
      </c>
      <c r="CY55" s="20">
        <v>0</v>
      </c>
      <c r="CZ55" s="20">
        <v>0</v>
      </c>
      <c r="DA55" s="19">
        <v>0</v>
      </c>
      <c r="DB55" s="20">
        <v>0</v>
      </c>
      <c r="DC55" s="25">
        <v>0</v>
      </c>
      <c r="DD55" s="20">
        <v>0</v>
      </c>
      <c r="DE55" s="20">
        <v>0</v>
      </c>
      <c r="DF55" s="20">
        <v>0</v>
      </c>
      <c r="DG55" s="20">
        <v>0</v>
      </c>
      <c r="DH55" s="20">
        <v>0</v>
      </c>
      <c r="DI55" s="20">
        <v>0</v>
      </c>
    </row>
    <row r="56" spans="1:113">
      <c r="A56" s="20" t="str">
        <v>00:00:00</v>
      </c>
      <c r="B56" s="19">
        <v>0</v>
      </c>
      <c r="C56" s="21">
        <v>0</v>
      </c>
      <c r="D56" s="20" t="str">
        <v>未匹配</v>
      </c>
      <c r="E56" s="20">
        <v>0</v>
      </c>
      <c r="I56" s="20" t="str">
        <v/>
      </c>
      <c r="J56" s="20">
        <v>0</v>
      </c>
      <c r="K56" s="22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  <c r="AC56" s="20">
        <v>0</v>
      </c>
      <c r="AE56" s="20" t="str">
        <v/>
      </c>
      <c r="AF56" s="20">
        <v>0</v>
      </c>
      <c r="AG56" s="22" t="e">
        <v>#VALUE!</v>
      </c>
      <c r="AI56" s="20">
        <v>0</v>
      </c>
      <c r="AJ56" s="20">
        <v>0</v>
      </c>
      <c r="AK56" s="20">
        <v>0</v>
      </c>
      <c r="AL56" s="20">
        <v>0</v>
      </c>
      <c r="AM56" s="20">
        <v>0</v>
      </c>
      <c r="AN56" s="20">
        <v>0</v>
      </c>
      <c r="AO56" s="20">
        <v>0</v>
      </c>
      <c r="AP56" s="20">
        <v>0</v>
      </c>
      <c r="AQ56" s="20">
        <v>0</v>
      </c>
      <c r="AR56" s="20">
        <v>0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  <c r="AX56" s="20">
        <v>0</v>
      </c>
      <c r="AY56" s="20">
        <v>0</v>
      </c>
      <c r="AZ56" s="20">
        <v>0</v>
      </c>
      <c r="BA56" s="20">
        <v>0</v>
      </c>
      <c r="BB56" s="20">
        <v>0</v>
      </c>
      <c r="BC56" s="20">
        <v>0</v>
      </c>
      <c r="BD56" s="20">
        <v>0</v>
      </c>
      <c r="BE56" s="20">
        <v>0</v>
      </c>
      <c r="BF56" s="20">
        <v>0</v>
      </c>
      <c r="BG56" s="20">
        <v>0</v>
      </c>
      <c r="BH56" s="20">
        <v>0</v>
      </c>
      <c r="BI56" s="20">
        <v>0</v>
      </c>
      <c r="BJ56" s="20">
        <v>0</v>
      </c>
      <c r="BK56" s="20">
        <v>0</v>
      </c>
      <c r="BL56" s="20">
        <v>0</v>
      </c>
      <c r="BM56" s="20">
        <v>0</v>
      </c>
      <c r="BN56" s="22">
        <v>0</v>
      </c>
      <c r="BO56" s="22">
        <v>0</v>
      </c>
      <c r="BP56" s="22">
        <v>0</v>
      </c>
      <c r="BR56" s="20" t="str">
        <v/>
      </c>
      <c r="BS56" s="23"/>
      <c r="BT56" s="23"/>
      <c r="BV56" s="23"/>
      <c r="BW56" s="23"/>
      <c r="BX56" s="23"/>
      <c r="BY56" s="45"/>
      <c r="CA56" s="45"/>
      <c r="CH56" s="20">
        <v>0</v>
      </c>
      <c r="CI56" s="20">
        <v>0</v>
      </c>
      <c r="CJ56" s="20">
        <v>0</v>
      </c>
      <c r="CK56" s="20" t="str">
        <v/>
      </c>
      <c r="CL56" s="20" t="str">
        <v/>
      </c>
      <c r="CN56" s="20">
        <v>0</v>
      </c>
      <c r="CO56" s="20">
        <v>0</v>
      </c>
      <c r="CP56" s="20">
        <v>0</v>
      </c>
      <c r="CQ56" s="20">
        <v>0</v>
      </c>
      <c r="CR56" s="20">
        <v>0</v>
      </c>
      <c r="CS56" s="20">
        <v>0</v>
      </c>
      <c r="CT56" s="20">
        <v>0</v>
      </c>
      <c r="CU56" s="20">
        <v>0</v>
      </c>
      <c r="CV56" s="20">
        <v>0</v>
      </c>
      <c r="CW56" s="20">
        <v>0</v>
      </c>
      <c r="CX56" s="20">
        <v>0</v>
      </c>
      <c r="CY56" s="20">
        <v>0</v>
      </c>
      <c r="CZ56" s="20">
        <v>0</v>
      </c>
      <c r="DA56" s="19">
        <v>0</v>
      </c>
      <c r="DB56" s="20">
        <v>0</v>
      </c>
      <c r="DC56" s="25">
        <v>0</v>
      </c>
      <c r="DD56" s="20">
        <v>0</v>
      </c>
      <c r="DE56" s="20">
        <v>0</v>
      </c>
      <c r="DF56" s="20">
        <v>0</v>
      </c>
      <c r="DG56" s="20">
        <v>0</v>
      </c>
      <c r="DH56" s="20">
        <v>0</v>
      </c>
      <c r="DI56" s="20">
        <v>0</v>
      </c>
    </row>
    <row r="57" spans="1:113">
      <c r="A57" s="20" t="str">
        <v>00:00:00</v>
      </c>
      <c r="B57" s="19">
        <v>0</v>
      </c>
      <c r="C57" s="21">
        <v>0</v>
      </c>
      <c r="D57" s="20" t="str">
        <v>未匹配</v>
      </c>
      <c r="E57" s="20">
        <v>0</v>
      </c>
      <c r="I57" s="20" t="str">
        <v/>
      </c>
      <c r="J57" s="20">
        <v>0</v>
      </c>
      <c r="K57" s="22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20">
        <v>0</v>
      </c>
      <c r="AE57" s="20" t="str">
        <v/>
      </c>
      <c r="AF57" s="20">
        <v>0</v>
      </c>
      <c r="AG57" s="22" t="e">
        <v>#VALUE!</v>
      </c>
      <c r="AI57" s="20">
        <v>0</v>
      </c>
      <c r="AJ57" s="20">
        <v>0</v>
      </c>
      <c r="AK57" s="20">
        <v>0</v>
      </c>
      <c r="AL57" s="20">
        <v>0</v>
      </c>
      <c r="AM57" s="20">
        <v>0</v>
      </c>
      <c r="AN57" s="20">
        <v>0</v>
      </c>
      <c r="AO57" s="20">
        <v>0</v>
      </c>
      <c r="AP57" s="20">
        <v>0</v>
      </c>
      <c r="AQ57" s="20">
        <v>0</v>
      </c>
      <c r="AR57" s="20">
        <v>0</v>
      </c>
      <c r="AS57" s="20">
        <v>0</v>
      </c>
      <c r="AT57" s="20">
        <v>0</v>
      </c>
      <c r="AU57" s="20">
        <v>0</v>
      </c>
      <c r="AV57" s="20">
        <v>0</v>
      </c>
      <c r="AW57" s="20">
        <v>0</v>
      </c>
      <c r="AX57" s="20">
        <v>0</v>
      </c>
      <c r="AY57" s="20">
        <v>0</v>
      </c>
      <c r="AZ57" s="20">
        <v>0</v>
      </c>
      <c r="BA57" s="20">
        <v>0</v>
      </c>
      <c r="BB57" s="20">
        <v>0</v>
      </c>
      <c r="BC57" s="20">
        <v>0</v>
      </c>
      <c r="BD57" s="20">
        <v>0</v>
      </c>
      <c r="BE57" s="20">
        <v>0</v>
      </c>
      <c r="BF57" s="20">
        <v>0</v>
      </c>
      <c r="BG57" s="20">
        <v>0</v>
      </c>
      <c r="BH57" s="20">
        <v>0</v>
      </c>
      <c r="BI57" s="20">
        <v>0</v>
      </c>
      <c r="BJ57" s="20">
        <v>0</v>
      </c>
      <c r="BK57" s="20">
        <v>0</v>
      </c>
      <c r="BL57" s="20">
        <v>0</v>
      </c>
      <c r="BM57" s="20">
        <v>0</v>
      </c>
      <c r="BN57" s="22">
        <v>0</v>
      </c>
      <c r="BO57" s="22">
        <v>0</v>
      </c>
      <c r="BP57" s="22">
        <v>0</v>
      </c>
      <c r="BR57" s="20" t="str">
        <v/>
      </c>
      <c r="BS57" s="23"/>
      <c r="BT57" s="23"/>
      <c r="BV57" s="23"/>
      <c r="BW57" s="23"/>
      <c r="BX57" s="23"/>
      <c r="BY57" s="45"/>
      <c r="CA57" s="45"/>
      <c r="CH57" s="20">
        <v>0</v>
      </c>
      <c r="CI57" s="20">
        <v>0</v>
      </c>
      <c r="CJ57" s="20">
        <v>0</v>
      </c>
      <c r="CK57" s="20" t="str">
        <v/>
      </c>
      <c r="CL57" s="20" t="str">
        <v/>
      </c>
      <c r="CN57" s="20">
        <v>0</v>
      </c>
      <c r="CO57" s="20">
        <v>0</v>
      </c>
      <c r="CP57" s="20">
        <v>0</v>
      </c>
      <c r="CQ57" s="20">
        <v>0</v>
      </c>
      <c r="CR57" s="20">
        <v>0</v>
      </c>
      <c r="CS57" s="20">
        <v>0</v>
      </c>
      <c r="CT57" s="20">
        <v>0</v>
      </c>
      <c r="CU57" s="20">
        <v>0</v>
      </c>
      <c r="CV57" s="20">
        <v>0</v>
      </c>
      <c r="CW57" s="20">
        <v>0</v>
      </c>
      <c r="CX57" s="20">
        <v>0</v>
      </c>
      <c r="CY57" s="20">
        <v>0</v>
      </c>
      <c r="CZ57" s="20">
        <v>0</v>
      </c>
      <c r="DA57" s="19">
        <v>0</v>
      </c>
      <c r="DB57" s="20">
        <v>0</v>
      </c>
      <c r="DC57" s="25">
        <v>0</v>
      </c>
      <c r="DD57" s="20">
        <v>0</v>
      </c>
      <c r="DE57" s="20">
        <v>0</v>
      </c>
      <c r="DF57" s="20">
        <v>0</v>
      </c>
      <c r="DG57" s="20">
        <v>0</v>
      </c>
      <c r="DH57" s="20">
        <v>0</v>
      </c>
      <c r="DI57" s="20">
        <v>0</v>
      </c>
    </row>
    <row r="58" spans="1:113">
      <c r="A58" s="20" t="str">
        <v>00:00:00</v>
      </c>
      <c r="B58" s="19">
        <v>0</v>
      </c>
      <c r="C58" s="21">
        <v>0</v>
      </c>
      <c r="D58" s="20" t="str">
        <v>未匹配</v>
      </c>
      <c r="E58" s="20">
        <v>0</v>
      </c>
      <c r="I58" s="20" t="str">
        <v/>
      </c>
      <c r="J58" s="20">
        <v>0</v>
      </c>
      <c r="K58" s="22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E58" s="20" t="str">
        <v/>
      </c>
      <c r="AF58" s="20">
        <v>0</v>
      </c>
      <c r="AG58" s="22" t="e">
        <v>#VALUE!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0</v>
      </c>
      <c r="AV58" s="20">
        <v>0</v>
      </c>
      <c r="AW58" s="20">
        <v>0</v>
      </c>
      <c r="AX58" s="20">
        <v>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  <c r="BF58" s="20">
        <v>0</v>
      </c>
      <c r="BG58" s="20">
        <v>0</v>
      </c>
      <c r="BH58" s="20">
        <v>0</v>
      </c>
      <c r="BI58" s="20">
        <v>0</v>
      </c>
      <c r="BJ58" s="20">
        <v>0</v>
      </c>
      <c r="BK58" s="20">
        <v>0</v>
      </c>
      <c r="BL58" s="20">
        <v>0</v>
      </c>
      <c r="BM58" s="20">
        <v>0</v>
      </c>
      <c r="BN58" s="22">
        <v>0</v>
      </c>
      <c r="BO58" s="22">
        <v>0</v>
      </c>
      <c r="BP58" s="22">
        <v>0</v>
      </c>
      <c r="BR58" s="20" t="str">
        <v/>
      </c>
      <c r="BS58" s="23"/>
      <c r="BT58" s="23"/>
      <c r="BV58" s="23"/>
      <c r="BW58" s="23"/>
      <c r="BX58" s="23"/>
      <c r="BY58" s="45"/>
      <c r="CA58" s="45"/>
      <c r="CH58" s="20">
        <v>0</v>
      </c>
      <c r="CI58" s="20">
        <v>0</v>
      </c>
      <c r="CJ58" s="20">
        <v>0</v>
      </c>
      <c r="CK58" s="20" t="str">
        <v/>
      </c>
      <c r="CL58" s="20" t="str">
        <v/>
      </c>
      <c r="CN58" s="20">
        <v>0</v>
      </c>
      <c r="CO58" s="20">
        <v>0</v>
      </c>
      <c r="CP58" s="20">
        <v>0</v>
      </c>
      <c r="CQ58" s="20">
        <v>0</v>
      </c>
      <c r="CR58" s="20">
        <v>0</v>
      </c>
      <c r="CS58" s="20">
        <v>0</v>
      </c>
      <c r="CT58" s="20">
        <v>0</v>
      </c>
      <c r="CU58" s="20">
        <v>0</v>
      </c>
      <c r="CV58" s="20">
        <v>0</v>
      </c>
      <c r="CW58" s="20">
        <v>0</v>
      </c>
      <c r="CX58" s="20">
        <v>0</v>
      </c>
      <c r="CY58" s="20">
        <v>0</v>
      </c>
      <c r="CZ58" s="20">
        <v>0</v>
      </c>
      <c r="DA58" s="19">
        <v>0</v>
      </c>
      <c r="DB58" s="20">
        <v>0</v>
      </c>
      <c r="DC58" s="25">
        <v>0</v>
      </c>
      <c r="DD58" s="20">
        <v>0</v>
      </c>
      <c r="DE58" s="20">
        <v>0</v>
      </c>
      <c r="DF58" s="20">
        <v>0</v>
      </c>
      <c r="DG58" s="20">
        <v>0</v>
      </c>
      <c r="DH58" s="20">
        <v>0</v>
      </c>
      <c r="DI58" s="20">
        <v>0</v>
      </c>
    </row>
    <row r="59" spans="1:113">
      <c r="A59" s="20" t="str">
        <v>00:00:00</v>
      </c>
      <c r="B59" s="19">
        <v>0</v>
      </c>
      <c r="C59" s="21">
        <v>0</v>
      </c>
      <c r="D59" s="20" t="str">
        <v>未匹配</v>
      </c>
      <c r="E59" s="20">
        <v>0</v>
      </c>
      <c r="I59" s="20" t="str">
        <v/>
      </c>
      <c r="J59" s="20">
        <v>0</v>
      </c>
      <c r="K59" s="22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E59" s="20" t="str">
        <v/>
      </c>
      <c r="AF59" s="20">
        <v>0</v>
      </c>
      <c r="AG59" s="22" t="e">
        <v>#VALUE!</v>
      </c>
      <c r="AI59" s="20">
        <v>0</v>
      </c>
      <c r="AJ59" s="20">
        <v>0</v>
      </c>
      <c r="AK59" s="20">
        <v>0</v>
      </c>
      <c r="AL59" s="20">
        <v>0</v>
      </c>
      <c r="AM59" s="20">
        <v>0</v>
      </c>
      <c r="AN59" s="20">
        <v>0</v>
      </c>
      <c r="AO59" s="20">
        <v>0</v>
      </c>
      <c r="AP59" s="20">
        <v>0</v>
      </c>
      <c r="AQ59" s="20">
        <v>0</v>
      </c>
      <c r="AR59" s="20">
        <v>0</v>
      </c>
      <c r="AS59" s="20">
        <v>0</v>
      </c>
      <c r="AT59" s="20">
        <v>0</v>
      </c>
      <c r="AU59" s="20">
        <v>0</v>
      </c>
      <c r="AV59" s="20">
        <v>0</v>
      </c>
      <c r="AW59" s="20">
        <v>0</v>
      </c>
      <c r="AX59" s="20">
        <v>0</v>
      </c>
      <c r="AY59" s="20">
        <v>0</v>
      </c>
      <c r="AZ59" s="20">
        <v>0</v>
      </c>
      <c r="BA59" s="20">
        <v>0</v>
      </c>
      <c r="BB59" s="20">
        <v>0</v>
      </c>
      <c r="BC59" s="20">
        <v>0</v>
      </c>
      <c r="BD59" s="20">
        <v>0</v>
      </c>
      <c r="BE59" s="20">
        <v>0</v>
      </c>
      <c r="BF59" s="20">
        <v>0</v>
      </c>
      <c r="BG59" s="20">
        <v>0</v>
      </c>
      <c r="BH59" s="20">
        <v>0</v>
      </c>
      <c r="BI59" s="20">
        <v>0</v>
      </c>
      <c r="BJ59" s="20">
        <v>0</v>
      </c>
      <c r="BK59" s="20">
        <v>0</v>
      </c>
      <c r="BL59" s="20">
        <v>0</v>
      </c>
      <c r="BM59" s="20">
        <v>0</v>
      </c>
      <c r="BN59" s="22">
        <v>0</v>
      </c>
      <c r="BO59" s="22">
        <v>0</v>
      </c>
      <c r="BP59" s="22">
        <v>0</v>
      </c>
      <c r="BR59" s="20" t="str">
        <v/>
      </c>
      <c r="BS59" s="23"/>
      <c r="BT59" s="23"/>
      <c r="BV59" s="23"/>
      <c r="BW59" s="23"/>
      <c r="BX59" s="23"/>
      <c r="BY59" s="45"/>
      <c r="CA59" s="45"/>
      <c r="CH59" s="20">
        <v>0</v>
      </c>
      <c r="CI59" s="20">
        <v>0</v>
      </c>
      <c r="CJ59" s="20">
        <v>0</v>
      </c>
      <c r="CK59" s="20" t="str">
        <v/>
      </c>
      <c r="CL59" s="20" t="str">
        <v/>
      </c>
      <c r="CN59" s="20">
        <v>0</v>
      </c>
      <c r="CO59" s="20">
        <v>0</v>
      </c>
      <c r="CP59" s="20">
        <v>0</v>
      </c>
      <c r="CQ59" s="20">
        <v>0</v>
      </c>
      <c r="CR59" s="20">
        <v>0</v>
      </c>
      <c r="CS59" s="20">
        <v>0</v>
      </c>
      <c r="CT59" s="20">
        <v>0</v>
      </c>
      <c r="CU59" s="20">
        <v>0</v>
      </c>
      <c r="CV59" s="20">
        <v>0</v>
      </c>
      <c r="CW59" s="20">
        <v>0</v>
      </c>
      <c r="CX59" s="20">
        <v>0</v>
      </c>
      <c r="CY59" s="20">
        <v>0</v>
      </c>
      <c r="CZ59" s="20">
        <v>0</v>
      </c>
      <c r="DA59" s="19">
        <v>0</v>
      </c>
      <c r="DB59" s="20">
        <v>0</v>
      </c>
      <c r="DC59" s="25">
        <v>0</v>
      </c>
      <c r="DD59" s="20">
        <v>0</v>
      </c>
      <c r="DE59" s="20">
        <v>0</v>
      </c>
      <c r="DF59" s="20">
        <v>0</v>
      </c>
      <c r="DG59" s="20">
        <v>0</v>
      </c>
      <c r="DH59" s="20">
        <v>0</v>
      </c>
      <c r="DI59" s="20">
        <v>0</v>
      </c>
    </row>
    <row r="60" spans="1:113">
      <c r="A60" s="20" t="str">
        <v>00:00:00</v>
      </c>
      <c r="B60" s="19">
        <v>0</v>
      </c>
      <c r="C60" s="21">
        <v>0</v>
      </c>
      <c r="D60" s="20" t="str">
        <v>未匹配</v>
      </c>
      <c r="E60" s="20">
        <v>0</v>
      </c>
      <c r="I60" s="20" t="str">
        <v/>
      </c>
      <c r="J60" s="20">
        <v>0</v>
      </c>
      <c r="K60" s="22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0</v>
      </c>
      <c r="Z60" s="20">
        <v>0</v>
      </c>
      <c r="AA60" s="20">
        <v>0</v>
      </c>
      <c r="AB60" s="20">
        <v>0</v>
      </c>
      <c r="AC60" s="20">
        <v>0</v>
      </c>
      <c r="AE60" s="20" t="str">
        <v/>
      </c>
      <c r="AF60" s="20">
        <v>0</v>
      </c>
      <c r="AG60" s="22" t="e">
        <v>#VALUE!</v>
      </c>
      <c r="AI60" s="20">
        <v>0</v>
      </c>
      <c r="AJ60" s="20">
        <v>0</v>
      </c>
      <c r="AK60" s="20">
        <v>0</v>
      </c>
      <c r="AL60" s="20">
        <v>0</v>
      </c>
      <c r="AM60" s="20">
        <v>0</v>
      </c>
      <c r="AN60" s="20">
        <v>0</v>
      </c>
      <c r="AO60" s="20">
        <v>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0</v>
      </c>
      <c r="AV60" s="20">
        <v>0</v>
      </c>
      <c r="AW60" s="20">
        <v>0</v>
      </c>
      <c r="AX60" s="20">
        <v>0</v>
      </c>
      <c r="AY60" s="20">
        <v>0</v>
      </c>
      <c r="AZ60" s="20">
        <v>0</v>
      </c>
      <c r="BA60" s="20">
        <v>0</v>
      </c>
      <c r="BB60" s="20">
        <v>0</v>
      </c>
      <c r="BC60" s="20">
        <v>0</v>
      </c>
      <c r="BD60" s="20">
        <v>0</v>
      </c>
      <c r="BE60" s="20">
        <v>0</v>
      </c>
      <c r="BF60" s="20">
        <v>0</v>
      </c>
      <c r="BG60" s="20">
        <v>0</v>
      </c>
      <c r="BH60" s="20">
        <v>0</v>
      </c>
      <c r="BI60" s="20">
        <v>0</v>
      </c>
      <c r="BJ60" s="20">
        <v>0</v>
      </c>
      <c r="BK60" s="20">
        <v>0</v>
      </c>
      <c r="BL60" s="20">
        <v>0</v>
      </c>
      <c r="BM60" s="20">
        <v>0</v>
      </c>
      <c r="BN60" s="22">
        <v>0</v>
      </c>
      <c r="BO60" s="22">
        <v>0</v>
      </c>
      <c r="BP60" s="22">
        <v>0</v>
      </c>
      <c r="BR60" s="20" t="str">
        <v/>
      </c>
      <c r="BS60" s="23"/>
      <c r="BT60" s="23"/>
      <c r="BV60" s="23"/>
      <c r="BW60" s="23"/>
      <c r="BX60" s="23"/>
      <c r="BY60" s="45"/>
      <c r="CA60" s="45"/>
      <c r="CH60" s="20">
        <v>0</v>
      </c>
      <c r="CI60" s="20">
        <v>0</v>
      </c>
      <c r="CJ60" s="20">
        <v>0</v>
      </c>
      <c r="CK60" s="20" t="str">
        <v/>
      </c>
      <c r="CL60" s="20" t="str">
        <v/>
      </c>
      <c r="CN60" s="20">
        <v>0</v>
      </c>
      <c r="CO60" s="20">
        <v>0</v>
      </c>
      <c r="CP60" s="20">
        <v>0</v>
      </c>
      <c r="CQ60" s="20">
        <v>0</v>
      </c>
      <c r="CR60" s="20">
        <v>0</v>
      </c>
      <c r="CS60" s="20">
        <v>0</v>
      </c>
      <c r="CT60" s="20">
        <v>0</v>
      </c>
      <c r="CU60" s="20">
        <v>0</v>
      </c>
      <c r="CV60" s="20">
        <v>0</v>
      </c>
      <c r="CW60" s="20">
        <v>0</v>
      </c>
      <c r="CX60" s="20">
        <v>0</v>
      </c>
      <c r="CY60" s="20">
        <v>0</v>
      </c>
      <c r="CZ60" s="20">
        <v>0</v>
      </c>
      <c r="DA60" s="19">
        <v>0</v>
      </c>
      <c r="DB60" s="20">
        <v>0</v>
      </c>
      <c r="DC60" s="25">
        <v>0</v>
      </c>
      <c r="DD60" s="20">
        <v>0</v>
      </c>
      <c r="DE60" s="20">
        <v>0</v>
      </c>
      <c r="DF60" s="20">
        <v>0</v>
      </c>
      <c r="DG60" s="20">
        <v>0</v>
      </c>
      <c r="DH60" s="20">
        <v>0</v>
      </c>
      <c r="DI60" s="20">
        <v>0</v>
      </c>
    </row>
    <row r="61" spans="1:113">
      <c r="A61" s="20" t="str">
        <v>00:00:00</v>
      </c>
      <c r="B61" s="19">
        <v>0</v>
      </c>
      <c r="C61" s="21">
        <v>0</v>
      </c>
      <c r="D61" s="20" t="str">
        <v>未匹配</v>
      </c>
      <c r="E61" s="20">
        <v>0</v>
      </c>
      <c r="I61" s="20" t="str">
        <v/>
      </c>
      <c r="J61" s="20">
        <v>0</v>
      </c>
      <c r="K61" s="22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E61" s="20" t="str">
        <v/>
      </c>
      <c r="AF61" s="20">
        <v>0</v>
      </c>
      <c r="AG61" s="22" t="e">
        <v>#VALUE!</v>
      </c>
      <c r="AI61" s="20">
        <v>0</v>
      </c>
      <c r="AJ61" s="20">
        <v>0</v>
      </c>
      <c r="AK61" s="20">
        <v>0</v>
      </c>
      <c r="AL61" s="20">
        <v>0</v>
      </c>
      <c r="AM61" s="20">
        <v>0</v>
      </c>
      <c r="AN61" s="20">
        <v>0</v>
      </c>
      <c r="AO61" s="20">
        <v>0</v>
      </c>
      <c r="AP61" s="20">
        <v>0</v>
      </c>
      <c r="AQ61" s="20">
        <v>0</v>
      </c>
      <c r="AR61" s="20">
        <v>0</v>
      </c>
      <c r="AS61" s="20">
        <v>0</v>
      </c>
      <c r="AT61" s="20">
        <v>0</v>
      </c>
      <c r="AU61" s="20">
        <v>0</v>
      </c>
      <c r="AV61" s="20">
        <v>0</v>
      </c>
      <c r="AW61" s="20">
        <v>0</v>
      </c>
      <c r="AX61" s="20">
        <v>0</v>
      </c>
      <c r="AY61" s="20">
        <v>0</v>
      </c>
      <c r="AZ61" s="20">
        <v>0</v>
      </c>
      <c r="BA61" s="20">
        <v>0</v>
      </c>
      <c r="BB61" s="20">
        <v>0</v>
      </c>
      <c r="BC61" s="20">
        <v>0</v>
      </c>
      <c r="BD61" s="20">
        <v>0</v>
      </c>
      <c r="BE61" s="20">
        <v>0</v>
      </c>
      <c r="BF61" s="20">
        <v>0</v>
      </c>
      <c r="BG61" s="20">
        <v>0</v>
      </c>
      <c r="BH61" s="20">
        <v>0</v>
      </c>
      <c r="BI61" s="20">
        <v>0</v>
      </c>
      <c r="BJ61" s="20">
        <v>0</v>
      </c>
      <c r="BK61" s="20">
        <v>0</v>
      </c>
      <c r="BL61" s="20">
        <v>0</v>
      </c>
      <c r="BM61" s="20">
        <v>0</v>
      </c>
      <c r="BN61" s="22">
        <v>0</v>
      </c>
      <c r="BO61" s="22">
        <v>0</v>
      </c>
      <c r="BP61" s="22">
        <v>0</v>
      </c>
      <c r="BR61" s="20" t="str">
        <v/>
      </c>
      <c r="BS61" s="23"/>
      <c r="BT61" s="23"/>
      <c r="BV61" s="23"/>
      <c r="BW61" s="23"/>
      <c r="BX61" s="23"/>
      <c r="BY61" s="45"/>
      <c r="CA61" s="45"/>
      <c r="CH61" s="20">
        <v>0</v>
      </c>
      <c r="CI61" s="20">
        <v>0</v>
      </c>
      <c r="CJ61" s="20">
        <v>0</v>
      </c>
      <c r="CK61" s="20" t="str">
        <v/>
      </c>
      <c r="CL61" s="20" t="str">
        <v/>
      </c>
      <c r="CN61" s="20">
        <v>0</v>
      </c>
      <c r="CO61" s="20">
        <v>0</v>
      </c>
      <c r="CP61" s="20">
        <v>0</v>
      </c>
      <c r="CQ61" s="20">
        <v>0</v>
      </c>
      <c r="CR61" s="20">
        <v>0</v>
      </c>
      <c r="CS61" s="20">
        <v>0</v>
      </c>
      <c r="CT61" s="20">
        <v>0</v>
      </c>
      <c r="CU61" s="20">
        <v>0</v>
      </c>
      <c r="CV61" s="20">
        <v>0</v>
      </c>
      <c r="CW61" s="20">
        <v>0</v>
      </c>
      <c r="CX61" s="20">
        <v>0</v>
      </c>
      <c r="CY61" s="20">
        <v>0</v>
      </c>
      <c r="CZ61" s="20">
        <v>0</v>
      </c>
      <c r="DA61" s="19">
        <v>0</v>
      </c>
      <c r="DB61" s="20">
        <v>0</v>
      </c>
      <c r="DC61" s="25">
        <v>0</v>
      </c>
      <c r="DD61" s="20">
        <v>0</v>
      </c>
      <c r="DE61" s="20">
        <v>0</v>
      </c>
      <c r="DF61" s="20">
        <v>0</v>
      </c>
      <c r="DG61" s="20">
        <v>0</v>
      </c>
      <c r="DH61" s="20">
        <v>0</v>
      </c>
      <c r="DI61" s="20">
        <v>0</v>
      </c>
    </row>
    <row r="62" spans="1:113">
      <c r="A62" s="20" t="str">
        <v>00:00:00</v>
      </c>
      <c r="B62" s="19">
        <v>0</v>
      </c>
      <c r="C62" s="21">
        <v>0</v>
      </c>
      <c r="D62" s="20" t="str">
        <v>未匹配</v>
      </c>
      <c r="E62" s="20">
        <v>0</v>
      </c>
      <c r="I62" s="20" t="str">
        <v/>
      </c>
      <c r="J62" s="20">
        <v>0</v>
      </c>
      <c r="K62" s="22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E62" s="20" t="str">
        <v/>
      </c>
      <c r="AF62" s="20">
        <v>0</v>
      </c>
      <c r="AG62" s="22" t="e">
        <v>#VALUE!</v>
      </c>
      <c r="AI62" s="20">
        <v>0</v>
      </c>
      <c r="AJ62" s="20">
        <v>0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  <c r="BF62" s="20">
        <v>0</v>
      </c>
      <c r="BG62" s="20">
        <v>0</v>
      </c>
      <c r="BH62" s="20">
        <v>0</v>
      </c>
      <c r="BI62" s="20">
        <v>0</v>
      </c>
      <c r="BJ62" s="20">
        <v>0</v>
      </c>
      <c r="BK62" s="20">
        <v>0</v>
      </c>
      <c r="BL62" s="20">
        <v>0</v>
      </c>
      <c r="BM62" s="20">
        <v>0</v>
      </c>
      <c r="BN62" s="22">
        <v>0</v>
      </c>
      <c r="BO62" s="22">
        <v>0</v>
      </c>
      <c r="BP62" s="22">
        <v>0</v>
      </c>
      <c r="BR62" s="20" t="str">
        <v/>
      </c>
      <c r="BS62" s="23"/>
      <c r="BT62" s="23"/>
      <c r="BV62" s="23"/>
      <c r="BW62" s="23"/>
      <c r="BX62" s="23"/>
      <c r="BY62" s="45"/>
      <c r="CA62" s="45"/>
      <c r="CH62" s="20">
        <v>0</v>
      </c>
      <c r="CI62" s="20">
        <v>0</v>
      </c>
      <c r="CJ62" s="20">
        <v>0</v>
      </c>
      <c r="CK62" s="20" t="str">
        <v/>
      </c>
      <c r="CL62" s="20" t="str">
        <v/>
      </c>
      <c r="CN62" s="20">
        <v>0</v>
      </c>
      <c r="CO62" s="20">
        <v>0</v>
      </c>
      <c r="CP62" s="20">
        <v>0</v>
      </c>
      <c r="CQ62" s="20">
        <v>0</v>
      </c>
      <c r="CR62" s="20">
        <v>0</v>
      </c>
      <c r="CS62" s="20">
        <v>0</v>
      </c>
      <c r="CT62" s="20">
        <v>0</v>
      </c>
      <c r="CU62" s="20">
        <v>0</v>
      </c>
      <c r="CV62" s="20">
        <v>0</v>
      </c>
      <c r="CW62" s="20">
        <v>0</v>
      </c>
      <c r="CX62" s="20">
        <v>0</v>
      </c>
      <c r="CY62" s="20">
        <v>0</v>
      </c>
      <c r="CZ62" s="20">
        <v>0</v>
      </c>
      <c r="DA62" s="19">
        <v>0</v>
      </c>
      <c r="DB62" s="20">
        <v>0</v>
      </c>
      <c r="DC62" s="25">
        <v>0</v>
      </c>
      <c r="DD62" s="20">
        <v>0</v>
      </c>
      <c r="DE62" s="20">
        <v>0</v>
      </c>
      <c r="DF62" s="20">
        <v>0</v>
      </c>
      <c r="DG62" s="20">
        <v>0</v>
      </c>
      <c r="DH62" s="20">
        <v>0</v>
      </c>
      <c r="DI62" s="20">
        <v>0</v>
      </c>
    </row>
    <row r="63" spans="1:113">
      <c r="A63" s="20" t="str">
        <v>00:00:00</v>
      </c>
      <c r="B63" s="19">
        <v>0</v>
      </c>
      <c r="C63" s="21">
        <v>0</v>
      </c>
      <c r="D63" s="20" t="str">
        <v>未匹配</v>
      </c>
      <c r="E63" s="20">
        <v>0</v>
      </c>
      <c r="I63" s="20" t="str">
        <v/>
      </c>
      <c r="J63" s="20">
        <v>0</v>
      </c>
      <c r="K63" s="22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0</v>
      </c>
      <c r="Z63" s="20">
        <v>0</v>
      </c>
      <c r="AA63" s="20">
        <v>0</v>
      </c>
      <c r="AB63" s="20">
        <v>0</v>
      </c>
      <c r="AC63" s="20">
        <v>0</v>
      </c>
      <c r="AE63" s="20" t="str">
        <v/>
      </c>
      <c r="AF63" s="20">
        <v>0</v>
      </c>
      <c r="AG63" s="22" t="e">
        <v>#VALUE!</v>
      </c>
      <c r="AI63" s="20">
        <v>0</v>
      </c>
      <c r="AJ63" s="20">
        <v>0</v>
      </c>
      <c r="AK63" s="20">
        <v>0</v>
      </c>
      <c r="AL63" s="20">
        <v>0</v>
      </c>
      <c r="AM63" s="20">
        <v>0</v>
      </c>
      <c r="AN63" s="20">
        <v>0</v>
      </c>
      <c r="AO63" s="20">
        <v>0</v>
      </c>
      <c r="AP63" s="20">
        <v>0</v>
      </c>
      <c r="AQ63" s="20">
        <v>0</v>
      </c>
      <c r="AR63" s="20">
        <v>0</v>
      </c>
      <c r="AS63" s="20">
        <v>0</v>
      </c>
      <c r="AT63" s="20">
        <v>0</v>
      </c>
      <c r="AU63" s="20">
        <v>0</v>
      </c>
      <c r="AV63" s="20">
        <v>0</v>
      </c>
      <c r="AW63" s="20">
        <v>0</v>
      </c>
      <c r="AX63" s="20">
        <v>0</v>
      </c>
      <c r="AY63" s="20">
        <v>0</v>
      </c>
      <c r="AZ63" s="20">
        <v>0</v>
      </c>
      <c r="BA63" s="20">
        <v>0</v>
      </c>
      <c r="BB63" s="20">
        <v>0</v>
      </c>
      <c r="BC63" s="20">
        <v>0</v>
      </c>
      <c r="BD63" s="20">
        <v>0</v>
      </c>
      <c r="BE63" s="20">
        <v>0</v>
      </c>
      <c r="BF63" s="20">
        <v>0</v>
      </c>
      <c r="BG63" s="20">
        <v>0</v>
      </c>
      <c r="BH63" s="20">
        <v>0</v>
      </c>
      <c r="BI63" s="20">
        <v>0</v>
      </c>
      <c r="BJ63" s="20">
        <v>0</v>
      </c>
      <c r="BK63" s="20">
        <v>0</v>
      </c>
      <c r="BL63" s="20">
        <v>0</v>
      </c>
      <c r="BM63" s="20">
        <v>0</v>
      </c>
      <c r="BN63" s="22">
        <v>0</v>
      </c>
      <c r="BO63" s="22">
        <v>0</v>
      </c>
      <c r="BP63" s="22">
        <v>0</v>
      </c>
      <c r="BR63" s="20" t="str">
        <v/>
      </c>
      <c r="BS63" s="23"/>
      <c r="BT63" s="23"/>
      <c r="BV63" s="23"/>
      <c r="BW63" s="23"/>
      <c r="BX63" s="23"/>
      <c r="BY63" s="45"/>
      <c r="CA63" s="45"/>
      <c r="CH63" s="20">
        <v>0</v>
      </c>
      <c r="CI63" s="20">
        <v>0</v>
      </c>
      <c r="CJ63" s="20">
        <v>0</v>
      </c>
      <c r="CK63" s="20" t="str">
        <v/>
      </c>
      <c r="CL63" s="20" t="str">
        <v/>
      </c>
      <c r="CN63" s="20">
        <v>0</v>
      </c>
      <c r="CO63" s="20">
        <v>0</v>
      </c>
      <c r="CP63" s="20">
        <v>0</v>
      </c>
      <c r="CQ63" s="20">
        <v>0</v>
      </c>
      <c r="CR63" s="20">
        <v>0</v>
      </c>
      <c r="CS63" s="20">
        <v>0</v>
      </c>
      <c r="CT63" s="20">
        <v>0</v>
      </c>
      <c r="CU63" s="20">
        <v>0</v>
      </c>
      <c r="CV63" s="20">
        <v>0</v>
      </c>
      <c r="CW63" s="20">
        <v>0</v>
      </c>
      <c r="CX63" s="20">
        <v>0</v>
      </c>
      <c r="CY63" s="20">
        <v>0</v>
      </c>
      <c r="CZ63" s="20">
        <v>0</v>
      </c>
      <c r="DA63" s="19">
        <v>0</v>
      </c>
      <c r="DB63" s="20">
        <v>0</v>
      </c>
      <c r="DC63" s="25">
        <v>0</v>
      </c>
      <c r="DD63" s="20">
        <v>0</v>
      </c>
      <c r="DE63" s="20">
        <v>0</v>
      </c>
      <c r="DF63" s="20">
        <v>0</v>
      </c>
      <c r="DG63" s="20">
        <v>0</v>
      </c>
      <c r="DH63" s="20">
        <v>0</v>
      </c>
      <c r="DI63" s="20">
        <v>0</v>
      </c>
    </row>
    <row r="64" spans="1:113">
      <c r="A64" s="20" t="str">
        <v>00:00:00</v>
      </c>
      <c r="B64" s="19">
        <v>0</v>
      </c>
      <c r="C64" s="21">
        <v>0</v>
      </c>
      <c r="D64" s="20" t="str">
        <v>未匹配</v>
      </c>
      <c r="E64" s="20">
        <v>0</v>
      </c>
      <c r="I64" s="20" t="str">
        <v/>
      </c>
      <c r="J64" s="20">
        <v>0</v>
      </c>
      <c r="K64" s="22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E64" s="20" t="str">
        <v/>
      </c>
      <c r="AF64" s="20">
        <v>0</v>
      </c>
      <c r="AG64" s="22" t="e">
        <v>#VALUE!</v>
      </c>
      <c r="AI64" s="20">
        <v>0</v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0</v>
      </c>
      <c r="AT64" s="20">
        <v>0</v>
      </c>
      <c r="AU64" s="20">
        <v>0</v>
      </c>
      <c r="AV64" s="20">
        <v>0</v>
      </c>
      <c r="AW64" s="20">
        <v>0</v>
      </c>
      <c r="AX64" s="20">
        <v>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  <c r="BK64" s="20">
        <v>0</v>
      </c>
      <c r="BL64" s="20">
        <v>0</v>
      </c>
      <c r="BM64" s="20">
        <v>0</v>
      </c>
      <c r="BN64" s="22">
        <v>0</v>
      </c>
      <c r="BO64" s="22">
        <v>0</v>
      </c>
      <c r="BP64" s="22">
        <v>0</v>
      </c>
      <c r="BR64" s="20" t="str">
        <v/>
      </c>
      <c r="BS64" s="23"/>
      <c r="BT64" s="23"/>
      <c r="BV64" s="23"/>
      <c r="BW64" s="23"/>
      <c r="BX64" s="23"/>
      <c r="BY64" s="45"/>
      <c r="CA64" s="45"/>
      <c r="CH64" s="20">
        <v>0</v>
      </c>
      <c r="CI64" s="20">
        <v>0</v>
      </c>
      <c r="CJ64" s="20">
        <v>0</v>
      </c>
      <c r="CK64" s="20" t="str">
        <v/>
      </c>
      <c r="CL64" s="20" t="str">
        <v/>
      </c>
      <c r="CN64" s="20">
        <v>0</v>
      </c>
      <c r="CO64" s="20">
        <v>0</v>
      </c>
      <c r="CP64" s="20">
        <v>0</v>
      </c>
      <c r="CQ64" s="20">
        <v>0</v>
      </c>
      <c r="CR64" s="20">
        <v>0</v>
      </c>
      <c r="CS64" s="20">
        <v>0</v>
      </c>
      <c r="CT64" s="20">
        <v>0</v>
      </c>
      <c r="CU64" s="20">
        <v>0</v>
      </c>
      <c r="CV64" s="20">
        <v>0</v>
      </c>
      <c r="CW64" s="20">
        <v>0</v>
      </c>
      <c r="CX64" s="20">
        <v>0</v>
      </c>
      <c r="CY64" s="20">
        <v>0</v>
      </c>
      <c r="CZ64" s="20">
        <v>0</v>
      </c>
      <c r="DA64" s="19">
        <v>0</v>
      </c>
      <c r="DB64" s="20">
        <v>0</v>
      </c>
      <c r="DC64" s="25">
        <v>0</v>
      </c>
      <c r="DD64" s="20">
        <v>0</v>
      </c>
      <c r="DE64" s="20">
        <v>0</v>
      </c>
      <c r="DF64" s="20">
        <v>0</v>
      </c>
      <c r="DG64" s="20">
        <v>0</v>
      </c>
      <c r="DH64" s="20">
        <v>0</v>
      </c>
      <c r="DI64" s="20">
        <v>0</v>
      </c>
    </row>
    <row r="65" spans="1:113">
      <c r="A65" s="20" t="str">
        <v>00:00:00</v>
      </c>
      <c r="B65" s="19">
        <v>0</v>
      </c>
      <c r="C65" s="21">
        <v>0</v>
      </c>
      <c r="D65" s="20" t="str">
        <v>未匹配</v>
      </c>
      <c r="E65" s="20">
        <v>0</v>
      </c>
      <c r="I65" s="20" t="str">
        <v/>
      </c>
      <c r="J65" s="20">
        <v>0</v>
      </c>
      <c r="K65" s="22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20">
        <v>0</v>
      </c>
      <c r="AE65" s="20" t="str">
        <v/>
      </c>
      <c r="AF65" s="20">
        <v>0</v>
      </c>
      <c r="AG65" s="22" t="e">
        <v>#VALUE!</v>
      </c>
      <c r="AI65" s="20">
        <v>0</v>
      </c>
      <c r="AJ65" s="20">
        <v>0</v>
      </c>
      <c r="AK65" s="20">
        <v>0</v>
      </c>
      <c r="AL65" s="20">
        <v>0</v>
      </c>
      <c r="AM65" s="20">
        <v>0</v>
      </c>
      <c r="AN65" s="20">
        <v>0</v>
      </c>
      <c r="AO65" s="20">
        <v>0</v>
      </c>
      <c r="AP65" s="20">
        <v>0</v>
      </c>
      <c r="AQ65" s="20">
        <v>0</v>
      </c>
      <c r="AR65" s="20">
        <v>0</v>
      </c>
      <c r="AS65" s="20">
        <v>0</v>
      </c>
      <c r="AT65" s="20">
        <v>0</v>
      </c>
      <c r="AU65" s="20">
        <v>0</v>
      </c>
      <c r="AV65" s="20">
        <v>0</v>
      </c>
      <c r="AW65" s="20">
        <v>0</v>
      </c>
      <c r="AX65" s="20">
        <v>0</v>
      </c>
      <c r="AY65" s="20">
        <v>0</v>
      </c>
      <c r="AZ65" s="20">
        <v>0</v>
      </c>
      <c r="BA65" s="20">
        <v>0</v>
      </c>
      <c r="BB65" s="20">
        <v>0</v>
      </c>
      <c r="BC65" s="20">
        <v>0</v>
      </c>
      <c r="BD65" s="20">
        <v>0</v>
      </c>
      <c r="BE65" s="20">
        <v>0</v>
      </c>
      <c r="BF65" s="20">
        <v>0</v>
      </c>
      <c r="BG65" s="20">
        <v>0</v>
      </c>
      <c r="BH65" s="20">
        <v>0</v>
      </c>
      <c r="BI65" s="20">
        <v>0</v>
      </c>
      <c r="BJ65" s="20">
        <v>0</v>
      </c>
      <c r="BK65" s="20">
        <v>0</v>
      </c>
      <c r="BL65" s="20">
        <v>0</v>
      </c>
      <c r="BM65" s="20">
        <v>0</v>
      </c>
      <c r="BN65" s="22">
        <v>0</v>
      </c>
      <c r="BO65" s="22">
        <v>0</v>
      </c>
      <c r="BP65" s="22">
        <v>0</v>
      </c>
      <c r="BR65" s="20" t="str">
        <v/>
      </c>
      <c r="BS65" s="23"/>
      <c r="BT65" s="23"/>
      <c r="BV65" s="23"/>
      <c r="BW65" s="23"/>
      <c r="BX65" s="23"/>
      <c r="BY65" s="45"/>
      <c r="CA65" s="45"/>
      <c r="CH65" s="20">
        <v>0</v>
      </c>
      <c r="CI65" s="20">
        <v>0</v>
      </c>
      <c r="CJ65" s="20">
        <v>0</v>
      </c>
      <c r="CK65" s="20" t="str">
        <v/>
      </c>
      <c r="CL65" s="20" t="str">
        <v/>
      </c>
      <c r="CN65" s="20">
        <v>0</v>
      </c>
      <c r="CO65" s="20">
        <v>0</v>
      </c>
      <c r="CP65" s="20">
        <v>0</v>
      </c>
      <c r="CQ65" s="20">
        <v>0</v>
      </c>
      <c r="CR65" s="20">
        <v>0</v>
      </c>
      <c r="CS65" s="20">
        <v>0</v>
      </c>
      <c r="CT65" s="20">
        <v>0</v>
      </c>
      <c r="CU65" s="20">
        <v>0</v>
      </c>
      <c r="CV65" s="20">
        <v>0</v>
      </c>
      <c r="CW65" s="20">
        <v>0</v>
      </c>
      <c r="CX65" s="20">
        <v>0</v>
      </c>
      <c r="CY65" s="20">
        <v>0</v>
      </c>
      <c r="CZ65" s="20">
        <v>0</v>
      </c>
      <c r="DA65" s="19">
        <v>0</v>
      </c>
      <c r="DB65" s="20">
        <v>0</v>
      </c>
      <c r="DC65" s="25">
        <v>0</v>
      </c>
      <c r="DD65" s="20">
        <v>0</v>
      </c>
      <c r="DE65" s="20">
        <v>0</v>
      </c>
      <c r="DF65" s="20">
        <v>0</v>
      </c>
      <c r="DG65" s="20">
        <v>0</v>
      </c>
      <c r="DH65" s="20">
        <v>0</v>
      </c>
      <c r="DI65" s="20">
        <v>0</v>
      </c>
    </row>
    <row r="66" spans="1:113">
      <c r="A66" s="20" t="str">
        <v>00:00:00</v>
      </c>
      <c r="B66" s="19">
        <v>0</v>
      </c>
      <c r="C66" s="21">
        <v>0</v>
      </c>
      <c r="D66" s="20" t="str">
        <v>未匹配</v>
      </c>
      <c r="E66" s="20">
        <v>0</v>
      </c>
      <c r="I66" s="20" t="str">
        <v/>
      </c>
      <c r="J66" s="20">
        <v>0</v>
      </c>
      <c r="K66" s="22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E66" s="20" t="str">
        <v/>
      </c>
      <c r="AF66" s="20">
        <v>0</v>
      </c>
      <c r="AG66" s="22" t="e">
        <v>#VALUE!</v>
      </c>
      <c r="AI66" s="20">
        <v>0</v>
      </c>
      <c r="AJ66" s="20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>
        <v>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  <c r="BK66" s="20">
        <v>0</v>
      </c>
      <c r="BL66" s="20">
        <v>0</v>
      </c>
      <c r="BM66" s="20">
        <v>0</v>
      </c>
      <c r="BN66" s="22">
        <v>0</v>
      </c>
      <c r="BO66" s="22">
        <v>0</v>
      </c>
      <c r="BP66" s="22">
        <v>0</v>
      </c>
      <c r="BR66" s="20" t="str">
        <v/>
      </c>
      <c r="BS66" s="23"/>
      <c r="BT66" s="23"/>
      <c r="BV66" s="23"/>
      <c r="BW66" s="23"/>
      <c r="BX66" s="23"/>
      <c r="BY66" s="45"/>
      <c r="CA66" s="45"/>
      <c r="CH66" s="20">
        <v>0</v>
      </c>
      <c r="CI66" s="20">
        <v>0</v>
      </c>
      <c r="CJ66" s="20">
        <v>0</v>
      </c>
      <c r="CK66" s="20" t="str">
        <v/>
      </c>
      <c r="CL66" s="20" t="str">
        <v/>
      </c>
      <c r="CN66" s="20">
        <v>0</v>
      </c>
      <c r="CO66" s="20">
        <v>0</v>
      </c>
      <c r="CP66" s="20">
        <v>0</v>
      </c>
      <c r="CQ66" s="20">
        <v>0</v>
      </c>
      <c r="CR66" s="20">
        <v>0</v>
      </c>
      <c r="CS66" s="20">
        <v>0</v>
      </c>
      <c r="CT66" s="20">
        <v>0</v>
      </c>
      <c r="CU66" s="20">
        <v>0</v>
      </c>
      <c r="CV66" s="20">
        <v>0</v>
      </c>
      <c r="CW66" s="20">
        <v>0</v>
      </c>
      <c r="CX66" s="20">
        <v>0</v>
      </c>
      <c r="CY66" s="20">
        <v>0</v>
      </c>
      <c r="CZ66" s="20">
        <v>0</v>
      </c>
      <c r="DA66" s="19">
        <v>0</v>
      </c>
      <c r="DB66" s="20">
        <v>0</v>
      </c>
      <c r="DC66" s="25">
        <v>0</v>
      </c>
      <c r="DD66" s="20">
        <v>0</v>
      </c>
      <c r="DE66" s="20">
        <v>0</v>
      </c>
      <c r="DF66" s="20">
        <v>0</v>
      </c>
      <c r="DG66" s="20">
        <v>0</v>
      </c>
      <c r="DH66" s="20">
        <v>0</v>
      </c>
      <c r="DI66" s="20">
        <v>0</v>
      </c>
    </row>
    <row r="67" spans="1:113">
      <c r="A67" s="20" t="str">
        <v>00:00:00</v>
      </c>
      <c r="B67" s="19">
        <v>0</v>
      </c>
      <c r="C67" s="21">
        <v>0</v>
      </c>
      <c r="D67" s="20" t="str">
        <v>未匹配</v>
      </c>
      <c r="E67" s="20">
        <v>0</v>
      </c>
      <c r="I67" s="20" t="str">
        <v/>
      </c>
      <c r="J67" s="20">
        <v>0</v>
      </c>
      <c r="K67" s="22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E67" s="20" t="str">
        <v/>
      </c>
      <c r="AF67" s="20">
        <v>0</v>
      </c>
      <c r="AG67" s="22" t="e">
        <v>#VALUE!</v>
      </c>
      <c r="AI67" s="20">
        <v>0</v>
      </c>
      <c r="AJ67" s="20">
        <v>0</v>
      </c>
      <c r="AK67" s="20">
        <v>0</v>
      </c>
      <c r="AL67" s="20">
        <v>0</v>
      </c>
      <c r="AM67" s="20">
        <v>0</v>
      </c>
      <c r="AN67" s="20">
        <v>0</v>
      </c>
      <c r="AO67" s="20">
        <v>0</v>
      </c>
      <c r="AP67" s="20">
        <v>0</v>
      </c>
      <c r="AQ67" s="20">
        <v>0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0</v>
      </c>
      <c r="AY67" s="20">
        <v>0</v>
      </c>
      <c r="AZ67" s="20">
        <v>0</v>
      </c>
      <c r="BA67" s="20">
        <v>0</v>
      </c>
      <c r="BB67" s="20">
        <v>0</v>
      </c>
      <c r="BC67" s="20">
        <v>0</v>
      </c>
      <c r="BD67" s="20">
        <v>0</v>
      </c>
      <c r="BE67" s="20">
        <v>0</v>
      </c>
      <c r="BF67" s="20">
        <v>0</v>
      </c>
      <c r="BG67" s="20">
        <v>0</v>
      </c>
      <c r="BH67" s="20">
        <v>0</v>
      </c>
      <c r="BI67" s="20">
        <v>0</v>
      </c>
      <c r="BJ67" s="20">
        <v>0</v>
      </c>
      <c r="BK67" s="20">
        <v>0</v>
      </c>
      <c r="BL67" s="20">
        <v>0</v>
      </c>
      <c r="BM67" s="20">
        <v>0</v>
      </c>
      <c r="BN67" s="22">
        <v>0</v>
      </c>
      <c r="BO67" s="22">
        <v>0</v>
      </c>
      <c r="BP67" s="22">
        <v>0</v>
      </c>
      <c r="BR67" s="20" t="str">
        <v/>
      </c>
      <c r="BS67" s="23"/>
      <c r="BT67" s="23"/>
      <c r="BV67" s="23"/>
      <c r="BW67" s="23"/>
      <c r="BX67" s="23"/>
      <c r="BY67" s="45"/>
      <c r="CA67" s="45"/>
      <c r="CH67" s="20">
        <v>0</v>
      </c>
      <c r="CI67" s="20">
        <v>0</v>
      </c>
      <c r="CJ67" s="20">
        <v>0</v>
      </c>
      <c r="CK67" s="20" t="str">
        <v/>
      </c>
      <c r="CL67" s="20" t="str">
        <v/>
      </c>
      <c r="CN67" s="20">
        <v>0</v>
      </c>
      <c r="CO67" s="20">
        <v>0</v>
      </c>
      <c r="CP67" s="20">
        <v>0</v>
      </c>
      <c r="CQ67" s="20">
        <v>0</v>
      </c>
      <c r="CR67" s="20">
        <v>0</v>
      </c>
      <c r="CS67" s="20">
        <v>0</v>
      </c>
      <c r="CT67" s="20">
        <v>0</v>
      </c>
      <c r="CU67" s="20">
        <v>0</v>
      </c>
      <c r="CV67" s="20">
        <v>0</v>
      </c>
      <c r="CW67" s="20">
        <v>0</v>
      </c>
      <c r="CX67" s="20">
        <v>0</v>
      </c>
      <c r="CY67" s="20">
        <v>0</v>
      </c>
      <c r="CZ67" s="20">
        <v>0</v>
      </c>
      <c r="DA67" s="19">
        <v>0</v>
      </c>
      <c r="DB67" s="20">
        <v>0</v>
      </c>
      <c r="DC67" s="25">
        <v>0</v>
      </c>
      <c r="DD67" s="20">
        <v>0</v>
      </c>
      <c r="DE67" s="20">
        <v>0</v>
      </c>
      <c r="DF67" s="20">
        <v>0</v>
      </c>
      <c r="DG67" s="20">
        <v>0</v>
      </c>
      <c r="DH67" s="20">
        <v>0</v>
      </c>
      <c r="DI67" s="20">
        <v>0</v>
      </c>
    </row>
    <row r="68" spans="1:113">
      <c r="A68" s="20" t="str">
        <v>00:00:00</v>
      </c>
      <c r="B68" s="19">
        <v>0</v>
      </c>
      <c r="C68" s="21">
        <v>0</v>
      </c>
      <c r="D68" s="20" t="str">
        <v>未匹配</v>
      </c>
      <c r="E68" s="20">
        <v>0</v>
      </c>
      <c r="I68" s="20" t="str">
        <v/>
      </c>
      <c r="J68" s="20">
        <v>0</v>
      </c>
      <c r="K68" s="22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E68" s="20" t="str">
        <v/>
      </c>
      <c r="AF68" s="20">
        <v>0</v>
      </c>
      <c r="AG68" s="22" t="e">
        <v>#VALUE!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  <c r="BK68" s="20">
        <v>0</v>
      </c>
      <c r="BL68" s="20">
        <v>0</v>
      </c>
      <c r="BM68" s="20">
        <v>0</v>
      </c>
      <c r="BN68" s="22">
        <v>0</v>
      </c>
      <c r="BO68" s="22">
        <v>0</v>
      </c>
      <c r="BP68" s="22">
        <v>0</v>
      </c>
      <c r="BR68" s="20" t="str">
        <v/>
      </c>
      <c r="BS68" s="23"/>
      <c r="BT68" s="23"/>
      <c r="BV68" s="23"/>
      <c r="BW68" s="23"/>
      <c r="BX68" s="23"/>
      <c r="BY68" s="45"/>
      <c r="CA68" s="45"/>
      <c r="CH68" s="20">
        <v>0</v>
      </c>
      <c r="CI68" s="20">
        <v>0</v>
      </c>
      <c r="CJ68" s="20">
        <v>0</v>
      </c>
      <c r="CK68" s="20" t="str">
        <v/>
      </c>
      <c r="CL68" s="20" t="str">
        <v/>
      </c>
      <c r="CN68" s="20">
        <v>0</v>
      </c>
      <c r="CO68" s="20">
        <v>0</v>
      </c>
      <c r="CP68" s="20">
        <v>0</v>
      </c>
      <c r="CQ68" s="20">
        <v>0</v>
      </c>
      <c r="CR68" s="20">
        <v>0</v>
      </c>
      <c r="CS68" s="20">
        <v>0</v>
      </c>
      <c r="CT68" s="20">
        <v>0</v>
      </c>
      <c r="CU68" s="20">
        <v>0</v>
      </c>
      <c r="CV68" s="20">
        <v>0</v>
      </c>
      <c r="CW68" s="20">
        <v>0</v>
      </c>
      <c r="CX68" s="20">
        <v>0</v>
      </c>
      <c r="CY68" s="20">
        <v>0</v>
      </c>
      <c r="CZ68" s="20">
        <v>0</v>
      </c>
      <c r="DA68" s="19">
        <v>0</v>
      </c>
      <c r="DB68" s="20">
        <v>0</v>
      </c>
      <c r="DC68" s="25">
        <v>0</v>
      </c>
      <c r="DD68" s="20">
        <v>0</v>
      </c>
      <c r="DE68" s="20">
        <v>0</v>
      </c>
      <c r="DF68" s="20">
        <v>0</v>
      </c>
      <c r="DG68" s="20">
        <v>0</v>
      </c>
      <c r="DH68" s="20">
        <v>0</v>
      </c>
      <c r="DI68" s="20">
        <v>0</v>
      </c>
    </row>
    <row r="69" spans="1:113">
      <c r="A69" s="20" t="str">
        <v>00:00:00</v>
      </c>
      <c r="B69" s="19">
        <v>0</v>
      </c>
      <c r="C69" s="21">
        <v>0</v>
      </c>
      <c r="D69" s="20" t="str">
        <v>未匹配</v>
      </c>
      <c r="E69" s="20">
        <v>0</v>
      </c>
      <c r="I69" s="20" t="str">
        <v/>
      </c>
      <c r="J69" s="20">
        <v>0</v>
      </c>
      <c r="K69" s="22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0</v>
      </c>
      <c r="AB69" s="20">
        <v>0</v>
      </c>
      <c r="AC69" s="20">
        <v>0</v>
      </c>
      <c r="AE69" s="20" t="str">
        <v/>
      </c>
      <c r="AF69" s="20">
        <v>0</v>
      </c>
      <c r="AG69" s="22" t="e">
        <v>#VALUE!</v>
      </c>
      <c r="AI69" s="20">
        <v>0</v>
      </c>
      <c r="AJ69" s="20">
        <v>0</v>
      </c>
      <c r="AK69" s="20">
        <v>0</v>
      </c>
      <c r="AL69" s="20">
        <v>0</v>
      </c>
      <c r="AM69" s="20">
        <v>0</v>
      </c>
      <c r="AN69" s="20">
        <v>0</v>
      </c>
      <c r="AO69" s="20">
        <v>0</v>
      </c>
      <c r="AP69" s="20">
        <v>0</v>
      </c>
      <c r="AQ69" s="20">
        <v>0</v>
      </c>
      <c r="AR69" s="20">
        <v>0</v>
      </c>
      <c r="AS69" s="20">
        <v>0</v>
      </c>
      <c r="AT69" s="20">
        <v>0</v>
      </c>
      <c r="AU69" s="20">
        <v>0</v>
      </c>
      <c r="AV69" s="20">
        <v>0</v>
      </c>
      <c r="AW69" s="20">
        <v>0</v>
      </c>
      <c r="AX69" s="20">
        <v>0</v>
      </c>
      <c r="AY69" s="20">
        <v>0</v>
      </c>
      <c r="AZ69" s="20">
        <v>0</v>
      </c>
      <c r="BA69" s="20">
        <v>0</v>
      </c>
      <c r="BB69" s="20">
        <v>0</v>
      </c>
      <c r="BC69" s="20">
        <v>0</v>
      </c>
      <c r="BD69" s="20">
        <v>0</v>
      </c>
      <c r="BE69" s="20">
        <v>0</v>
      </c>
      <c r="BF69" s="20">
        <v>0</v>
      </c>
      <c r="BG69" s="20">
        <v>0</v>
      </c>
      <c r="BH69" s="20">
        <v>0</v>
      </c>
      <c r="BI69" s="20">
        <v>0</v>
      </c>
      <c r="BJ69" s="20">
        <v>0</v>
      </c>
      <c r="BK69" s="20">
        <v>0</v>
      </c>
      <c r="BL69" s="20">
        <v>0</v>
      </c>
      <c r="BM69" s="20">
        <v>0</v>
      </c>
      <c r="BN69" s="22">
        <v>0</v>
      </c>
      <c r="BO69" s="22">
        <v>0</v>
      </c>
      <c r="BP69" s="22">
        <v>0</v>
      </c>
      <c r="BR69" s="20" t="str">
        <v/>
      </c>
      <c r="BS69" s="23"/>
      <c r="BT69" s="23"/>
      <c r="BV69" s="23"/>
      <c r="BW69" s="23"/>
      <c r="BX69" s="23"/>
      <c r="BY69" s="45"/>
      <c r="CA69" s="45"/>
      <c r="CH69" s="20">
        <v>0</v>
      </c>
      <c r="CI69" s="20">
        <v>0</v>
      </c>
      <c r="CJ69" s="20">
        <v>0</v>
      </c>
      <c r="CK69" s="20" t="str">
        <v/>
      </c>
      <c r="CL69" s="20" t="str">
        <v/>
      </c>
      <c r="CN69" s="20">
        <v>0</v>
      </c>
      <c r="CO69" s="20">
        <v>0</v>
      </c>
      <c r="CP69" s="20">
        <v>0</v>
      </c>
      <c r="CQ69" s="20">
        <v>0</v>
      </c>
      <c r="CR69" s="20">
        <v>0</v>
      </c>
      <c r="CS69" s="20">
        <v>0</v>
      </c>
      <c r="CT69" s="20">
        <v>0</v>
      </c>
      <c r="CU69" s="20">
        <v>0</v>
      </c>
      <c r="CV69" s="20">
        <v>0</v>
      </c>
      <c r="CW69" s="20">
        <v>0</v>
      </c>
      <c r="CX69" s="20">
        <v>0</v>
      </c>
      <c r="CY69" s="20">
        <v>0</v>
      </c>
      <c r="CZ69" s="20">
        <v>0</v>
      </c>
      <c r="DA69" s="19">
        <v>0</v>
      </c>
      <c r="DB69" s="20">
        <v>0</v>
      </c>
      <c r="DC69" s="25">
        <v>0</v>
      </c>
      <c r="DD69" s="20">
        <v>0</v>
      </c>
      <c r="DE69" s="20">
        <v>0</v>
      </c>
      <c r="DF69" s="20">
        <v>0</v>
      </c>
      <c r="DG69" s="20">
        <v>0</v>
      </c>
      <c r="DH69" s="20">
        <v>0</v>
      </c>
      <c r="DI69" s="20">
        <v>0</v>
      </c>
    </row>
    <row r="70" spans="1:113">
      <c r="A70" s="20" t="str">
        <v>00:00:00</v>
      </c>
      <c r="B70" s="19">
        <v>0</v>
      </c>
      <c r="C70" s="21">
        <v>0</v>
      </c>
      <c r="D70" s="20" t="str">
        <v>未匹配</v>
      </c>
      <c r="E70" s="20">
        <v>0</v>
      </c>
      <c r="I70" s="20" t="str">
        <v/>
      </c>
      <c r="J70" s="20">
        <v>0</v>
      </c>
      <c r="K70" s="22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E70" s="20" t="str">
        <v/>
      </c>
      <c r="AF70" s="20">
        <v>0</v>
      </c>
      <c r="AG70" s="22" t="e">
        <v>#VALUE!</v>
      </c>
      <c r="AI70" s="20">
        <v>0</v>
      </c>
      <c r="AJ70" s="20"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0</v>
      </c>
      <c r="AV70" s="20">
        <v>0</v>
      </c>
      <c r="AW70" s="20">
        <v>0</v>
      </c>
      <c r="AX70" s="20">
        <v>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  <c r="BK70" s="20">
        <v>0</v>
      </c>
      <c r="BL70" s="20">
        <v>0</v>
      </c>
      <c r="BM70" s="20">
        <v>0</v>
      </c>
      <c r="BN70" s="22">
        <v>0</v>
      </c>
      <c r="BO70" s="22">
        <v>0</v>
      </c>
      <c r="BP70" s="22">
        <v>0</v>
      </c>
      <c r="BR70" s="20" t="str">
        <v/>
      </c>
      <c r="BS70" s="23"/>
      <c r="BT70" s="23"/>
      <c r="BV70" s="23"/>
      <c r="BW70" s="23"/>
      <c r="BX70" s="23"/>
      <c r="BY70" s="45"/>
      <c r="CA70" s="45"/>
      <c r="CH70" s="20">
        <v>0</v>
      </c>
      <c r="CI70" s="20">
        <v>0</v>
      </c>
      <c r="CJ70" s="20">
        <v>0</v>
      </c>
      <c r="CK70" s="20" t="str">
        <v/>
      </c>
      <c r="CL70" s="20" t="str">
        <v/>
      </c>
      <c r="CN70" s="20">
        <v>0</v>
      </c>
      <c r="CO70" s="20">
        <v>0</v>
      </c>
      <c r="CP70" s="20">
        <v>0</v>
      </c>
      <c r="CQ70" s="20">
        <v>0</v>
      </c>
      <c r="CR70" s="20">
        <v>0</v>
      </c>
      <c r="CS70" s="20">
        <v>0</v>
      </c>
      <c r="CT70" s="20">
        <v>0</v>
      </c>
      <c r="CU70" s="20">
        <v>0</v>
      </c>
      <c r="CV70" s="20">
        <v>0</v>
      </c>
      <c r="CW70" s="20">
        <v>0</v>
      </c>
      <c r="CX70" s="20">
        <v>0</v>
      </c>
      <c r="CY70" s="20">
        <v>0</v>
      </c>
      <c r="CZ70" s="20">
        <v>0</v>
      </c>
      <c r="DA70" s="19">
        <v>0</v>
      </c>
      <c r="DB70" s="20">
        <v>0</v>
      </c>
      <c r="DC70" s="25">
        <v>0</v>
      </c>
      <c r="DD70" s="20">
        <v>0</v>
      </c>
      <c r="DE70" s="20">
        <v>0</v>
      </c>
      <c r="DF70" s="20">
        <v>0</v>
      </c>
      <c r="DG70" s="20">
        <v>0</v>
      </c>
      <c r="DH70" s="20">
        <v>0</v>
      </c>
      <c r="DI70" s="20">
        <v>0</v>
      </c>
    </row>
    <row r="71" spans="1:113">
      <c r="A71" s="20" t="str">
        <v>00:00:00</v>
      </c>
      <c r="B71" s="19">
        <v>0</v>
      </c>
      <c r="C71" s="21">
        <v>0</v>
      </c>
      <c r="D71" s="20" t="str">
        <v>未匹配</v>
      </c>
      <c r="E71" s="20">
        <v>0</v>
      </c>
      <c r="I71" s="20" t="str">
        <v/>
      </c>
      <c r="J71" s="20">
        <v>0</v>
      </c>
      <c r="K71" s="22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  <c r="Z71" s="20">
        <v>0</v>
      </c>
      <c r="AA71" s="20">
        <v>0</v>
      </c>
      <c r="AB71" s="20">
        <v>0</v>
      </c>
      <c r="AC71" s="20">
        <v>0</v>
      </c>
      <c r="AE71" s="20" t="str">
        <v/>
      </c>
      <c r="AF71" s="20">
        <v>0</v>
      </c>
      <c r="AG71" s="22" t="e">
        <v>#VALUE!</v>
      </c>
      <c r="AI71" s="20">
        <v>0</v>
      </c>
      <c r="AJ71" s="20">
        <v>0</v>
      </c>
      <c r="AK71" s="20">
        <v>0</v>
      </c>
      <c r="AL71" s="20">
        <v>0</v>
      </c>
      <c r="AM71" s="20">
        <v>0</v>
      </c>
      <c r="AN71" s="20">
        <v>0</v>
      </c>
      <c r="AO71" s="20">
        <v>0</v>
      </c>
      <c r="AP71" s="20">
        <v>0</v>
      </c>
      <c r="AQ71" s="20">
        <v>0</v>
      </c>
      <c r="AR71" s="20">
        <v>0</v>
      </c>
      <c r="AS71" s="20">
        <v>0</v>
      </c>
      <c r="AT71" s="20">
        <v>0</v>
      </c>
      <c r="AU71" s="20">
        <v>0</v>
      </c>
      <c r="AV71" s="20">
        <v>0</v>
      </c>
      <c r="AW71" s="20">
        <v>0</v>
      </c>
      <c r="AX71" s="20">
        <v>0</v>
      </c>
      <c r="AY71" s="20">
        <v>0</v>
      </c>
      <c r="AZ71" s="20">
        <v>0</v>
      </c>
      <c r="BA71" s="20">
        <v>0</v>
      </c>
      <c r="BB71" s="20">
        <v>0</v>
      </c>
      <c r="BC71" s="20">
        <v>0</v>
      </c>
      <c r="BD71" s="20">
        <v>0</v>
      </c>
      <c r="BE71" s="20">
        <v>0</v>
      </c>
      <c r="BF71" s="20">
        <v>0</v>
      </c>
      <c r="BG71" s="20">
        <v>0</v>
      </c>
      <c r="BH71" s="20">
        <v>0</v>
      </c>
      <c r="BI71" s="20">
        <v>0</v>
      </c>
      <c r="BJ71" s="20">
        <v>0</v>
      </c>
      <c r="BK71" s="20">
        <v>0</v>
      </c>
      <c r="BL71" s="20">
        <v>0</v>
      </c>
      <c r="BM71" s="20">
        <v>0</v>
      </c>
      <c r="BN71" s="22">
        <v>0</v>
      </c>
      <c r="BO71" s="22">
        <v>0</v>
      </c>
      <c r="BP71" s="22">
        <v>0</v>
      </c>
      <c r="BR71" s="20" t="str">
        <v/>
      </c>
      <c r="BS71" s="23"/>
      <c r="BT71" s="23"/>
      <c r="BV71" s="23"/>
      <c r="BW71" s="23"/>
      <c r="BX71" s="23"/>
      <c r="BY71" s="45"/>
      <c r="CA71" s="45"/>
      <c r="CH71" s="20">
        <v>0</v>
      </c>
      <c r="CI71" s="20">
        <v>0</v>
      </c>
      <c r="CJ71" s="20">
        <v>0</v>
      </c>
      <c r="CK71" s="20" t="str">
        <v/>
      </c>
      <c r="CL71" s="20" t="str">
        <v/>
      </c>
      <c r="CN71" s="20">
        <v>0</v>
      </c>
      <c r="CO71" s="20">
        <v>0</v>
      </c>
      <c r="CP71" s="20">
        <v>0</v>
      </c>
      <c r="CQ71" s="20">
        <v>0</v>
      </c>
      <c r="CR71" s="20">
        <v>0</v>
      </c>
      <c r="CS71" s="20">
        <v>0</v>
      </c>
      <c r="CT71" s="20">
        <v>0</v>
      </c>
      <c r="CU71" s="20">
        <v>0</v>
      </c>
      <c r="CV71" s="20">
        <v>0</v>
      </c>
      <c r="CW71" s="20">
        <v>0</v>
      </c>
      <c r="CX71" s="20">
        <v>0</v>
      </c>
      <c r="CY71" s="20">
        <v>0</v>
      </c>
      <c r="CZ71" s="20">
        <v>0</v>
      </c>
      <c r="DA71" s="19">
        <v>0</v>
      </c>
      <c r="DB71" s="20">
        <v>0</v>
      </c>
      <c r="DC71" s="25">
        <v>0</v>
      </c>
      <c r="DD71" s="20">
        <v>0</v>
      </c>
      <c r="DE71" s="20">
        <v>0</v>
      </c>
      <c r="DF71" s="20">
        <v>0</v>
      </c>
      <c r="DG71" s="20">
        <v>0</v>
      </c>
      <c r="DH71" s="20">
        <v>0</v>
      </c>
      <c r="DI71" s="20">
        <v>0</v>
      </c>
    </row>
    <row r="72" spans="1:113">
      <c r="A72" s="20" t="str">
        <v>00:00:00</v>
      </c>
      <c r="B72" s="19">
        <v>0</v>
      </c>
      <c r="C72" s="21">
        <v>0</v>
      </c>
      <c r="D72" s="20" t="str">
        <v>未匹配</v>
      </c>
      <c r="E72" s="20">
        <v>0</v>
      </c>
      <c r="I72" s="20" t="str">
        <v/>
      </c>
      <c r="J72" s="20">
        <v>0</v>
      </c>
      <c r="K72" s="22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E72" s="20" t="str">
        <v/>
      </c>
      <c r="AF72" s="20">
        <v>0</v>
      </c>
      <c r="AG72" s="22" t="e">
        <v>#VALUE!</v>
      </c>
      <c r="AI72" s="20">
        <v>0</v>
      </c>
      <c r="AJ72" s="20">
        <v>0</v>
      </c>
      <c r="AK72" s="20">
        <v>0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Q72" s="20">
        <v>0</v>
      </c>
      <c r="AR72" s="20">
        <v>0</v>
      </c>
      <c r="AS72" s="20">
        <v>0</v>
      </c>
      <c r="AT72" s="20">
        <v>0</v>
      </c>
      <c r="AU72" s="20">
        <v>0</v>
      </c>
      <c r="AV72" s="20">
        <v>0</v>
      </c>
      <c r="AW72" s="20">
        <v>0</v>
      </c>
      <c r="AX72" s="20">
        <v>0</v>
      </c>
      <c r="AY72" s="20">
        <v>0</v>
      </c>
      <c r="AZ72" s="20">
        <v>0</v>
      </c>
      <c r="BA72" s="20">
        <v>0</v>
      </c>
      <c r="BB72" s="20">
        <v>0</v>
      </c>
      <c r="BC72" s="20">
        <v>0</v>
      </c>
      <c r="BD72" s="20">
        <v>0</v>
      </c>
      <c r="BE72" s="20">
        <v>0</v>
      </c>
      <c r="BF72" s="20">
        <v>0</v>
      </c>
      <c r="BG72" s="20">
        <v>0</v>
      </c>
      <c r="BH72" s="20">
        <v>0</v>
      </c>
      <c r="BI72" s="20">
        <v>0</v>
      </c>
      <c r="BJ72" s="20">
        <v>0</v>
      </c>
      <c r="BK72" s="20">
        <v>0</v>
      </c>
      <c r="BL72" s="20">
        <v>0</v>
      </c>
      <c r="BM72" s="20">
        <v>0</v>
      </c>
      <c r="BN72" s="22">
        <v>0</v>
      </c>
      <c r="BO72" s="22">
        <v>0</v>
      </c>
      <c r="BP72" s="22">
        <v>0</v>
      </c>
      <c r="BR72" s="20" t="str">
        <v/>
      </c>
      <c r="BS72" s="23"/>
      <c r="BT72" s="23"/>
      <c r="BV72" s="23"/>
      <c r="BW72" s="23"/>
      <c r="BX72" s="23"/>
      <c r="BY72" s="45"/>
      <c r="CA72" s="45"/>
      <c r="CH72" s="20">
        <v>0</v>
      </c>
      <c r="CI72" s="20">
        <v>0</v>
      </c>
      <c r="CJ72" s="20">
        <v>0</v>
      </c>
      <c r="CK72" s="20" t="str">
        <v/>
      </c>
      <c r="CL72" s="20" t="str">
        <v/>
      </c>
      <c r="CN72" s="20">
        <v>0</v>
      </c>
      <c r="CO72" s="20">
        <v>0</v>
      </c>
      <c r="CP72" s="20">
        <v>0</v>
      </c>
      <c r="CQ72" s="20">
        <v>0</v>
      </c>
      <c r="CR72" s="20">
        <v>0</v>
      </c>
      <c r="CS72" s="20">
        <v>0</v>
      </c>
      <c r="CT72" s="20">
        <v>0</v>
      </c>
      <c r="CU72" s="20">
        <v>0</v>
      </c>
      <c r="CV72" s="20">
        <v>0</v>
      </c>
      <c r="CW72" s="20">
        <v>0</v>
      </c>
      <c r="CX72" s="20">
        <v>0</v>
      </c>
      <c r="CY72" s="20">
        <v>0</v>
      </c>
      <c r="CZ72" s="20">
        <v>0</v>
      </c>
      <c r="DA72" s="19">
        <v>0</v>
      </c>
      <c r="DB72" s="20">
        <v>0</v>
      </c>
      <c r="DC72" s="25">
        <v>0</v>
      </c>
      <c r="DD72" s="20">
        <v>0</v>
      </c>
      <c r="DE72" s="20">
        <v>0</v>
      </c>
      <c r="DF72" s="20">
        <v>0</v>
      </c>
      <c r="DG72" s="20">
        <v>0</v>
      </c>
      <c r="DH72" s="20">
        <v>0</v>
      </c>
      <c r="DI72" s="20">
        <v>0</v>
      </c>
    </row>
    <row r="73" spans="1:113">
      <c r="A73" s="20" t="str">
        <v>00:00:00</v>
      </c>
      <c r="B73" s="19">
        <v>0</v>
      </c>
      <c r="C73" s="21">
        <v>0</v>
      </c>
      <c r="D73" s="20" t="str">
        <v>未匹配</v>
      </c>
      <c r="E73" s="20">
        <v>0</v>
      </c>
      <c r="I73" s="20" t="str">
        <v/>
      </c>
      <c r="J73" s="20">
        <v>0</v>
      </c>
      <c r="K73" s="22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E73" s="20" t="str">
        <v/>
      </c>
      <c r="AF73" s="20">
        <v>0</v>
      </c>
      <c r="AG73" s="22" t="e">
        <v>#VALUE!</v>
      </c>
      <c r="AI73" s="20">
        <v>0</v>
      </c>
      <c r="AJ73" s="20">
        <v>0</v>
      </c>
      <c r="AK73" s="20">
        <v>0</v>
      </c>
      <c r="AL73" s="20">
        <v>0</v>
      </c>
      <c r="AM73" s="20">
        <v>0</v>
      </c>
      <c r="AN73" s="20">
        <v>0</v>
      </c>
      <c r="AO73" s="20">
        <v>0</v>
      </c>
      <c r="AP73" s="20">
        <v>0</v>
      </c>
      <c r="AQ73" s="20">
        <v>0</v>
      </c>
      <c r="AR73" s="20">
        <v>0</v>
      </c>
      <c r="AS73" s="20">
        <v>0</v>
      </c>
      <c r="AT73" s="20">
        <v>0</v>
      </c>
      <c r="AU73" s="20">
        <v>0</v>
      </c>
      <c r="AV73" s="20">
        <v>0</v>
      </c>
      <c r="AW73" s="20">
        <v>0</v>
      </c>
      <c r="AX73" s="20">
        <v>0</v>
      </c>
      <c r="AY73" s="20">
        <v>0</v>
      </c>
      <c r="AZ73" s="20">
        <v>0</v>
      </c>
      <c r="BA73" s="20">
        <v>0</v>
      </c>
      <c r="BB73" s="20">
        <v>0</v>
      </c>
      <c r="BC73" s="20">
        <v>0</v>
      </c>
      <c r="BD73" s="20">
        <v>0</v>
      </c>
      <c r="BE73" s="20">
        <v>0</v>
      </c>
      <c r="BF73" s="20">
        <v>0</v>
      </c>
      <c r="BG73" s="20">
        <v>0</v>
      </c>
      <c r="BH73" s="20">
        <v>0</v>
      </c>
      <c r="BI73" s="20">
        <v>0</v>
      </c>
      <c r="BJ73" s="20">
        <v>0</v>
      </c>
      <c r="BK73" s="20">
        <v>0</v>
      </c>
      <c r="BL73" s="20">
        <v>0</v>
      </c>
      <c r="BM73" s="20">
        <v>0</v>
      </c>
      <c r="BN73" s="22">
        <v>0</v>
      </c>
      <c r="BO73" s="22">
        <v>0</v>
      </c>
      <c r="BP73" s="22">
        <v>0</v>
      </c>
      <c r="BR73" s="20" t="str">
        <v/>
      </c>
      <c r="BS73" s="23"/>
      <c r="BT73" s="23"/>
      <c r="BV73" s="23"/>
      <c r="BW73" s="23"/>
      <c r="BX73" s="23"/>
      <c r="BY73" s="45"/>
      <c r="CA73" s="45"/>
      <c r="CH73" s="20">
        <v>0</v>
      </c>
      <c r="CI73" s="20">
        <v>0</v>
      </c>
      <c r="CJ73" s="20">
        <v>0</v>
      </c>
      <c r="CK73" s="20" t="str">
        <v/>
      </c>
      <c r="CL73" s="20" t="str">
        <v/>
      </c>
      <c r="CN73" s="20">
        <v>0</v>
      </c>
      <c r="CO73" s="20">
        <v>0</v>
      </c>
      <c r="CP73" s="20">
        <v>0</v>
      </c>
      <c r="CQ73" s="20">
        <v>0</v>
      </c>
      <c r="CR73" s="20">
        <v>0</v>
      </c>
      <c r="CS73" s="20">
        <v>0</v>
      </c>
      <c r="CT73" s="20">
        <v>0</v>
      </c>
      <c r="CU73" s="20">
        <v>0</v>
      </c>
      <c r="CV73" s="20">
        <v>0</v>
      </c>
      <c r="CW73" s="20">
        <v>0</v>
      </c>
      <c r="CX73" s="20">
        <v>0</v>
      </c>
      <c r="CY73" s="20">
        <v>0</v>
      </c>
      <c r="CZ73" s="20">
        <v>0</v>
      </c>
      <c r="DA73" s="19">
        <v>0</v>
      </c>
      <c r="DB73" s="20">
        <v>0</v>
      </c>
      <c r="DC73" s="25">
        <v>0</v>
      </c>
      <c r="DD73" s="20">
        <v>0</v>
      </c>
      <c r="DE73" s="20">
        <v>0</v>
      </c>
      <c r="DF73" s="20">
        <v>0</v>
      </c>
      <c r="DG73" s="20">
        <v>0</v>
      </c>
      <c r="DH73" s="20">
        <v>0</v>
      </c>
      <c r="DI73" s="20">
        <v>0</v>
      </c>
    </row>
    <row r="74" spans="1:113">
      <c r="A74" s="20" t="str">
        <v>00:00:00</v>
      </c>
      <c r="B74" s="19">
        <v>0</v>
      </c>
      <c r="C74" s="21">
        <v>0</v>
      </c>
      <c r="D74" s="20" t="str">
        <v>未匹配</v>
      </c>
      <c r="E74" s="20">
        <v>0</v>
      </c>
      <c r="I74" s="20" t="str">
        <v/>
      </c>
      <c r="J74" s="20">
        <v>0</v>
      </c>
      <c r="K74" s="22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E74" s="20" t="str">
        <v/>
      </c>
      <c r="AF74" s="20">
        <v>0</v>
      </c>
      <c r="AG74" s="22" t="e">
        <v>#VALUE!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0">
        <v>0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0</v>
      </c>
      <c r="AY74" s="20">
        <v>0</v>
      </c>
      <c r="AZ74" s="20">
        <v>0</v>
      </c>
      <c r="BA74" s="20">
        <v>0</v>
      </c>
      <c r="BB74" s="20">
        <v>0</v>
      </c>
      <c r="BC74" s="20">
        <v>0</v>
      </c>
      <c r="BD74" s="20">
        <v>0</v>
      </c>
      <c r="BE74" s="20">
        <v>0</v>
      </c>
      <c r="BF74" s="20">
        <v>0</v>
      </c>
      <c r="BG74" s="20">
        <v>0</v>
      </c>
      <c r="BH74" s="20">
        <v>0</v>
      </c>
      <c r="BI74" s="20">
        <v>0</v>
      </c>
      <c r="BJ74" s="20">
        <v>0</v>
      </c>
      <c r="BK74" s="20">
        <v>0</v>
      </c>
      <c r="BL74" s="20">
        <v>0</v>
      </c>
      <c r="BM74" s="20">
        <v>0</v>
      </c>
      <c r="BN74" s="22">
        <v>0</v>
      </c>
      <c r="BO74" s="22">
        <v>0</v>
      </c>
      <c r="BP74" s="22">
        <v>0</v>
      </c>
      <c r="BR74" s="20" t="str">
        <v/>
      </c>
      <c r="BS74" s="23"/>
      <c r="BT74" s="23"/>
      <c r="BV74" s="23"/>
      <c r="BW74" s="23"/>
      <c r="BX74" s="23"/>
      <c r="BY74" s="45"/>
      <c r="CA74" s="45"/>
      <c r="CH74" s="20">
        <v>0</v>
      </c>
      <c r="CI74" s="20">
        <v>0</v>
      </c>
      <c r="CJ74" s="20">
        <v>0</v>
      </c>
      <c r="CK74" s="20" t="str">
        <v/>
      </c>
      <c r="CL74" s="20" t="str">
        <v/>
      </c>
      <c r="CN74" s="20">
        <v>0</v>
      </c>
      <c r="CO74" s="20">
        <v>0</v>
      </c>
      <c r="CP74" s="20">
        <v>0</v>
      </c>
      <c r="CQ74" s="20">
        <v>0</v>
      </c>
      <c r="CR74" s="20">
        <v>0</v>
      </c>
      <c r="CS74" s="20">
        <v>0</v>
      </c>
      <c r="CT74" s="20">
        <v>0</v>
      </c>
      <c r="CU74" s="20">
        <v>0</v>
      </c>
      <c r="CV74" s="20">
        <v>0</v>
      </c>
      <c r="CW74" s="20">
        <v>0</v>
      </c>
      <c r="CX74" s="20">
        <v>0</v>
      </c>
      <c r="CY74" s="20">
        <v>0</v>
      </c>
      <c r="CZ74" s="20">
        <v>0</v>
      </c>
      <c r="DA74" s="19">
        <v>0</v>
      </c>
      <c r="DB74" s="20">
        <v>0</v>
      </c>
      <c r="DC74" s="25">
        <v>0</v>
      </c>
      <c r="DD74" s="20">
        <v>0</v>
      </c>
      <c r="DE74" s="20">
        <v>0</v>
      </c>
      <c r="DF74" s="20">
        <v>0</v>
      </c>
      <c r="DG74" s="20">
        <v>0</v>
      </c>
      <c r="DH74" s="20">
        <v>0</v>
      </c>
      <c r="DI74" s="20">
        <v>0</v>
      </c>
    </row>
    <row r="75" spans="1:113">
      <c r="A75" s="20" t="str">
        <v>00:00:00</v>
      </c>
      <c r="B75" s="19">
        <v>0</v>
      </c>
      <c r="C75" s="21">
        <v>0</v>
      </c>
      <c r="D75" s="20" t="str">
        <v>未匹配</v>
      </c>
      <c r="E75" s="20">
        <v>0</v>
      </c>
      <c r="I75" s="20" t="str">
        <v/>
      </c>
      <c r="J75" s="20">
        <v>0</v>
      </c>
      <c r="K75" s="22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E75" s="20" t="str">
        <v/>
      </c>
      <c r="AF75" s="20">
        <v>0</v>
      </c>
      <c r="AG75" s="22" t="e">
        <v>#VALUE!</v>
      </c>
      <c r="AI75" s="20">
        <v>0</v>
      </c>
      <c r="AJ75" s="20">
        <v>0</v>
      </c>
      <c r="AK75" s="20">
        <v>0</v>
      </c>
      <c r="AL75" s="20">
        <v>0</v>
      </c>
      <c r="AM75" s="20">
        <v>0</v>
      </c>
      <c r="AN75" s="20">
        <v>0</v>
      </c>
      <c r="AO75" s="20">
        <v>0</v>
      </c>
      <c r="AP75" s="20">
        <v>0</v>
      </c>
      <c r="AQ75" s="20">
        <v>0</v>
      </c>
      <c r="AR75" s="20">
        <v>0</v>
      </c>
      <c r="AS75" s="20">
        <v>0</v>
      </c>
      <c r="AT75" s="20">
        <v>0</v>
      </c>
      <c r="AU75" s="20">
        <v>0</v>
      </c>
      <c r="AV75" s="20">
        <v>0</v>
      </c>
      <c r="AW75" s="20">
        <v>0</v>
      </c>
      <c r="AX75" s="20">
        <v>0</v>
      </c>
      <c r="AY75" s="20">
        <v>0</v>
      </c>
      <c r="AZ75" s="20">
        <v>0</v>
      </c>
      <c r="BA75" s="20">
        <v>0</v>
      </c>
      <c r="BB75" s="20">
        <v>0</v>
      </c>
      <c r="BC75" s="20">
        <v>0</v>
      </c>
      <c r="BD75" s="20">
        <v>0</v>
      </c>
      <c r="BE75" s="20">
        <v>0</v>
      </c>
      <c r="BF75" s="20">
        <v>0</v>
      </c>
      <c r="BG75" s="20">
        <v>0</v>
      </c>
      <c r="BH75" s="20">
        <v>0</v>
      </c>
      <c r="BI75" s="20">
        <v>0</v>
      </c>
      <c r="BJ75" s="20">
        <v>0</v>
      </c>
      <c r="BK75" s="20">
        <v>0</v>
      </c>
      <c r="BL75" s="20">
        <v>0</v>
      </c>
      <c r="BM75" s="20">
        <v>0</v>
      </c>
      <c r="BN75" s="22">
        <v>0</v>
      </c>
      <c r="BO75" s="22">
        <v>0</v>
      </c>
      <c r="BP75" s="22">
        <v>0</v>
      </c>
      <c r="BR75" s="20" t="str">
        <v/>
      </c>
      <c r="BS75" s="23"/>
      <c r="BT75" s="23"/>
      <c r="BV75" s="23"/>
      <c r="BW75" s="23"/>
      <c r="BX75" s="23"/>
      <c r="BY75" s="45"/>
      <c r="CA75" s="45"/>
      <c r="CH75" s="20">
        <v>0</v>
      </c>
      <c r="CI75" s="20">
        <v>0</v>
      </c>
      <c r="CJ75" s="20">
        <v>0</v>
      </c>
      <c r="CK75" s="20" t="str">
        <v/>
      </c>
      <c r="CL75" s="20" t="str">
        <v/>
      </c>
      <c r="CN75" s="20">
        <v>0</v>
      </c>
      <c r="CO75" s="20">
        <v>0</v>
      </c>
      <c r="CP75" s="20">
        <v>0</v>
      </c>
      <c r="CQ75" s="20">
        <v>0</v>
      </c>
      <c r="CR75" s="20">
        <v>0</v>
      </c>
      <c r="CS75" s="20">
        <v>0</v>
      </c>
      <c r="CT75" s="20">
        <v>0</v>
      </c>
      <c r="CU75" s="20">
        <v>0</v>
      </c>
      <c r="CV75" s="20">
        <v>0</v>
      </c>
      <c r="CW75" s="20">
        <v>0</v>
      </c>
      <c r="CX75" s="20">
        <v>0</v>
      </c>
      <c r="CY75" s="20">
        <v>0</v>
      </c>
      <c r="CZ75" s="20">
        <v>0</v>
      </c>
      <c r="DA75" s="19">
        <v>0</v>
      </c>
      <c r="DB75" s="20">
        <v>0</v>
      </c>
      <c r="DC75" s="25">
        <v>0</v>
      </c>
      <c r="DD75" s="20">
        <v>0</v>
      </c>
      <c r="DE75" s="20">
        <v>0</v>
      </c>
      <c r="DF75" s="20">
        <v>0</v>
      </c>
      <c r="DG75" s="20">
        <v>0</v>
      </c>
      <c r="DH75" s="20">
        <v>0</v>
      </c>
      <c r="DI75" s="20">
        <v>0</v>
      </c>
    </row>
    <row r="76" spans="1:113">
      <c r="A76" s="20" t="str">
        <v>00:00:00</v>
      </c>
      <c r="B76" s="19">
        <v>0</v>
      </c>
      <c r="C76" s="21">
        <v>0</v>
      </c>
      <c r="D76" s="20" t="str">
        <v>未匹配</v>
      </c>
      <c r="E76" s="20">
        <v>0</v>
      </c>
      <c r="I76" s="20" t="str">
        <v/>
      </c>
      <c r="J76" s="20">
        <v>0</v>
      </c>
      <c r="K76" s="22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E76" s="20" t="str">
        <v/>
      </c>
      <c r="AF76" s="20">
        <v>0</v>
      </c>
      <c r="AG76" s="22" t="e">
        <v>#VALUE!</v>
      </c>
      <c r="AI76" s="20">
        <v>0</v>
      </c>
      <c r="AJ76" s="20">
        <v>0</v>
      </c>
      <c r="AK76" s="20">
        <v>0</v>
      </c>
      <c r="AL76" s="20">
        <v>0</v>
      </c>
      <c r="AM76" s="20">
        <v>0</v>
      </c>
      <c r="AN76" s="20">
        <v>0</v>
      </c>
      <c r="AO76" s="20">
        <v>0</v>
      </c>
      <c r="AP76" s="20">
        <v>0</v>
      </c>
      <c r="AQ76" s="20">
        <v>0</v>
      </c>
      <c r="AR76" s="20">
        <v>0</v>
      </c>
      <c r="AS76" s="20">
        <v>0</v>
      </c>
      <c r="AT76" s="20">
        <v>0</v>
      </c>
      <c r="AU76" s="20">
        <v>0</v>
      </c>
      <c r="AV76" s="20">
        <v>0</v>
      </c>
      <c r="AW76" s="20">
        <v>0</v>
      </c>
      <c r="AX76" s="20">
        <v>0</v>
      </c>
      <c r="AY76" s="20">
        <v>0</v>
      </c>
      <c r="AZ76" s="20">
        <v>0</v>
      </c>
      <c r="BA76" s="20">
        <v>0</v>
      </c>
      <c r="BB76" s="20">
        <v>0</v>
      </c>
      <c r="BC76" s="20">
        <v>0</v>
      </c>
      <c r="BD76" s="20">
        <v>0</v>
      </c>
      <c r="BE76" s="20">
        <v>0</v>
      </c>
      <c r="BF76" s="20">
        <v>0</v>
      </c>
      <c r="BG76" s="20">
        <v>0</v>
      </c>
      <c r="BH76" s="20">
        <v>0</v>
      </c>
      <c r="BI76" s="20">
        <v>0</v>
      </c>
      <c r="BJ76" s="20">
        <v>0</v>
      </c>
      <c r="BK76" s="20">
        <v>0</v>
      </c>
      <c r="BL76" s="20">
        <v>0</v>
      </c>
      <c r="BM76" s="20">
        <v>0</v>
      </c>
      <c r="BN76" s="22">
        <v>0</v>
      </c>
      <c r="BO76" s="22">
        <v>0</v>
      </c>
      <c r="BP76" s="22">
        <v>0</v>
      </c>
      <c r="BR76" s="20" t="str">
        <v/>
      </c>
      <c r="BS76" s="23"/>
      <c r="BT76" s="23"/>
      <c r="BV76" s="23"/>
      <c r="BW76" s="23"/>
      <c r="BX76" s="23"/>
      <c r="BY76" s="45"/>
      <c r="CA76" s="45"/>
      <c r="CH76" s="20">
        <v>0</v>
      </c>
      <c r="CI76" s="20">
        <v>0</v>
      </c>
      <c r="CJ76" s="20">
        <v>0</v>
      </c>
      <c r="CK76" s="20" t="str">
        <v/>
      </c>
      <c r="CL76" s="20" t="str">
        <v/>
      </c>
      <c r="CN76" s="20">
        <v>0</v>
      </c>
      <c r="CO76" s="20">
        <v>0</v>
      </c>
      <c r="CP76" s="20">
        <v>0</v>
      </c>
      <c r="CQ76" s="20">
        <v>0</v>
      </c>
      <c r="CR76" s="20">
        <v>0</v>
      </c>
      <c r="CS76" s="20">
        <v>0</v>
      </c>
      <c r="CT76" s="20">
        <v>0</v>
      </c>
      <c r="CU76" s="20">
        <v>0</v>
      </c>
      <c r="CV76" s="20">
        <v>0</v>
      </c>
      <c r="CW76" s="20">
        <v>0</v>
      </c>
      <c r="CX76" s="20">
        <v>0</v>
      </c>
      <c r="CY76" s="20">
        <v>0</v>
      </c>
      <c r="CZ76" s="20">
        <v>0</v>
      </c>
      <c r="DA76" s="19">
        <v>0</v>
      </c>
      <c r="DB76" s="20">
        <v>0</v>
      </c>
      <c r="DC76" s="25">
        <v>0</v>
      </c>
      <c r="DD76" s="20">
        <v>0</v>
      </c>
      <c r="DE76" s="20">
        <v>0</v>
      </c>
      <c r="DF76" s="20">
        <v>0</v>
      </c>
      <c r="DG76" s="20">
        <v>0</v>
      </c>
      <c r="DH76" s="20">
        <v>0</v>
      </c>
      <c r="DI76" s="20">
        <v>0</v>
      </c>
    </row>
    <row r="77" spans="1:113">
      <c r="A77" s="20" t="str">
        <v>00:00:00</v>
      </c>
      <c r="B77" s="19">
        <v>0</v>
      </c>
      <c r="C77" s="21">
        <v>0</v>
      </c>
      <c r="D77" s="20" t="str">
        <v>未匹配</v>
      </c>
      <c r="E77" s="20">
        <v>0</v>
      </c>
      <c r="I77" s="20" t="str">
        <v/>
      </c>
      <c r="J77" s="20">
        <v>0</v>
      </c>
      <c r="K77" s="22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  <c r="Z77" s="20">
        <v>0</v>
      </c>
      <c r="AA77" s="20">
        <v>0</v>
      </c>
      <c r="AB77" s="20">
        <v>0</v>
      </c>
      <c r="AC77" s="20">
        <v>0</v>
      </c>
      <c r="AE77" s="20" t="str">
        <v/>
      </c>
      <c r="AF77" s="20">
        <v>0</v>
      </c>
      <c r="AG77" s="22" t="e">
        <v>#VALUE!</v>
      </c>
      <c r="AI77" s="20">
        <v>0</v>
      </c>
      <c r="AJ77" s="20">
        <v>0</v>
      </c>
      <c r="AK77" s="20">
        <v>0</v>
      </c>
      <c r="AL77" s="20">
        <v>0</v>
      </c>
      <c r="AM77" s="20">
        <v>0</v>
      </c>
      <c r="AN77" s="20">
        <v>0</v>
      </c>
      <c r="AO77" s="20">
        <v>0</v>
      </c>
      <c r="AP77" s="20">
        <v>0</v>
      </c>
      <c r="AQ77" s="20">
        <v>0</v>
      </c>
      <c r="AR77" s="20">
        <v>0</v>
      </c>
      <c r="AS77" s="20">
        <v>0</v>
      </c>
      <c r="AT77" s="20">
        <v>0</v>
      </c>
      <c r="AU77" s="20">
        <v>0</v>
      </c>
      <c r="AV77" s="20">
        <v>0</v>
      </c>
      <c r="AW77" s="20">
        <v>0</v>
      </c>
      <c r="AX77" s="20">
        <v>0</v>
      </c>
      <c r="AY77" s="20">
        <v>0</v>
      </c>
      <c r="AZ77" s="20">
        <v>0</v>
      </c>
      <c r="BA77" s="20">
        <v>0</v>
      </c>
      <c r="BB77" s="20">
        <v>0</v>
      </c>
      <c r="BC77" s="20">
        <v>0</v>
      </c>
      <c r="BD77" s="20">
        <v>0</v>
      </c>
      <c r="BE77" s="20">
        <v>0</v>
      </c>
      <c r="BF77" s="20">
        <v>0</v>
      </c>
      <c r="BG77" s="20">
        <v>0</v>
      </c>
      <c r="BH77" s="20">
        <v>0</v>
      </c>
      <c r="BI77" s="20">
        <v>0</v>
      </c>
      <c r="BJ77" s="20">
        <v>0</v>
      </c>
      <c r="BK77" s="20">
        <v>0</v>
      </c>
      <c r="BL77" s="20">
        <v>0</v>
      </c>
      <c r="BM77" s="20">
        <v>0</v>
      </c>
      <c r="BN77" s="22">
        <v>0</v>
      </c>
      <c r="BO77" s="22">
        <v>0</v>
      </c>
      <c r="BP77" s="22">
        <v>0</v>
      </c>
      <c r="BR77" s="20" t="str">
        <v/>
      </c>
      <c r="BS77" s="23"/>
      <c r="BT77" s="23"/>
      <c r="BV77" s="23"/>
      <c r="BW77" s="23"/>
      <c r="BX77" s="23"/>
      <c r="BY77" s="45"/>
      <c r="CA77" s="45"/>
      <c r="CH77" s="20">
        <v>0</v>
      </c>
      <c r="CI77" s="20">
        <v>0</v>
      </c>
      <c r="CJ77" s="20">
        <v>0</v>
      </c>
      <c r="CK77" s="20" t="str">
        <v/>
      </c>
      <c r="CL77" s="20" t="str">
        <v/>
      </c>
      <c r="CN77" s="20">
        <v>0</v>
      </c>
      <c r="CO77" s="20">
        <v>0</v>
      </c>
      <c r="CP77" s="20">
        <v>0</v>
      </c>
      <c r="CQ77" s="20">
        <v>0</v>
      </c>
      <c r="CR77" s="20">
        <v>0</v>
      </c>
      <c r="CS77" s="20">
        <v>0</v>
      </c>
      <c r="CT77" s="20">
        <v>0</v>
      </c>
      <c r="CU77" s="20">
        <v>0</v>
      </c>
      <c r="CV77" s="20">
        <v>0</v>
      </c>
      <c r="CW77" s="20">
        <v>0</v>
      </c>
      <c r="CX77" s="20">
        <v>0</v>
      </c>
      <c r="CY77" s="20">
        <v>0</v>
      </c>
      <c r="CZ77" s="20">
        <v>0</v>
      </c>
      <c r="DA77" s="19">
        <v>0</v>
      </c>
      <c r="DB77" s="20">
        <v>0</v>
      </c>
      <c r="DC77" s="25">
        <v>0</v>
      </c>
      <c r="DD77" s="20">
        <v>0</v>
      </c>
      <c r="DE77" s="20">
        <v>0</v>
      </c>
      <c r="DF77" s="20">
        <v>0</v>
      </c>
      <c r="DG77" s="20">
        <v>0</v>
      </c>
      <c r="DH77" s="20">
        <v>0</v>
      </c>
      <c r="DI77" s="20">
        <v>0</v>
      </c>
    </row>
    <row r="78" spans="1:113">
      <c r="A78" s="20" t="str">
        <v>00:00:00</v>
      </c>
      <c r="B78" s="19">
        <v>0</v>
      </c>
      <c r="C78" s="21">
        <v>0</v>
      </c>
      <c r="D78" s="20" t="str">
        <v>未匹配</v>
      </c>
      <c r="E78" s="20">
        <v>0</v>
      </c>
      <c r="I78" s="20" t="str">
        <v/>
      </c>
      <c r="J78" s="20">
        <v>0</v>
      </c>
      <c r="K78" s="22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E78" s="20" t="str">
        <v/>
      </c>
      <c r="AF78" s="20">
        <v>0</v>
      </c>
      <c r="AG78" s="22" t="e">
        <v>#VALUE!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0</v>
      </c>
      <c r="AV78" s="20">
        <v>0</v>
      </c>
      <c r="AW78" s="20">
        <v>0</v>
      </c>
      <c r="AX78" s="20">
        <v>0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0">
        <v>0</v>
      </c>
      <c r="BF78" s="20">
        <v>0</v>
      </c>
      <c r="BG78" s="20">
        <v>0</v>
      </c>
      <c r="BH78" s="20">
        <v>0</v>
      </c>
      <c r="BI78" s="20">
        <v>0</v>
      </c>
      <c r="BJ78" s="20">
        <v>0</v>
      </c>
      <c r="BK78" s="20">
        <v>0</v>
      </c>
      <c r="BL78" s="20">
        <v>0</v>
      </c>
      <c r="BM78" s="20">
        <v>0</v>
      </c>
      <c r="BN78" s="22">
        <v>0</v>
      </c>
      <c r="BO78" s="22">
        <v>0</v>
      </c>
      <c r="BP78" s="22">
        <v>0</v>
      </c>
      <c r="BR78" s="20" t="str">
        <v/>
      </c>
      <c r="BS78" s="23"/>
      <c r="BT78" s="23"/>
      <c r="BV78" s="23"/>
      <c r="BW78" s="23"/>
      <c r="BX78" s="23"/>
      <c r="BY78" s="45"/>
      <c r="CA78" s="45"/>
      <c r="CH78" s="20">
        <v>0</v>
      </c>
      <c r="CI78" s="20">
        <v>0</v>
      </c>
      <c r="CJ78" s="20">
        <v>0</v>
      </c>
      <c r="CK78" s="20" t="str">
        <v/>
      </c>
      <c r="CL78" s="20" t="str">
        <v/>
      </c>
      <c r="CN78" s="20">
        <v>0</v>
      </c>
      <c r="CO78" s="20">
        <v>0</v>
      </c>
      <c r="CP78" s="20">
        <v>0</v>
      </c>
      <c r="CQ78" s="20">
        <v>0</v>
      </c>
      <c r="CR78" s="20">
        <v>0</v>
      </c>
      <c r="CS78" s="20">
        <v>0</v>
      </c>
      <c r="CT78" s="20">
        <v>0</v>
      </c>
      <c r="CU78" s="20">
        <v>0</v>
      </c>
      <c r="CV78" s="20">
        <v>0</v>
      </c>
      <c r="CW78" s="20">
        <v>0</v>
      </c>
      <c r="CX78" s="20">
        <v>0</v>
      </c>
      <c r="CY78" s="20">
        <v>0</v>
      </c>
      <c r="CZ78" s="20">
        <v>0</v>
      </c>
      <c r="DA78" s="19">
        <v>0</v>
      </c>
      <c r="DB78" s="20">
        <v>0</v>
      </c>
      <c r="DC78" s="25">
        <v>0</v>
      </c>
      <c r="DD78" s="20">
        <v>0</v>
      </c>
      <c r="DE78" s="20">
        <v>0</v>
      </c>
      <c r="DF78" s="20">
        <v>0</v>
      </c>
      <c r="DG78" s="20">
        <v>0</v>
      </c>
      <c r="DH78" s="20">
        <v>0</v>
      </c>
      <c r="DI78" s="20">
        <v>0</v>
      </c>
    </row>
    <row r="79" spans="1:113">
      <c r="A79" s="20" t="str">
        <v>00:00:00</v>
      </c>
      <c r="B79" s="19">
        <v>0</v>
      </c>
      <c r="C79" s="21">
        <v>0</v>
      </c>
      <c r="D79" s="20" t="str">
        <v>未匹配</v>
      </c>
      <c r="E79" s="20">
        <v>0</v>
      </c>
      <c r="I79" s="20" t="str">
        <v/>
      </c>
      <c r="J79" s="20">
        <v>0</v>
      </c>
      <c r="K79" s="22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E79" s="20" t="str">
        <v/>
      </c>
      <c r="AF79" s="20">
        <v>0</v>
      </c>
      <c r="AG79" s="22" t="e">
        <v>#VALUE!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  <c r="AP79" s="20">
        <v>0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0</v>
      </c>
      <c r="AY79" s="20">
        <v>0</v>
      </c>
      <c r="AZ79" s="20">
        <v>0</v>
      </c>
      <c r="BA79" s="20">
        <v>0</v>
      </c>
      <c r="BB79" s="20">
        <v>0</v>
      </c>
      <c r="BC79" s="20">
        <v>0</v>
      </c>
      <c r="BD79" s="20">
        <v>0</v>
      </c>
      <c r="BE79" s="20">
        <v>0</v>
      </c>
      <c r="BF79" s="20">
        <v>0</v>
      </c>
      <c r="BG79" s="20">
        <v>0</v>
      </c>
      <c r="BH79" s="20">
        <v>0</v>
      </c>
      <c r="BI79" s="20">
        <v>0</v>
      </c>
      <c r="BJ79" s="20">
        <v>0</v>
      </c>
      <c r="BK79" s="20">
        <v>0</v>
      </c>
      <c r="BL79" s="20">
        <v>0</v>
      </c>
      <c r="BM79" s="20">
        <v>0</v>
      </c>
      <c r="BN79" s="22">
        <v>0</v>
      </c>
      <c r="BO79" s="22">
        <v>0</v>
      </c>
      <c r="BP79" s="22">
        <v>0</v>
      </c>
      <c r="BR79" s="20" t="str">
        <v/>
      </c>
      <c r="BS79" s="23"/>
      <c r="BT79" s="23"/>
      <c r="BV79" s="23"/>
      <c r="BW79" s="23"/>
      <c r="BX79" s="23"/>
      <c r="BY79" s="45"/>
      <c r="CA79" s="45"/>
      <c r="CH79" s="20">
        <v>0</v>
      </c>
      <c r="CI79" s="20">
        <v>0</v>
      </c>
      <c r="CJ79" s="20">
        <v>0</v>
      </c>
      <c r="CK79" s="20" t="str">
        <v/>
      </c>
      <c r="CL79" s="20" t="str">
        <v/>
      </c>
      <c r="CN79" s="20">
        <v>0</v>
      </c>
      <c r="CO79" s="20">
        <v>0</v>
      </c>
      <c r="CP79" s="20">
        <v>0</v>
      </c>
      <c r="CQ79" s="20">
        <v>0</v>
      </c>
      <c r="CR79" s="20">
        <v>0</v>
      </c>
      <c r="CS79" s="20">
        <v>0</v>
      </c>
      <c r="CT79" s="20">
        <v>0</v>
      </c>
      <c r="CU79" s="20">
        <v>0</v>
      </c>
      <c r="CV79" s="20">
        <v>0</v>
      </c>
      <c r="CW79" s="20">
        <v>0</v>
      </c>
      <c r="CX79" s="20">
        <v>0</v>
      </c>
      <c r="CY79" s="20">
        <v>0</v>
      </c>
      <c r="CZ79" s="20">
        <v>0</v>
      </c>
      <c r="DA79" s="19">
        <v>0</v>
      </c>
      <c r="DB79" s="20">
        <v>0</v>
      </c>
      <c r="DC79" s="25">
        <v>0</v>
      </c>
      <c r="DD79" s="20">
        <v>0</v>
      </c>
      <c r="DE79" s="20">
        <v>0</v>
      </c>
      <c r="DF79" s="20">
        <v>0</v>
      </c>
      <c r="DG79" s="20">
        <v>0</v>
      </c>
      <c r="DH79" s="20">
        <v>0</v>
      </c>
      <c r="DI79" s="20">
        <v>0</v>
      </c>
    </row>
    <row r="80" spans="1:113">
      <c r="A80" s="20" t="str">
        <v>00:00:00</v>
      </c>
      <c r="B80" s="19">
        <v>0</v>
      </c>
      <c r="C80" s="21">
        <v>0</v>
      </c>
      <c r="D80" s="20" t="str">
        <v>未匹配</v>
      </c>
      <c r="E80" s="20">
        <v>0</v>
      </c>
      <c r="I80" s="20" t="str">
        <v/>
      </c>
      <c r="J80" s="20">
        <v>0</v>
      </c>
      <c r="K80" s="22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E80" s="20" t="str">
        <v/>
      </c>
      <c r="AF80" s="20">
        <v>0</v>
      </c>
      <c r="AG80" s="22" t="e">
        <v>#VALUE!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  <c r="AX80" s="20">
        <v>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0">
        <v>0</v>
      </c>
      <c r="BJ80" s="20">
        <v>0</v>
      </c>
      <c r="BK80" s="20">
        <v>0</v>
      </c>
      <c r="BL80" s="20">
        <v>0</v>
      </c>
      <c r="BM80" s="20">
        <v>0</v>
      </c>
      <c r="BN80" s="22">
        <v>0</v>
      </c>
      <c r="BO80" s="22">
        <v>0</v>
      </c>
      <c r="BP80" s="22">
        <v>0</v>
      </c>
      <c r="BR80" s="20" t="str">
        <v/>
      </c>
      <c r="BS80" s="23"/>
      <c r="BT80" s="23"/>
      <c r="BV80" s="23"/>
      <c r="BW80" s="23"/>
      <c r="BX80" s="23"/>
      <c r="BY80" s="45"/>
      <c r="CA80" s="45"/>
      <c r="CH80" s="20">
        <v>0</v>
      </c>
      <c r="CI80" s="20">
        <v>0</v>
      </c>
      <c r="CJ80" s="20">
        <v>0</v>
      </c>
      <c r="CK80" s="20" t="str">
        <v/>
      </c>
      <c r="CL80" s="20" t="str">
        <v/>
      </c>
      <c r="CN80" s="20">
        <v>0</v>
      </c>
      <c r="CO80" s="20">
        <v>0</v>
      </c>
      <c r="CP80" s="20">
        <v>0</v>
      </c>
      <c r="CQ80" s="20">
        <v>0</v>
      </c>
      <c r="CR80" s="20">
        <v>0</v>
      </c>
      <c r="CS80" s="20">
        <v>0</v>
      </c>
      <c r="CT80" s="20">
        <v>0</v>
      </c>
      <c r="CU80" s="20">
        <v>0</v>
      </c>
      <c r="CV80" s="20">
        <v>0</v>
      </c>
      <c r="CW80" s="20">
        <v>0</v>
      </c>
      <c r="CX80" s="20">
        <v>0</v>
      </c>
      <c r="CY80" s="20">
        <v>0</v>
      </c>
      <c r="CZ80" s="20">
        <v>0</v>
      </c>
      <c r="DA80" s="19">
        <v>0</v>
      </c>
      <c r="DB80" s="20">
        <v>0</v>
      </c>
      <c r="DC80" s="25">
        <v>0</v>
      </c>
      <c r="DD80" s="20">
        <v>0</v>
      </c>
      <c r="DE80" s="20">
        <v>0</v>
      </c>
      <c r="DF80" s="20">
        <v>0</v>
      </c>
      <c r="DG80" s="20">
        <v>0</v>
      </c>
      <c r="DH80" s="20">
        <v>0</v>
      </c>
      <c r="DI80" s="20">
        <v>0</v>
      </c>
    </row>
    <row r="81" spans="1:113">
      <c r="A81" s="20" t="str">
        <v>00:00:00</v>
      </c>
      <c r="B81" s="19">
        <v>0</v>
      </c>
      <c r="C81" s="21">
        <v>0</v>
      </c>
      <c r="D81" s="20" t="str">
        <v>未匹配</v>
      </c>
      <c r="E81" s="20">
        <v>0</v>
      </c>
      <c r="I81" s="20" t="str">
        <v/>
      </c>
      <c r="J81" s="20">
        <v>0</v>
      </c>
      <c r="K81" s="22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0</v>
      </c>
      <c r="AB81" s="20">
        <v>0</v>
      </c>
      <c r="AC81" s="20">
        <v>0</v>
      </c>
      <c r="AE81" s="20" t="str">
        <v/>
      </c>
      <c r="AF81" s="20">
        <v>0</v>
      </c>
      <c r="AG81" s="22" t="e">
        <v>#VALUE!</v>
      </c>
      <c r="AI81" s="20">
        <v>0</v>
      </c>
      <c r="AJ81" s="20">
        <v>0</v>
      </c>
      <c r="AK81" s="20">
        <v>0</v>
      </c>
      <c r="AL81" s="20">
        <v>0</v>
      </c>
      <c r="AM81" s="20">
        <v>0</v>
      </c>
      <c r="AN81" s="20">
        <v>0</v>
      </c>
      <c r="AO81" s="20">
        <v>0</v>
      </c>
      <c r="AP81" s="20">
        <v>0</v>
      </c>
      <c r="AQ81" s="20">
        <v>0</v>
      </c>
      <c r="AR81" s="20">
        <v>0</v>
      </c>
      <c r="AS81" s="20">
        <v>0</v>
      </c>
      <c r="AT81" s="20">
        <v>0</v>
      </c>
      <c r="AU81" s="20">
        <v>0</v>
      </c>
      <c r="AV81" s="20">
        <v>0</v>
      </c>
      <c r="AW81" s="20">
        <v>0</v>
      </c>
      <c r="AX81" s="20">
        <v>0</v>
      </c>
      <c r="AY81" s="20">
        <v>0</v>
      </c>
      <c r="AZ81" s="20">
        <v>0</v>
      </c>
      <c r="BA81" s="20">
        <v>0</v>
      </c>
      <c r="BB81" s="20">
        <v>0</v>
      </c>
      <c r="BC81" s="20">
        <v>0</v>
      </c>
      <c r="BD81" s="20">
        <v>0</v>
      </c>
      <c r="BE81" s="20">
        <v>0</v>
      </c>
      <c r="BF81" s="20">
        <v>0</v>
      </c>
      <c r="BG81" s="20">
        <v>0</v>
      </c>
      <c r="BH81" s="20">
        <v>0</v>
      </c>
      <c r="BI81" s="20">
        <v>0</v>
      </c>
      <c r="BJ81" s="20">
        <v>0</v>
      </c>
      <c r="BK81" s="20">
        <v>0</v>
      </c>
      <c r="BL81" s="20">
        <v>0</v>
      </c>
      <c r="BM81" s="20">
        <v>0</v>
      </c>
      <c r="BN81" s="22">
        <v>0</v>
      </c>
      <c r="BO81" s="22">
        <v>0</v>
      </c>
      <c r="BP81" s="22">
        <v>0</v>
      </c>
      <c r="BR81" s="20" t="str">
        <v/>
      </c>
      <c r="BS81" s="23"/>
      <c r="BT81" s="23"/>
      <c r="BV81" s="23"/>
      <c r="BW81" s="23"/>
      <c r="BX81" s="23"/>
      <c r="BY81" s="45"/>
      <c r="CA81" s="45"/>
      <c r="CH81" s="20">
        <v>0</v>
      </c>
      <c r="CI81" s="20">
        <v>0</v>
      </c>
      <c r="CJ81" s="20">
        <v>0</v>
      </c>
      <c r="CK81" s="20" t="str">
        <v/>
      </c>
      <c r="CL81" s="20" t="str">
        <v/>
      </c>
      <c r="CN81" s="20">
        <v>0</v>
      </c>
      <c r="CO81" s="20">
        <v>0</v>
      </c>
      <c r="CP81" s="20">
        <v>0</v>
      </c>
      <c r="CQ81" s="20">
        <v>0</v>
      </c>
      <c r="CR81" s="20">
        <v>0</v>
      </c>
      <c r="CS81" s="20">
        <v>0</v>
      </c>
      <c r="CT81" s="20">
        <v>0</v>
      </c>
      <c r="CU81" s="20">
        <v>0</v>
      </c>
      <c r="CV81" s="20">
        <v>0</v>
      </c>
      <c r="CW81" s="20">
        <v>0</v>
      </c>
      <c r="CX81" s="20">
        <v>0</v>
      </c>
      <c r="CY81" s="20">
        <v>0</v>
      </c>
      <c r="CZ81" s="20">
        <v>0</v>
      </c>
      <c r="DA81" s="19">
        <v>0</v>
      </c>
      <c r="DB81" s="20">
        <v>0</v>
      </c>
      <c r="DC81" s="25">
        <v>0</v>
      </c>
      <c r="DD81" s="20">
        <v>0</v>
      </c>
      <c r="DE81" s="20">
        <v>0</v>
      </c>
      <c r="DF81" s="20">
        <v>0</v>
      </c>
      <c r="DG81" s="20">
        <v>0</v>
      </c>
      <c r="DH81" s="20">
        <v>0</v>
      </c>
      <c r="DI81" s="20">
        <v>0</v>
      </c>
    </row>
    <row r="82" spans="1:113">
      <c r="A82" s="20" t="str">
        <v>00:00:00</v>
      </c>
      <c r="B82" s="19">
        <v>0</v>
      </c>
      <c r="C82" s="21">
        <v>0</v>
      </c>
      <c r="D82" s="20" t="str">
        <v>未匹配</v>
      </c>
      <c r="E82" s="20">
        <v>0</v>
      </c>
      <c r="I82" s="20" t="str">
        <v/>
      </c>
      <c r="J82" s="20">
        <v>0</v>
      </c>
      <c r="K82" s="22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E82" s="20" t="str">
        <v/>
      </c>
      <c r="AF82" s="20">
        <v>0</v>
      </c>
      <c r="AG82" s="22" t="e">
        <v>#VALUE!</v>
      </c>
      <c r="AI82" s="20">
        <v>0</v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20">
        <v>0</v>
      </c>
      <c r="AT82" s="20">
        <v>0</v>
      </c>
      <c r="AU82" s="20">
        <v>0</v>
      </c>
      <c r="AV82" s="20">
        <v>0</v>
      </c>
      <c r="AW82" s="20">
        <v>0</v>
      </c>
      <c r="AX82" s="20">
        <v>0</v>
      </c>
      <c r="AY82" s="20">
        <v>0</v>
      </c>
      <c r="AZ82" s="20">
        <v>0</v>
      </c>
      <c r="BA82" s="20">
        <v>0</v>
      </c>
      <c r="BB82" s="20">
        <v>0</v>
      </c>
      <c r="BC82" s="20">
        <v>0</v>
      </c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0">
        <v>0</v>
      </c>
      <c r="BJ82" s="20">
        <v>0</v>
      </c>
      <c r="BK82" s="20">
        <v>0</v>
      </c>
      <c r="BL82" s="20">
        <v>0</v>
      </c>
      <c r="BM82" s="20">
        <v>0</v>
      </c>
      <c r="BN82" s="22">
        <v>0</v>
      </c>
      <c r="BO82" s="22">
        <v>0</v>
      </c>
      <c r="BP82" s="22">
        <v>0</v>
      </c>
      <c r="BR82" s="20" t="str">
        <v/>
      </c>
      <c r="BS82" s="23"/>
      <c r="BT82" s="23"/>
      <c r="BV82" s="23"/>
      <c r="BW82" s="23"/>
      <c r="BX82" s="23"/>
      <c r="BY82" s="45"/>
      <c r="CA82" s="45"/>
      <c r="CH82" s="20">
        <v>0</v>
      </c>
      <c r="CI82" s="20">
        <v>0</v>
      </c>
      <c r="CJ82" s="20">
        <v>0</v>
      </c>
      <c r="CK82" s="20" t="str">
        <v/>
      </c>
      <c r="CL82" s="20" t="str">
        <v/>
      </c>
      <c r="CN82" s="20">
        <v>0</v>
      </c>
      <c r="CO82" s="20">
        <v>0</v>
      </c>
      <c r="CP82" s="20">
        <v>0</v>
      </c>
      <c r="CQ82" s="20">
        <v>0</v>
      </c>
      <c r="CR82" s="20">
        <v>0</v>
      </c>
      <c r="CS82" s="20">
        <v>0</v>
      </c>
      <c r="CT82" s="20">
        <v>0</v>
      </c>
      <c r="CU82" s="20">
        <v>0</v>
      </c>
      <c r="CV82" s="20">
        <v>0</v>
      </c>
      <c r="CW82" s="20">
        <v>0</v>
      </c>
      <c r="CX82" s="20">
        <v>0</v>
      </c>
      <c r="CY82" s="20">
        <v>0</v>
      </c>
      <c r="CZ82" s="20">
        <v>0</v>
      </c>
      <c r="DA82" s="19">
        <v>0</v>
      </c>
      <c r="DB82" s="20">
        <v>0</v>
      </c>
      <c r="DC82" s="25">
        <v>0</v>
      </c>
      <c r="DD82" s="20">
        <v>0</v>
      </c>
      <c r="DE82" s="20">
        <v>0</v>
      </c>
      <c r="DF82" s="20">
        <v>0</v>
      </c>
      <c r="DG82" s="20">
        <v>0</v>
      </c>
      <c r="DH82" s="20">
        <v>0</v>
      </c>
      <c r="DI82" s="20">
        <v>0</v>
      </c>
    </row>
    <row r="83" spans="1:113">
      <c r="A83" s="20" t="str">
        <v>00:00:00</v>
      </c>
      <c r="B83" s="19">
        <v>0</v>
      </c>
      <c r="C83" s="21">
        <v>0</v>
      </c>
      <c r="D83" s="20" t="str">
        <v>未匹配</v>
      </c>
      <c r="E83" s="20">
        <v>0</v>
      </c>
      <c r="I83" s="20" t="str">
        <v/>
      </c>
      <c r="J83" s="20">
        <v>0</v>
      </c>
      <c r="K83" s="22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E83" s="20" t="str">
        <v/>
      </c>
      <c r="AF83" s="20">
        <v>0</v>
      </c>
      <c r="AG83" s="22" t="e">
        <v>#VALUE!</v>
      </c>
      <c r="AI83" s="20">
        <v>0</v>
      </c>
      <c r="AJ83" s="20">
        <v>0</v>
      </c>
      <c r="AK83" s="20">
        <v>0</v>
      </c>
      <c r="AL83" s="20">
        <v>0</v>
      </c>
      <c r="AM83" s="20">
        <v>0</v>
      </c>
      <c r="AN83" s="20">
        <v>0</v>
      </c>
      <c r="AO83" s="20">
        <v>0</v>
      </c>
      <c r="AP83" s="20">
        <v>0</v>
      </c>
      <c r="AQ83" s="20">
        <v>0</v>
      </c>
      <c r="AR83" s="20">
        <v>0</v>
      </c>
      <c r="AS83" s="20">
        <v>0</v>
      </c>
      <c r="AT83" s="20">
        <v>0</v>
      </c>
      <c r="AU83" s="20">
        <v>0</v>
      </c>
      <c r="AV83" s="20">
        <v>0</v>
      </c>
      <c r="AW83" s="20">
        <v>0</v>
      </c>
      <c r="AX83" s="20">
        <v>0</v>
      </c>
      <c r="AY83" s="20">
        <v>0</v>
      </c>
      <c r="AZ83" s="20">
        <v>0</v>
      </c>
      <c r="BA83" s="20">
        <v>0</v>
      </c>
      <c r="BB83" s="20">
        <v>0</v>
      </c>
      <c r="BC83" s="20">
        <v>0</v>
      </c>
      <c r="BD83" s="20">
        <v>0</v>
      </c>
      <c r="BE83" s="20">
        <v>0</v>
      </c>
      <c r="BF83" s="20">
        <v>0</v>
      </c>
      <c r="BG83" s="20">
        <v>0</v>
      </c>
      <c r="BH83" s="20">
        <v>0</v>
      </c>
      <c r="BI83" s="20">
        <v>0</v>
      </c>
      <c r="BJ83" s="20">
        <v>0</v>
      </c>
      <c r="BK83" s="20">
        <v>0</v>
      </c>
      <c r="BL83" s="20">
        <v>0</v>
      </c>
      <c r="BM83" s="20">
        <v>0</v>
      </c>
      <c r="BN83" s="22">
        <v>0</v>
      </c>
      <c r="BO83" s="22">
        <v>0</v>
      </c>
      <c r="BP83" s="22">
        <v>0</v>
      </c>
      <c r="BR83" s="20" t="str">
        <v/>
      </c>
      <c r="BS83" s="23"/>
      <c r="BT83" s="23"/>
      <c r="BV83" s="23"/>
      <c r="BW83" s="23"/>
      <c r="BX83" s="23"/>
      <c r="BY83" s="45"/>
      <c r="CA83" s="45"/>
      <c r="CH83" s="20">
        <v>0</v>
      </c>
      <c r="CI83" s="20">
        <v>0</v>
      </c>
      <c r="CJ83" s="20">
        <v>0</v>
      </c>
      <c r="CK83" s="20" t="str">
        <v/>
      </c>
      <c r="CL83" s="20" t="str">
        <v/>
      </c>
      <c r="CN83" s="20">
        <v>0</v>
      </c>
      <c r="CO83" s="20">
        <v>0</v>
      </c>
      <c r="CP83" s="20">
        <v>0</v>
      </c>
      <c r="CQ83" s="20">
        <v>0</v>
      </c>
      <c r="CR83" s="20">
        <v>0</v>
      </c>
      <c r="CS83" s="20">
        <v>0</v>
      </c>
      <c r="CT83" s="20">
        <v>0</v>
      </c>
      <c r="CU83" s="20">
        <v>0</v>
      </c>
      <c r="CV83" s="20">
        <v>0</v>
      </c>
      <c r="CW83" s="20">
        <v>0</v>
      </c>
      <c r="CX83" s="20">
        <v>0</v>
      </c>
      <c r="CY83" s="20">
        <v>0</v>
      </c>
      <c r="CZ83" s="20">
        <v>0</v>
      </c>
      <c r="DA83" s="19">
        <v>0</v>
      </c>
      <c r="DB83" s="20">
        <v>0</v>
      </c>
      <c r="DC83" s="25">
        <v>0</v>
      </c>
      <c r="DD83" s="20">
        <v>0</v>
      </c>
      <c r="DE83" s="20">
        <v>0</v>
      </c>
      <c r="DF83" s="20">
        <v>0</v>
      </c>
      <c r="DG83" s="20">
        <v>0</v>
      </c>
      <c r="DH83" s="20">
        <v>0</v>
      </c>
      <c r="DI83" s="20">
        <v>0</v>
      </c>
    </row>
    <row r="84" spans="1:113">
      <c r="A84" s="20" t="str">
        <v>00:00:00</v>
      </c>
      <c r="B84" s="19">
        <v>0</v>
      </c>
      <c r="C84" s="21">
        <v>0</v>
      </c>
      <c r="D84" s="20" t="str">
        <v>未匹配</v>
      </c>
      <c r="E84" s="20">
        <v>0</v>
      </c>
      <c r="I84" s="20" t="str">
        <v/>
      </c>
      <c r="J84" s="20">
        <v>0</v>
      </c>
      <c r="K84" s="22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E84" s="20" t="str">
        <v/>
      </c>
      <c r="AF84" s="20">
        <v>0</v>
      </c>
      <c r="AG84" s="22" t="e">
        <v>#VALUE!</v>
      </c>
      <c r="AI84" s="20">
        <v>0</v>
      </c>
      <c r="AJ84" s="20">
        <v>0</v>
      </c>
      <c r="AK84" s="20">
        <v>0</v>
      </c>
      <c r="AL84" s="20">
        <v>0</v>
      </c>
      <c r="AM84" s="20">
        <v>0</v>
      </c>
      <c r="AN84" s="20">
        <v>0</v>
      </c>
      <c r="AO84" s="20">
        <v>0</v>
      </c>
      <c r="AP84" s="20">
        <v>0</v>
      </c>
      <c r="AQ84" s="20">
        <v>0</v>
      </c>
      <c r="AR84" s="20">
        <v>0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0</v>
      </c>
      <c r="BC84" s="20">
        <v>0</v>
      </c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  <c r="BK84" s="20">
        <v>0</v>
      </c>
      <c r="BL84" s="20">
        <v>0</v>
      </c>
      <c r="BM84" s="20">
        <v>0</v>
      </c>
      <c r="BN84" s="22">
        <v>0</v>
      </c>
      <c r="BO84" s="22">
        <v>0</v>
      </c>
      <c r="BP84" s="22">
        <v>0</v>
      </c>
      <c r="BR84" s="20" t="str">
        <v/>
      </c>
      <c r="BS84" s="23"/>
      <c r="BT84" s="23"/>
      <c r="BV84" s="23"/>
      <c r="BW84" s="23"/>
      <c r="BX84" s="23"/>
      <c r="BY84" s="45"/>
      <c r="CA84" s="45"/>
      <c r="CH84" s="20">
        <v>0</v>
      </c>
      <c r="CI84" s="20">
        <v>0</v>
      </c>
      <c r="CJ84" s="20">
        <v>0</v>
      </c>
      <c r="CK84" s="20" t="str">
        <v/>
      </c>
      <c r="CL84" s="20" t="str">
        <v/>
      </c>
      <c r="CN84" s="20">
        <v>0</v>
      </c>
      <c r="CO84" s="20">
        <v>0</v>
      </c>
      <c r="CP84" s="20">
        <v>0</v>
      </c>
      <c r="CQ84" s="20">
        <v>0</v>
      </c>
      <c r="CR84" s="20">
        <v>0</v>
      </c>
      <c r="CS84" s="20">
        <v>0</v>
      </c>
      <c r="CT84" s="20">
        <v>0</v>
      </c>
      <c r="CU84" s="20">
        <v>0</v>
      </c>
      <c r="CV84" s="20">
        <v>0</v>
      </c>
      <c r="CW84" s="20">
        <v>0</v>
      </c>
      <c r="CX84" s="20">
        <v>0</v>
      </c>
      <c r="CY84" s="20">
        <v>0</v>
      </c>
      <c r="CZ84" s="20">
        <v>0</v>
      </c>
      <c r="DA84" s="19">
        <v>0</v>
      </c>
      <c r="DB84" s="20">
        <v>0</v>
      </c>
      <c r="DC84" s="25">
        <v>0</v>
      </c>
      <c r="DD84" s="20">
        <v>0</v>
      </c>
      <c r="DE84" s="20">
        <v>0</v>
      </c>
      <c r="DF84" s="20">
        <v>0</v>
      </c>
      <c r="DG84" s="20">
        <v>0</v>
      </c>
      <c r="DH84" s="20">
        <v>0</v>
      </c>
      <c r="DI84" s="20">
        <v>0</v>
      </c>
    </row>
    <row r="85" spans="1:113">
      <c r="A85" s="20" t="str">
        <v>00:00:00</v>
      </c>
      <c r="B85" s="19">
        <v>0</v>
      </c>
      <c r="C85" s="21">
        <v>0</v>
      </c>
      <c r="D85" s="20" t="str">
        <v>未匹配</v>
      </c>
      <c r="E85" s="20">
        <v>0</v>
      </c>
      <c r="I85" s="20" t="str">
        <v/>
      </c>
      <c r="J85" s="20">
        <v>0</v>
      </c>
      <c r="K85" s="22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E85" s="20" t="str">
        <v/>
      </c>
      <c r="AF85" s="20">
        <v>0</v>
      </c>
      <c r="AG85" s="22" t="e">
        <v>#VALUE!</v>
      </c>
      <c r="AI85" s="20">
        <v>0</v>
      </c>
      <c r="AJ85" s="20">
        <v>0</v>
      </c>
      <c r="AK85" s="20">
        <v>0</v>
      </c>
      <c r="AL85" s="20">
        <v>0</v>
      </c>
      <c r="AM85" s="20">
        <v>0</v>
      </c>
      <c r="AN85" s="20">
        <v>0</v>
      </c>
      <c r="AO85" s="20">
        <v>0</v>
      </c>
      <c r="AP85" s="20">
        <v>0</v>
      </c>
      <c r="AQ85" s="20">
        <v>0</v>
      </c>
      <c r="AR85" s="20">
        <v>0</v>
      </c>
      <c r="AS85" s="20">
        <v>0</v>
      </c>
      <c r="AT85" s="20">
        <v>0</v>
      </c>
      <c r="AU85" s="20">
        <v>0</v>
      </c>
      <c r="AV85" s="20">
        <v>0</v>
      </c>
      <c r="AW85" s="20">
        <v>0</v>
      </c>
      <c r="AX85" s="20">
        <v>0</v>
      </c>
      <c r="AY85" s="20">
        <v>0</v>
      </c>
      <c r="AZ85" s="20">
        <v>0</v>
      </c>
      <c r="BA85" s="20">
        <v>0</v>
      </c>
      <c r="BB85" s="20">
        <v>0</v>
      </c>
      <c r="BC85" s="20">
        <v>0</v>
      </c>
      <c r="BD85" s="20">
        <v>0</v>
      </c>
      <c r="BE85" s="20">
        <v>0</v>
      </c>
      <c r="BF85" s="20">
        <v>0</v>
      </c>
      <c r="BG85" s="20">
        <v>0</v>
      </c>
      <c r="BH85" s="20">
        <v>0</v>
      </c>
      <c r="BI85" s="20">
        <v>0</v>
      </c>
      <c r="BJ85" s="20">
        <v>0</v>
      </c>
      <c r="BK85" s="20">
        <v>0</v>
      </c>
      <c r="BL85" s="20">
        <v>0</v>
      </c>
      <c r="BM85" s="20">
        <v>0</v>
      </c>
      <c r="BN85" s="22">
        <v>0</v>
      </c>
      <c r="BO85" s="22">
        <v>0</v>
      </c>
      <c r="BP85" s="22">
        <v>0</v>
      </c>
      <c r="BR85" s="20" t="str">
        <v/>
      </c>
      <c r="BS85" s="23"/>
      <c r="BT85" s="23"/>
      <c r="BV85" s="23"/>
      <c r="BW85" s="23"/>
      <c r="BX85" s="23"/>
      <c r="BY85" s="45"/>
      <c r="CA85" s="45"/>
      <c r="CH85" s="20">
        <v>0</v>
      </c>
      <c r="CI85" s="20">
        <v>0</v>
      </c>
      <c r="CJ85" s="20">
        <v>0</v>
      </c>
      <c r="CK85" s="20" t="str">
        <v/>
      </c>
      <c r="CL85" s="20" t="str">
        <v/>
      </c>
      <c r="CN85" s="20">
        <v>0</v>
      </c>
      <c r="CO85" s="20">
        <v>0</v>
      </c>
      <c r="CP85" s="20">
        <v>0</v>
      </c>
      <c r="CQ85" s="20">
        <v>0</v>
      </c>
      <c r="CR85" s="20">
        <v>0</v>
      </c>
      <c r="CS85" s="20">
        <v>0</v>
      </c>
      <c r="CT85" s="20">
        <v>0</v>
      </c>
      <c r="CU85" s="20">
        <v>0</v>
      </c>
      <c r="CV85" s="20">
        <v>0</v>
      </c>
      <c r="CW85" s="20">
        <v>0</v>
      </c>
      <c r="CX85" s="20">
        <v>0</v>
      </c>
      <c r="CY85" s="20">
        <v>0</v>
      </c>
      <c r="CZ85" s="20">
        <v>0</v>
      </c>
      <c r="DA85" s="19">
        <v>0</v>
      </c>
      <c r="DB85" s="20">
        <v>0</v>
      </c>
      <c r="DC85" s="25">
        <v>0</v>
      </c>
      <c r="DD85" s="20">
        <v>0</v>
      </c>
      <c r="DE85" s="20">
        <v>0</v>
      </c>
      <c r="DF85" s="20">
        <v>0</v>
      </c>
      <c r="DG85" s="20">
        <v>0</v>
      </c>
      <c r="DH85" s="20">
        <v>0</v>
      </c>
      <c r="DI85" s="20">
        <v>0</v>
      </c>
    </row>
    <row r="86" spans="1:113">
      <c r="A86" s="20" t="str">
        <v>00:00:00</v>
      </c>
      <c r="B86" s="19">
        <v>0</v>
      </c>
      <c r="C86" s="21">
        <v>0</v>
      </c>
      <c r="D86" s="20" t="str">
        <v>未匹配</v>
      </c>
      <c r="E86" s="20">
        <v>0</v>
      </c>
      <c r="I86" s="20" t="str">
        <v/>
      </c>
      <c r="J86" s="20">
        <v>0</v>
      </c>
      <c r="K86" s="22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E86" s="20" t="str">
        <v/>
      </c>
      <c r="AF86" s="20">
        <v>0</v>
      </c>
      <c r="AG86" s="22" t="e">
        <v>#VALUE!</v>
      </c>
      <c r="AI86" s="20">
        <v>0</v>
      </c>
      <c r="AJ86" s="20">
        <v>0</v>
      </c>
      <c r="AK86" s="20">
        <v>0</v>
      </c>
      <c r="AL86" s="20">
        <v>0</v>
      </c>
      <c r="AM86" s="20">
        <v>0</v>
      </c>
      <c r="AN86" s="20">
        <v>0</v>
      </c>
      <c r="AO86" s="20">
        <v>0</v>
      </c>
      <c r="AP86" s="20">
        <v>0</v>
      </c>
      <c r="AQ86" s="20">
        <v>0</v>
      </c>
      <c r="AR86" s="20">
        <v>0</v>
      </c>
      <c r="AS86" s="20">
        <v>0</v>
      </c>
      <c r="AT86" s="20">
        <v>0</v>
      </c>
      <c r="AU86" s="20">
        <v>0</v>
      </c>
      <c r="AV86" s="20">
        <v>0</v>
      </c>
      <c r="AW86" s="20">
        <v>0</v>
      </c>
      <c r="AX86" s="20">
        <v>0</v>
      </c>
      <c r="AY86" s="20">
        <v>0</v>
      </c>
      <c r="AZ86" s="20">
        <v>0</v>
      </c>
      <c r="BA86" s="20">
        <v>0</v>
      </c>
      <c r="BB86" s="20">
        <v>0</v>
      </c>
      <c r="BC86" s="20">
        <v>0</v>
      </c>
      <c r="BD86" s="20">
        <v>0</v>
      </c>
      <c r="BE86" s="20">
        <v>0</v>
      </c>
      <c r="BF86" s="20">
        <v>0</v>
      </c>
      <c r="BG86" s="20">
        <v>0</v>
      </c>
      <c r="BH86" s="20">
        <v>0</v>
      </c>
      <c r="BI86" s="20">
        <v>0</v>
      </c>
      <c r="BJ86" s="20">
        <v>0</v>
      </c>
      <c r="BK86" s="20">
        <v>0</v>
      </c>
      <c r="BL86" s="20">
        <v>0</v>
      </c>
      <c r="BM86" s="20">
        <v>0</v>
      </c>
      <c r="BN86" s="22">
        <v>0</v>
      </c>
      <c r="BO86" s="22">
        <v>0</v>
      </c>
      <c r="BP86" s="22">
        <v>0</v>
      </c>
      <c r="BR86" s="20" t="str">
        <v/>
      </c>
      <c r="BS86" s="23"/>
      <c r="BT86" s="23"/>
      <c r="BV86" s="23"/>
      <c r="BW86" s="23"/>
      <c r="BX86" s="23"/>
      <c r="BY86" s="45"/>
      <c r="CA86" s="45"/>
      <c r="CH86" s="20">
        <v>0</v>
      </c>
      <c r="CI86" s="20">
        <v>0</v>
      </c>
      <c r="CJ86" s="20">
        <v>0</v>
      </c>
      <c r="CK86" s="20" t="str">
        <v/>
      </c>
      <c r="CL86" s="20" t="str">
        <v/>
      </c>
      <c r="CN86" s="20">
        <v>0</v>
      </c>
      <c r="CO86" s="20">
        <v>0</v>
      </c>
      <c r="CP86" s="20">
        <v>0</v>
      </c>
      <c r="CQ86" s="20">
        <v>0</v>
      </c>
      <c r="CR86" s="20">
        <v>0</v>
      </c>
      <c r="CS86" s="20">
        <v>0</v>
      </c>
      <c r="CT86" s="20">
        <v>0</v>
      </c>
      <c r="CU86" s="20">
        <v>0</v>
      </c>
      <c r="CV86" s="20">
        <v>0</v>
      </c>
      <c r="CW86" s="20">
        <v>0</v>
      </c>
      <c r="CX86" s="20">
        <v>0</v>
      </c>
      <c r="CY86" s="20">
        <v>0</v>
      </c>
      <c r="CZ86" s="20">
        <v>0</v>
      </c>
      <c r="DA86" s="19">
        <v>0</v>
      </c>
      <c r="DB86" s="20">
        <v>0</v>
      </c>
      <c r="DC86" s="25">
        <v>0</v>
      </c>
      <c r="DD86" s="20">
        <v>0</v>
      </c>
      <c r="DE86" s="20">
        <v>0</v>
      </c>
      <c r="DF86" s="20">
        <v>0</v>
      </c>
      <c r="DG86" s="20">
        <v>0</v>
      </c>
      <c r="DH86" s="20">
        <v>0</v>
      </c>
      <c r="DI86" s="20">
        <v>0</v>
      </c>
    </row>
    <row r="87" spans="1:113">
      <c r="A87" s="20" t="str">
        <v>00:00:00</v>
      </c>
      <c r="B87" s="19">
        <v>0</v>
      </c>
      <c r="C87" s="21">
        <v>0</v>
      </c>
      <c r="D87" s="20" t="str">
        <v>未匹配</v>
      </c>
      <c r="E87" s="20">
        <v>0</v>
      </c>
      <c r="I87" s="20" t="str">
        <v/>
      </c>
      <c r="J87" s="20">
        <v>0</v>
      </c>
      <c r="K87" s="22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E87" s="20" t="str">
        <v/>
      </c>
      <c r="AF87" s="20">
        <v>0</v>
      </c>
      <c r="AG87" s="22" t="e">
        <v>#VALUE!</v>
      </c>
      <c r="AI87" s="20">
        <v>0</v>
      </c>
      <c r="AJ87" s="20">
        <v>0</v>
      </c>
      <c r="AK87" s="20">
        <v>0</v>
      </c>
      <c r="AL87" s="20">
        <v>0</v>
      </c>
      <c r="AM87" s="20">
        <v>0</v>
      </c>
      <c r="AN87" s="20">
        <v>0</v>
      </c>
      <c r="AO87" s="20">
        <v>0</v>
      </c>
      <c r="AP87" s="20">
        <v>0</v>
      </c>
      <c r="AQ87" s="20">
        <v>0</v>
      </c>
      <c r="AR87" s="20">
        <v>0</v>
      </c>
      <c r="AS87" s="20">
        <v>0</v>
      </c>
      <c r="AT87" s="20">
        <v>0</v>
      </c>
      <c r="AU87" s="20">
        <v>0</v>
      </c>
      <c r="AV87" s="20">
        <v>0</v>
      </c>
      <c r="AW87" s="20">
        <v>0</v>
      </c>
      <c r="AX87" s="20">
        <v>0</v>
      </c>
      <c r="AY87" s="20">
        <v>0</v>
      </c>
      <c r="AZ87" s="20">
        <v>0</v>
      </c>
      <c r="BA87" s="20">
        <v>0</v>
      </c>
      <c r="BB87" s="20">
        <v>0</v>
      </c>
      <c r="BC87" s="20">
        <v>0</v>
      </c>
      <c r="BD87" s="20">
        <v>0</v>
      </c>
      <c r="BE87" s="20">
        <v>0</v>
      </c>
      <c r="BF87" s="20">
        <v>0</v>
      </c>
      <c r="BG87" s="20">
        <v>0</v>
      </c>
      <c r="BH87" s="20">
        <v>0</v>
      </c>
      <c r="BI87" s="20">
        <v>0</v>
      </c>
      <c r="BJ87" s="20">
        <v>0</v>
      </c>
      <c r="BK87" s="20">
        <v>0</v>
      </c>
      <c r="BL87" s="20">
        <v>0</v>
      </c>
      <c r="BM87" s="20">
        <v>0</v>
      </c>
      <c r="BN87" s="22">
        <v>0</v>
      </c>
      <c r="BO87" s="22">
        <v>0</v>
      </c>
      <c r="BP87" s="22">
        <v>0</v>
      </c>
      <c r="BR87" s="20" t="str">
        <v/>
      </c>
      <c r="BS87" s="23"/>
      <c r="BT87" s="23"/>
      <c r="BV87" s="23"/>
      <c r="BW87" s="23"/>
      <c r="BX87" s="23"/>
      <c r="BY87" s="45"/>
      <c r="CA87" s="45"/>
      <c r="CH87" s="20">
        <v>0</v>
      </c>
      <c r="CI87" s="20">
        <v>0</v>
      </c>
      <c r="CJ87" s="20">
        <v>0</v>
      </c>
      <c r="CK87" s="20" t="str">
        <v/>
      </c>
      <c r="CL87" s="20" t="str">
        <v/>
      </c>
      <c r="CN87" s="20">
        <v>0</v>
      </c>
      <c r="CO87" s="20">
        <v>0</v>
      </c>
      <c r="CP87" s="20">
        <v>0</v>
      </c>
      <c r="CQ87" s="20">
        <v>0</v>
      </c>
      <c r="CR87" s="20">
        <v>0</v>
      </c>
      <c r="CS87" s="20">
        <v>0</v>
      </c>
      <c r="CT87" s="20">
        <v>0</v>
      </c>
      <c r="CU87" s="20">
        <v>0</v>
      </c>
      <c r="CV87" s="20">
        <v>0</v>
      </c>
      <c r="CW87" s="20">
        <v>0</v>
      </c>
      <c r="CX87" s="20">
        <v>0</v>
      </c>
      <c r="CY87" s="20">
        <v>0</v>
      </c>
      <c r="CZ87" s="20">
        <v>0</v>
      </c>
      <c r="DA87" s="19">
        <v>0</v>
      </c>
      <c r="DB87" s="20">
        <v>0</v>
      </c>
      <c r="DC87" s="25">
        <v>0</v>
      </c>
      <c r="DD87" s="20">
        <v>0</v>
      </c>
      <c r="DE87" s="20">
        <v>0</v>
      </c>
      <c r="DF87" s="20">
        <v>0</v>
      </c>
      <c r="DG87" s="20">
        <v>0</v>
      </c>
      <c r="DH87" s="20">
        <v>0</v>
      </c>
      <c r="DI87" s="20">
        <v>0</v>
      </c>
    </row>
    <row r="88" spans="1:113">
      <c r="A88" s="20" t="str">
        <v>00:00:00</v>
      </c>
      <c r="B88" s="19">
        <v>0</v>
      </c>
      <c r="C88" s="21">
        <v>0</v>
      </c>
      <c r="D88" s="20" t="str">
        <v>未匹配</v>
      </c>
      <c r="E88" s="20">
        <v>0</v>
      </c>
      <c r="I88" s="20" t="str">
        <v/>
      </c>
      <c r="J88" s="20">
        <v>0</v>
      </c>
      <c r="K88" s="22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E88" s="20" t="str">
        <v/>
      </c>
      <c r="AF88" s="20">
        <v>0</v>
      </c>
      <c r="AG88" s="22" t="e">
        <v>#VALUE!</v>
      </c>
      <c r="AI88" s="20">
        <v>0</v>
      </c>
      <c r="AJ88" s="20">
        <v>0</v>
      </c>
      <c r="AK88" s="20">
        <v>0</v>
      </c>
      <c r="AL88" s="20">
        <v>0</v>
      </c>
      <c r="AM88" s="20">
        <v>0</v>
      </c>
      <c r="AN88" s="20">
        <v>0</v>
      </c>
      <c r="AO88" s="20">
        <v>0</v>
      </c>
      <c r="AP88" s="20">
        <v>0</v>
      </c>
      <c r="AQ88" s="20">
        <v>0</v>
      </c>
      <c r="AR88" s="20">
        <v>0</v>
      </c>
      <c r="AS88" s="20">
        <v>0</v>
      </c>
      <c r="AT88" s="20">
        <v>0</v>
      </c>
      <c r="AU88" s="20">
        <v>0</v>
      </c>
      <c r="AV88" s="20">
        <v>0</v>
      </c>
      <c r="AW88" s="20">
        <v>0</v>
      </c>
      <c r="AX88" s="20">
        <v>0</v>
      </c>
      <c r="AY88" s="20">
        <v>0</v>
      </c>
      <c r="AZ88" s="20">
        <v>0</v>
      </c>
      <c r="BA88" s="20">
        <v>0</v>
      </c>
      <c r="BB88" s="20">
        <v>0</v>
      </c>
      <c r="BC88" s="20">
        <v>0</v>
      </c>
      <c r="BD88" s="20">
        <v>0</v>
      </c>
      <c r="BE88" s="20">
        <v>0</v>
      </c>
      <c r="BF88" s="20">
        <v>0</v>
      </c>
      <c r="BG88" s="20">
        <v>0</v>
      </c>
      <c r="BH88" s="20">
        <v>0</v>
      </c>
      <c r="BI88" s="20">
        <v>0</v>
      </c>
      <c r="BJ88" s="20">
        <v>0</v>
      </c>
      <c r="BK88" s="20">
        <v>0</v>
      </c>
      <c r="BL88" s="20">
        <v>0</v>
      </c>
      <c r="BM88" s="20">
        <v>0</v>
      </c>
      <c r="BN88" s="22">
        <v>0</v>
      </c>
      <c r="BO88" s="22">
        <v>0</v>
      </c>
      <c r="BP88" s="22">
        <v>0</v>
      </c>
      <c r="BR88" s="20" t="str">
        <v/>
      </c>
      <c r="BS88" s="23"/>
      <c r="BT88" s="23"/>
      <c r="BV88" s="23"/>
      <c r="BW88" s="23"/>
      <c r="BX88" s="23"/>
      <c r="BY88" s="45"/>
      <c r="CA88" s="45"/>
      <c r="CH88" s="20">
        <v>0</v>
      </c>
      <c r="CI88" s="20">
        <v>0</v>
      </c>
      <c r="CJ88" s="20">
        <v>0</v>
      </c>
      <c r="CK88" s="20" t="str">
        <v/>
      </c>
      <c r="CL88" s="20" t="str">
        <v/>
      </c>
      <c r="CN88" s="20">
        <v>0</v>
      </c>
      <c r="CO88" s="20">
        <v>0</v>
      </c>
      <c r="CP88" s="20">
        <v>0</v>
      </c>
      <c r="CQ88" s="20">
        <v>0</v>
      </c>
      <c r="CR88" s="20">
        <v>0</v>
      </c>
      <c r="CS88" s="20">
        <v>0</v>
      </c>
      <c r="CT88" s="20">
        <v>0</v>
      </c>
      <c r="CU88" s="20">
        <v>0</v>
      </c>
      <c r="CV88" s="20">
        <v>0</v>
      </c>
      <c r="CW88" s="20">
        <v>0</v>
      </c>
      <c r="CX88" s="20">
        <v>0</v>
      </c>
      <c r="CY88" s="20">
        <v>0</v>
      </c>
      <c r="CZ88" s="20">
        <v>0</v>
      </c>
      <c r="DA88" s="19">
        <v>0</v>
      </c>
      <c r="DB88" s="20">
        <v>0</v>
      </c>
      <c r="DC88" s="25">
        <v>0</v>
      </c>
      <c r="DD88" s="20">
        <v>0</v>
      </c>
      <c r="DE88" s="20">
        <v>0</v>
      </c>
      <c r="DF88" s="20">
        <v>0</v>
      </c>
      <c r="DG88" s="20">
        <v>0</v>
      </c>
      <c r="DH88" s="20">
        <v>0</v>
      </c>
      <c r="DI88" s="20">
        <v>0</v>
      </c>
    </row>
    <row r="89" spans="1:113">
      <c r="A89" s="20" t="str">
        <v>00:00:00</v>
      </c>
      <c r="B89" s="19">
        <v>0</v>
      </c>
      <c r="C89" s="21">
        <v>0</v>
      </c>
      <c r="D89" s="20" t="str">
        <v>未匹配</v>
      </c>
      <c r="E89" s="20">
        <v>0</v>
      </c>
      <c r="I89" s="20" t="str">
        <v/>
      </c>
      <c r="J89" s="20">
        <v>0</v>
      </c>
      <c r="K89" s="22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E89" s="20" t="str">
        <v/>
      </c>
      <c r="AF89" s="20">
        <v>0</v>
      </c>
      <c r="AG89" s="22" t="e">
        <v>#VALUE!</v>
      </c>
      <c r="AI89" s="20">
        <v>0</v>
      </c>
      <c r="AJ89" s="20">
        <v>0</v>
      </c>
      <c r="AK89" s="20">
        <v>0</v>
      </c>
      <c r="AL89" s="20">
        <v>0</v>
      </c>
      <c r="AM89" s="20">
        <v>0</v>
      </c>
      <c r="AN89" s="20">
        <v>0</v>
      </c>
      <c r="AO89" s="20">
        <v>0</v>
      </c>
      <c r="AP89" s="20">
        <v>0</v>
      </c>
      <c r="AQ89" s="20">
        <v>0</v>
      </c>
      <c r="AR89" s="20">
        <v>0</v>
      </c>
      <c r="AS89" s="20">
        <v>0</v>
      </c>
      <c r="AT89" s="20">
        <v>0</v>
      </c>
      <c r="AU89" s="20">
        <v>0</v>
      </c>
      <c r="AV89" s="20">
        <v>0</v>
      </c>
      <c r="AW89" s="20">
        <v>0</v>
      </c>
      <c r="AX89" s="20">
        <v>0</v>
      </c>
      <c r="AY89" s="20">
        <v>0</v>
      </c>
      <c r="AZ89" s="20">
        <v>0</v>
      </c>
      <c r="BA89" s="20">
        <v>0</v>
      </c>
      <c r="BB89" s="20">
        <v>0</v>
      </c>
      <c r="BC89" s="20">
        <v>0</v>
      </c>
      <c r="BD89" s="20">
        <v>0</v>
      </c>
      <c r="BE89" s="20">
        <v>0</v>
      </c>
      <c r="BF89" s="20">
        <v>0</v>
      </c>
      <c r="BG89" s="20">
        <v>0</v>
      </c>
      <c r="BH89" s="20">
        <v>0</v>
      </c>
      <c r="BI89" s="20">
        <v>0</v>
      </c>
      <c r="BJ89" s="20">
        <v>0</v>
      </c>
      <c r="BK89" s="20">
        <v>0</v>
      </c>
      <c r="BL89" s="20">
        <v>0</v>
      </c>
      <c r="BM89" s="20">
        <v>0</v>
      </c>
      <c r="BN89" s="22">
        <v>0</v>
      </c>
      <c r="BO89" s="22">
        <v>0</v>
      </c>
      <c r="BP89" s="22">
        <v>0</v>
      </c>
      <c r="BR89" s="20" t="str">
        <v/>
      </c>
      <c r="BS89" s="23"/>
      <c r="BT89" s="23"/>
      <c r="BV89" s="23"/>
      <c r="BW89" s="23"/>
      <c r="BX89" s="23"/>
      <c r="BY89" s="45"/>
      <c r="CA89" s="45"/>
      <c r="CH89" s="20">
        <v>0</v>
      </c>
      <c r="CI89" s="20">
        <v>0</v>
      </c>
      <c r="CJ89" s="20">
        <v>0</v>
      </c>
      <c r="CK89" s="20" t="str">
        <v/>
      </c>
      <c r="CL89" s="20" t="str">
        <v/>
      </c>
      <c r="CN89" s="20">
        <v>0</v>
      </c>
      <c r="CO89" s="20">
        <v>0</v>
      </c>
      <c r="CP89" s="20">
        <v>0</v>
      </c>
      <c r="CQ89" s="20">
        <v>0</v>
      </c>
      <c r="CR89" s="20">
        <v>0</v>
      </c>
      <c r="CS89" s="20">
        <v>0</v>
      </c>
      <c r="CT89" s="20">
        <v>0</v>
      </c>
      <c r="CU89" s="20">
        <v>0</v>
      </c>
      <c r="CV89" s="20">
        <v>0</v>
      </c>
      <c r="CW89" s="20">
        <v>0</v>
      </c>
      <c r="CX89" s="20">
        <v>0</v>
      </c>
      <c r="CY89" s="20">
        <v>0</v>
      </c>
      <c r="CZ89" s="20">
        <v>0</v>
      </c>
      <c r="DA89" s="19">
        <v>0</v>
      </c>
      <c r="DB89" s="20">
        <v>0</v>
      </c>
      <c r="DC89" s="25">
        <v>0</v>
      </c>
      <c r="DD89" s="20">
        <v>0</v>
      </c>
      <c r="DE89" s="20">
        <v>0</v>
      </c>
      <c r="DF89" s="20">
        <v>0</v>
      </c>
      <c r="DG89" s="20">
        <v>0</v>
      </c>
      <c r="DH89" s="20">
        <v>0</v>
      </c>
      <c r="DI89" s="20">
        <v>0</v>
      </c>
    </row>
    <row r="90" spans="1:113">
      <c r="A90" s="20" t="str">
        <v>00:00:00</v>
      </c>
      <c r="B90" s="19">
        <v>0</v>
      </c>
      <c r="C90" s="21">
        <v>0</v>
      </c>
      <c r="D90" s="20" t="str">
        <v>未匹配</v>
      </c>
      <c r="E90" s="20">
        <v>0</v>
      </c>
      <c r="I90" s="20" t="str">
        <v/>
      </c>
      <c r="J90" s="20">
        <v>0</v>
      </c>
      <c r="K90" s="22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20">
        <v>0</v>
      </c>
      <c r="AE90" s="20" t="str">
        <v/>
      </c>
      <c r="AF90" s="20">
        <v>0</v>
      </c>
      <c r="AG90" s="22" t="e">
        <v>#VALUE!</v>
      </c>
      <c r="AI90" s="20">
        <v>0</v>
      </c>
      <c r="AJ90" s="20">
        <v>0</v>
      </c>
      <c r="AK90" s="20">
        <v>0</v>
      </c>
      <c r="AL90" s="20">
        <v>0</v>
      </c>
      <c r="AM90" s="20">
        <v>0</v>
      </c>
      <c r="AN90" s="20">
        <v>0</v>
      </c>
      <c r="AO90" s="20">
        <v>0</v>
      </c>
      <c r="AP90" s="20">
        <v>0</v>
      </c>
      <c r="AQ90" s="20">
        <v>0</v>
      </c>
      <c r="AR90" s="20">
        <v>0</v>
      </c>
      <c r="AS90" s="20">
        <v>0</v>
      </c>
      <c r="AT90" s="20">
        <v>0</v>
      </c>
      <c r="AU90" s="20">
        <v>0</v>
      </c>
      <c r="AV90" s="20">
        <v>0</v>
      </c>
      <c r="AW90" s="20">
        <v>0</v>
      </c>
      <c r="AX90" s="20">
        <v>0</v>
      </c>
      <c r="AY90" s="20">
        <v>0</v>
      </c>
      <c r="AZ90" s="20">
        <v>0</v>
      </c>
      <c r="BA90" s="20">
        <v>0</v>
      </c>
      <c r="BB90" s="20">
        <v>0</v>
      </c>
      <c r="BC90" s="20">
        <v>0</v>
      </c>
      <c r="BD90" s="20">
        <v>0</v>
      </c>
      <c r="BE90" s="20">
        <v>0</v>
      </c>
      <c r="BF90" s="20">
        <v>0</v>
      </c>
      <c r="BG90" s="20">
        <v>0</v>
      </c>
      <c r="BH90" s="20">
        <v>0</v>
      </c>
      <c r="BI90" s="20">
        <v>0</v>
      </c>
      <c r="BJ90" s="20">
        <v>0</v>
      </c>
      <c r="BK90" s="20">
        <v>0</v>
      </c>
      <c r="BL90" s="20">
        <v>0</v>
      </c>
      <c r="BM90" s="20">
        <v>0</v>
      </c>
      <c r="BN90" s="22">
        <v>0</v>
      </c>
      <c r="BO90" s="22">
        <v>0</v>
      </c>
      <c r="BP90" s="22">
        <v>0</v>
      </c>
      <c r="BR90" s="20" t="str">
        <v/>
      </c>
      <c r="BS90" s="23"/>
      <c r="BT90" s="23"/>
      <c r="BV90" s="23"/>
      <c r="BW90" s="23"/>
      <c r="BX90" s="23"/>
      <c r="BY90" s="45"/>
      <c r="CA90" s="45"/>
      <c r="CH90" s="20">
        <v>0</v>
      </c>
      <c r="CI90" s="20">
        <v>0</v>
      </c>
      <c r="CJ90" s="20">
        <v>0</v>
      </c>
      <c r="CK90" s="20" t="str">
        <v/>
      </c>
      <c r="CL90" s="20" t="str">
        <v/>
      </c>
      <c r="CN90" s="20">
        <v>0</v>
      </c>
      <c r="CO90" s="20">
        <v>0</v>
      </c>
      <c r="CP90" s="20">
        <v>0</v>
      </c>
      <c r="CQ90" s="20">
        <v>0</v>
      </c>
      <c r="CR90" s="20">
        <v>0</v>
      </c>
      <c r="CS90" s="20">
        <v>0</v>
      </c>
      <c r="CT90" s="20">
        <v>0</v>
      </c>
      <c r="CU90" s="20">
        <v>0</v>
      </c>
      <c r="CV90" s="20">
        <v>0</v>
      </c>
      <c r="CW90" s="20">
        <v>0</v>
      </c>
      <c r="CX90" s="20">
        <v>0</v>
      </c>
      <c r="CY90" s="20">
        <v>0</v>
      </c>
      <c r="CZ90" s="20">
        <v>0</v>
      </c>
      <c r="DA90" s="19">
        <v>0</v>
      </c>
      <c r="DB90" s="20">
        <v>0</v>
      </c>
      <c r="DC90" s="25">
        <v>0</v>
      </c>
      <c r="DD90" s="20">
        <v>0</v>
      </c>
      <c r="DE90" s="20">
        <v>0</v>
      </c>
      <c r="DF90" s="20">
        <v>0</v>
      </c>
      <c r="DG90" s="20">
        <v>0</v>
      </c>
      <c r="DH90" s="20">
        <v>0</v>
      </c>
      <c r="DI90" s="20">
        <v>0</v>
      </c>
    </row>
    <row r="91" spans="1:113">
      <c r="A91" s="20" t="str">
        <v>00:00:00</v>
      </c>
      <c r="B91" s="19">
        <v>0</v>
      </c>
      <c r="C91" s="21">
        <v>0</v>
      </c>
      <c r="D91" s="20" t="str">
        <v>未匹配</v>
      </c>
      <c r="E91" s="20">
        <v>0</v>
      </c>
      <c r="I91" s="20" t="str">
        <v/>
      </c>
      <c r="J91" s="20">
        <v>0</v>
      </c>
      <c r="K91" s="22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E91" s="20" t="str">
        <v/>
      </c>
      <c r="AF91" s="20">
        <v>0</v>
      </c>
      <c r="AG91" s="22" t="e">
        <v>#VALUE!</v>
      </c>
      <c r="AI91" s="20">
        <v>0</v>
      </c>
      <c r="AJ91" s="20">
        <v>0</v>
      </c>
      <c r="AK91" s="20">
        <v>0</v>
      </c>
      <c r="AL91" s="20">
        <v>0</v>
      </c>
      <c r="AM91" s="20">
        <v>0</v>
      </c>
      <c r="AN91" s="20">
        <v>0</v>
      </c>
      <c r="AO91" s="20">
        <v>0</v>
      </c>
      <c r="AP91" s="20">
        <v>0</v>
      </c>
      <c r="AQ91" s="20">
        <v>0</v>
      </c>
      <c r="AR91" s="20">
        <v>0</v>
      </c>
      <c r="AS91" s="20">
        <v>0</v>
      </c>
      <c r="AT91" s="20">
        <v>0</v>
      </c>
      <c r="AU91" s="20">
        <v>0</v>
      </c>
      <c r="AV91" s="20">
        <v>0</v>
      </c>
      <c r="AW91" s="20">
        <v>0</v>
      </c>
      <c r="AX91" s="20">
        <v>0</v>
      </c>
      <c r="AY91" s="20">
        <v>0</v>
      </c>
      <c r="AZ91" s="20">
        <v>0</v>
      </c>
      <c r="BA91" s="20">
        <v>0</v>
      </c>
      <c r="BB91" s="20">
        <v>0</v>
      </c>
      <c r="BC91" s="20">
        <v>0</v>
      </c>
      <c r="BD91" s="20">
        <v>0</v>
      </c>
      <c r="BE91" s="20">
        <v>0</v>
      </c>
      <c r="BF91" s="20">
        <v>0</v>
      </c>
      <c r="BG91" s="20">
        <v>0</v>
      </c>
      <c r="BH91" s="20">
        <v>0</v>
      </c>
      <c r="BI91" s="20">
        <v>0</v>
      </c>
      <c r="BJ91" s="20">
        <v>0</v>
      </c>
      <c r="BK91" s="20">
        <v>0</v>
      </c>
      <c r="BL91" s="20">
        <v>0</v>
      </c>
      <c r="BM91" s="20">
        <v>0</v>
      </c>
      <c r="BN91" s="22">
        <v>0</v>
      </c>
      <c r="BO91" s="22">
        <v>0</v>
      </c>
      <c r="BP91" s="22">
        <v>0</v>
      </c>
      <c r="BR91" s="20" t="str">
        <v/>
      </c>
      <c r="BS91" s="23"/>
      <c r="BT91" s="23"/>
      <c r="BV91" s="23"/>
      <c r="BW91" s="23"/>
      <c r="BX91" s="23"/>
      <c r="BY91" s="45"/>
      <c r="CA91" s="45"/>
      <c r="CH91" s="20">
        <v>0</v>
      </c>
      <c r="CI91" s="20">
        <v>0</v>
      </c>
      <c r="CJ91" s="20">
        <v>0</v>
      </c>
      <c r="CK91" s="20" t="str">
        <v/>
      </c>
      <c r="CL91" s="20" t="str">
        <v/>
      </c>
      <c r="CN91" s="20">
        <v>0</v>
      </c>
      <c r="CO91" s="20">
        <v>0</v>
      </c>
      <c r="CP91" s="20">
        <v>0</v>
      </c>
      <c r="CQ91" s="20">
        <v>0</v>
      </c>
      <c r="CR91" s="20">
        <v>0</v>
      </c>
      <c r="CS91" s="20">
        <v>0</v>
      </c>
      <c r="CT91" s="20">
        <v>0</v>
      </c>
      <c r="CU91" s="20">
        <v>0</v>
      </c>
      <c r="CV91" s="20">
        <v>0</v>
      </c>
      <c r="CW91" s="20">
        <v>0</v>
      </c>
      <c r="CX91" s="20">
        <v>0</v>
      </c>
      <c r="CY91" s="20">
        <v>0</v>
      </c>
      <c r="CZ91" s="20">
        <v>0</v>
      </c>
      <c r="DA91" s="19">
        <v>0</v>
      </c>
      <c r="DB91" s="20">
        <v>0</v>
      </c>
      <c r="DC91" s="25">
        <v>0</v>
      </c>
      <c r="DD91" s="20">
        <v>0</v>
      </c>
      <c r="DE91" s="20">
        <v>0</v>
      </c>
      <c r="DF91" s="20">
        <v>0</v>
      </c>
      <c r="DG91" s="20">
        <v>0</v>
      </c>
      <c r="DH91" s="20">
        <v>0</v>
      </c>
      <c r="DI91" s="20">
        <v>0</v>
      </c>
    </row>
    <row r="92" spans="1:113">
      <c r="A92" s="20" t="str">
        <v>00:00:00</v>
      </c>
      <c r="B92" s="19">
        <v>0</v>
      </c>
      <c r="C92" s="21">
        <v>0</v>
      </c>
      <c r="D92" s="20" t="str">
        <v>未匹配</v>
      </c>
      <c r="E92" s="20">
        <v>0</v>
      </c>
      <c r="I92" s="20" t="str">
        <v/>
      </c>
      <c r="J92" s="20">
        <v>0</v>
      </c>
      <c r="K92" s="22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E92" s="20" t="str">
        <v/>
      </c>
      <c r="AF92" s="20">
        <v>0</v>
      </c>
      <c r="AG92" s="22" t="e">
        <v>#VALUE!</v>
      </c>
      <c r="AI92" s="20">
        <v>0</v>
      </c>
      <c r="AJ92" s="20">
        <v>0</v>
      </c>
      <c r="AK92" s="20">
        <v>0</v>
      </c>
      <c r="AL92" s="20">
        <v>0</v>
      </c>
      <c r="AM92" s="20">
        <v>0</v>
      </c>
      <c r="AN92" s="20">
        <v>0</v>
      </c>
      <c r="AO92" s="20">
        <v>0</v>
      </c>
      <c r="AP92" s="20">
        <v>0</v>
      </c>
      <c r="AQ92" s="20">
        <v>0</v>
      </c>
      <c r="AR92" s="20">
        <v>0</v>
      </c>
      <c r="AS92" s="20">
        <v>0</v>
      </c>
      <c r="AT92" s="20">
        <v>0</v>
      </c>
      <c r="AU92" s="20">
        <v>0</v>
      </c>
      <c r="AV92" s="20">
        <v>0</v>
      </c>
      <c r="AW92" s="20">
        <v>0</v>
      </c>
      <c r="AX92" s="20">
        <v>0</v>
      </c>
      <c r="AY92" s="20">
        <v>0</v>
      </c>
      <c r="AZ92" s="20">
        <v>0</v>
      </c>
      <c r="BA92" s="20">
        <v>0</v>
      </c>
      <c r="BB92" s="20">
        <v>0</v>
      </c>
      <c r="BC92" s="20">
        <v>0</v>
      </c>
      <c r="BD92" s="20">
        <v>0</v>
      </c>
      <c r="BE92" s="20">
        <v>0</v>
      </c>
      <c r="BF92" s="20">
        <v>0</v>
      </c>
      <c r="BG92" s="20">
        <v>0</v>
      </c>
      <c r="BH92" s="20">
        <v>0</v>
      </c>
      <c r="BI92" s="20">
        <v>0</v>
      </c>
      <c r="BJ92" s="20">
        <v>0</v>
      </c>
      <c r="BK92" s="20">
        <v>0</v>
      </c>
      <c r="BL92" s="20">
        <v>0</v>
      </c>
      <c r="BM92" s="20">
        <v>0</v>
      </c>
      <c r="BN92" s="22">
        <v>0</v>
      </c>
      <c r="BO92" s="22">
        <v>0</v>
      </c>
      <c r="BP92" s="22">
        <v>0</v>
      </c>
      <c r="BR92" s="20" t="str">
        <v/>
      </c>
      <c r="BS92" s="23"/>
      <c r="BT92" s="23"/>
      <c r="BV92" s="23"/>
      <c r="BW92" s="23"/>
      <c r="BX92" s="23"/>
      <c r="BY92" s="45"/>
      <c r="CA92" s="45"/>
      <c r="CH92" s="20">
        <v>0</v>
      </c>
      <c r="CI92" s="20">
        <v>0</v>
      </c>
      <c r="CJ92" s="20">
        <v>0</v>
      </c>
      <c r="CK92" s="20" t="str">
        <v/>
      </c>
      <c r="CL92" s="20" t="str">
        <v/>
      </c>
      <c r="CN92" s="20">
        <v>0</v>
      </c>
      <c r="CO92" s="20">
        <v>0</v>
      </c>
      <c r="CP92" s="20">
        <v>0</v>
      </c>
      <c r="CQ92" s="20">
        <v>0</v>
      </c>
      <c r="CR92" s="20">
        <v>0</v>
      </c>
      <c r="CS92" s="20">
        <v>0</v>
      </c>
      <c r="CT92" s="20">
        <v>0</v>
      </c>
      <c r="CU92" s="20">
        <v>0</v>
      </c>
      <c r="CV92" s="20">
        <v>0</v>
      </c>
      <c r="CW92" s="20">
        <v>0</v>
      </c>
      <c r="CX92" s="20">
        <v>0</v>
      </c>
      <c r="CY92" s="20">
        <v>0</v>
      </c>
      <c r="CZ92" s="20">
        <v>0</v>
      </c>
      <c r="DA92" s="19">
        <v>0</v>
      </c>
      <c r="DB92" s="20">
        <v>0</v>
      </c>
      <c r="DC92" s="25">
        <v>0</v>
      </c>
      <c r="DD92" s="20">
        <v>0</v>
      </c>
      <c r="DE92" s="20">
        <v>0</v>
      </c>
      <c r="DF92" s="20">
        <v>0</v>
      </c>
      <c r="DG92" s="20">
        <v>0</v>
      </c>
      <c r="DH92" s="20">
        <v>0</v>
      </c>
      <c r="DI92" s="20">
        <v>0</v>
      </c>
    </row>
    <row r="93" spans="1:113">
      <c r="A93" s="20" t="str">
        <v>00:00:00</v>
      </c>
      <c r="B93" s="19">
        <v>0</v>
      </c>
      <c r="C93" s="21">
        <v>0</v>
      </c>
      <c r="D93" s="20" t="str">
        <v>未匹配</v>
      </c>
      <c r="E93" s="20">
        <v>0</v>
      </c>
      <c r="I93" s="20" t="str">
        <v/>
      </c>
      <c r="J93" s="20">
        <v>0</v>
      </c>
      <c r="K93" s="22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E93" s="20" t="str">
        <v/>
      </c>
      <c r="AF93" s="20">
        <v>0</v>
      </c>
      <c r="AG93" s="22" t="e">
        <v>#VALUE!</v>
      </c>
      <c r="AI93" s="20">
        <v>0</v>
      </c>
      <c r="AJ93" s="20">
        <v>0</v>
      </c>
      <c r="AK93" s="20">
        <v>0</v>
      </c>
      <c r="AL93" s="20">
        <v>0</v>
      </c>
      <c r="AM93" s="20">
        <v>0</v>
      </c>
      <c r="AN93" s="20">
        <v>0</v>
      </c>
      <c r="AO93" s="20">
        <v>0</v>
      </c>
      <c r="AP93" s="20">
        <v>0</v>
      </c>
      <c r="AQ93" s="20">
        <v>0</v>
      </c>
      <c r="AR93" s="20">
        <v>0</v>
      </c>
      <c r="AS93" s="20">
        <v>0</v>
      </c>
      <c r="AT93" s="20">
        <v>0</v>
      </c>
      <c r="AU93" s="20">
        <v>0</v>
      </c>
      <c r="AV93" s="20">
        <v>0</v>
      </c>
      <c r="AW93" s="20">
        <v>0</v>
      </c>
      <c r="AX93" s="20">
        <v>0</v>
      </c>
      <c r="AY93" s="20">
        <v>0</v>
      </c>
      <c r="AZ93" s="20">
        <v>0</v>
      </c>
      <c r="BA93" s="20">
        <v>0</v>
      </c>
      <c r="BB93" s="20">
        <v>0</v>
      </c>
      <c r="BC93" s="20">
        <v>0</v>
      </c>
      <c r="BD93" s="20">
        <v>0</v>
      </c>
      <c r="BE93" s="20">
        <v>0</v>
      </c>
      <c r="BF93" s="20">
        <v>0</v>
      </c>
      <c r="BG93" s="20">
        <v>0</v>
      </c>
      <c r="BH93" s="20">
        <v>0</v>
      </c>
      <c r="BI93" s="20">
        <v>0</v>
      </c>
      <c r="BJ93" s="20">
        <v>0</v>
      </c>
      <c r="BK93" s="20">
        <v>0</v>
      </c>
      <c r="BL93" s="20">
        <v>0</v>
      </c>
      <c r="BM93" s="20">
        <v>0</v>
      </c>
      <c r="BN93" s="22">
        <v>0</v>
      </c>
      <c r="BO93" s="22">
        <v>0</v>
      </c>
      <c r="BP93" s="22">
        <v>0</v>
      </c>
      <c r="BR93" s="20" t="str">
        <v/>
      </c>
      <c r="BS93" s="23"/>
      <c r="BT93" s="23"/>
      <c r="BV93" s="23"/>
      <c r="BW93" s="23"/>
      <c r="BX93" s="23"/>
      <c r="BY93" s="45"/>
      <c r="CA93" s="45"/>
      <c r="CH93" s="20">
        <v>0</v>
      </c>
      <c r="CI93" s="20">
        <v>0</v>
      </c>
      <c r="CJ93" s="20">
        <v>0</v>
      </c>
      <c r="CK93" s="20" t="str">
        <v/>
      </c>
      <c r="CL93" s="20" t="str">
        <v/>
      </c>
      <c r="CN93" s="20">
        <v>0</v>
      </c>
      <c r="CO93" s="20">
        <v>0</v>
      </c>
      <c r="CP93" s="20">
        <v>0</v>
      </c>
      <c r="CQ93" s="20">
        <v>0</v>
      </c>
      <c r="CR93" s="20">
        <v>0</v>
      </c>
      <c r="CS93" s="20">
        <v>0</v>
      </c>
      <c r="CT93" s="20">
        <v>0</v>
      </c>
      <c r="CU93" s="20">
        <v>0</v>
      </c>
      <c r="CV93" s="20">
        <v>0</v>
      </c>
      <c r="CW93" s="20">
        <v>0</v>
      </c>
      <c r="CX93" s="20">
        <v>0</v>
      </c>
      <c r="CY93" s="20">
        <v>0</v>
      </c>
      <c r="CZ93" s="20">
        <v>0</v>
      </c>
      <c r="DA93" s="19">
        <v>0</v>
      </c>
      <c r="DB93" s="20">
        <v>0</v>
      </c>
      <c r="DC93" s="25">
        <v>0</v>
      </c>
      <c r="DD93" s="20">
        <v>0</v>
      </c>
      <c r="DE93" s="20">
        <v>0</v>
      </c>
      <c r="DF93" s="20">
        <v>0</v>
      </c>
      <c r="DG93" s="20">
        <v>0</v>
      </c>
      <c r="DH93" s="20">
        <v>0</v>
      </c>
      <c r="DI93" s="20">
        <v>0</v>
      </c>
    </row>
    <row r="94" spans="1:113">
      <c r="A94" s="20" t="str">
        <v>00:00:00</v>
      </c>
      <c r="B94" s="19">
        <v>0</v>
      </c>
      <c r="C94" s="21">
        <v>0</v>
      </c>
      <c r="D94" s="20" t="str">
        <v>未匹配</v>
      </c>
      <c r="E94" s="20">
        <v>0</v>
      </c>
      <c r="I94" s="20" t="str">
        <v/>
      </c>
      <c r="J94" s="20">
        <v>0</v>
      </c>
      <c r="K94" s="22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E94" s="20" t="str">
        <v/>
      </c>
      <c r="AF94" s="20">
        <v>0</v>
      </c>
      <c r="AG94" s="22" t="e">
        <v>#VALUE!</v>
      </c>
      <c r="AI94" s="20">
        <v>0</v>
      </c>
      <c r="AJ94" s="20">
        <v>0</v>
      </c>
      <c r="AK94" s="20">
        <v>0</v>
      </c>
      <c r="AL94" s="20">
        <v>0</v>
      </c>
      <c r="AM94" s="20">
        <v>0</v>
      </c>
      <c r="AN94" s="20">
        <v>0</v>
      </c>
      <c r="AO94" s="20">
        <v>0</v>
      </c>
      <c r="AP94" s="20">
        <v>0</v>
      </c>
      <c r="AQ94" s="20">
        <v>0</v>
      </c>
      <c r="AR94" s="20">
        <v>0</v>
      </c>
      <c r="AS94" s="20">
        <v>0</v>
      </c>
      <c r="AT94" s="20">
        <v>0</v>
      </c>
      <c r="AU94" s="20">
        <v>0</v>
      </c>
      <c r="AV94" s="20">
        <v>0</v>
      </c>
      <c r="AW94" s="20">
        <v>0</v>
      </c>
      <c r="AX94" s="20">
        <v>0</v>
      </c>
      <c r="AY94" s="20">
        <v>0</v>
      </c>
      <c r="AZ94" s="20">
        <v>0</v>
      </c>
      <c r="BA94" s="20">
        <v>0</v>
      </c>
      <c r="BB94" s="20">
        <v>0</v>
      </c>
      <c r="BC94" s="20">
        <v>0</v>
      </c>
      <c r="BD94" s="20">
        <v>0</v>
      </c>
      <c r="BE94" s="20">
        <v>0</v>
      </c>
      <c r="BF94" s="20">
        <v>0</v>
      </c>
      <c r="BG94" s="20">
        <v>0</v>
      </c>
      <c r="BH94" s="20">
        <v>0</v>
      </c>
      <c r="BI94" s="20">
        <v>0</v>
      </c>
      <c r="BJ94" s="20">
        <v>0</v>
      </c>
      <c r="BK94" s="20">
        <v>0</v>
      </c>
      <c r="BL94" s="20">
        <v>0</v>
      </c>
      <c r="BM94" s="20">
        <v>0</v>
      </c>
      <c r="BN94" s="22">
        <v>0</v>
      </c>
      <c r="BO94" s="22">
        <v>0</v>
      </c>
      <c r="BP94" s="22">
        <v>0</v>
      </c>
      <c r="BR94" s="20" t="str">
        <v/>
      </c>
      <c r="BS94" s="23"/>
      <c r="BT94" s="23"/>
      <c r="BV94" s="23"/>
      <c r="BW94" s="23"/>
      <c r="BX94" s="23"/>
      <c r="BY94" s="45"/>
      <c r="CA94" s="45"/>
      <c r="CH94" s="20">
        <v>0</v>
      </c>
      <c r="CI94" s="20">
        <v>0</v>
      </c>
      <c r="CJ94" s="20">
        <v>0</v>
      </c>
      <c r="CK94" s="20" t="str">
        <v/>
      </c>
      <c r="CL94" s="20" t="str">
        <v/>
      </c>
      <c r="CN94" s="20">
        <v>0</v>
      </c>
      <c r="CO94" s="20">
        <v>0</v>
      </c>
      <c r="CP94" s="20">
        <v>0</v>
      </c>
      <c r="CQ94" s="20">
        <v>0</v>
      </c>
      <c r="CR94" s="20">
        <v>0</v>
      </c>
      <c r="CS94" s="20">
        <v>0</v>
      </c>
      <c r="CT94" s="20">
        <v>0</v>
      </c>
      <c r="CU94" s="20">
        <v>0</v>
      </c>
      <c r="CV94" s="20">
        <v>0</v>
      </c>
      <c r="CW94" s="20">
        <v>0</v>
      </c>
      <c r="CX94" s="20">
        <v>0</v>
      </c>
      <c r="CY94" s="20">
        <v>0</v>
      </c>
      <c r="CZ94" s="20">
        <v>0</v>
      </c>
      <c r="DA94" s="19">
        <v>0</v>
      </c>
      <c r="DB94" s="20">
        <v>0</v>
      </c>
      <c r="DC94" s="25">
        <v>0</v>
      </c>
      <c r="DD94" s="20">
        <v>0</v>
      </c>
      <c r="DE94" s="20">
        <v>0</v>
      </c>
      <c r="DF94" s="20">
        <v>0</v>
      </c>
      <c r="DG94" s="20">
        <v>0</v>
      </c>
      <c r="DH94" s="20">
        <v>0</v>
      </c>
      <c r="DI94" s="20">
        <v>0</v>
      </c>
    </row>
    <row r="95" spans="1:113">
      <c r="A95" s="20" t="str">
        <v>00:00:00</v>
      </c>
      <c r="B95" s="19">
        <v>0</v>
      </c>
      <c r="C95" s="21">
        <v>0</v>
      </c>
      <c r="D95" s="20" t="str">
        <v>未匹配</v>
      </c>
      <c r="E95" s="20">
        <v>0</v>
      </c>
      <c r="I95" s="20" t="str">
        <v/>
      </c>
      <c r="J95" s="20">
        <v>0</v>
      </c>
      <c r="K95" s="22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E95" s="20" t="str">
        <v/>
      </c>
      <c r="AF95" s="20">
        <v>0</v>
      </c>
      <c r="AG95" s="22" t="e">
        <v>#VALUE!</v>
      </c>
      <c r="AI95" s="20">
        <v>0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</v>
      </c>
      <c r="AT95" s="20">
        <v>0</v>
      </c>
      <c r="AU95" s="20">
        <v>0</v>
      </c>
      <c r="AV95" s="20">
        <v>0</v>
      </c>
      <c r="AW95" s="20">
        <v>0</v>
      </c>
      <c r="AX95" s="20">
        <v>0</v>
      </c>
      <c r="AY95" s="20">
        <v>0</v>
      </c>
      <c r="AZ95" s="20">
        <v>0</v>
      </c>
      <c r="BA95" s="20">
        <v>0</v>
      </c>
      <c r="BB95" s="20">
        <v>0</v>
      </c>
      <c r="BC95" s="20">
        <v>0</v>
      </c>
      <c r="BD95" s="20">
        <v>0</v>
      </c>
      <c r="BE95" s="20">
        <v>0</v>
      </c>
      <c r="BF95" s="20">
        <v>0</v>
      </c>
      <c r="BG95" s="20">
        <v>0</v>
      </c>
      <c r="BH95" s="20">
        <v>0</v>
      </c>
      <c r="BI95" s="20">
        <v>0</v>
      </c>
      <c r="BJ95" s="20">
        <v>0</v>
      </c>
      <c r="BK95" s="20">
        <v>0</v>
      </c>
      <c r="BL95" s="20">
        <v>0</v>
      </c>
      <c r="BM95" s="20">
        <v>0</v>
      </c>
      <c r="BN95" s="22">
        <v>0</v>
      </c>
      <c r="BO95" s="22">
        <v>0</v>
      </c>
      <c r="BP95" s="22">
        <v>0</v>
      </c>
      <c r="BR95" s="20" t="str">
        <v/>
      </c>
      <c r="BS95" s="23"/>
      <c r="BT95" s="23"/>
      <c r="BV95" s="23"/>
      <c r="BW95" s="23"/>
      <c r="BX95" s="23"/>
      <c r="BY95" s="45"/>
      <c r="CA95" s="45"/>
      <c r="CH95" s="20">
        <v>0</v>
      </c>
      <c r="CI95" s="20">
        <v>0</v>
      </c>
      <c r="CJ95" s="20">
        <v>0</v>
      </c>
      <c r="CK95" s="20" t="str">
        <v/>
      </c>
      <c r="CL95" s="20" t="str">
        <v/>
      </c>
      <c r="CN95" s="20">
        <v>0</v>
      </c>
      <c r="CO95" s="20">
        <v>0</v>
      </c>
      <c r="CP95" s="20">
        <v>0</v>
      </c>
      <c r="CQ95" s="20">
        <v>0</v>
      </c>
      <c r="CR95" s="20">
        <v>0</v>
      </c>
      <c r="CS95" s="20">
        <v>0</v>
      </c>
      <c r="CT95" s="20">
        <v>0</v>
      </c>
      <c r="CU95" s="20">
        <v>0</v>
      </c>
      <c r="CV95" s="20">
        <v>0</v>
      </c>
      <c r="CW95" s="20">
        <v>0</v>
      </c>
      <c r="CX95" s="20">
        <v>0</v>
      </c>
      <c r="CY95" s="20">
        <v>0</v>
      </c>
      <c r="CZ95" s="20">
        <v>0</v>
      </c>
      <c r="DA95" s="19">
        <v>0</v>
      </c>
      <c r="DB95" s="20">
        <v>0</v>
      </c>
      <c r="DC95" s="25">
        <v>0</v>
      </c>
      <c r="DD95" s="20">
        <v>0</v>
      </c>
      <c r="DE95" s="20">
        <v>0</v>
      </c>
      <c r="DF95" s="20">
        <v>0</v>
      </c>
      <c r="DG95" s="20">
        <v>0</v>
      </c>
      <c r="DH95" s="20">
        <v>0</v>
      </c>
      <c r="DI95" s="20">
        <v>0</v>
      </c>
    </row>
    <row r="96" spans="1:113">
      <c r="A96" s="20" t="str">
        <v>00:00:00</v>
      </c>
      <c r="B96" s="19">
        <v>0</v>
      </c>
      <c r="C96" s="21">
        <v>0</v>
      </c>
      <c r="D96" s="20" t="str">
        <v>未匹配</v>
      </c>
      <c r="E96" s="20">
        <v>0</v>
      </c>
      <c r="I96" s="20" t="str">
        <v/>
      </c>
      <c r="J96" s="20">
        <v>0</v>
      </c>
      <c r="K96" s="22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  <c r="AC96" s="20">
        <v>0</v>
      </c>
      <c r="AE96" s="20" t="str">
        <v/>
      </c>
      <c r="AF96" s="20">
        <v>0</v>
      </c>
      <c r="AG96" s="22" t="e">
        <v>#VALUE!</v>
      </c>
      <c r="AI96" s="20">
        <v>0</v>
      </c>
      <c r="AJ96" s="20"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0</v>
      </c>
      <c r="AT96" s="20">
        <v>0</v>
      </c>
      <c r="AU96" s="20">
        <v>0</v>
      </c>
      <c r="AV96" s="20">
        <v>0</v>
      </c>
      <c r="AW96" s="20">
        <v>0</v>
      </c>
      <c r="AX96" s="20">
        <v>0</v>
      </c>
      <c r="AY96" s="20">
        <v>0</v>
      </c>
      <c r="AZ96" s="20">
        <v>0</v>
      </c>
      <c r="BA96" s="20">
        <v>0</v>
      </c>
      <c r="BB96" s="20">
        <v>0</v>
      </c>
      <c r="BC96" s="20">
        <v>0</v>
      </c>
      <c r="BD96" s="20">
        <v>0</v>
      </c>
      <c r="BE96" s="20">
        <v>0</v>
      </c>
      <c r="BF96" s="20">
        <v>0</v>
      </c>
      <c r="BG96" s="20">
        <v>0</v>
      </c>
      <c r="BH96" s="20">
        <v>0</v>
      </c>
      <c r="BI96" s="20">
        <v>0</v>
      </c>
      <c r="BJ96" s="20">
        <v>0</v>
      </c>
      <c r="BK96" s="20">
        <v>0</v>
      </c>
      <c r="BL96" s="20">
        <v>0</v>
      </c>
      <c r="BM96" s="20">
        <v>0</v>
      </c>
      <c r="BN96" s="22">
        <v>0</v>
      </c>
      <c r="BO96" s="22">
        <v>0</v>
      </c>
      <c r="BP96" s="22">
        <v>0</v>
      </c>
      <c r="BR96" s="20" t="str">
        <v/>
      </c>
      <c r="BS96" s="23"/>
      <c r="BT96" s="23"/>
      <c r="BV96" s="23"/>
      <c r="BW96" s="23"/>
      <c r="BX96" s="23"/>
      <c r="BY96" s="45"/>
      <c r="CA96" s="45"/>
      <c r="CH96" s="20">
        <v>0</v>
      </c>
      <c r="CI96" s="20">
        <v>0</v>
      </c>
      <c r="CJ96" s="20">
        <v>0</v>
      </c>
      <c r="CK96" s="20" t="str">
        <v/>
      </c>
      <c r="CL96" s="20" t="str">
        <v/>
      </c>
      <c r="CN96" s="20">
        <v>0</v>
      </c>
      <c r="CO96" s="20">
        <v>0</v>
      </c>
      <c r="CP96" s="20">
        <v>0</v>
      </c>
      <c r="CQ96" s="20">
        <v>0</v>
      </c>
      <c r="CR96" s="20">
        <v>0</v>
      </c>
      <c r="CS96" s="20">
        <v>0</v>
      </c>
      <c r="CT96" s="20">
        <v>0</v>
      </c>
      <c r="CU96" s="20">
        <v>0</v>
      </c>
      <c r="CV96" s="20">
        <v>0</v>
      </c>
      <c r="CW96" s="20">
        <v>0</v>
      </c>
      <c r="CX96" s="20">
        <v>0</v>
      </c>
      <c r="CY96" s="20">
        <v>0</v>
      </c>
      <c r="CZ96" s="20">
        <v>0</v>
      </c>
      <c r="DA96" s="19">
        <v>0</v>
      </c>
      <c r="DB96" s="20">
        <v>0</v>
      </c>
      <c r="DC96" s="25">
        <v>0</v>
      </c>
      <c r="DD96" s="20">
        <v>0</v>
      </c>
      <c r="DE96" s="20">
        <v>0</v>
      </c>
      <c r="DF96" s="20">
        <v>0</v>
      </c>
      <c r="DG96" s="20">
        <v>0</v>
      </c>
      <c r="DH96" s="20">
        <v>0</v>
      </c>
      <c r="DI96" s="20">
        <v>0</v>
      </c>
    </row>
    <row r="97" spans="1:113">
      <c r="A97" s="20" t="str">
        <v>00:00:00</v>
      </c>
      <c r="B97" s="19">
        <v>0</v>
      </c>
      <c r="C97" s="21">
        <v>0</v>
      </c>
      <c r="D97" s="20" t="str">
        <v>未匹配</v>
      </c>
      <c r="E97" s="20">
        <v>0</v>
      </c>
      <c r="I97" s="20" t="str">
        <v/>
      </c>
      <c r="J97" s="20">
        <v>0</v>
      </c>
      <c r="K97" s="22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E97" s="20" t="str">
        <v/>
      </c>
      <c r="AF97" s="20">
        <v>0</v>
      </c>
      <c r="AG97" s="22" t="e">
        <v>#VALUE!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0</v>
      </c>
      <c r="AT97" s="20">
        <v>0</v>
      </c>
      <c r="AU97" s="20">
        <v>0</v>
      </c>
      <c r="AV97" s="20">
        <v>0</v>
      </c>
      <c r="AW97" s="20">
        <v>0</v>
      </c>
      <c r="AX97" s="20">
        <v>0</v>
      </c>
      <c r="AY97" s="20">
        <v>0</v>
      </c>
      <c r="AZ97" s="20">
        <v>0</v>
      </c>
      <c r="BA97" s="20">
        <v>0</v>
      </c>
      <c r="BB97" s="20">
        <v>0</v>
      </c>
      <c r="BC97" s="20">
        <v>0</v>
      </c>
      <c r="BD97" s="20">
        <v>0</v>
      </c>
      <c r="BE97" s="20">
        <v>0</v>
      </c>
      <c r="BF97" s="20">
        <v>0</v>
      </c>
      <c r="BG97" s="20">
        <v>0</v>
      </c>
      <c r="BH97" s="20">
        <v>0</v>
      </c>
      <c r="BI97" s="20">
        <v>0</v>
      </c>
      <c r="BJ97" s="20">
        <v>0</v>
      </c>
      <c r="BK97" s="20">
        <v>0</v>
      </c>
      <c r="BL97" s="20">
        <v>0</v>
      </c>
      <c r="BM97" s="20">
        <v>0</v>
      </c>
      <c r="BN97" s="22">
        <v>0</v>
      </c>
      <c r="BO97" s="22">
        <v>0</v>
      </c>
      <c r="BP97" s="22">
        <v>0</v>
      </c>
      <c r="BR97" s="20" t="str">
        <v/>
      </c>
      <c r="BS97" s="23"/>
      <c r="BT97" s="23"/>
      <c r="BV97" s="23"/>
      <c r="BW97" s="23"/>
      <c r="BX97" s="23"/>
      <c r="BY97" s="45"/>
      <c r="CA97" s="45"/>
      <c r="CH97" s="20">
        <v>0</v>
      </c>
      <c r="CI97" s="20">
        <v>0</v>
      </c>
      <c r="CJ97" s="20">
        <v>0</v>
      </c>
      <c r="CK97" s="20" t="str">
        <v/>
      </c>
      <c r="CL97" s="20" t="str">
        <v/>
      </c>
      <c r="CN97" s="20">
        <v>0</v>
      </c>
      <c r="CO97" s="20">
        <v>0</v>
      </c>
      <c r="CP97" s="20">
        <v>0</v>
      </c>
      <c r="CQ97" s="20">
        <v>0</v>
      </c>
      <c r="CR97" s="20">
        <v>0</v>
      </c>
      <c r="CS97" s="20">
        <v>0</v>
      </c>
      <c r="CT97" s="20">
        <v>0</v>
      </c>
      <c r="CU97" s="20">
        <v>0</v>
      </c>
      <c r="CV97" s="20">
        <v>0</v>
      </c>
      <c r="CW97" s="20">
        <v>0</v>
      </c>
      <c r="CX97" s="20">
        <v>0</v>
      </c>
      <c r="CY97" s="20">
        <v>0</v>
      </c>
      <c r="CZ97" s="20">
        <v>0</v>
      </c>
      <c r="DA97" s="19">
        <v>0</v>
      </c>
      <c r="DB97" s="20">
        <v>0</v>
      </c>
      <c r="DC97" s="25">
        <v>0</v>
      </c>
      <c r="DD97" s="20">
        <v>0</v>
      </c>
      <c r="DE97" s="20">
        <v>0</v>
      </c>
      <c r="DF97" s="20">
        <v>0</v>
      </c>
      <c r="DG97" s="20">
        <v>0</v>
      </c>
      <c r="DH97" s="20">
        <v>0</v>
      </c>
      <c r="DI97" s="20">
        <v>0</v>
      </c>
    </row>
    <row r="98" spans="1:113">
      <c r="A98" s="20" t="str">
        <v>00:00:00</v>
      </c>
      <c r="B98" s="19">
        <v>0</v>
      </c>
      <c r="C98" s="21">
        <v>0</v>
      </c>
      <c r="D98" s="20" t="str">
        <v>未匹配</v>
      </c>
      <c r="E98" s="20">
        <v>0</v>
      </c>
      <c r="I98" s="20" t="str">
        <v/>
      </c>
      <c r="J98" s="20">
        <v>0</v>
      </c>
      <c r="K98" s="22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E98" s="20" t="str">
        <v/>
      </c>
      <c r="AF98" s="20">
        <v>0</v>
      </c>
      <c r="AG98" s="22" t="e">
        <v>#VALUE!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0</v>
      </c>
      <c r="AX98" s="20">
        <v>0</v>
      </c>
      <c r="AY98" s="20">
        <v>0</v>
      </c>
      <c r="AZ98" s="20">
        <v>0</v>
      </c>
      <c r="BA98" s="20">
        <v>0</v>
      </c>
      <c r="BB98" s="20">
        <v>0</v>
      </c>
      <c r="BC98" s="20">
        <v>0</v>
      </c>
      <c r="BD98" s="20">
        <v>0</v>
      </c>
      <c r="BE98" s="20">
        <v>0</v>
      </c>
      <c r="BF98" s="20">
        <v>0</v>
      </c>
      <c r="BG98" s="20">
        <v>0</v>
      </c>
      <c r="BH98" s="20">
        <v>0</v>
      </c>
      <c r="BI98" s="20">
        <v>0</v>
      </c>
      <c r="BJ98" s="20">
        <v>0</v>
      </c>
      <c r="BK98" s="20">
        <v>0</v>
      </c>
      <c r="BL98" s="20">
        <v>0</v>
      </c>
      <c r="BM98" s="20">
        <v>0</v>
      </c>
      <c r="BN98" s="22">
        <v>0</v>
      </c>
      <c r="BO98" s="22">
        <v>0</v>
      </c>
      <c r="BP98" s="22">
        <v>0</v>
      </c>
      <c r="BR98" s="20" t="str">
        <v/>
      </c>
      <c r="BS98" s="23"/>
      <c r="BT98" s="23"/>
      <c r="BV98" s="23"/>
      <c r="BW98" s="23"/>
      <c r="BX98" s="23"/>
      <c r="BY98" s="45"/>
      <c r="CA98" s="45"/>
      <c r="CH98" s="20">
        <v>0</v>
      </c>
      <c r="CI98" s="20">
        <v>0</v>
      </c>
      <c r="CJ98" s="20">
        <v>0</v>
      </c>
      <c r="CK98" s="20" t="str">
        <v/>
      </c>
      <c r="CL98" s="20" t="str">
        <v/>
      </c>
      <c r="CN98" s="20">
        <v>0</v>
      </c>
      <c r="CO98" s="20">
        <v>0</v>
      </c>
      <c r="CP98" s="20">
        <v>0</v>
      </c>
      <c r="CQ98" s="20">
        <v>0</v>
      </c>
      <c r="CR98" s="20">
        <v>0</v>
      </c>
      <c r="CS98" s="20">
        <v>0</v>
      </c>
      <c r="CT98" s="20">
        <v>0</v>
      </c>
      <c r="CU98" s="20">
        <v>0</v>
      </c>
      <c r="CV98" s="20">
        <v>0</v>
      </c>
      <c r="CW98" s="20">
        <v>0</v>
      </c>
      <c r="CX98" s="20">
        <v>0</v>
      </c>
      <c r="CY98" s="20">
        <v>0</v>
      </c>
      <c r="CZ98" s="20">
        <v>0</v>
      </c>
      <c r="DA98" s="19">
        <v>0</v>
      </c>
      <c r="DB98" s="20">
        <v>0</v>
      </c>
      <c r="DC98" s="25">
        <v>0</v>
      </c>
      <c r="DD98" s="20">
        <v>0</v>
      </c>
      <c r="DE98" s="20">
        <v>0</v>
      </c>
      <c r="DF98" s="20">
        <v>0</v>
      </c>
      <c r="DG98" s="20">
        <v>0</v>
      </c>
      <c r="DH98" s="20">
        <v>0</v>
      </c>
      <c r="DI98" s="20">
        <v>0</v>
      </c>
    </row>
    <row r="99" spans="1:113">
      <c r="A99" s="20" t="str">
        <v>00:00:00</v>
      </c>
      <c r="B99" s="19">
        <v>0</v>
      </c>
      <c r="C99" s="21">
        <v>0</v>
      </c>
      <c r="D99" s="20" t="str">
        <v>未匹配</v>
      </c>
      <c r="E99" s="20">
        <v>0</v>
      </c>
      <c r="I99" s="20" t="str">
        <v/>
      </c>
      <c r="J99" s="20">
        <v>0</v>
      </c>
      <c r="K99" s="22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  <c r="AC99" s="20">
        <v>0</v>
      </c>
      <c r="AE99" s="20" t="str">
        <v/>
      </c>
      <c r="AF99" s="20">
        <v>0</v>
      </c>
      <c r="AG99" s="22" t="e">
        <v>#VALUE!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</v>
      </c>
      <c r="AT99" s="20">
        <v>0</v>
      </c>
      <c r="AU99" s="20">
        <v>0</v>
      </c>
      <c r="AV99" s="20">
        <v>0</v>
      </c>
      <c r="AW99" s="20">
        <v>0</v>
      </c>
      <c r="AX99" s="20">
        <v>0</v>
      </c>
      <c r="AY99" s="20">
        <v>0</v>
      </c>
      <c r="AZ99" s="20">
        <v>0</v>
      </c>
      <c r="BA99" s="20">
        <v>0</v>
      </c>
      <c r="BB99" s="20">
        <v>0</v>
      </c>
      <c r="BC99" s="20">
        <v>0</v>
      </c>
      <c r="BD99" s="20">
        <v>0</v>
      </c>
      <c r="BE99" s="20">
        <v>0</v>
      </c>
      <c r="BF99" s="20">
        <v>0</v>
      </c>
      <c r="BG99" s="20">
        <v>0</v>
      </c>
      <c r="BH99" s="20">
        <v>0</v>
      </c>
      <c r="BI99" s="20">
        <v>0</v>
      </c>
      <c r="BJ99" s="20">
        <v>0</v>
      </c>
      <c r="BK99" s="20">
        <v>0</v>
      </c>
      <c r="BL99" s="20">
        <v>0</v>
      </c>
      <c r="BM99" s="20">
        <v>0</v>
      </c>
      <c r="BN99" s="22">
        <v>0</v>
      </c>
      <c r="BO99" s="22">
        <v>0</v>
      </c>
      <c r="BP99" s="22">
        <v>0</v>
      </c>
      <c r="BR99" s="20" t="str">
        <v/>
      </c>
      <c r="BS99" s="23"/>
      <c r="BT99" s="23"/>
      <c r="BV99" s="23"/>
      <c r="BW99" s="23"/>
      <c r="BX99" s="23"/>
      <c r="BY99" s="45"/>
      <c r="CA99" s="45"/>
      <c r="CH99" s="20">
        <v>0</v>
      </c>
      <c r="CI99" s="20">
        <v>0</v>
      </c>
      <c r="CJ99" s="20">
        <v>0</v>
      </c>
      <c r="CK99" s="20" t="str">
        <v/>
      </c>
      <c r="CL99" s="20" t="str">
        <v/>
      </c>
      <c r="CN99" s="20">
        <v>0</v>
      </c>
      <c r="CO99" s="20">
        <v>0</v>
      </c>
      <c r="CP99" s="20">
        <v>0</v>
      </c>
      <c r="CQ99" s="20">
        <v>0</v>
      </c>
      <c r="CR99" s="20">
        <v>0</v>
      </c>
      <c r="CS99" s="20">
        <v>0</v>
      </c>
      <c r="CT99" s="20">
        <v>0</v>
      </c>
      <c r="CU99" s="20">
        <v>0</v>
      </c>
      <c r="CV99" s="20">
        <v>0</v>
      </c>
      <c r="CW99" s="20">
        <v>0</v>
      </c>
      <c r="CX99" s="20">
        <v>0</v>
      </c>
      <c r="CY99" s="20">
        <v>0</v>
      </c>
      <c r="CZ99" s="20">
        <v>0</v>
      </c>
      <c r="DA99" s="19">
        <v>0</v>
      </c>
      <c r="DB99" s="20">
        <v>0</v>
      </c>
      <c r="DC99" s="25">
        <v>0</v>
      </c>
      <c r="DD99" s="20">
        <v>0</v>
      </c>
      <c r="DE99" s="20">
        <v>0</v>
      </c>
      <c r="DF99" s="20">
        <v>0</v>
      </c>
      <c r="DG99" s="20">
        <v>0</v>
      </c>
      <c r="DH99" s="20">
        <v>0</v>
      </c>
      <c r="DI99" s="20">
        <v>0</v>
      </c>
    </row>
    <row r="100" spans="1:113">
      <c r="A100" s="20" t="str">
        <v>00:00:00</v>
      </c>
      <c r="B100" s="19">
        <v>0</v>
      </c>
      <c r="C100" s="21">
        <v>0</v>
      </c>
      <c r="D100" s="20" t="str">
        <v>未匹配</v>
      </c>
      <c r="E100" s="20">
        <v>0</v>
      </c>
      <c r="I100" s="20" t="str">
        <v/>
      </c>
      <c r="J100" s="20">
        <v>0</v>
      </c>
      <c r="K100" s="22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E100" s="20" t="str">
        <v/>
      </c>
      <c r="AF100" s="20">
        <v>0</v>
      </c>
      <c r="AG100" s="22" t="e">
        <v>#VALUE!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0</v>
      </c>
      <c r="AT100" s="20">
        <v>0</v>
      </c>
      <c r="AU100" s="20">
        <v>0</v>
      </c>
      <c r="AV100" s="20">
        <v>0</v>
      </c>
      <c r="AW100" s="20">
        <v>0</v>
      </c>
      <c r="AX100" s="20">
        <v>0</v>
      </c>
      <c r="AY100" s="20">
        <v>0</v>
      </c>
      <c r="AZ100" s="20">
        <v>0</v>
      </c>
      <c r="BA100" s="20">
        <v>0</v>
      </c>
      <c r="BB100" s="20">
        <v>0</v>
      </c>
      <c r="BC100" s="20">
        <v>0</v>
      </c>
      <c r="BD100" s="20">
        <v>0</v>
      </c>
      <c r="BE100" s="20">
        <v>0</v>
      </c>
      <c r="BF100" s="20">
        <v>0</v>
      </c>
      <c r="BG100" s="20">
        <v>0</v>
      </c>
      <c r="BH100" s="20">
        <v>0</v>
      </c>
      <c r="BI100" s="20">
        <v>0</v>
      </c>
      <c r="BJ100" s="20">
        <v>0</v>
      </c>
      <c r="BK100" s="20">
        <v>0</v>
      </c>
      <c r="BL100" s="20">
        <v>0</v>
      </c>
      <c r="BM100" s="20">
        <v>0</v>
      </c>
      <c r="BN100" s="22">
        <v>0</v>
      </c>
      <c r="BO100" s="22">
        <v>0</v>
      </c>
      <c r="BP100" s="22">
        <v>0</v>
      </c>
      <c r="BR100" s="20" t="str">
        <v/>
      </c>
      <c r="BS100" s="23"/>
      <c r="BT100" s="23"/>
      <c r="BV100" s="23"/>
      <c r="BW100" s="23"/>
      <c r="BX100" s="23"/>
      <c r="BY100" s="45"/>
      <c r="CA100" s="45"/>
      <c r="CH100" s="20">
        <v>0</v>
      </c>
      <c r="CI100" s="20">
        <v>0</v>
      </c>
      <c r="CJ100" s="20">
        <v>0</v>
      </c>
      <c r="CK100" s="20" t="str">
        <v/>
      </c>
      <c r="CL100" s="20" t="str">
        <v/>
      </c>
      <c r="CN100" s="20">
        <v>0</v>
      </c>
      <c r="CO100" s="20">
        <v>0</v>
      </c>
      <c r="CP100" s="20">
        <v>0</v>
      </c>
      <c r="CQ100" s="20">
        <v>0</v>
      </c>
      <c r="CR100" s="20">
        <v>0</v>
      </c>
      <c r="CS100" s="20">
        <v>0</v>
      </c>
      <c r="CT100" s="20">
        <v>0</v>
      </c>
      <c r="CU100" s="20">
        <v>0</v>
      </c>
      <c r="CV100" s="20">
        <v>0</v>
      </c>
      <c r="CW100" s="20">
        <v>0</v>
      </c>
      <c r="CX100" s="20">
        <v>0</v>
      </c>
      <c r="CY100" s="20">
        <v>0</v>
      </c>
      <c r="CZ100" s="20">
        <v>0</v>
      </c>
      <c r="DA100" s="19">
        <v>0</v>
      </c>
      <c r="DB100" s="20">
        <v>0</v>
      </c>
      <c r="DC100" s="25">
        <v>0</v>
      </c>
      <c r="DD100" s="20">
        <v>0</v>
      </c>
      <c r="DE100" s="20">
        <v>0</v>
      </c>
      <c r="DF100" s="20">
        <v>0</v>
      </c>
      <c r="DG100" s="20">
        <v>0</v>
      </c>
      <c r="DH100" s="20">
        <v>0</v>
      </c>
      <c r="DI100" s="20">
        <v>0</v>
      </c>
    </row>
    <row r="101" spans="1:113">
      <c r="A101" s="20" t="str">
        <v>00:00:00</v>
      </c>
      <c r="B101" s="19">
        <v>0</v>
      </c>
      <c r="C101" s="21">
        <v>0</v>
      </c>
      <c r="D101" s="20" t="str">
        <v>未匹配</v>
      </c>
      <c r="E101" s="20">
        <v>0</v>
      </c>
      <c r="I101" s="20" t="str">
        <v/>
      </c>
      <c r="J101" s="20">
        <v>0</v>
      </c>
      <c r="K101" s="22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E101" s="20" t="str">
        <v/>
      </c>
      <c r="AF101" s="20">
        <v>0</v>
      </c>
      <c r="AG101" s="22" t="e">
        <v>#VALUE!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0</v>
      </c>
      <c r="AT101" s="20">
        <v>0</v>
      </c>
      <c r="AU101" s="20">
        <v>0</v>
      </c>
      <c r="AV101" s="20">
        <v>0</v>
      </c>
      <c r="AW101" s="20">
        <v>0</v>
      </c>
      <c r="AX101" s="20">
        <v>0</v>
      </c>
      <c r="AY101" s="20">
        <v>0</v>
      </c>
      <c r="AZ101" s="20">
        <v>0</v>
      </c>
      <c r="BA101" s="20">
        <v>0</v>
      </c>
      <c r="BB101" s="20">
        <v>0</v>
      </c>
      <c r="BC101" s="20">
        <v>0</v>
      </c>
      <c r="BD101" s="20">
        <v>0</v>
      </c>
      <c r="BE101" s="20">
        <v>0</v>
      </c>
      <c r="BF101" s="20">
        <v>0</v>
      </c>
      <c r="BG101" s="20">
        <v>0</v>
      </c>
      <c r="BH101" s="20">
        <v>0</v>
      </c>
      <c r="BI101" s="20">
        <v>0</v>
      </c>
      <c r="BJ101" s="20">
        <v>0</v>
      </c>
      <c r="BK101" s="20">
        <v>0</v>
      </c>
      <c r="BL101" s="20">
        <v>0</v>
      </c>
      <c r="BM101" s="20">
        <v>0</v>
      </c>
      <c r="BN101" s="22">
        <v>0</v>
      </c>
      <c r="BO101" s="22">
        <v>0</v>
      </c>
      <c r="BP101" s="22">
        <v>0</v>
      </c>
      <c r="BR101" s="20" t="str">
        <v/>
      </c>
      <c r="CH101" s="20">
        <v>0</v>
      </c>
      <c r="CI101" s="20">
        <v>0</v>
      </c>
      <c r="CJ101" s="20">
        <v>0</v>
      </c>
      <c r="CK101" s="20" t="str">
        <v/>
      </c>
      <c r="CL101" s="20" t="str">
        <v/>
      </c>
      <c r="CN101" s="20">
        <v>0</v>
      </c>
      <c r="CO101" s="20">
        <v>0</v>
      </c>
      <c r="CP101" s="20">
        <v>0</v>
      </c>
      <c r="CQ101" s="20">
        <v>0</v>
      </c>
      <c r="CR101" s="20">
        <v>0</v>
      </c>
      <c r="CS101" s="20">
        <v>0</v>
      </c>
      <c r="CT101" s="20">
        <v>0</v>
      </c>
      <c r="CU101" s="20">
        <v>0</v>
      </c>
      <c r="CV101" s="20">
        <v>0</v>
      </c>
      <c r="CW101" s="20">
        <v>0</v>
      </c>
      <c r="CX101" s="20">
        <v>0</v>
      </c>
      <c r="CY101" s="20">
        <v>0</v>
      </c>
      <c r="CZ101" s="20">
        <v>0</v>
      </c>
      <c r="DA101" s="19">
        <v>0</v>
      </c>
      <c r="DB101" s="20">
        <v>0</v>
      </c>
      <c r="DC101" s="25">
        <v>0</v>
      </c>
      <c r="DD101" s="20">
        <v>0</v>
      </c>
      <c r="DE101" s="20">
        <v>0</v>
      </c>
      <c r="DF101" s="20">
        <v>0</v>
      </c>
      <c r="DG101" s="20">
        <v>0</v>
      </c>
      <c r="DH101" s="20">
        <v>0</v>
      </c>
      <c r="DI101" s="20">
        <v>0</v>
      </c>
    </row>
    <row r="102" spans="1:113">
      <c r="A102" s="20" t="str">
        <v>00:00:00</v>
      </c>
      <c r="B102" s="19">
        <v>0</v>
      </c>
      <c r="C102" s="21">
        <v>0</v>
      </c>
      <c r="D102" s="20" t="str">
        <v>未匹配</v>
      </c>
      <c r="E102" s="20">
        <v>0</v>
      </c>
      <c r="I102" s="20" t="str">
        <v/>
      </c>
      <c r="J102" s="20">
        <v>0</v>
      </c>
      <c r="K102" s="22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E102" s="20" t="str">
        <v/>
      </c>
      <c r="AF102" s="20">
        <v>0</v>
      </c>
      <c r="AG102" s="22" t="e">
        <v>#VALUE!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0">
        <v>0</v>
      </c>
      <c r="BC102" s="20">
        <v>0</v>
      </c>
      <c r="BD102" s="20">
        <v>0</v>
      </c>
      <c r="BE102" s="20">
        <v>0</v>
      </c>
      <c r="BF102" s="20">
        <v>0</v>
      </c>
      <c r="BG102" s="20">
        <v>0</v>
      </c>
      <c r="BH102" s="20">
        <v>0</v>
      </c>
      <c r="BI102" s="20">
        <v>0</v>
      </c>
      <c r="BJ102" s="20">
        <v>0</v>
      </c>
      <c r="BK102" s="20">
        <v>0</v>
      </c>
      <c r="BL102" s="20">
        <v>0</v>
      </c>
      <c r="BM102" s="20">
        <v>0</v>
      </c>
      <c r="BN102" s="22">
        <v>0</v>
      </c>
      <c r="BO102" s="22">
        <v>0</v>
      </c>
      <c r="BP102" s="22">
        <v>0</v>
      </c>
      <c r="BR102" s="20" t="str">
        <v/>
      </c>
      <c r="CH102" s="20">
        <v>0</v>
      </c>
      <c r="CI102" s="20">
        <v>0</v>
      </c>
      <c r="CJ102" s="20">
        <v>0</v>
      </c>
      <c r="CK102" s="20" t="str">
        <v/>
      </c>
      <c r="CL102" s="20" t="str">
        <v/>
      </c>
      <c r="CN102" s="20">
        <v>0</v>
      </c>
      <c r="CO102" s="20">
        <v>0</v>
      </c>
      <c r="CP102" s="20">
        <v>0</v>
      </c>
      <c r="CQ102" s="20">
        <v>0</v>
      </c>
      <c r="CR102" s="20">
        <v>0</v>
      </c>
      <c r="CS102" s="20">
        <v>0</v>
      </c>
      <c r="CT102" s="20">
        <v>0</v>
      </c>
      <c r="CU102" s="20">
        <v>0</v>
      </c>
      <c r="CV102" s="20">
        <v>0</v>
      </c>
      <c r="CW102" s="20">
        <v>0</v>
      </c>
      <c r="CX102" s="20">
        <v>0</v>
      </c>
      <c r="CY102" s="20">
        <v>0</v>
      </c>
      <c r="CZ102" s="20">
        <v>0</v>
      </c>
      <c r="DA102" s="19">
        <v>0</v>
      </c>
      <c r="DB102" s="20">
        <v>0</v>
      </c>
      <c r="DC102" s="25">
        <v>0</v>
      </c>
      <c r="DD102" s="20">
        <v>0</v>
      </c>
      <c r="DE102" s="20">
        <v>0</v>
      </c>
      <c r="DF102" s="20">
        <v>0</v>
      </c>
      <c r="DG102" s="20">
        <v>0</v>
      </c>
      <c r="DH102" s="20">
        <v>0</v>
      </c>
      <c r="DI102" s="20">
        <v>0</v>
      </c>
    </row>
    <row r="103" spans="1:113">
      <c r="A103" s="20" t="str">
        <v>00:00:00</v>
      </c>
      <c r="B103" s="19">
        <v>0</v>
      </c>
      <c r="C103" s="21">
        <v>0</v>
      </c>
      <c r="D103" s="20" t="str">
        <v>未匹配</v>
      </c>
      <c r="E103" s="20">
        <v>0</v>
      </c>
      <c r="I103" s="20" t="str">
        <v/>
      </c>
      <c r="J103" s="20">
        <v>0</v>
      </c>
      <c r="K103" s="22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E103" s="20" t="str">
        <v/>
      </c>
      <c r="AF103" s="20">
        <v>0</v>
      </c>
      <c r="AG103" s="22" t="e">
        <v>#VALUE!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0</v>
      </c>
      <c r="BF103" s="20">
        <v>0</v>
      </c>
      <c r="BG103" s="20">
        <v>0</v>
      </c>
      <c r="BH103" s="20">
        <v>0</v>
      </c>
      <c r="BI103" s="20">
        <v>0</v>
      </c>
      <c r="BJ103" s="20">
        <v>0</v>
      </c>
      <c r="BK103" s="20">
        <v>0</v>
      </c>
      <c r="BL103" s="20">
        <v>0</v>
      </c>
      <c r="BM103" s="20">
        <v>0</v>
      </c>
      <c r="BN103" s="22">
        <v>0</v>
      </c>
      <c r="BO103" s="22">
        <v>0</v>
      </c>
      <c r="BP103" s="22">
        <v>0</v>
      </c>
      <c r="BR103" s="20" t="str">
        <v/>
      </c>
      <c r="CH103" s="20">
        <v>0</v>
      </c>
      <c r="CI103" s="20">
        <v>0</v>
      </c>
      <c r="CJ103" s="20">
        <v>0</v>
      </c>
      <c r="CK103" s="20" t="str">
        <v/>
      </c>
      <c r="CL103" s="20" t="str">
        <v/>
      </c>
      <c r="CN103" s="20">
        <v>0</v>
      </c>
      <c r="CO103" s="20">
        <v>0</v>
      </c>
      <c r="CP103" s="20">
        <v>0</v>
      </c>
      <c r="CQ103" s="20">
        <v>0</v>
      </c>
      <c r="CR103" s="20">
        <v>0</v>
      </c>
      <c r="CS103" s="20">
        <v>0</v>
      </c>
      <c r="CT103" s="20">
        <v>0</v>
      </c>
      <c r="CU103" s="20">
        <v>0</v>
      </c>
      <c r="CV103" s="20">
        <v>0</v>
      </c>
      <c r="CW103" s="20">
        <v>0</v>
      </c>
      <c r="CX103" s="20">
        <v>0</v>
      </c>
      <c r="CY103" s="20">
        <v>0</v>
      </c>
      <c r="CZ103" s="20">
        <v>0</v>
      </c>
      <c r="DA103" s="19">
        <v>0</v>
      </c>
      <c r="DB103" s="20">
        <v>0</v>
      </c>
      <c r="DC103" s="25">
        <v>0</v>
      </c>
      <c r="DD103" s="20">
        <v>0</v>
      </c>
      <c r="DE103" s="20">
        <v>0</v>
      </c>
      <c r="DF103" s="20">
        <v>0</v>
      </c>
      <c r="DG103" s="20">
        <v>0</v>
      </c>
      <c r="DH103" s="20">
        <v>0</v>
      </c>
      <c r="DI103" s="20">
        <v>0</v>
      </c>
    </row>
    <row r="104" spans="1:113">
      <c r="A104" s="20" t="str">
        <v>00:00:00</v>
      </c>
      <c r="B104" s="19">
        <v>0</v>
      </c>
      <c r="C104" s="21">
        <v>0</v>
      </c>
      <c r="D104" s="20" t="str">
        <v>未匹配</v>
      </c>
      <c r="E104" s="20">
        <v>0</v>
      </c>
      <c r="I104" s="20" t="str">
        <v/>
      </c>
      <c r="J104" s="20">
        <v>0</v>
      </c>
      <c r="K104" s="22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E104" s="20" t="str">
        <v/>
      </c>
      <c r="AF104" s="20">
        <v>0</v>
      </c>
      <c r="AG104" s="22" t="e">
        <v>#VALUE!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0</v>
      </c>
      <c r="AT104" s="20">
        <v>0</v>
      </c>
      <c r="AU104" s="20">
        <v>0</v>
      </c>
      <c r="AV104" s="20">
        <v>0</v>
      </c>
      <c r="AW104" s="20">
        <v>0</v>
      </c>
      <c r="AX104" s="20">
        <v>0</v>
      </c>
      <c r="AY104" s="20">
        <v>0</v>
      </c>
      <c r="AZ104" s="20">
        <v>0</v>
      </c>
      <c r="BA104" s="20">
        <v>0</v>
      </c>
      <c r="BB104" s="20">
        <v>0</v>
      </c>
      <c r="BC104" s="20">
        <v>0</v>
      </c>
      <c r="BD104" s="20">
        <v>0</v>
      </c>
      <c r="BE104" s="20">
        <v>0</v>
      </c>
      <c r="BF104" s="20">
        <v>0</v>
      </c>
      <c r="BG104" s="20">
        <v>0</v>
      </c>
      <c r="BH104" s="20">
        <v>0</v>
      </c>
      <c r="BI104" s="20">
        <v>0</v>
      </c>
      <c r="BJ104" s="20">
        <v>0</v>
      </c>
      <c r="BK104" s="20">
        <v>0</v>
      </c>
      <c r="BL104" s="20">
        <v>0</v>
      </c>
      <c r="BM104" s="20">
        <v>0</v>
      </c>
      <c r="BN104" s="22">
        <v>0</v>
      </c>
      <c r="BO104" s="22">
        <v>0</v>
      </c>
      <c r="BP104" s="22">
        <v>0</v>
      </c>
      <c r="BR104" s="20" t="str">
        <v/>
      </c>
      <c r="CH104" s="20">
        <v>0</v>
      </c>
      <c r="CI104" s="20">
        <v>0</v>
      </c>
      <c r="CJ104" s="20">
        <v>0</v>
      </c>
      <c r="CK104" s="20" t="str">
        <v/>
      </c>
      <c r="CL104" s="20" t="str">
        <v/>
      </c>
      <c r="CN104" s="20">
        <v>0</v>
      </c>
      <c r="CO104" s="20">
        <v>0</v>
      </c>
      <c r="CP104" s="20">
        <v>0</v>
      </c>
      <c r="CQ104" s="20">
        <v>0</v>
      </c>
      <c r="CR104" s="20">
        <v>0</v>
      </c>
      <c r="CS104" s="20">
        <v>0</v>
      </c>
      <c r="CT104" s="20">
        <v>0</v>
      </c>
      <c r="CU104" s="20">
        <v>0</v>
      </c>
      <c r="CV104" s="20">
        <v>0</v>
      </c>
      <c r="CW104" s="20">
        <v>0</v>
      </c>
      <c r="CX104" s="20">
        <v>0</v>
      </c>
      <c r="CY104" s="20">
        <v>0</v>
      </c>
      <c r="CZ104" s="20">
        <v>0</v>
      </c>
      <c r="DA104" s="19">
        <v>0</v>
      </c>
      <c r="DB104" s="20">
        <v>0</v>
      </c>
      <c r="DC104" s="25">
        <v>0</v>
      </c>
      <c r="DD104" s="20">
        <v>0</v>
      </c>
      <c r="DE104" s="20">
        <v>0</v>
      </c>
      <c r="DF104" s="20">
        <v>0</v>
      </c>
      <c r="DG104" s="20">
        <v>0</v>
      </c>
      <c r="DH104" s="20">
        <v>0</v>
      </c>
      <c r="DI104" s="20">
        <v>0</v>
      </c>
    </row>
    <row r="105" spans="1:113">
      <c r="A105" s="20" t="str">
        <v>00:00:00</v>
      </c>
      <c r="B105" s="19">
        <v>0</v>
      </c>
      <c r="C105" s="21">
        <v>0</v>
      </c>
      <c r="D105" s="20" t="str">
        <v>未匹配</v>
      </c>
      <c r="E105" s="20">
        <v>0</v>
      </c>
      <c r="I105" s="20" t="str">
        <v/>
      </c>
      <c r="J105" s="20">
        <v>0</v>
      </c>
      <c r="K105" s="22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E105" s="20" t="str">
        <v/>
      </c>
      <c r="AF105" s="20">
        <v>0</v>
      </c>
      <c r="AG105" s="22" t="e">
        <v>#VALUE!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0</v>
      </c>
      <c r="AT105" s="20">
        <v>0</v>
      </c>
      <c r="AU105" s="20">
        <v>0</v>
      </c>
      <c r="AV105" s="20">
        <v>0</v>
      </c>
      <c r="AW105" s="20">
        <v>0</v>
      </c>
      <c r="AX105" s="20">
        <v>0</v>
      </c>
      <c r="AY105" s="20">
        <v>0</v>
      </c>
      <c r="AZ105" s="20">
        <v>0</v>
      </c>
      <c r="BA105" s="20">
        <v>0</v>
      </c>
      <c r="BB105" s="20">
        <v>0</v>
      </c>
      <c r="BC105" s="20">
        <v>0</v>
      </c>
      <c r="BD105" s="20">
        <v>0</v>
      </c>
      <c r="BE105" s="20">
        <v>0</v>
      </c>
      <c r="BF105" s="20">
        <v>0</v>
      </c>
      <c r="BG105" s="20">
        <v>0</v>
      </c>
      <c r="BH105" s="20">
        <v>0</v>
      </c>
      <c r="BI105" s="20">
        <v>0</v>
      </c>
      <c r="BJ105" s="20">
        <v>0</v>
      </c>
      <c r="BK105" s="20">
        <v>0</v>
      </c>
      <c r="BL105" s="20">
        <v>0</v>
      </c>
      <c r="BM105" s="20">
        <v>0</v>
      </c>
      <c r="BN105" s="22">
        <v>0</v>
      </c>
      <c r="BO105" s="22">
        <v>0</v>
      </c>
      <c r="BP105" s="22">
        <v>0</v>
      </c>
      <c r="BR105" s="20" t="str">
        <v/>
      </c>
      <c r="CH105" s="20">
        <v>0</v>
      </c>
      <c r="CI105" s="20">
        <v>0</v>
      </c>
      <c r="CJ105" s="20">
        <v>0</v>
      </c>
      <c r="CK105" s="20" t="str">
        <v/>
      </c>
      <c r="CL105" s="20" t="str">
        <v/>
      </c>
      <c r="CN105" s="20">
        <v>0</v>
      </c>
      <c r="CO105" s="20">
        <v>0</v>
      </c>
      <c r="CP105" s="20">
        <v>0</v>
      </c>
      <c r="CQ105" s="20">
        <v>0</v>
      </c>
      <c r="CR105" s="20">
        <v>0</v>
      </c>
      <c r="CS105" s="20">
        <v>0</v>
      </c>
      <c r="CT105" s="20">
        <v>0</v>
      </c>
      <c r="CU105" s="20">
        <v>0</v>
      </c>
      <c r="CV105" s="20">
        <v>0</v>
      </c>
      <c r="CW105" s="20">
        <v>0</v>
      </c>
      <c r="CX105" s="20">
        <v>0</v>
      </c>
      <c r="CY105" s="20">
        <v>0</v>
      </c>
      <c r="CZ105" s="20">
        <v>0</v>
      </c>
      <c r="DA105" s="19">
        <v>0</v>
      </c>
      <c r="DB105" s="20">
        <v>0</v>
      </c>
      <c r="DC105" s="25">
        <v>0</v>
      </c>
      <c r="DD105" s="20">
        <v>0</v>
      </c>
      <c r="DE105" s="20">
        <v>0</v>
      </c>
      <c r="DF105" s="20">
        <v>0</v>
      </c>
      <c r="DG105" s="20">
        <v>0</v>
      </c>
      <c r="DH105" s="20">
        <v>0</v>
      </c>
      <c r="DI105" s="20">
        <v>0</v>
      </c>
    </row>
    <row r="106" spans="1:113">
      <c r="A106" s="20" t="str">
        <v>00:00:00</v>
      </c>
      <c r="B106" s="19">
        <v>0</v>
      </c>
      <c r="C106" s="21">
        <v>0</v>
      </c>
      <c r="D106" s="20" t="str">
        <v>未匹配</v>
      </c>
      <c r="E106" s="20">
        <v>0</v>
      </c>
      <c r="I106" s="20" t="str">
        <v/>
      </c>
      <c r="J106" s="20">
        <v>0</v>
      </c>
      <c r="K106" s="22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E106" s="20" t="str">
        <v/>
      </c>
      <c r="AF106" s="20">
        <v>0</v>
      </c>
      <c r="AG106" s="22" t="e">
        <v>#VALUE!</v>
      </c>
      <c r="AI106" s="20">
        <v>0</v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0">
        <v>0</v>
      </c>
      <c r="AQ106" s="20">
        <v>0</v>
      </c>
      <c r="AR106" s="20">
        <v>0</v>
      </c>
      <c r="AS106" s="20">
        <v>0</v>
      </c>
      <c r="AT106" s="20">
        <v>0</v>
      </c>
      <c r="AU106" s="20">
        <v>0</v>
      </c>
      <c r="AV106" s="20">
        <v>0</v>
      </c>
      <c r="AW106" s="20">
        <v>0</v>
      </c>
      <c r="AX106" s="20">
        <v>0</v>
      </c>
      <c r="AY106" s="20">
        <v>0</v>
      </c>
      <c r="AZ106" s="20">
        <v>0</v>
      </c>
      <c r="BA106" s="20">
        <v>0</v>
      </c>
      <c r="BB106" s="20">
        <v>0</v>
      </c>
      <c r="BC106" s="20">
        <v>0</v>
      </c>
      <c r="BD106" s="20">
        <v>0</v>
      </c>
      <c r="BE106" s="20">
        <v>0</v>
      </c>
      <c r="BF106" s="20">
        <v>0</v>
      </c>
      <c r="BG106" s="20">
        <v>0</v>
      </c>
      <c r="BH106" s="20">
        <v>0</v>
      </c>
      <c r="BI106" s="20">
        <v>0</v>
      </c>
      <c r="BJ106" s="20">
        <v>0</v>
      </c>
      <c r="BK106" s="20">
        <v>0</v>
      </c>
      <c r="BL106" s="20">
        <v>0</v>
      </c>
      <c r="BM106" s="20">
        <v>0</v>
      </c>
      <c r="BN106" s="22">
        <v>0</v>
      </c>
      <c r="BO106" s="22">
        <v>0</v>
      </c>
      <c r="BP106" s="22">
        <v>0</v>
      </c>
      <c r="BR106" s="20" t="str">
        <v/>
      </c>
      <c r="CH106" s="20">
        <v>0</v>
      </c>
      <c r="CI106" s="20">
        <v>0</v>
      </c>
      <c r="CJ106" s="20">
        <v>0</v>
      </c>
      <c r="CK106" s="20" t="str">
        <v/>
      </c>
      <c r="CL106" s="20" t="str">
        <v/>
      </c>
      <c r="CN106" s="20">
        <v>0</v>
      </c>
      <c r="CO106" s="20">
        <v>0</v>
      </c>
      <c r="CP106" s="20">
        <v>0</v>
      </c>
      <c r="CQ106" s="20">
        <v>0</v>
      </c>
      <c r="CR106" s="20">
        <v>0</v>
      </c>
      <c r="CS106" s="20">
        <v>0</v>
      </c>
      <c r="CT106" s="20">
        <v>0</v>
      </c>
      <c r="CU106" s="20">
        <v>0</v>
      </c>
      <c r="CV106" s="20">
        <v>0</v>
      </c>
      <c r="CW106" s="20">
        <v>0</v>
      </c>
      <c r="CX106" s="20">
        <v>0</v>
      </c>
      <c r="CY106" s="20">
        <v>0</v>
      </c>
      <c r="CZ106" s="20">
        <v>0</v>
      </c>
      <c r="DA106" s="19">
        <v>0</v>
      </c>
      <c r="DB106" s="20">
        <v>0</v>
      </c>
      <c r="DC106" s="25">
        <v>0</v>
      </c>
      <c r="DD106" s="20">
        <v>0</v>
      </c>
      <c r="DE106" s="20">
        <v>0</v>
      </c>
      <c r="DF106" s="20">
        <v>0</v>
      </c>
      <c r="DG106" s="20">
        <v>0</v>
      </c>
      <c r="DH106" s="20">
        <v>0</v>
      </c>
      <c r="DI106" s="20">
        <v>0</v>
      </c>
    </row>
    <row r="107" spans="1:113">
      <c r="A107" s="20" t="str">
        <v>00:00:00</v>
      </c>
      <c r="B107" s="19">
        <v>0</v>
      </c>
      <c r="C107" s="21">
        <v>0</v>
      </c>
      <c r="D107" s="20" t="str">
        <v>未匹配</v>
      </c>
      <c r="E107" s="20">
        <v>0</v>
      </c>
      <c r="I107" s="20" t="str">
        <v/>
      </c>
      <c r="J107" s="20">
        <v>0</v>
      </c>
      <c r="K107" s="22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E107" s="20" t="str">
        <v/>
      </c>
      <c r="AF107" s="20">
        <v>0</v>
      </c>
      <c r="AG107" s="22" t="e">
        <v>#VALUE!</v>
      </c>
      <c r="AI107" s="20">
        <v>0</v>
      </c>
      <c r="AJ107" s="20">
        <v>0</v>
      </c>
      <c r="AK107" s="20">
        <v>0</v>
      </c>
      <c r="AL107" s="20">
        <v>0</v>
      </c>
      <c r="AM107" s="20">
        <v>0</v>
      </c>
      <c r="AN107" s="20">
        <v>0</v>
      </c>
      <c r="AO107" s="20">
        <v>0</v>
      </c>
      <c r="AP107" s="20">
        <v>0</v>
      </c>
      <c r="AQ107" s="20">
        <v>0</v>
      </c>
      <c r="AR107" s="20">
        <v>0</v>
      </c>
      <c r="AS107" s="20">
        <v>0</v>
      </c>
      <c r="AT107" s="20">
        <v>0</v>
      </c>
      <c r="AU107" s="20">
        <v>0</v>
      </c>
      <c r="AV107" s="20">
        <v>0</v>
      </c>
      <c r="AW107" s="20">
        <v>0</v>
      </c>
      <c r="AX107" s="20">
        <v>0</v>
      </c>
      <c r="AY107" s="20">
        <v>0</v>
      </c>
      <c r="AZ107" s="20">
        <v>0</v>
      </c>
      <c r="BA107" s="20">
        <v>0</v>
      </c>
      <c r="BB107" s="20">
        <v>0</v>
      </c>
      <c r="BC107" s="20">
        <v>0</v>
      </c>
      <c r="BD107" s="20">
        <v>0</v>
      </c>
      <c r="BE107" s="20">
        <v>0</v>
      </c>
      <c r="BF107" s="20">
        <v>0</v>
      </c>
      <c r="BG107" s="20">
        <v>0</v>
      </c>
      <c r="BH107" s="20">
        <v>0</v>
      </c>
      <c r="BI107" s="20">
        <v>0</v>
      </c>
      <c r="BJ107" s="20">
        <v>0</v>
      </c>
      <c r="BK107" s="20">
        <v>0</v>
      </c>
      <c r="BL107" s="20">
        <v>0</v>
      </c>
      <c r="BM107" s="20">
        <v>0</v>
      </c>
      <c r="BN107" s="22">
        <v>0</v>
      </c>
      <c r="BO107" s="22">
        <v>0</v>
      </c>
      <c r="BP107" s="22">
        <v>0</v>
      </c>
      <c r="BR107" s="20" t="str">
        <v/>
      </c>
      <c r="CH107" s="20">
        <v>0</v>
      </c>
      <c r="CI107" s="20">
        <v>0</v>
      </c>
      <c r="CJ107" s="20">
        <v>0</v>
      </c>
      <c r="CK107" s="20" t="str">
        <v/>
      </c>
      <c r="CL107" s="20" t="str">
        <v/>
      </c>
      <c r="CN107" s="20">
        <v>0</v>
      </c>
      <c r="CO107" s="20">
        <v>0</v>
      </c>
      <c r="CP107" s="20">
        <v>0</v>
      </c>
      <c r="CQ107" s="20">
        <v>0</v>
      </c>
      <c r="CR107" s="20">
        <v>0</v>
      </c>
      <c r="CS107" s="20">
        <v>0</v>
      </c>
      <c r="CT107" s="20">
        <v>0</v>
      </c>
      <c r="CU107" s="20">
        <v>0</v>
      </c>
      <c r="CV107" s="20">
        <v>0</v>
      </c>
      <c r="CW107" s="20">
        <v>0</v>
      </c>
      <c r="CX107" s="20">
        <v>0</v>
      </c>
      <c r="CY107" s="20">
        <v>0</v>
      </c>
      <c r="CZ107" s="20">
        <v>0</v>
      </c>
      <c r="DA107" s="19">
        <v>0</v>
      </c>
      <c r="DB107" s="20">
        <v>0</v>
      </c>
      <c r="DC107" s="25">
        <v>0</v>
      </c>
      <c r="DD107" s="20">
        <v>0</v>
      </c>
      <c r="DE107" s="20">
        <v>0</v>
      </c>
      <c r="DF107" s="20">
        <v>0</v>
      </c>
      <c r="DG107" s="20">
        <v>0</v>
      </c>
      <c r="DH107" s="20">
        <v>0</v>
      </c>
      <c r="DI107" s="20">
        <v>0</v>
      </c>
    </row>
    <row r="108" spans="1:113">
      <c r="A108" s="20" t="str">
        <v>00:00:00</v>
      </c>
      <c r="B108" s="19">
        <v>0</v>
      </c>
      <c r="C108" s="21">
        <v>0</v>
      </c>
      <c r="D108" s="20" t="str">
        <v>未匹配</v>
      </c>
      <c r="E108" s="20">
        <v>0</v>
      </c>
      <c r="I108" s="20" t="str">
        <v/>
      </c>
      <c r="J108" s="20">
        <v>0</v>
      </c>
      <c r="K108" s="22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E108" s="20" t="str">
        <v/>
      </c>
      <c r="AF108" s="20">
        <v>0</v>
      </c>
      <c r="AG108" s="22" t="e">
        <v>#VALUE!</v>
      </c>
      <c r="AI108" s="20">
        <v>0</v>
      </c>
      <c r="AJ108" s="20"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</v>
      </c>
      <c r="AT108" s="20">
        <v>0</v>
      </c>
      <c r="AU108" s="20">
        <v>0</v>
      </c>
      <c r="AV108" s="20">
        <v>0</v>
      </c>
      <c r="AW108" s="20">
        <v>0</v>
      </c>
      <c r="AX108" s="20">
        <v>0</v>
      </c>
      <c r="AY108" s="20">
        <v>0</v>
      </c>
      <c r="AZ108" s="20">
        <v>0</v>
      </c>
      <c r="BA108" s="20">
        <v>0</v>
      </c>
      <c r="BB108" s="20">
        <v>0</v>
      </c>
      <c r="BC108" s="20">
        <v>0</v>
      </c>
      <c r="BD108" s="20">
        <v>0</v>
      </c>
      <c r="BE108" s="20">
        <v>0</v>
      </c>
      <c r="BF108" s="20">
        <v>0</v>
      </c>
      <c r="BG108" s="20">
        <v>0</v>
      </c>
      <c r="BH108" s="20">
        <v>0</v>
      </c>
      <c r="BI108" s="20">
        <v>0</v>
      </c>
      <c r="BJ108" s="20">
        <v>0</v>
      </c>
      <c r="BK108" s="20">
        <v>0</v>
      </c>
      <c r="BL108" s="20">
        <v>0</v>
      </c>
      <c r="BM108" s="20">
        <v>0</v>
      </c>
      <c r="BN108" s="22">
        <v>0</v>
      </c>
      <c r="BO108" s="22">
        <v>0</v>
      </c>
      <c r="BP108" s="22">
        <v>0</v>
      </c>
      <c r="BR108" s="20" t="str">
        <v/>
      </c>
      <c r="CH108" s="20">
        <v>0</v>
      </c>
      <c r="CI108" s="20">
        <v>0</v>
      </c>
      <c r="CJ108" s="20">
        <v>0</v>
      </c>
      <c r="CK108" s="20" t="str">
        <v/>
      </c>
      <c r="CL108" s="20" t="str">
        <v/>
      </c>
      <c r="CN108" s="20">
        <v>0</v>
      </c>
      <c r="CO108" s="20">
        <v>0</v>
      </c>
      <c r="CP108" s="20">
        <v>0</v>
      </c>
      <c r="CQ108" s="20">
        <v>0</v>
      </c>
      <c r="CR108" s="20">
        <v>0</v>
      </c>
      <c r="CS108" s="20">
        <v>0</v>
      </c>
      <c r="CT108" s="20">
        <v>0</v>
      </c>
      <c r="CU108" s="20">
        <v>0</v>
      </c>
      <c r="CV108" s="20">
        <v>0</v>
      </c>
      <c r="CW108" s="20">
        <v>0</v>
      </c>
      <c r="CX108" s="20">
        <v>0</v>
      </c>
      <c r="CY108" s="20">
        <v>0</v>
      </c>
      <c r="CZ108" s="20">
        <v>0</v>
      </c>
      <c r="DA108" s="19">
        <v>0</v>
      </c>
      <c r="DB108" s="20">
        <v>0</v>
      </c>
      <c r="DC108" s="25">
        <v>0</v>
      </c>
      <c r="DD108" s="20">
        <v>0</v>
      </c>
      <c r="DE108" s="20">
        <v>0</v>
      </c>
      <c r="DF108" s="20">
        <v>0</v>
      </c>
      <c r="DG108" s="20">
        <v>0</v>
      </c>
      <c r="DH108" s="20">
        <v>0</v>
      </c>
      <c r="DI108" s="20">
        <v>0</v>
      </c>
    </row>
    <row r="109" spans="1:113">
      <c r="A109" s="20" t="str">
        <v>00:00:00</v>
      </c>
      <c r="B109" s="19">
        <v>0</v>
      </c>
      <c r="C109" s="21">
        <v>0</v>
      </c>
      <c r="D109" s="20" t="str">
        <v>未匹配</v>
      </c>
      <c r="E109" s="20">
        <v>0</v>
      </c>
      <c r="I109" s="20" t="str">
        <v/>
      </c>
      <c r="J109" s="20">
        <v>0</v>
      </c>
      <c r="K109" s="22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  <c r="AC109" s="20">
        <v>0</v>
      </c>
      <c r="AE109" s="20" t="str">
        <v/>
      </c>
      <c r="AF109" s="20">
        <v>0</v>
      </c>
      <c r="AG109" s="22" t="e">
        <v>#VALUE!</v>
      </c>
      <c r="AI109" s="20">
        <v>0</v>
      </c>
      <c r="AJ109" s="20">
        <v>0</v>
      </c>
      <c r="AK109" s="20">
        <v>0</v>
      </c>
      <c r="AL109" s="20">
        <v>0</v>
      </c>
      <c r="AM109" s="20">
        <v>0</v>
      </c>
      <c r="AN109" s="20">
        <v>0</v>
      </c>
      <c r="AO109" s="20">
        <v>0</v>
      </c>
      <c r="AP109" s="20">
        <v>0</v>
      </c>
      <c r="AQ109" s="20">
        <v>0</v>
      </c>
      <c r="AR109" s="20">
        <v>0</v>
      </c>
      <c r="AS109" s="20">
        <v>0</v>
      </c>
      <c r="AT109" s="20">
        <v>0</v>
      </c>
      <c r="AU109" s="20">
        <v>0</v>
      </c>
      <c r="AV109" s="20">
        <v>0</v>
      </c>
      <c r="AW109" s="20">
        <v>0</v>
      </c>
      <c r="AX109" s="20">
        <v>0</v>
      </c>
      <c r="AY109" s="20">
        <v>0</v>
      </c>
      <c r="AZ109" s="20">
        <v>0</v>
      </c>
      <c r="BA109" s="20">
        <v>0</v>
      </c>
      <c r="BB109" s="20">
        <v>0</v>
      </c>
      <c r="BC109" s="20">
        <v>0</v>
      </c>
      <c r="BD109" s="20">
        <v>0</v>
      </c>
      <c r="BE109" s="20">
        <v>0</v>
      </c>
      <c r="BF109" s="20">
        <v>0</v>
      </c>
      <c r="BG109" s="20">
        <v>0</v>
      </c>
      <c r="BH109" s="20">
        <v>0</v>
      </c>
      <c r="BI109" s="20">
        <v>0</v>
      </c>
      <c r="BJ109" s="20">
        <v>0</v>
      </c>
      <c r="BK109" s="20">
        <v>0</v>
      </c>
      <c r="BL109" s="20">
        <v>0</v>
      </c>
      <c r="BM109" s="20">
        <v>0</v>
      </c>
      <c r="BN109" s="22">
        <v>0</v>
      </c>
      <c r="BO109" s="22">
        <v>0</v>
      </c>
      <c r="BP109" s="22">
        <v>0</v>
      </c>
      <c r="BR109" s="20" t="str">
        <v/>
      </c>
      <c r="CH109" s="20">
        <v>0</v>
      </c>
      <c r="CI109" s="20">
        <v>0</v>
      </c>
      <c r="CJ109" s="20">
        <v>0</v>
      </c>
      <c r="CK109" s="20" t="str">
        <v/>
      </c>
      <c r="CL109" s="20" t="str">
        <v/>
      </c>
      <c r="CN109" s="20">
        <v>0</v>
      </c>
      <c r="CO109" s="20">
        <v>0</v>
      </c>
      <c r="CP109" s="20">
        <v>0</v>
      </c>
      <c r="CQ109" s="20">
        <v>0</v>
      </c>
      <c r="CR109" s="20">
        <v>0</v>
      </c>
      <c r="CS109" s="20">
        <v>0</v>
      </c>
      <c r="CT109" s="20">
        <v>0</v>
      </c>
      <c r="CU109" s="20">
        <v>0</v>
      </c>
      <c r="CV109" s="20">
        <v>0</v>
      </c>
      <c r="CW109" s="20">
        <v>0</v>
      </c>
      <c r="CX109" s="20">
        <v>0</v>
      </c>
      <c r="CY109" s="20">
        <v>0</v>
      </c>
      <c r="CZ109" s="20">
        <v>0</v>
      </c>
      <c r="DA109" s="19">
        <v>0</v>
      </c>
      <c r="DB109" s="20">
        <v>0</v>
      </c>
      <c r="DC109" s="25">
        <v>0</v>
      </c>
      <c r="DD109" s="20">
        <v>0</v>
      </c>
      <c r="DE109" s="20">
        <v>0</v>
      </c>
      <c r="DF109" s="20">
        <v>0</v>
      </c>
      <c r="DG109" s="20">
        <v>0</v>
      </c>
      <c r="DH109" s="20">
        <v>0</v>
      </c>
      <c r="DI109" s="20">
        <v>0</v>
      </c>
    </row>
    <row r="110" spans="1:113">
      <c r="A110" s="20" t="str">
        <v>00:00:00</v>
      </c>
      <c r="B110" s="19">
        <v>0</v>
      </c>
      <c r="C110" s="21">
        <v>0</v>
      </c>
      <c r="D110" s="20" t="str">
        <v>未匹配</v>
      </c>
      <c r="E110" s="20">
        <v>0</v>
      </c>
      <c r="I110" s="20" t="str">
        <v/>
      </c>
      <c r="J110" s="20">
        <v>0</v>
      </c>
      <c r="K110" s="22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0</v>
      </c>
      <c r="AE110" s="20" t="str">
        <v/>
      </c>
      <c r="AF110" s="20">
        <v>0</v>
      </c>
      <c r="AG110" s="22" t="e">
        <v>#VALUE!</v>
      </c>
      <c r="AI110" s="20">
        <v>0</v>
      </c>
      <c r="AJ110" s="20">
        <v>0</v>
      </c>
      <c r="AK110" s="20">
        <v>0</v>
      </c>
      <c r="AL110" s="20">
        <v>0</v>
      </c>
      <c r="AM110" s="20">
        <v>0</v>
      </c>
      <c r="AN110" s="20">
        <v>0</v>
      </c>
      <c r="AO110" s="20">
        <v>0</v>
      </c>
      <c r="AP110" s="20">
        <v>0</v>
      </c>
      <c r="AQ110" s="20">
        <v>0</v>
      </c>
      <c r="AR110" s="20">
        <v>0</v>
      </c>
      <c r="AS110" s="20">
        <v>0</v>
      </c>
      <c r="AT110" s="20">
        <v>0</v>
      </c>
      <c r="AU110" s="20">
        <v>0</v>
      </c>
      <c r="AV110" s="20">
        <v>0</v>
      </c>
      <c r="AW110" s="20">
        <v>0</v>
      </c>
      <c r="AX110" s="20">
        <v>0</v>
      </c>
      <c r="AY110" s="20">
        <v>0</v>
      </c>
      <c r="AZ110" s="20">
        <v>0</v>
      </c>
      <c r="BA110" s="20">
        <v>0</v>
      </c>
      <c r="BB110" s="20">
        <v>0</v>
      </c>
      <c r="BC110" s="20">
        <v>0</v>
      </c>
      <c r="BD110" s="20">
        <v>0</v>
      </c>
      <c r="BE110" s="20">
        <v>0</v>
      </c>
      <c r="BF110" s="20">
        <v>0</v>
      </c>
      <c r="BG110" s="20">
        <v>0</v>
      </c>
      <c r="BH110" s="20">
        <v>0</v>
      </c>
      <c r="BI110" s="20">
        <v>0</v>
      </c>
      <c r="BJ110" s="20">
        <v>0</v>
      </c>
      <c r="BK110" s="20">
        <v>0</v>
      </c>
      <c r="BL110" s="20">
        <v>0</v>
      </c>
      <c r="BM110" s="20">
        <v>0</v>
      </c>
      <c r="BN110" s="22">
        <v>0</v>
      </c>
      <c r="BO110" s="22">
        <v>0</v>
      </c>
      <c r="BP110" s="22">
        <v>0</v>
      </c>
      <c r="BR110" s="20" t="str">
        <v/>
      </c>
      <c r="CH110" s="20">
        <v>0</v>
      </c>
      <c r="CI110" s="20">
        <v>0</v>
      </c>
      <c r="CJ110" s="20">
        <v>0</v>
      </c>
      <c r="CK110" s="20" t="str">
        <v/>
      </c>
      <c r="CL110" s="20" t="str">
        <v/>
      </c>
      <c r="CN110" s="20">
        <v>0</v>
      </c>
      <c r="CO110" s="20">
        <v>0</v>
      </c>
      <c r="CP110" s="20">
        <v>0</v>
      </c>
      <c r="CQ110" s="20">
        <v>0</v>
      </c>
      <c r="CR110" s="20">
        <v>0</v>
      </c>
      <c r="CS110" s="20">
        <v>0</v>
      </c>
      <c r="CT110" s="20">
        <v>0</v>
      </c>
      <c r="CU110" s="20">
        <v>0</v>
      </c>
      <c r="CV110" s="20">
        <v>0</v>
      </c>
      <c r="CW110" s="20">
        <v>0</v>
      </c>
      <c r="CX110" s="20">
        <v>0</v>
      </c>
      <c r="CY110" s="20">
        <v>0</v>
      </c>
      <c r="CZ110" s="20">
        <v>0</v>
      </c>
      <c r="DA110" s="19">
        <v>0</v>
      </c>
      <c r="DB110" s="20">
        <v>0</v>
      </c>
      <c r="DC110" s="25">
        <v>0</v>
      </c>
      <c r="DD110" s="20">
        <v>0</v>
      </c>
      <c r="DE110" s="20">
        <v>0</v>
      </c>
      <c r="DF110" s="20">
        <v>0</v>
      </c>
      <c r="DG110" s="20">
        <v>0</v>
      </c>
      <c r="DH110" s="20">
        <v>0</v>
      </c>
      <c r="DI110" s="20">
        <v>0</v>
      </c>
    </row>
    <row r="111" spans="1:113">
      <c r="A111" s="20" t="str">
        <v>00:00:00</v>
      </c>
      <c r="B111" s="19">
        <v>0</v>
      </c>
      <c r="C111" s="21">
        <v>0</v>
      </c>
      <c r="D111" s="20" t="str">
        <v>未匹配</v>
      </c>
      <c r="E111" s="20">
        <v>0</v>
      </c>
      <c r="I111" s="20" t="str">
        <v/>
      </c>
      <c r="J111" s="20">
        <v>0</v>
      </c>
      <c r="K111" s="22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E111" s="20" t="str">
        <v/>
      </c>
      <c r="AF111" s="20">
        <v>0</v>
      </c>
      <c r="AG111" s="22" t="e">
        <v>#VALUE!</v>
      </c>
      <c r="AI111" s="20">
        <v>0</v>
      </c>
      <c r="AJ111" s="20">
        <v>0</v>
      </c>
      <c r="AK111" s="20">
        <v>0</v>
      </c>
      <c r="AL111" s="20">
        <v>0</v>
      </c>
      <c r="AM111" s="20">
        <v>0</v>
      </c>
      <c r="AN111" s="20">
        <v>0</v>
      </c>
      <c r="AO111" s="20">
        <v>0</v>
      </c>
      <c r="AP111" s="20">
        <v>0</v>
      </c>
      <c r="AQ111" s="20">
        <v>0</v>
      </c>
      <c r="AR111" s="20">
        <v>0</v>
      </c>
      <c r="AS111" s="20">
        <v>0</v>
      </c>
      <c r="AT111" s="20">
        <v>0</v>
      </c>
      <c r="AU111" s="20">
        <v>0</v>
      </c>
      <c r="AV111" s="20">
        <v>0</v>
      </c>
      <c r="AW111" s="20">
        <v>0</v>
      </c>
      <c r="AX111" s="20">
        <v>0</v>
      </c>
      <c r="AY111" s="20">
        <v>0</v>
      </c>
      <c r="AZ111" s="20">
        <v>0</v>
      </c>
      <c r="BA111" s="20">
        <v>0</v>
      </c>
      <c r="BB111" s="20">
        <v>0</v>
      </c>
      <c r="BC111" s="20">
        <v>0</v>
      </c>
      <c r="BD111" s="20">
        <v>0</v>
      </c>
      <c r="BE111" s="20">
        <v>0</v>
      </c>
      <c r="BF111" s="20">
        <v>0</v>
      </c>
      <c r="BG111" s="20">
        <v>0</v>
      </c>
      <c r="BH111" s="20">
        <v>0</v>
      </c>
      <c r="BI111" s="20">
        <v>0</v>
      </c>
      <c r="BJ111" s="20">
        <v>0</v>
      </c>
      <c r="BK111" s="20">
        <v>0</v>
      </c>
      <c r="BL111" s="20">
        <v>0</v>
      </c>
      <c r="BM111" s="20">
        <v>0</v>
      </c>
      <c r="BN111" s="22">
        <v>0</v>
      </c>
      <c r="BO111" s="22">
        <v>0</v>
      </c>
      <c r="BP111" s="22">
        <v>0</v>
      </c>
      <c r="BR111" s="20" t="str">
        <v/>
      </c>
      <c r="CH111" s="20">
        <v>0</v>
      </c>
      <c r="CI111" s="20">
        <v>0</v>
      </c>
      <c r="CJ111" s="20">
        <v>0</v>
      </c>
      <c r="CK111" s="20" t="str">
        <v/>
      </c>
      <c r="CL111" s="20" t="str">
        <v/>
      </c>
      <c r="CN111" s="20">
        <v>0</v>
      </c>
      <c r="CO111" s="20">
        <v>0</v>
      </c>
      <c r="CP111" s="20">
        <v>0</v>
      </c>
      <c r="CQ111" s="20">
        <v>0</v>
      </c>
      <c r="CR111" s="20">
        <v>0</v>
      </c>
      <c r="CS111" s="20">
        <v>0</v>
      </c>
      <c r="CT111" s="20">
        <v>0</v>
      </c>
      <c r="CU111" s="20">
        <v>0</v>
      </c>
      <c r="CV111" s="20">
        <v>0</v>
      </c>
      <c r="CW111" s="20">
        <v>0</v>
      </c>
      <c r="CX111" s="20">
        <v>0</v>
      </c>
      <c r="CY111" s="20">
        <v>0</v>
      </c>
      <c r="CZ111" s="20">
        <v>0</v>
      </c>
      <c r="DA111" s="19">
        <v>0</v>
      </c>
      <c r="DB111" s="20">
        <v>0</v>
      </c>
      <c r="DC111" s="25">
        <v>0</v>
      </c>
      <c r="DD111" s="20">
        <v>0</v>
      </c>
      <c r="DE111" s="20">
        <v>0</v>
      </c>
      <c r="DF111" s="20">
        <v>0</v>
      </c>
      <c r="DG111" s="20">
        <v>0</v>
      </c>
      <c r="DH111" s="20">
        <v>0</v>
      </c>
      <c r="DI111" s="20">
        <v>0</v>
      </c>
    </row>
    <row r="112" spans="1:113">
      <c r="A112" s="20" t="str">
        <v>00:00:00</v>
      </c>
      <c r="B112" s="19">
        <v>0</v>
      </c>
      <c r="C112" s="21">
        <v>0</v>
      </c>
      <c r="D112" s="20" t="str">
        <v>未匹配</v>
      </c>
      <c r="E112" s="20">
        <v>0</v>
      </c>
      <c r="I112" s="20" t="str">
        <v/>
      </c>
      <c r="J112" s="20">
        <v>0</v>
      </c>
      <c r="K112" s="22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E112" s="20" t="str">
        <v/>
      </c>
      <c r="AF112" s="20">
        <v>0</v>
      </c>
      <c r="AG112" s="22" t="e">
        <v>#VALUE!</v>
      </c>
      <c r="AI112" s="20">
        <v>0</v>
      </c>
      <c r="AJ112" s="20">
        <v>0</v>
      </c>
      <c r="AK112" s="20">
        <v>0</v>
      </c>
      <c r="AL112" s="20">
        <v>0</v>
      </c>
      <c r="AM112" s="20">
        <v>0</v>
      </c>
      <c r="AN112" s="20">
        <v>0</v>
      </c>
      <c r="AO112" s="20">
        <v>0</v>
      </c>
      <c r="AP112" s="20">
        <v>0</v>
      </c>
      <c r="AQ112" s="20">
        <v>0</v>
      </c>
      <c r="AR112" s="20">
        <v>0</v>
      </c>
      <c r="AS112" s="20">
        <v>0</v>
      </c>
      <c r="AT112" s="20">
        <v>0</v>
      </c>
      <c r="AU112" s="20">
        <v>0</v>
      </c>
      <c r="AV112" s="20">
        <v>0</v>
      </c>
      <c r="AW112" s="20">
        <v>0</v>
      </c>
      <c r="AX112" s="20">
        <v>0</v>
      </c>
      <c r="AY112" s="20">
        <v>0</v>
      </c>
      <c r="AZ112" s="20">
        <v>0</v>
      </c>
      <c r="BA112" s="20">
        <v>0</v>
      </c>
      <c r="BB112" s="20">
        <v>0</v>
      </c>
      <c r="BC112" s="20">
        <v>0</v>
      </c>
      <c r="BD112" s="20">
        <v>0</v>
      </c>
      <c r="BE112" s="20">
        <v>0</v>
      </c>
      <c r="BF112" s="20">
        <v>0</v>
      </c>
      <c r="BG112" s="20">
        <v>0</v>
      </c>
      <c r="BH112" s="20">
        <v>0</v>
      </c>
      <c r="BI112" s="20">
        <v>0</v>
      </c>
      <c r="BJ112" s="20">
        <v>0</v>
      </c>
      <c r="BK112" s="20">
        <v>0</v>
      </c>
      <c r="BL112" s="20">
        <v>0</v>
      </c>
      <c r="BM112" s="20">
        <v>0</v>
      </c>
      <c r="BN112" s="22">
        <v>0</v>
      </c>
      <c r="BO112" s="22">
        <v>0</v>
      </c>
      <c r="BP112" s="22">
        <v>0</v>
      </c>
      <c r="BR112" s="20" t="str">
        <v/>
      </c>
      <c r="CH112" s="20">
        <v>0</v>
      </c>
      <c r="CI112" s="20">
        <v>0</v>
      </c>
      <c r="CJ112" s="20">
        <v>0</v>
      </c>
      <c r="CK112" s="20" t="str">
        <v/>
      </c>
      <c r="CL112" s="20" t="str">
        <v/>
      </c>
      <c r="CN112" s="20">
        <v>0</v>
      </c>
      <c r="CO112" s="20">
        <v>0</v>
      </c>
      <c r="CP112" s="20">
        <v>0</v>
      </c>
      <c r="CQ112" s="20">
        <v>0</v>
      </c>
      <c r="CR112" s="20">
        <v>0</v>
      </c>
      <c r="CS112" s="20">
        <v>0</v>
      </c>
      <c r="CT112" s="20">
        <v>0</v>
      </c>
      <c r="CU112" s="20">
        <v>0</v>
      </c>
      <c r="CV112" s="20">
        <v>0</v>
      </c>
      <c r="CW112" s="20">
        <v>0</v>
      </c>
      <c r="CX112" s="20">
        <v>0</v>
      </c>
      <c r="CY112" s="20">
        <v>0</v>
      </c>
      <c r="CZ112" s="20">
        <v>0</v>
      </c>
      <c r="DA112" s="19">
        <v>0</v>
      </c>
      <c r="DB112" s="20">
        <v>0</v>
      </c>
      <c r="DC112" s="25">
        <v>0</v>
      </c>
      <c r="DD112" s="20">
        <v>0</v>
      </c>
      <c r="DE112" s="20">
        <v>0</v>
      </c>
      <c r="DF112" s="20">
        <v>0</v>
      </c>
      <c r="DG112" s="20">
        <v>0</v>
      </c>
      <c r="DH112" s="20">
        <v>0</v>
      </c>
      <c r="DI112" s="20">
        <v>0</v>
      </c>
    </row>
    <row r="113" spans="1:113">
      <c r="A113" s="20" t="str">
        <v>00:00:00</v>
      </c>
      <c r="B113" s="19">
        <v>0</v>
      </c>
      <c r="C113" s="21">
        <v>0</v>
      </c>
      <c r="D113" s="20" t="str">
        <v>未匹配</v>
      </c>
      <c r="E113" s="20">
        <v>0</v>
      </c>
      <c r="I113" s="20" t="str">
        <v/>
      </c>
      <c r="J113" s="20">
        <v>0</v>
      </c>
      <c r="K113" s="22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E113" s="20" t="str">
        <v/>
      </c>
      <c r="AF113" s="20">
        <v>0</v>
      </c>
      <c r="AG113" s="22" t="e">
        <v>#VALUE!</v>
      </c>
      <c r="AI113" s="20">
        <v>0</v>
      </c>
      <c r="AJ113" s="20">
        <v>0</v>
      </c>
      <c r="AK113" s="20">
        <v>0</v>
      </c>
      <c r="AL113" s="20">
        <v>0</v>
      </c>
      <c r="AM113" s="20">
        <v>0</v>
      </c>
      <c r="AN113" s="20">
        <v>0</v>
      </c>
      <c r="AO113" s="20">
        <v>0</v>
      </c>
      <c r="AP113" s="20">
        <v>0</v>
      </c>
      <c r="AQ113" s="20">
        <v>0</v>
      </c>
      <c r="AR113" s="20">
        <v>0</v>
      </c>
      <c r="AS113" s="20">
        <v>0</v>
      </c>
      <c r="AT113" s="20">
        <v>0</v>
      </c>
      <c r="AU113" s="20">
        <v>0</v>
      </c>
      <c r="AV113" s="20">
        <v>0</v>
      </c>
      <c r="AW113" s="20">
        <v>0</v>
      </c>
      <c r="AX113" s="20">
        <v>0</v>
      </c>
      <c r="AY113" s="20">
        <v>0</v>
      </c>
      <c r="AZ113" s="20">
        <v>0</v>
      </c>
      <c r="BA113" s="20">
        <v>0</v>
      </c>
      <c r="BB113" s="20">
        <v>0</v>
      </c>
      <c r="BC113" s="20">
        <v>0</v>
      </c>
      <c r="BD113" s="20">
        <v>0</v>
      </c>
      <c r="BE113" s="20">
        <v>0</v>
      </c>
      <c r="BF113" s="20">
        <v>0</v>
      </c>
      <c r="BG113" s="20">
        <v>0</v>
      </c>
      <c r="BH113" s="20">
        <v>0</v>
      </c>
      <c r="BI113" s="20">
        <v>0</v>
      </c>
      <c r="BJ113" s="20">
        <v>0</v>
      </c>
      <c r="BK113" s="20">
        <v>0</v>
      </c>
      <c r="BL113" s="20">
        <v>0</v>
      </c>
      <c r="BM113" s="20">
        <v>0</v>
      </c>
      <c r="BN113" s="22">
        <v>0</v>
      </c>
      <c r="BO113" s="22">
        <v>0</v>
      </c>
      <c r="BP113" s="22">
        <v>0</v>
      </c>
      <c r="BR113" s="20" t="str">
        <v/>
      </c>
      <c r="CH113" s="20">
        <v>0</v>
      </c>
      <c r="CI113" s="20">
        <v>0</v>
      </c>
      <c r="CJ113" s="20">
        <v>0</v>
      </c>
      <c r="CK113" s="20" t="str">
        <v/>
      </c>
      <c r="CL113" s="20" t="str">
        <v/>
      </c>
      <c r="CN113" s="20">
        <v>0</v>
      </c>
      <c r="CO113" s="20">
        <v>0</v>
      </c>
      <c r="CP113" s="20">
        <v>0</v>
      </c>
      <c r="CQ113" s="20">
        <v>0</v>
      </c>
      <c r="CR113" s="20">
        <v>0</v>
      </c>
      <c r="CS113" s="20">
        <v>0</v>
      </c>
      <c r="CT113" s="20">
        <v>0</v>
      </c>
      <c r="CU113" s="20">
        <v>0</v>
      </c>
      <c r="CV113" s="20">
        <v>0</v>
      </c>
      <c r="CW113" s="20">
        <v>0</v>
      </c>
      <c r="CX113" s="20">
        <v>0</v>
      </c>
      <c r="CY113" s="20">
        <v>0</v>
      </c>
      <c r="CZ113" s="20">
        <v>0</v>
      </c>
      <c r="DA113" s="19">
        <v>0</v>
      </c>
      <c r="DB113" s="20">
        <v>0</v>
      </c>
      <c r="DC113" s="25">
        <v>0</v>
      </c>
      <c r="DD113" s="20">
        <v>0</v>
      </c>
      <c r="DE113" s="20">
        <v>0</v>
      </c>
      <c r="DF113" s="20">
        <v>0</v>
      </c>
      <c r="DG113" s="20">
        <v>0</v>
      </c>
      <c r="DH113" s="20">
        <v>0</v>
      </c>
      <c r="DI113" s="20">
        <v>0</v>
      </c>
    </row>
    <row r="114" spans="1:113">
      <c r="A114" s="20" t="str">
        <v>00:00:00</v>
      </c>
      <c r="B114" s="19">
        <v>0</v>
      </c>
      <c r="C114" s="21">
        <v>0</v>
      </c>
      <c r="D114" s="20" t="str">
        <v>未匹配</v>
      </c>
      <c r="E114" s="20">
        <v>0</v>
      </c>
      <c r="I114" s="20" t="str">
        <v/>
      </c>
      <c r="J114" s="20">
        <v>0</v>
      </c>
      <c r="K114" s="22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0</v>
      </c>
      <c r="AE114" s="20" t="str">
        <v/>
      </c>
      <c r="AF114" s="20">
        <v>0</v>
      </c>
      <c r="AG114" s="22" t="e">
        <v>#VALUE!</v>
      </c>
      <c r="AI114" s="20">
        <v>0</v>
      </c>
      <c r="AJ114" s="20">
        <v>0</v>
      </c>
      <c r="AK114" s="20">
        <v>0</v>
      </c>
      <c r="AL114" s="20">
        <v>0</v>
      </c>
      <c r="AM114" s="20">
        <v>0</v>
      </c>
      <c r="AN114" s="20">
        <v>0</v>
      </c>
      <c r="AO114" s="20">
        <v>0</v>
      </c>
      <c r="AP114" s="20">
        <v>0</v>
      </c>
      <c r="AQ114" s="20">
        <v>0</v>
      </c>
      <c r="AR114" s="20">
        <v>0</v>
      </c>
      <c r="AS114" s="20">
        <v>0</v>
      </c>
      <c r="AT114" s="20">
        <v>0</v>
      </c>
      <c r="AU114" s="20">
        <v>0</v>
      </c>
      <c r="AV114" s="20">
        <v>0</v>
      </c>
      <c r="AW114" s="20">
        <v>0</v>
      </c>
      <c r="AX114" s="20">
        <v>0</v>
      </c>
      <c r="AY114" s="20">
        <v>0</v>
      </c>
      <c r="AZ114" s="20">
        <v>0</v>
      </c>
      <c r="BA114" s="20">
        <v>0</v>
      </c>
      <c r="BB114" s="20">
        <v>0</v>
      </c>
      <c r="BC114" s="20">
        <v>0</v>
      </c>
      <c r="BD114" s="20">
        <v>0</v>
      </c>
      <c r="BE114" s="20">
        <v>0</v>
      </c>
      <c r="BF114" s="20">
        <v>0</v>
      </c>
      <c r="BG114" s="20">
        <v>0</v>
      </c>
      <c r="BH114" s="20">
        <v>0</v>
      </c>
      <c r="BI114" s="20">
        <v>0</v>
      </c>
      <c r="BJ114" s="20">
        <v>0</v>
      </c>
      <c r="BK114" s="20">
        <v>0</v>
      </c>
      <c r="BL114" s="20">
        <v>0</v>
      </c>
      <c r="BM114" s="20">
        <v>0</v>
      </c>
      <c r="BN114" s="22">
        <v>0</v>
      </c>
      <c r="BO114" s="22">
        <v>0</v>
      </c>
      <c r="BP114" s="22">
        <v>0</v>
      </c>
      <c r="BR114" s="20" t="str">
        <v/>
      </c>
      <c r="CH114" s="20">
        <v>0</v>
      </c>
      <c r="CI114" s="20">
        <v>0</v>
      </c>
      <c r="CJ114" s="20">
        <v>0</v>
      </c>
      <c r="CK114" s="20" t="str">
        <v/>
      </c>
      <c r="CL114" s="20" t="str">
        <v/>
      </c>
      <c r="CN114" s="20">
        <v>0</v>
      </c>
      <c r="CO114" s="20">
        <v>0</v>
      </c>
      <c r="CP114" s="20">
        <v>0</v>
      </c>
      <c r="CQ114" s="20">
        <v>0</v>
      </c>
      <c r="CR114" s="20">
        <v>0</v>
      </c>
      <c r="CS114" s="20">
        <v>0</v>
      </c>
      <c r="CT114" s="20">
        <v>0</v>
      </c>
      <c r="CU114" s="20">
        <v>0</v>
      </c>
      <c r="CV114" s="20">
        <v>0</v>
      </c>
      <c r="CW114" s="20">
        <v>0</v>
      </c>
      <c r="CX114" s="20">
        <v>0</v>
      </c>
      <c r="CY114" s="20">
        <v>0</v>
      </c>
      <c r="CZ114" s="20">
        <v>0</v>
      </c>
      <c r="DA114" s="19">
        <v>0</v>
      </c>
      <c r="DB114" s="20">
        <v>0</v>
      </c>
      <c r="DC114" s="25">
        <v>0</v>
      </c>
      <c r="DD114" s="20">
        <v>0</v>
      </c>
      <c r="DE114" s="20">
        <v>0</v>
      </c>
      <c r="DF114" s="20">
        <v>0</v>
      </c>
      <c r="DG114" s="20">
        <v>0</v>
      </c>
      <c r="DH114" s="20">
        <v>0</v>
      </c>
      <c r="DI114" s="20">
        <v>0</v>
      </c>
    </row>
    <row r="115" spans="1:113">
      <c r="A115" s="20" t="str">
        <v>00:00:00</v>
      </c>
      <c r="B115" s="19">
        <v>0</v>
      </c>
      <c r="C115" s="21">
        <v>0</v>
      </c>
      <c r="D115" s="20" t="str">
        <v>未匹配</v>
      </c>
      <c r="E115" s="20">
        <v>0</v>
      </c>
      <c r="I115" s="20" t="str">
        <v/>
      </c>
      <c r="J115" s="20">
        <v>0</v>
      </c>
      <c r="K115" s="22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0</v>
      </c>
      <c r="Z115" s="20">
        <v>0</v>
      </c>
      <c r="AA115" s="20">
        <v>0</v>
      </c>
      <c r="AB115" s="20">
        <v>0</v>
      </c>
      <c r="AC115" s="20">
        <v>0</v>
      </c>
      <c r="AE115" s="20" t="str">
        <v/>
      </c>
      <c r="AF115" s="20">
        <v>0</v>
      </c>
      <c r="AG115" s="22" t="e">
        <v>#VALUE!</v>
      </c>
      <c r="AI115" s="20">
        <v>0</v>
      </c>
      <c r="AJ115" s="20">
        <v>0</v>
      </c>
      <c r="AK115" s="20">
        <v>0</v>
      </c>
      <c r="AL115" s="20">
        <v>0</v>
      </c>
      <c r="AM115" s="20">
        <v>0</v>
      </c>
      <c r="AN115" s="20">
        <v>0</v>
      </c>
      <c r="AO115" s="20">
        <v>0</v>
      </c>
      <c r="AP115" s="20">
        <v>0</v>
      </c>
      <c r="AQ115" s="20">
        <v>0</v>
      </c>
      <c r="AR115" s="20">
        <v>0</v>
      </c>
      <c r="AS115" s="20">
        <v>0</v>
      </c>
      <c r="AT115" s="20">
        <v>0</v>
      </c>
      <c r="AU115" s="20">
        <v>0</v>
      </c>
      <c r="AV115" s="20">
        <v>0</v>
      </c>
      <c r="AW115" s="20">
        <v>0</v>
      </c>
      <c r="AX115" s="20">
        <v>0</v>
      </c>
      <c r="AY115" s="20">
        <v>0</v>
      </c>
      <c r="AZ115" s="20">
        <v>0</v>
      </c>
      <c r="BA115" s="20">
        <v>0</v>
      </c>
      <c r="BB115" s="20">
        <v>0</v>
      </c>
      <c r="BC115" s="20">
        <v>0</v>
      </c>
      <c r="BD115" s="20">
        <v>0</v>
      </c>
      <c r="BE115" s="20">
        <v>0</v>
      </c>
      <c r="BF115" s="20">
        <v>0</v>
      </c>
      <c r="BG115" s="20">
        <v>0</v>
      </c>
      <c r="BH115" s="20">
        <v>0</v>
      </c>
      <c r="BI115" s="20">
        <v>0</v>
      </c>
      <c r="BJ115" s="20">
        <v>0</v>
      </c>
      <c r="BK115" s="20">
        <v>0</v>
      </c>
      <c r="BL115" s="20">
        <v>0</v>
      </c>
      <c r="BM115" s="20">
        <v>0</v>
      </c>
      <c r="BN115" s="22">
        <v>0</v>
      </c>
      <c r="BO115" s="22">
        <v>0</v>
      </c>
      <c r="BP115" s="22">
        <v>0</v>
      </c>
      <c r="BR115" s="20" t="str">
        <v/>
      </c>
      <c r="CH115" s="20">
        <v>0</v>
      </c>
      <c r="CI115" s="20">
        <v>0</v>
      </c>
      <c r="CJ115" s="20">
        <v>0</v>
      </c>
      <c r="CK115" s="20" t="str">
        <v/>
      </c>
      <c r="CL115" s="20" t="str">
        <v/>
      </c>
      <c r="CN115" s="20">
        <v>0</v>
      </c>
      <c r="CO115" s="20">
        <v>0</v>
      </c>
      <c r="CP115" s="20">
        <v>0</v>
      </c>
      <c r="CQ115" s="20">
        <v>0</v>
      </c>
      <c r="CR115" s="20">
        <v>0</v>
      </c>
      <c r="CS115" s="20">
        <v>0</v>
      </c>
      <c r="CT115" s="20">
        <v>0</v>
      </c>
      <c r="CU115" s="20">
        <v>0</v>
      </c>
      <c r="CV115" s="20">
        <v>0</v>
      </c>
      <c r="CW115" s="20">
        <v>0</v>
      </c>
      <c r="CX115" s="20">
        <v>0</v>
      </c>
      <c r="CY115" s="20">
        <v>0</v>
      </c>
      <c r="CZ115" s="20">
        <v>0</v>
      </c>
      <c r="DA115" s="19">
        <v>0</v>
      </c>
      <c r="DB115" s="20">
        <v>0</v>
      </c>
      <c r="DC115" s="25">
        <v>0</v>
      </c>
      <c r="DD115" s="20">
        <v>0</v>
      </c>
      <c r="DE115" s="20">
        <v>0</v>
      </c>
      <c r="DF115" s="20">
        <v>0</v>
      </c>
      <c r="DG115" s="20">
        <v>0</v>
      </c>
      <c r="DH115" s="20">
        <v>0</v>
      </c>
      <c r="DI115" s="20">
        <v>0</v>
      </c>
    </row>
    <row r="116" spans="1:113">
      <c r="A116" s="20" t="str">
        <v>00:00:00</v>
      </c>
      <c r="B116" s="19">
        <v>0</v>
      </c>
      <c r="C116" s="21">
        <v>0</v>
      </c>
      <c r="D116" s="20" t="str">
        <v>未匹配</v>
      </c>
      <c r="E116" s="20">
        <v>0</v>
      </c>
      <c r="I116" s="20" t="str">
        <v/>
      </c>
      <c r="J116" s="20">
        <v>0</v>
      </c>
      <c r="K116" s="22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0</v>
      </c>
      <c r="Z116" s="20">
        <v>0</v>
      </c>
      <c r="AA116" s="20">
        <v>0</v>
      </c>
      <c r="AB116" s="20">
        <v>0</v>
      </c>
      <c r="AC116" s="20">
        <v>0</v>
      </c>
      <c r="AE116" s="20" t="str">
        <v/>
      </c>
      <c r="AF116" s="20">
        <v>0</v>
      </c>
      <c r="AG116" s="22" t="e">
        <v>#VALUE!</v>
      </c>
      <c r="AI116" s="20">
        <v>0</v>
      </c>
      <c r="AJ116" s="20">
        <v>0</v>
      </c>
      <c r="AK116" s="20">
        <v>0</v>
      </c>
      <c r="AL116" s="20">
        <v>0</v>
      </c>
      <c r="AM116" s="20">
        <v>0</v>
      </c>
      <c r="AN116" s="20">
        <v>0</v>
      </c>
      <c r="AO116" s="20">
        <v>0</v>
      </c>
      <c r="AP116" s="20">
        <v>0</v>
      </c>
      <c r="AQ116" s="20">
        <v>0</v>
      </c>
      <c r="AR116" s="20">
        <v>0</v>
      </c>
      <c r="AS116" s="20">
        <v>0</v>
      </c>
      <c r="AT116" s="20">
        <v>0</v>
      </c>
      <c r="AU116" s="20">
        <v>0</v>
      </c>
      <c r="AV116" s="20">
        <v>0</v>
      </c>
      <c r="AW116" s="20">
        <v>0</v>
      </c>
      <c r="AX116" s="20">
        <v>0</v>
      </c>
      <c r="AY116" s="20">
        <v>0</v>
      </c>
      <c r="AZ116" s="20">
        <v>0</v>
      </c>
      <c r="BA116" s="20">
        <v>0</v>
      </c>
      <c r="BB116" s="20">
        <v>0</v>
      </c>
      <c r="BC116" s="20">
        <v>0</v>
      </c>
      <c r="BD116" s="20">
        <v>0</v>
      </c>
      <c r="BE116" s="20">
        <v>0</v>
      </c>
      <c r="BF116" s="20">
        <v>0</v>
      </c>
      <c r="BG116" s="20">
        <v>0</v>
      </c>
      <c r="BH116" s="20">
        <v>0</v>
      </c>
      <c r="BI116" s="20">
        <v>0</v>
      </c>
      <c r="BJ116" s="20">
        <v>0</v>
      </c>
      <c r="BK116" s="20">
        <v>0</v>
      </c>
      <c r="BL116" s="20">
        <v>0</v>
      </c>
      <c r="BM116" s="20">
        <v>0</v>
      </c>
      <c r="BN116" s="22">
        <v>0</v>
      </c>
      <c r="BO116" s="22">
        <v>0</v>
      </c>
      <c r="BP116" s="22">
        <v>0</v>
      </c>
      <c r="BR116" s="20" t="str">
        <v/>
      </c>
      <c r="CH116" s="20">
        <v>0</v>
      </c>
      <c r="CI116" s="20">
        <v>0</v>
      </c>
      <c r="CJ116" s="20">
        <v>0</v>
      </c>
      <c r="CK116" s="20" t="str">
        <v/>
      </c>
      <c r="CL116" s="20" t="str">
        <v/>
      </c>
      <c r="CN116" s="20">
        <v>0</v>
      </c>
      <c r="CO116" s="20">
        <v>0</v>
      </c>
      <c r="CP116" s="20">
        <v>0</v>
      </c>
      <c r="CQ116" s="20">
        <v>0</v>
      </c>
      <c r="CR116" s="20">
        <v>0</v>
      </c>
      <c r="CS116" s="20">
        <v>0</v>
      </c>
      <c r="CT116" s="20">
        <v>0</v>
      </c>
      <c r="CU116" s="20">
        <v>0</v>
      </c>
      <c r="CV116" s="20">
        <v>0</v>
      </c>
      <c r="CW116" s="20">
        <v>0</v>
      </c>
      <c r="CX116" s="20">
        <v>0</v>
      </c>
      <c r="CY116" s="20">
        <v>0</v>
      </c>
      <c r="CZ116" s="20">
        <v>0</v>
      </c>
      <c r="DA116" s="19">
        <v>0</v>
      </c>
      <c r="DB116" s="20">
        <v>0</v>
      </c>
      <c r="DC116" s="25">
        <v>0</v>
      </c>
      <c r="DD116" s="20">
        <v>0</v>
      </c>
      <c r="DE116" s="20">
        <v>0</v>
      </c>
      <c r="DF116" s="20">
        <v>0</v>
      </c>
      <c r="DG116" s="20">
        <v>0</v>
      </c>
      <c r="DH116" s="20">
        <v>0</v>
      </c>
      <c r="DI116" s="20">
        <v>0</v>
      </c>
    </row>
    <row r="117" spans="1:113">
      <c r="A117" s="20" t="str">
        <v>00:00:00</v>
      </c>
      <c r="B117" s="19">
        <v>0</v>
      </c>
      <c r="C117" s="21">
        <v>0</v>
      </c>
      <c r="D117" s="20" t="str">
        <v>未匹配</v>
      </c>
      <c r="E117" s="20">
        <v>0</v>
      </c>
      <c r="I117" s="20" t="str">
        <v/>
      </c>
      <c r="J117" s="20">
        <v>0</v>
      </c>
      <c r="K117" s="22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0</v>
      </c>
      <c r="Z117" s="20">
        <v>0</v>
      </c>
      <c r="AA117" s="20">
        <v>0</v>
      </c>
      <c r="AB117" s="20">
        <v>0</v>
      </c>
      <c r="AC117" s="20">
        <v>0</v>
      </c>
      <c r="AE117" s="20" t="str">
        <v/>
      </c>
      <c r="AF117" s="20">
        <v>0</v>
      </c>
      <c r="AG117" s="22" t="e">
        <v>#VALUE!</v>
      </c>
      <c r="AI117" s="20">
        <v>0</v>
      </c>
      <c r="AJ117" s="20">
        <v>0</v>
      </c>
      <c r="AK117" s="20">
        <v>0</v>
      </c>
      <c r="AL117" s="20">
        <v>0</v>
      </c>
      <c r="AM117" s="20">
        <v>0</v>
      </c>
      <c r="AN117" s="20">
        <v>0</v>
      </c>
      <c r="AO117" s="20">
        <v>0</v>
      </c>
      <c r="AP117" s="20">
        <v>0</v>
      </c>
      <c r="AQ117" s="20">
        <v>0</v>
      </c>
      <c r="AR117" s="20">
        <v>0</v>
      </c>
      <c r="AS117" s="20">
        <v>0</v>
      </c>
      <c r="AT117" s="20">
        <v>0</v>
      </c>
      <c r="AU117" s="20">
        <v>0</v>
      </c>
      <c r="AV117" s="20">
        <v>0</v>
      </c>
      <c r="AW117" s="20">
        <v>0</v>
      </c>
      <c r="AX117" s="20">
        <v>0</v>
      </c>
      <c r="AY117" s="20">
        <v>0</v>
      </c>
      <c r="AZ117" s="20">
        <v>0</v>
      </c>
      <c r="BA117" s="20">
        <v>0</v>
      </c>
      <c r="BB117" s="20">
        <v>0</v>
      </c>
      <c r="BC117" s="20">
        <v>0</v>
      </c>
      <c r="BD117" s="20">
        <v>0</v>
      </c>
      <c r="BE117" s="20">
        <v>0</v>
      </c>
      <c r="BF117" s="20">
        <v>0</v>
      </c>
      <c r="BG117" s="20">
        <v>0</v>
      </c>
      <c r="BH117" s="20">
        <v>0</v>
      </c>
      <c r="BI117" s="20">
        <v>0</v>
      </c>
      <c r="BJ117" s="20">
        <v>0</v>
      </c>
      <c r="BK117" s="20">
        <v>0</v>
      </c>
      <c r="BL117" s="20">
        <v>0</v>
      </c>
      <c r="BM117" s="20">
        <v>0</v>
      </c>
      <c r="BN117" s="22">
        <v>0</v>
      </c>
      <c r="BO117" s="22">
        <v>0</v>
      </c>
      <c r="BP117" s="22">
        <v>0</v>
      </c>
      <c r="BR117" s="20" t="str">
        <v/>
      </c>
      <c r="CH117" s="20">
        <v>0</v>
      </c>
      <c r="CI117" s="20">
        <v>0</v>
      </c>
      <c r="CJ117" s="20">
        <v>0</v>
      </c>
      <c r="CK117" s="20" t="str">
        <v/>
      </c>
      <c r="CL117" s="20" t="str">
        <v/>
      </c>
      <c r="CN117" s="20">
        <v>0</v>
      </c>
      <c r="CO117" s="20">
        <v>0</v>
      </c>
      <c r="CP117" s="20">
        <v>0</v>
      </c>
      <c r="CQ117" s="20">
        <v>0</v>
      </c>
      <c r="CR117" s="20">
        <v>0</v>
      </c>
      <c r="CS117" s="20">
        <v>0</v>
      </c>
      <c r="CT117" s="20">
        <v>0</v>
      </c>
      <c r="CU117" s="20">
        <v>0</v>
      </c>
      <c r="CV117" s="20">
        <v>0</v>
      </c>
      <c r="CW117" s="20">
        <v>0</v>
      </c>
      <c r="CX117" s="20">
        <v>0</v>
      </c>
      <c r="CY117" s="20">
        <v>0</v>
      </c>
      <c r="CZ117" s="20">
        <v>0</v>
      </c>
      <c r="DA117" s="19">
        <v>0</v>
      </c>
      <c r="DB117" s="20">
        <v>0</v>
      </c>
      <c r="DC117" s="25">
        <v>0</v>
      </c>
      <c r="DD117" s="20">
        <v>0</v>
      </c>
      <c r="DE117" s="20">
        <v>0</v>
      </c>
      <c r="DF117" s="20">
        <v>0</v>
      </c>
      <c r="DG117" s="20">
        <v>0</v>
      </c>
      <c r="DH117" s="20">
        <v>0</v>
      </c>
      <c r="DI117" s="20">
        <v>0</v>
      </c>
    </row>
    <row r="118" spans="1:113">
      <c r="A118" s="20" t="str">
        <v>00:00:00</v>
      </c>
      <c r="B118" s="19">
        <v>0</v>
      </c>
      <c r="C118" s="21">
        <v>0</v>
      </c>
      <c r="D118" s="20" t="str">
        <v>未匹配</v>
      </c>
      <c r="E118" s="20">
        <v>0</v>
      </c>
      <c r="I118" s="20" t="str">
        <v/>
      </c>
      <c r="J118" s="20">
        <v>0</v>
      </c>
      <c r="K118" s="22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0">
        <v>0</v>
      </c>
      <c r="V118" s="20">
        <v>0</v>
      </c>
      <c r="W118" s="20">
        <v>0</v>
      </c>
      <c r="X118" s="20">
        <v>0</v>
      </c>
      <c r="Y118" s="20">
        <v>0</v>
      </c>
      <c r="Z118" s="20">
        <v>0</v>
      </c>
      <c r="AA118" s="20">
        <v>0</v>
      </c>
      <c r="AB118" s="20">
        <v>0</v>
      </c>
      <c r="AC118" s="20">
        <v>0</v>
      </c>
      <c r="AE118" s="20" t="str">
        <v/>
      </c>
      <c r="AF118" s="20">
        <v>0</v>
      </c>
      <c r="AG118" s="22" t="e">
        <v>#VALUE!</v>
      </c>
      <c r="AI118" s="20">
        <v>0</v>
      </c>
      <c r="AJ118" s="20">
        <v>0</v>
      </c>
      <c r="AK118" s="20">
        <v>0</v>
      </c>
      <c r="AL118" s="20">
        <v>0</v>
      </c>
      <c r="AM118" s="20">
        <v>0</v>
      </c>
      <c r="AN118" s="20">
        <v>0</v>
      </c>
      <c r="AO118" s="20">
        <v>0</v>
      </c>
      <c r="AP118" s="20">
        <v>0</v>
      </c>
      <c r="AQ118" s="20">
        <v>0</v>
      </c>
      <c r="AR118" s="20">
        <v>0</v>
      </c>
      <c r="AS118" s="20">
        <v>0</v>
      </c>
      <c r="AT118" s="20">
        <v>0</v>
      </c>
      <c r="AU118" s="20">
        <v>0</v>
      </c>
      <c r="AV118" s="20">
        <v>0</v>
      </c>
      <c r="AW118" s="20">
        <v>0</v>
      </c>
      <c r="AX118" s="20">
        <v>0</v>
      </c>
      <c r="AY118" s="20">
        <v>0</v>
      </c>
      <c r="AZ118" s="20">
        <v>0</v>
      </c>
      <c r="BA118" s="20">
        <v>0</v>
      </c>
      <c r="BB118" s="20">
        <v>0</v>
      </c>
      <c r="BC118" s="20">
        <v>0</v>
      </c>
      <c r="BD118" s="20">
        <v>0</v>
      </c>
      <c r="BE118" s="20">
        <v>0</v>
      </c>
      <c r="BF118" s="20">
        <v>0</v>
      </c>
      <c r="BG118" s="20">
        <v>0</v>
      </c>
      <c r="BH118" s="20">
        <v>0</v>
      </c>
      <c r="BI118" s="20">
        <v>0</v>
      </c>
      <c r="BJ118" s="20">
        <v>0</v>
      </c>
      <c r="BK118" s="20">
        <v>0</v>
      </c>
      <c r="BL118" s="20">
        <v>0</v>
      </c>
      <c r="BM118" s="20">
        <v>0</v>
      </c>
      <c r="BN118" s="22">
        <v>0</v>
      </c>
      <c r="BO118" s="22">
        <v>0</v>
      </c>
      <c r="BP118" s="22">
        <v>0</v>
      </c>
      <c r="BR118" s="20" t="str">
        <v/>
      </c>
      <c r="CH118" s="20">
        <v>0</v>
      </c>
      <c r="CI118" s="20">
        <v>0</v>
      </c>
      <c r="CJ118" s="20">
        <v>0</v>
      </c>
      <c r="CK118" s="20" t="str">
        <v/>
      </c>
      <c r="CL118" s="20" t="str">
        <v/>
      </c>
      <c r="CN118" s="20">
        <v>0</v>
      </c>
      <c r="CO118" s="20">
        <v>0</v>
      </c>
      <c r="CP118" s="20">
        <v>0</v>
      </c>
      <c r="CQ118" s="20">
        <v>0</v>
      </c>
      <c r="CR118" s="20">
        <v>0</v>
      </c>
      <c r="CS118" s="20">
        <v>0</v>
      </c>
      <c r="CT118" s="20">
        <v>0</v>
      </c>
      <c r="CU118" s="20">
        <v>0</v>
      </c>
      <c r="CV118" s="20">
        <v>0</v>
      </c>
      <c r="CW118" s="20">
        <v>0</v>
      </c>
      <c r="CX118" s="20">
        <v>0</v>
      </c>
      <c r="CY118" s="20">
        <v>0</v>
      </c>
      <c r="CZ118" s="20">
        <v>0</v>
      </c>
      <c r="DA118" s="19">
        <v>0</v>
      </c>
      <c r="DB118" s="20">
        <v>0</v>
      </c>
      <c r="DC118" s="25">
        <v>0</v>
      </c>
      <c r="DD118" s="20">
        <v>0</v>
      </c>
      <c r="DE118" s="20">
        <v>0</v>
      </c>
      <c r="DF118" s="20">
        <v>0</v>
      </c>
      <c r="DG118" s="20">
        <v>0</v>
      </c>
      <c r="DH118" s="20">
        <v>0</v>
      </c>
      <c r="DI118" s="20">
        <v>0</v>
      </c>
    </row>
    <row r="119" spans="1:113">
      <c r="A119" s="20" t="str">
        <v>00:00:00</v>
      </c>
      <c r="B119" s="19">
        <v>0</v>
      </c>
      <c r="C119" s="21">
        <v>0</v>
      </c>
      <c r="D119" s="20" t="str">
        <v>未匹配</v>
      </c>
      <c r="E119" s="20">
        <v>0</v>
      </c>
      <c r="I119" s="20" t="str">
        <v/>
      </c>
      <c r="J119" s="20">
        <v>0</v>
      </c>
      <c r="K119" s="22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  <c r="U119" s="20">
        <v>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E119" s="20" t="str">
        <v/>
      </c>
      <c r="AF119" s="20">
        <v>0</v>
      </c>
      <c r="AG119" s="22" t="e">
        <v>#VALUE!</v>
      </c>
      <c r="AI119" s="20">
        <v>0</v>
      </c>
      <c r="AJ119" s="20">
        <v>0</v>
      </c>
      <c r="AK119" s="20">
        <v>0</v>
      </c>
      <c r="AL119" s="20">
        <v>0</v>
      </c>
      <c r="AM119" s="20">
        <v>0</v>
      </c>
      <c r="AN119" s="20">
        <v>0</v>
      </c>
      <c r="AO119" s="20">
        <v>0</v>
      </c>
      <c r="AP119" s="20">
        <v>0</v>
      </c>
      <c r="AQ119" s="20">
        <v>0</v>
      </c>
      <c r="AR119" s="20">
        <v>0</v>
      </c>
      <c r="AS119" s="20">
        <v>0</v>
      </c>
      <c r="AT119" s="20">
        <v>0</v>
      </c>
      <c r="AU119" s="20">
        <v>0</v>
      </c>
      <c r="AV119" s="20">
        <v>0</v>
      </c>
      <c r="AW119" s="20">
        <v>0</v>
      </c>
      <c r="AX119" s="20">
        <v>0</v>
      </c>
      <c r="AY119" s="20">
        <v>0</v>
      </c>
      <c r="AZ119" s="20">
        <v>0</v>
      </c>
      <c r="BA119" s="20">
        <v>0</v>
      </c>
      <c r="BB119" s="20">
        <v>0</v>
      </c>
      <c r="BC119" s="20">
        <v>0</v>
      </c>
      <c r="BD119" s="20">
        <v>0</v>
      </c>
      <c r="BE119" s="20">
        <v>0</v>
      </c>
      <c r="BF119" s="20">
        <v>0</v>
      </c>
      <c r="BG119" s="20">
        <v>0</v>
      </c>
      <c r="BH119" s="20">
        <v>0</v>
      </c>
      <c r="BI119" s="20">
        <v>0</v>
      </c>
      <c r="BJ119" s="20">
        <v>0</v>
      </c>
      <c r="BK119" s="20">
        <v>0</v>
      </c>
      <c r="BL119" s="20">
        <v>0</v>
      </c>
      <c r="BM119" s="20">
        <v>0</v>
      </c>
      <c r="BN119" s="22">
        <v>0</v>
      </c>
      <c r="BO119" s="22">
        <v>0</v>
      </c>
      <c r="BP119" s="22">
        <v>0</v>
      </c>
      <c r="BR119" s="20" t="str">
        <v/>
      </c>
      <c r="CH119" s="20">
        <v>0</v>
      </c>
      <c r="CI119" s="20">
        <v>0</v>
      </c>
      <c r="CJ119" s="20">
        <v>0</v>
      </c>
      <c r="CK119" s="20" t="str">
        <v/>
      </c>
      <c r="CL119" s="20" t="str">
        <v/>
      </c>
      <c r="CN119" s="20">
        <v>0</v>
      </c>
      <c r="CO119" s="20">
        <v>0</v>
      </c>
      <c r="CP119" s="20">
        <v>0</v>
      </c>
      <c r="CQ119" s="20">
        <v>0</v>
      </c>
      <c r="CR119" s="20">
        <v>0</v>
      </c>
      <c r="CS119" s="20">
        <v>0</v>
      </c>
      <c r="CT119" s="20">
        <v>0</v>
      </c>
      <c r="CU119" s="20">
        <v>0</v>
      </c>
      <c r="CV119" s="20">
        <v>0</v>
      </c>
      <c r="CW119" s="20">
        <v>0</v>
      </c>
      <c r="CX119" s="20">
        <v>0</v>
      </c>
      <c r="CY119" s="20">
        <v>0</v>
      </c>
      <c r="CZ119" s="20">
        <v>0</v>
      </c>
      <c r="DA119" s="19">
        <v>0</v>
      </c>
      <c r="DB119" s="20">
        <v>0</v>
      </c>
      <c r="DC119" s="25">
        <v>0</v>
      </c>
      <c r="DD119" s="20">
        <v>0</v>
      </c>
      <c r="DE119" s="20">
        <v>0</v>
      </c>
      <c r="DF119" s="20">
        <v>0</v>
      </c>
      <c r="DG119" s="20">
        <v>0</v>
      </c>
      <c r="DH119" s="20">
        <v>0</v>
      </c>
      <c r="DI119" s="20">
        <v>0</v>
      </c>
    </row>
    <row r="120" spans="1:113">
      <c r="A120" s="20" t="str">
        <v>00:00:00</v>
      </c>
      <c r="B120" s="19">
        <v>0</v>
      </c>
      <c r="C120" s="21">
        <v>0</v>
      </c>
      <c r="D120" s="20" t="str">
        <v>未匹配</v>
      </c>
      <c r="E120" s="20">
        <v>0</v>
      </c>
      <c r="I120" s="20" t="str">
        <v/>
      </c>
      <c r="J120" s="20">
        <v>0</v>
      </c>
      <c r="K120" s="22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0</v>
      </c>
      <c r="Z120" s="20">
        <v>0</v>
      </c>
      <c r="AA120" s="20">
        <v>0</v>
      </c>
      <c r="AB120" s="20">
        <v>0</v>
      </c>
      <c r="AC120" s="20">
        <v>0</v>
      </c>
      <c r="AE120" s="20" t="str">
        <v/>
      </c>
      <c r="AF120" s="20">
        <v>0</v>
      </c>
      <c r="AG120" s="22" t="e">
        <v>#VALUE!</v>
      </c>
      <c r="AI120" s="20">
        <v>0</v>
      </c>
      <c r="AJ120" s="20">
        <v>0</v>
      </c>
      <c r="AK120" s="20">
        <v>0</v>
      </c>
      <c r="AL120" s="20">
        <v>0</v>
      </c>
      <c r="AM120" s="20">
        <v>0</v>
      </c>
      <c r="AN120" s="20">
        <v>0</v>
      </c>
      <c r="AO120" s="20">
        <v>0</v>
      </c>
      <c r="AP120" s="20">
        <v>0</v>
      </c>
      <c r="AQ120" s="20">
        <v>0</v>
      </c>
      <c r="AR120" s="20">
        <v>0</v>
      </c>
      <c r="AS120" s="20">
        <v>0</v>
      </c>
      <c r="AT120" s="20">
        <v>0</v>
      </c>
      <c r="AU120" s="20">
        <v>0</v>
      </c>
      <c r="AV120" s="20">
        <v>0</v>
      </c>
      <c r="AW120" s="20">
        <v>0</v>
      </c>
      <c r="AX120" s="20">
        <v>0</v>
      </c>
      <c r="AY120" s="20">
        <v>0</v>
      </c>
      <c r="AZ120" s="20">
        <v>0</v>
      </c>
      <c r="BA120" s="20">
        <v>0</v>
      </c>
      <c r="BB120" s="20">
        <v>0</v>
      </c>
      <c r="BC120" s="20">
        <v>0</v>
      </c>
      <c r="BD120" s="20">
        <v>0</v>
      </c>
      <c r="BE120" s="20">
        <v>0</v>
      </c>
      <c r="BF120" s="20">
        <v>0</v>
      </c>
      <c r="BG120" s="20">
        <v>0</v>
      </c>
      <c r="BH120" s="20">
        <v>0</v>
      </c>
      <c r="BI120" s="20">
        <v>0</v>
      </c>
      <c r="BJ120" s="20">
        <v>0</v>
      </c>
      <c r="BK120" s="20">
        <v>0</v>
      </c>
      <c r="BL120" s="20">
        <v>0</v>
      </c>
      <c r="BM120" s="20">
        <v>0</v>
      </c>
      <c r="BN120" s="22">
        <v>0</v>
      </c>
      <c r="BO120" s="22">
        <v>0</v>
      </c>
      <c r="BP120" s="22">
        <v>0</v>
      </c>
      <c r="BR120" s="20" t="str">
        <v/>
      </c>
      <c r="CH120" s="20">
        <v>0</v>
      </c>
      <c r="CI120" s="20">
        <v>0</v>
      </c>
      <c r="CJ120" s="20">
        <v>0</v>
      </c>
      <c r="CK120" s="20" t="str">
        <v/>
      </c>
      <c r="CL120" s="20" t="str">
        <v/>
      </c>
      <c r="CN120" s="20">
        <v>0</v>
      </c>
      <c r="CO120" s="20">
        <v>0</v>
      </c>
      <c r="CP120" s="20">
        <v>0</v>
      </c>
      <c r="CQ120" s="20">
        <v>0</v>
      </c>
      <c r="CR120" s="20">
        <v>0</v>
      </c>
      <c r="CS120" s="20">
        <v>0</v>
      </c>
      <c r="CT120" s="20">
        <v>0</v>
      </c>
      <c r="CU120" s="20">
        <v>0</v>
      </c>
      <c r="CV120" s="20">
        <v>0</v>
      </c>
      <c r="CW120" s="20">
        <v>0</v>
      </c>
      <c r="CX120" s="20">
        <v>0</v>
      </c>
      <c r="CY120" s="20">
        <v>0</v>
      </c>
      <c r="CZ120" s="20">
        <v>0</v>
      </c>
      <c r="DA120" s="19">
        <v>0</v>
      </c>
      <c r="DB120" s="20">
        <v>0</v>
      </c>
      <c r="DC120" s="25">
        <v>0</v>
      </c>
      <c r="DD120" s="20">
        <v>0</v>
      </c>
      <c r="DE120" s="20">
        <v>0</v>
      </c>
      <c r="DF120" s="20">
        <v>0</v>
      </c>
      <c r="DG120" s="20">
        <v>0</v>
      </c>
      <c r="DH120" s="20">
        <v>0</v>
      </c>
      <c r="DI120" s="20">
        <v>0</v>
      </c>
    </row>
    <row r="121" spans="1:113">
      <c r="A121" s="20" t="str">
        <v>00:00:00</v>
      </c>
      <c r="B121" s="19">
        <v>0</v>
      </c>
      <c r="C121" s="21">
        <v>0</v>
      </c>
      <c r="D121" s="20" t="str">
        <v>未匹配</v>
      </c>
      <c r="E121" s="20">
        <v>0</v>
      </c>
      <c r="I121" s="20" t="str">
        <v/>
      </c>
      <c r="J121" s="20">
        <v>0</v>
      </c>
      <c r="K121" s="22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  <c r="U121" s="20">
        <v>0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E121" s="20" t="str">
        <v/>
      </c>
      <c r="AF121" s="20">
        <v>0</v>
      </c>
      <c r="AG121" s="22" t="e">
        <v>#VALUE!</v>
      </c>
      <c r="AI121" s="20">
        <v>0</v>
      </c>
      <c r="AJ121" s="20">
        <v>0</v>
      </c>
      <c r="AK121" s="20">
        <v>0</v>
      </c>
      <c r="AL121" s="20">
        <v>0</v>
      </c>
      <c r="AM121" s="20">
        <v>0</v>
      </c>
      <c r="AN121" s="20">
        <v>0</v>
      </c>
      <c r="AO121" s="20">
        <v>0</v>
      </c>
      <c r="AP121" s="20">
        <v>0</v>
      </c>
      <c r="AQ121" s="20">
        <v>0</v>
      </c>
      <c r="AR121" s="20">
        <v>0</v>
      </c>
      <c r="AS121" s="20">
        <v>0</v>
      </c>
      <c r="AT121" s="20">
        <v>0</v>
      </c>
      <c r="AU121" s="20">
        <v>0</v>
      </c>
      <c r="AV121" s="20">
        <v>0</v>
      </c>
      <c r="AW121" s="20">
        <v>0</v>
      </c>
      <c r="AX121" s="20">
        <v>0</v>
      </c>
      <c r="AY121" s="20">
        <v>0</v>
      </c>
      <c r="AZ121" s="20">
        <v>0</v>
      </c>
      <c r="BA121" s="20">
        <v>0</v>
      </c>
      <c r="BB121" s="20">
        <v>0</v>
      </c>
      <c r="BC121" s="20">
        <v>0</v>
      </c>
      <c r="BD121" s="20">
        <v>0</v>
      </c>
      <c r="BE121" s="20">
        <v>0</v>
      </c>
      <c r="BF121" s="20">
        <v>0</v>
      </c>
      <c r="BG121" s="20">
        <v>0</v>
      </c>
      <c r="BH121" s="20">
        <v>0</v>
      </c>
      <c r="BI121" s="20">
        <v>0</v>
      </c>
      <c r="BJ121" s="20">
        <v>0</v>
      </c>
      <c r="BK121" s="20">
        <v>0</v>
      </c>
      <c r="BL121" s="20">
        <v>0</v>
      </c>
      <c r="BM121" s="20">
        <v>0</v>
      </c>
      <c r="BN121" s="22">
        <v>0</v>
      </c>
      <c r="BO121" s="22">
        <v>0</v>
      </c>
      <c r="BP121" s="22">
        <v>0</v>
      </c>
      <c r="BR121" s="20" t="str">
        <v/>
      </c>
      <c r="CH121" s="20">
        <v>0</v>
      </c>
      <c r="CI121" s="20">
        <v>0</v>
      </c>
      <c r="CJ121" s="20">
        <v>0</v>
      </c>
      <c r="CK121" s="20" t="str">
        <v/>
      </c>
      <c r="CL121" s="20" t="str">
        <v/>
      </c>
      <c r="CN121" s="20">
        <v>0</v>
      </c>
      <c r="CO121" s="20">
        <v>0</v>
      </c>
      <c r="CP121" s="20">
        <v>0</v>
      </c>
      <c r="CQ121" s="20">
        <v>0</v>
      </c>
      <c r="CR121" s="20">
        <v>0</v>
      </c>
      <c r="CS121" s="20">
        <v>0</v>
      </c>
      <c r="CT121" s="20">
        <v>0</v>
      </c>
      <c r="CU121" s="20">
        <v>0</v>
      </c>
      <c r="CV121" s="20">
        <v>0</v>
      </c>
      <c r="CW121" s="20">
        <v>0</v>
      </c>
      <c r="CX121" s="20">
        <v>0</v>
      </c>
      <c r="CY121" s="20">
        <v>0</v>
      </c>
      <c r="CZ121" s="20">
        <v>0</v>
      </c>
      <c r="DA121" s="19">
        <v>0</v>
      </c>
      <c r="DB121" s="20">
        <v>0</v>
      </c>
      <c r="DC121" s="25">
        <v>0</v>
      </c>
      <c r="DD121" s="20">
        <v>0</v>
      </c>
      <c r="DE121" s="20">
        <v>0</v>
      </c>
      <c r="DF121" s="20">
        <v>0</v>
      </c>
      <c r="DG121" s="20">
        <v>0</v>
      </c>
      <c r="DH121" s="20">
        <v>0</v>
      </c>
      <c r="DI121" s="20">
        <v>0</v>
      </c>
    </row>
    <row r="122" spans="1:113">
      <c r="A122" s="20" t="str">
        <v>00:00:00</v>
      </c>
      <c r="B122" s="19">
        <v>0</v>
      </c>
      <c r="C122" s="21">
        <v>0</v>
      </c>
      <c r="D122" s="20" t="str">
        <v>未匹配</v>
      </c>
      <c r="E122" s="20">
        <v>0</v>
      </c>
      <c r="I122" s="20" t="str">
        <v/>
      </c>
      <c r="J122" s="20">
        <v>0</v>
      </c>
      <c r="K122" s="22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0">
        <v>0</v>
      </c>
      <c r="V122" s="20">
        <v>0</v>
      </c>
      <c r="W122" s="20">
        <v>0</v>
      </c>
      <c r="X122" s="20">
        <v>0</v>
      </c>
      <c r="Y122" s="20">
        <v>0</v>
      </c>
      <c r="Z122" s="20">
        <v>0</v>
      </c>
      <c r="AA122" s="20">
        <v>0</v>
      </c>
      <c r="AB122" s="20">
        <v>0</v>
      </c>
      <c r="AC122" s="20">
        <v>0</v>
      </c>
      <c r="AE122" s="20" t="str">
        <v/>
      </c>
      <c r="AF122" s="20">
        <v>0</v>
      </c>
      <c r="AG122" s="22" t="e">
        <v>#VALUE!</v>
      </c>
      <c r="AI122" s="20">
        <v>0</v>
      </c>
      <c r="AJ122" s="20">
        <v>0</v>
      </c>
      <c r="AK122" s="20">
        <v>0</v>
      </c>
      <c r="AL122" s="20">
        <v>0</v>
      </c>
      <c r="AM122" s="20">
        <v>0</v>
      </c>
      <c r="AN122" s="20">
        <v>0</v>
      </c>
      <c r="AO122" s="20">
        <v>0</v>
      </c>
      <c r="AP122" s="20">
        <v>0</v>
      </c>
      <c r="AQ122" s="20">
        <v>0</v>
      </c>
      <c r="AR122" s="20">
        <v>0</v>
      </c>
      <c r="AS122" s="20">
        <v>0</v>
      </c>
      <c r="AT122" s="20">
        <v>0</v>
      </c>
      <c r="AU122" s="20">
        <v>0</v>
      </c>
      <c r="AV122" s="20">
        <v>0</v>
      </c>
      <c r="AW122" s="20">
        <v>0</v>
      </c>
      <c r="AX122" s="20">
        <v>0</v>
      </c>
      <c r="AY122" s="20">
        <v>0</v>
      </c>
      <c r="AZ122" s="20">
        <v>0</v>
      </c>
      <c r="BA122" s="20">
        <v>0</v>
      </c>
      <c r="BB122" s="20">
        <v>0</v>
      </c>
      <c r="BC122" s="20">
        <v>0</v>
      </c>
      <c r="BD122" s="20">
        <v>0</v>
      </c>
      <c r="BE122" s="20">
        <v>0</v>
      </c>
      <c r="BF122" s="20">
        <v>0</v>
      </c>
      <c r="BG122" s="20">
        <v>0</v>
      </c>
      <c r="BH122" s="20">
        <v>0</v>
      </c>
      <c r="BI122" s="20">
        <v>0</v>
      </c>
      <c r="BJ122" s="20">
        <v>0</v>
      </c>
      <c r="BK122" s="20">
        <v>0</v>
      </c>
      <c r="BL122" s="20">
        <v>0</v>
      </c>
      <c r="BM122" s="20">
        <v>0</v>
      </c>
      <c r="BN122" s="22">
        <v>0</v>
      </c>
      <c r="BO122" s="22">
        <v>0</v>
      </c>
      <c r="BP122" s="22">
        <v>0</v>
      </c>
      <c r="BR122" s="20" t="str">
        <v/>
      </c>
      <c r="CH122" s="20">
        <v>0</v>
      </c>
      <c r="CI122" s="20">
        <v>0</v>
      </c>
      <c r="CJ122" s="20">
        <v>0</v>
      </c>
      <c r="CK122" s="20" t="str">
        <v/>
      </c>
      <c r="CL122" s="20" t="str">
        <v/>
      </c>
      <c r="CN122" s="20">
        <v>0</v>
      </c>
      <c r="CO122" s="20">
        <v>0</v>
      </c>
      <c r="CP122" s="20">
        <v>0</v>
      </c>
      <c r="CQ122" s="20">
        <v>0</v>
      </c>
      <c r="CR122" s="20">
        <v>0</v>
      </c>
      <c r="CS122" s="20">
        <v>0</v>
      </c>
      <c r="CT122" s="20">
        <v>0</v>
      </c>
      <c r="CU122" s="20">
        <v>0</v>
      </c>
      <c r="CV122" s="20">
        <v>0</v>
      </c>
      <c r="CW122" s="20">
        <v>0</v>
      </c>
      <c r="CX122" s="20">
        <v>0</v>
      </c>
      <c r="CY122" s="20">
        <v>0</v>
      </c>
      <c r="CZ122" s="20">
        <v>0</v>
      </c>
      <c r="DA122" s="19">
        <v>0</v>
      </c>
      <c r="DB122" s="20">
        <v>0</v>
      </c>
      <c r="DC122" s="25">
        <v>0</v>
      </c>
      <c r="DD122" s="20">
        <v>0</v>
      </c>
      <c r="DE122" s="20">
        <v>0</v>
      </c>
      <c r="DF122" s="20">
        <v>0</v>
      </c>
      <c r="DG122" s="20">
        <v>0</v>
      </c>
      <c r="DH122" s="20">
        <v>0</v>
      </c>
      <c r="DI122" s="20">
        <v>0</v>
      </c>
    </row>
    <row r="123" spans="1:113">
      <c r="A123" s="20" t="str">
        <v>00:00:00</v>
      </c>
      <c r="B123" s="19">
        <v>0</v>
      </c>
      <c r="C123" s="21">
        <v>0</v>
      </c>
      <c r="D123" s="20" t="str">
        <v>未匹配</v>
      </c>
      <c r="E123" s="20">
        <v>0</v>
      </c>
      <c r="I123" s="20" t="str">
        <v/>
      </c>
      <c r="J123" s="20">
        <v>0</v>
      </c>
      <c r="K123" s="22">
        <v>0</v>
      </c>
      <c r="M123" s="20">
        <v>0</v>
      </c>
      <c r="N123" s="20">
        <v>0</v>
      </c>
      <c r="O123" s="20">
        <v>0</v>
      </c>
      <c r="P123" s="20">
        <v>0</v>
      </c>
      <c r="Q123" s="20">
        <v>0</v>
      </c>
      <c r="R123" s="20">
        <v>0</v>
      </c>
      <c r="S123" s="20">
        <v>0</v>
      </c>
      <c r="T123" s="20">
        <v>0</v>
      </c>
      <c r="U123" s="20">
        <v>0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E123" s="20" t="str">
        <v/>
      </c>
      <c r="AF123" s="20">
        <v>0</v>
      </c>
      <c r="AG123" s="22" t="e">
        <v>#VALUE!</v>
      </c>
      <c r="AI123" s="20">
        <v>0</v>
      </c>
      <c r="AJ123" s="20">
        <v>0</v>
      </c>
      <c r="AK123" s="20">
        <v>0</v>
      </c>
      <c r="AL123" s="20">
        <v>0</v>
      </c>
      <c r="AM123" s="20">
        <v>0</v>
      </c>
      <c r="AN123" s="20">
        <v>0</v>
      </c>
      <c r="AO123" s="20">
        <v>0</v>
      </c>
      <c r="AP123" s="20">
        <v>0</v>
      </c>
      <c r="AQ123" s="20">
        <v>0</v>
      </c>
      <c r="AR123" s="20">
        <v>0</v>
      </c>
      <c r="AS123" s="20">
        <v>0</v>
      </c>
      <c r="AT123" s="20">
        <v>0</v>
      </c>
      <c r="AU123" s="20">
        <v>0</v>
      </c>
      <c r="AV123" s="20">
        <v>0</v>
      </c>
      <c r="AW123" s="20">
        <v>0</v>
      </c>
      <c r="AX123" s="20">
        <v>0</v>
      </c>
      <c r="AY123" s="20">
        <v>0</v>
      </c>
      <c r="AZ123" s="20">
        <v>0</v>
      </c>
      <c r="BA123" s="20">
        <v>0</v>
      </c>
      <c r="BB123" s="20">
        <v>0</v>
      </c>
      <c r="BC123" s="20">
        <v>0</v>
      </c>
      <c r="BD123" s="20">
        <v>0</v>
      </c>
      <c r="BE123" s="20">
        <v>0</v>
      </c>
      <c r="BF123" s="20">
        <v>0</v>
      </c>
      <c r="BG123" s="20">
        <v>0</v>
      </c>
      <c r="BH123" s="20">
        <v>0</v>
      </c>
      <c r="BI123" s="20">
        <v>0</v>
      </c>
      <c r="BJ123" s="20">
        <v>0</v>
      </c>
      <c r="BK123" s="20">
        <v>0</v>
      </c>
      <c r="BL123" s="20">
        <v>0</v>
      </c>
      <c r="BM123" s="20">
        <v>0</v>
      </c>
      <c r="BN123" s="22">
        <v>0</v>
      </c>
      <c r="BO123" s="22">
        <v>0</v>
      </c>
      <c r="BP123" s="22">
        <v>0</v>
      </c>
      <c r="BR123" s="20" t="str">
        <v/>
      </c>
      <c r="CH123" s="20">
        <v>0</v>
      </c>
      <c r="CI123" s="20">
        <v>0</v>
      </c>
      <c r="CJ123" s="20">
        <v>0</v>
      </c>
      <c r="CK123" s="20" t="str">
        <v/>
      </c>
      <c r="CL123" s="20" t="str">
        <v/>
      </c>
      <c r="CN123" s="20">
        <v>0</v>
      </c>
      <c r="CO123" s="20">
        <v>0</v>
      </c>
      <c r="CP123" s="20">
        <v>0</v>
      </c>
      <c r="CQ123" s="20">
        <v>0</v>
      </c>
      <c r="CR123" s="20">
        <v>0</v>
      </c>
      <c r="CS123" s="20">
        <v>0</v>
      </c>
      <c r="CT123" s="20">
        <v>0</v>
      </c>
      <c r="CU123" s="20">
        <v>0</v>
      </c>
      <c r="CV123" s="20">
        <v>0</v>
      </c>
      <c r="CW123" s="20">
        <v>0</v>
      </c>
      <c r="CX123" s="20">
        <v>0</v>
      </c>
      <c r="CY123" s="20">
        <v>0</v>
      </c>
      <c r="CZ123" s="20">
        <v>0</v>
      </c>
      <c r="DA123" s="19">
        <v>0</v>
      </c>
      <c r="DB123" s="20">
        <v>0</v>
      </c>
      <c r="DC123" s="25">
        <v>0</v>
      </c>
      <c r="DD123" s="20">
        <v>0</v>
      </c>
      <c r="DE123" s="20">
        <v>0</v>
      </c>
      <c r="DF123" s="20">
        <v>0</v>
      </c>
      <c r="DG123" s="20">
        <v>0</v>
      </c>
      <c r="DH123" s="20">
        <v>0</v>
      </c>
      <c r="DI123" s="20">
        <v>0</v>
      </c>
    </row>
    <row r="124" spans="1:113">
      <c r="A124" s="20" t="str">
        <v>00:00:00</v>
      </c>
      <c r="B124" s="19">
        <v>0</v>
      </c>
      <c r="C124" s="21">
        <v>0</v>
      </c>
      <c r="D124" s="20" t="str">
        <v>未匹配</v>
      </c>
      <c r="E124" s="20">
        <v>0</v>
      </c>
      <c r="I124" s="20" t="str">
        <v/>
      </c>
      <c r="J124" s="20">
        <v>0</v>
      </c>
      <c r="K124" s="22">
        <v>0</v>
      </c>
      <c r="M124" s="20">
        <v>0</v>
      </c>
      <c r="N124" s="20">
        <v>0</v>
      </c>
      <c r="O124" s="20">
        <v>0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  <c r="U124" s="20">
        <v>0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E124" s="20" t="str">
        <v/>
      </c>
      <c r="AF124" s="20">
        <v>0</v>
      </c>
      <c r="AG124" s="22" t="e">
        <v>#VALUE!</v>
      </c>
      <c r="AI124" s="20">
        <v>0</v>
      </c>
      <c r="AJ124" s="20">
        <v>0</v>
      </c>
      <c r="AK124" s="20">
        <v>0</v>
      </c>
      <c r="AL124" s="20">
        <v>0</v>
      </c>
      <c r="AM124" s="20">
        <v>0</v>
      </c>
      <c r="AN124" s="20">
        <v>0</v>
      </c>
      <c r="AO124" s="20">
        <v>0</v>
      </c>
      <c r="AP124" s="20">
        <v>0</v>
      </c>
      <c r="AQ124" s="20">
        <v>0</v>
      </c>
      <c r="AR124" s="20">
        <v>0</v>
      </c>
      <c r="AS124" s="20">
        <v>0</v>
      </c>
      <c r="AT124" s="20">
        <v>0</v>
      </c>
      <c r="AU124" s="20">
        <v>0</v>
      </c>
      <c r="AV124" s="20">
        <v>0</v>
      </c>
      <c r="AW124" s="20">
        <v>0</v>
      </c>
      <c r="AX124" s="20">
        <v>0</v>
      </c>
      <c r="AY124" s="20">
        <v>0</v>
      </c>
      <c r="AZ124" s="20">
        <v>0</v>
      </c>
      <c r="BA124" s="20">
        <v>0</v>
      </c>
      <c r="BB124" s="20">
        <v>0</v>
      </c>
      <c r="BC124" s="20">
        <v>0</v>
      </c>
      <c r="BD124" s="20">
        <v>0</v>
      </c>
      <c r="BE124" s="20">
        <v>0</v>
      </c>
      <c r="BF124" s="20">
        <v>0</v>
      </c>
      <c r="BG124" s="20">
        <v>0</v>
      </c>
      <c r="BH124" s="20">
        <v>0</v>
      </c>
      <c r="BI124" s="20">
        <v>0</v>
      </c>
      <c r="BJ124" s="20">
        <v>0</v>
      </c>
      <c r="BK124" s="20">
        <v>0</v>
      </c>
      <c r="BL124" s="20">
        <v>0</v>
      </c>
      <c r="BM124" s="20">
        <v>0</v>
      </c>
      <c r="BN124" s="22">
        <v>0</v>
      </c>
      <c r="BO124" s="22">
        <v>0</v>
      </c>
      <c r="BP124" s="22">
        <v>0</v>
      </c>
      <c r="BR124" s="20" t="str">
        <v/>
      </c>
      <c r="CH124" s="20">
        <v>0</v>
      </c>
      <c r="CI124" s="20">
        <v>0</v>
      </c>
      <c r="CJ124" s="20">
        <v>0</v>
      </c>
      <c r="CK124" s="20" t="str">
        <v/>
      </c>
      <c r="CL124" s="20" t="str">
        <v/>
      </c>
      <c r="CN124" s="20">
        <v>0</v>
      </c>
      <c r="CO124" s="20">
        <v>0</v>
      </c>
      <c r="CP124" s="20">
        <v>0</v>
      </c>
      <c r="CQ124" s="20">
        <v>0</v>
      </c>
      <c r="CR124" s="20">
        <v>0</v>
      </c>
      <c r="CS124" s="20">
        <v>0</v>
      </c>
      <c r="CT124" s="20">
        <v>0</v>
      </c>
      <c r="CU124" s="20">
        <v>0</v>
      </c>
      <c r="CV124" s="20">
        <v>0</v>
      </c>
      <c r="CW124" s="20">
        <v>0</v>
      </c>
      <c r="CX124" s="20">
        <v>0</v>
      </c>
      <c r="CY124" s="20">
        <v>0</v>
      </c>
      <c r="CZ124" s="20">
        <v>0</v>
      </c>
      <c r="DA124" s="19">
        <v>0</v>
      </c>
      <c r="DB124" s="20">
        <v>0</v>
      </c>
      <c r="DC124" s="25">
        <v>0</v>
      </c>
      <c r="DD124" s="20">
        <v>0</v>
      </c>
      <c r="DE124" s="20">
        <v>0</v>
      </c>
      <c r="DF124" s="20">
        <v>0</v>
      </c>
      <c r="DG124" s="20">
        <v>0</v>
      </c>
      <c r="DH124" s="20">
        <v>0</v>
      </c>
      <c r="DI124" s="20">
        <v>0</v>
      </c>
    </row>
    <row r="125" spans="1:113">
      <c r="A125" s="20" t="str">
        <v>00:00:00</v>
      </c>
      <c r="B125" s="19">
        <v>0</v>
      </c>
      <c r="C125" s="21">
        <v>0</v>
      </c>
      <c r="D125" s="20" t="str">
        <v>未匹配</v>
      </c>
      <c r="E125" s="20">
        <v>0</v>
      </c>
      <c r="I125" s="20" t="str">
        <v/>
      </c>
      <c r="J125" s="20">
        <v>0</v>
      </c>
      <c r="K125" s="22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  <c r="U125" s="20">
        <v>0</v>
      </c>
      <c r="V125" s="20">
        <v>0</v>
      </c>
      <c r="W125" s="20">
        <v>0</v>
      </c>
      <c r="X125" s="20">
        <v>0</v>
      </c>
      <c r="Y125" s="20">
        <v>0</v>
      </c>
      <c r="Z125" s="20">
        <v>0</v>
      </c>
      <c r="AA125" s="20">
        <v>0</v>
      </c>
      <c r="AB125" s="20">
        <v>0</v>
      </c>
      <c r="AC125" s="20">
        <v>0</v>
      </c>
      <c r="AE125" s="20" t="str">
        <v/>
      </c>
      <c r="AF125" s="20">
        <v>0</v>
      </c>
      <c r="AG125" s="22" t="e">
        <v>#VALUE!</v>
      </c>
      <c r="AI125" s="20">
        <v>0</v>
      </c>
      <c r="AJ125" s="20">
        <v>0</v>
      </c>
      <c r="AK125" s="20">
        <v>0</v>
      </c>
      <c r="AL125" s="20">
        <v>0</v>
      </c>
      <c r="AM125" s="20">
        <v>0</v>
      </c>
      <c r="AN125" s="20">
        <v>0</v>
      </c>
      <c r="AO125" s="20">
        <v>0</v>
      </c>
      <c r="AP125" s="20">
        <v>0</v>
      </c>
      <c r="AQ125" s="20">
        <v>0</v>
      </c>
      <c r="AR125" s="20">
        <v>0</v>
      </c>
      <c r="AS125" s="20">
        <v>0</v>
      </c>
      <c r="AT125" s="20">
        <v>0</v>
      </c>
      <c r="AU125" s="20">
        <v>0</v>
      </c>
      <c r="AV125" s="20">
        <v>0</v>
      </c>
      <c r="AW125" s="20">
        <v>0</v>
      </c>
      <c r="AX125" s="20">
        <v>0</v>
      </c>
      <c r="AY125" s="20">
        <v>0</v>
      </c>
      <c r="AZ125" s="20">
        <v>0</v>
      </c>
      <c r="BA125" s="20">
        <v>0</v>
      </c>
      <c r="BB125" s="20">
        <v>0</v>
      </c>
      <c r="BC125" s="20">
        <v>0</v>
      </c>
      <c r="BD125" s="20">
        <v>0</v>
      </c>
      <c r="BE125" s="20">
        <v>0</v>
      </c>
      <c r="BF125" s="20">
        <v>0</v>
      </c>
      <c r="BG125" s="20">
        <v>0</v>
      </c>
      <c r="BH125" s="20">
        <v>0</v>
      </c>
      <c r="BI125" s="20">
        <v>0</v>
      </c>
      <c r="BJ125" s="20">
        <v>0</v>
      </c>
      <c r="BK125" s="20">
        <v>0</v>
      </c>
      <c r="BL125" s="20">
        <v>0</v>
      </c>
      <c r="BM125" s="20">
        <v>0</v>
      </c>
      <c r="BN125" s="22">
        <v>0</v>
      </c>
      <c r="BO125" s="22">
        <v>0</v>
      </c>
      <c r="BP125" s="22">
        <v>0</v>
      </c>
      <c r="BR125" s="20" t="str">
        <v/>
      </c>
      <c r="CH125" s="20">
        <v>0</v>
      </c>
      <c r="CI125" s="20">
        <v>0</v>
      </c>
      <c r="CJ125" s="20">
        <v>0</v>
      </c>
      <c r="CK125" s="20" t="str">
        <v/>
      </c>
      <c r="CL125" s="20" t="str">
        <v/>
      </c>
      <c r="CN125" s="20">
        <v>0</v>
      </c>
      <c r="CO125" s="20">
        <v>0</v>
      </c>
      <c r="CP125" s="20">
        <v>0</v>
      </c>
      <c r="CQ125" s="20">
        <v>0</v>
      </c>
      <c r="CR125" s="20">
        <v>0</v>
      </c>
      <c r="CS125" s="20">
        <v>0</v>
      </c>
      <c r="CT125" s="20">
        <v>0</v>
      </c>
      <c r="CU125" s="20">
        <v>0</v>
      </c>
      <c r="CV125" s="20">
        <v>0</v>
      </c>
      <c r="CW125" s="20">
        <v>0</v>
      </c>
      <c r="CX125" s="20">
        <v>0</v>
      </c>
      <c r="CY125" s="20">
        <v>0</v>
      </c>
      <c r="CZ125" s="20">
        <v>0</v>
      </c>
      <c r="DA125" s="19">
        <v>0</v>
      </c>
      <c r="DB125" s="20">
        <v>0</v>
      </c>
      <c r="DC125" s="25">
        <v>0</v>
      </c>
      <c r="DD125" s="20">
        <v>0</v>
      </c>
      <c r="DE125" s="20">
        <v>0</v>
      </c>
      <c r="DF125" s="20">
        <v>0</v>
      </c>
      <c r="DG125" s="20">
        <v>0</v>
      </c>
      <c r="DH125" s="20">
        <v>0</v>
      </c>
      <c r="DI125" s="20">
        <v>0</v>
      </c>
    </row>
    <row r="126" spans="1:113">
      <c r="A126" s="20" t="str">
        <v>00:00:00</v>
      </c>
      <c r="B126" s="19">
        <v>0</v>
      </c>
      <c r="C126" s="21">
        <v>0</v>
      </c>
      <c r="D126" s="20" t="str">
        <v>未匹配</v>
      </c>
      <c r="E126" s="20">
        <v>0</v>
      </c>
      <c r="I126" s="20" t="str">
        <v/>
      </c>
      <c r="J126" s="20">
        <v>0</v>
      </c>
      <c r="K126" s="22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0">
        <v>0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E126" s="20" t="str">
        <v/>
      </c>
      <c r="AF126" s="20">
        <v>0</v>
      </c>
      <c r="AG126" s="22" t="e">
        <v>#VALUE!</v>
      </c>
      <c r="AI126" s="20">
        <v>0</v>
      </c>
      <c r="AJ126" s="20">
        <v>0</v>
      </c>
      <c r="AK126" s="20">
        <v>0</v>
      </c>
      <c r="AL126" s="20">
        <v>0</v>
      </c>
      <c r="AM126" s="20">
        <v>0</v>
      </c>
      <c r="AN126" s="20">
        <v>0</v>
      </c>
      <c r="AO126" s="20">
        <v>0</v>
      </c>
      <c r="AP126" s="20">
        <v>0</v>
      </c>
      <c r="AQ126" s="20">
        <v>0</v>
      </c>
      <c r="AR126" s="20">
        <v>0</v>
      </c>
      <c r="AS126" s="20">
        <v>0</v>
      </c>
      <c r="AT126" s="20">
        <v>0</v>
      </c>
      <c r="AU126" s="20">
        <v>0</v>
      </c>
      <c r="AV126" s="20">
        <v>0</v>
      </c>
      <c r="AW126" s="20">
        <v>0</v>
      </c>
      <c r="AX126" s="20">
        <v>0</v>
      </c>
      <c r="AY126" s="20">
        <v>0</v>
      </c>
      <c r="AZ126" s="20">
        <v>0</v>
      </c>
      <c r="BA126" s="20">
        <v>0</v>
      </c>
      <c r="BB126" s="20">
        <v>0</v>
      </c>
      <c r="BC126" s="20">
        <v>0</v>
      </c>
      <c r="BD126" s="20">
        <v>0</v>
      </c>
      <c r="BE126" s="20">
        <v>0</v>
      </c>
      <c r="BF126" s="20">
        <v>0</v>
      </c>
      <c r="BG126" s="20">
        <v>0</v>
      </c>
      <c r="BH126" s="20">
        <v>0</v>
      </c>
      <c r="BI126" s="20">
        <v>0</v>
      </c>
      <c r="BJ126" s="20">
        <v>0</v>
      </c>
      <c r="BK126" s="20">
        <v>0</v>
      </c>
      <c r="BL126" s="20">
        <v>0</v>
      </c>
      <c r="BM126" s="20">
        <v>0</v>
      </c>
      <c r="BN126" s="22">
        <v>0</v>
      </c>
      <c r="BO126" s="22">
        <v>0</v>
      </c>
      <c r="BP126" s="22">
        <v>0</v>
      </c>
      <c r="BR126" s="20" t="str">
        <v/>
      </c>
      <c r="CH126" s="20">
        <v>0</v>
      </c>
      <c r="CI126" s="20">
        <v>0</v>
      </c>
      <c r="CJ126" s="20">
        <v>0</v>
      </c>
      <c r="CK126" s="20" t="str">
        <v/>
      </c>
      <c r="CL126" s="20" t="str">
        <v/>
      </c>
      <c r="CN126" s="20">
        <v>0</v>
      </c>
      <c r="CO126" s="20">
        <v>0</v>
      </c>
      <c r="CP126" s="20">
        <v>0</v>
      </c>
      <c r="CQ126" s="20">
        <v>0</v>
      </c>
      <c r="CR126" s="20">
        <v>0</v>
      </c>
      <c r="CS126" s="20">
        <v>0</v>
      </c>
      <c r="CT126" s="20">
        <v>0</v>
      </c>
      <c r="CU126" s="20">
        <v>0</v>
      </c>
      <c r="CV126" s="20">
        <v>0</v>
      </c>
      <c r="CW126" s="20">
        <v>0</v>
      </c>
      <c r="CX126" s="20">
        <v>0</v>
      </c>
      <c r="CY126" s="20">
        <v>0</v>
      </c>
      <c r="CZ126" s="20">
        <v>0</v>
      </c>
      <c r="DA126" s="19">
        <v>0</v>
      </c>
      <c r="DB126" s="20">
        <v>0</v>
      </c>
      <c r="DC126" s="25">
        <v>0</v>
      </c>
      <c r="DD126" s="20">
        <v>0</v>
      </c>
      <c r="DE126" s="20">
        <v>0</v>
      </c>
      <c r="DF126" s="20">
        <v>0</v>
      </c>
      <c r="DG126" s="20">
        <v>0</v>
      </c>
      <c r="DH126" s="20">
        <v>0</v>
      </c>
      <c r="DI126" s="20">
        <v>0</v>
      </c>
    </row>
    <row r="127" spans="1:113">
      <c r="A127" s="20" t="str">
        <v>00:00:00</v>
      </c>
      <c r="B127" s="19">
        <v>0</v>
      </c>
      <c r="C127" s="21">
        <v>0</v>
      </c>
      <c r="D127" s="20" t="str">
        <v>未匹配</v>
      </c>
      <c r="E127" s="20">
        <v>0</v>
      </c>
      <c r="I127" s="20" t="str">
        <v/>
      </c>
      <c r="J127" s="20">
        <v>0</v>
      </c>
      <c r="K127" s="22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  <c r="U127" s="20">
        <v>0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E127" s="20" t="str">
        <v/>
      </c>
      <c r="AF127" s="20">
        <v>0</v>
      </c>
      <c r="AG127" s="22" t="e">
        <v>#VALUE!</v>
      </c>
      <c r="AI127" s="20">
        <v>0</v>
      </c>
      <c r="AJ127" s="20">
        <v>0</v>
      </c>
      <c r="AK127" s="20">
        <v>0</v>
      </c>
      <c r="AL127" s="20">
        <v>0</v>
      </c>
      <c r="AM127" s="20">
        <v>0</v>
      </c>
      <c r="AN127" s="20">
        <v>0</v>
      </c>
      <c r="AO127" s="20">
        <v>0</v>
      </c>
      <c r="AP127" s="20">
        <v>0</v>
      </c>
      <c r="AQ127" s="20">
        <v>0</v>
      </c>
      <c r="AR127" s="20">
        <v>0</v>
      </c>
      <c r="AS127" s="20">
        <v>0</v>
      </c>
      <c r="AT127" s="20">
        <v>0</v>
      </c>
      <c r="AU127" s="20">
        <v>0</v>
      </c>
      <c r="AV127" s="20">
        <v>0</v>
      </c>
      <c r="AW127" s="20">
        <v>0</v>
      </c>
      <c r="AX127" s="20">
        <v>0</v>
      </c>
      <c r="AY127" s="20">
        <v>0</v>
      </c>
      <c r="AZ127" s="20">
        <v>0</v>
      </c>
      <c r="BA127" s="20">
        <v>0</v>
      </c>
      <c r="BB127" s="20">
        <v>0</v>
      </c>
      <c r="BC127" s="20">
        <v>0</v>
      </c>
      <c r="BD127" s="20">
        <v>0</v>
      </c>
      <c r="BE127" s="20">
        <v>0</v>
      </c>
      <c r="BF127" s="20">
        <v>0</v>
      </c>
      <c r="BG127" s="20">
        <v>0</v>
      </c>
      <c r="BH127" s="20">
        <v>0</v>
      </c>
      <c r="BI127" s="20">
        <v>0</v>
      </c>
      <c r="BJ127" s="20">
        <v>0</v>
      </c>
      <c r="BK127" s="20">
        <v>0</v>
      </c>
      <c r="BL127" s="20">
        <v>0</v>
      </c>
      <c r="BM127" s="20">
        <v>0</v>
      </c>
      <c r="BN127" s="22">
        <v>0</v>
      </c>
      <c r="BO127" s="22">
        <v>0</v>
      </c>
      <c r="BP127" s="22">
        <v>0</v>
      </c>
      <c r="BR127" s="20" t="str">
        <v/>
      </c>
      <c r="CH127" s="20">
        <v>0</v>
      </c>
      <c r="CI127" s="20">
        <v>0</v>
      </c>
      <c r="CJ127" s="20">
        <v>0</v>
      </c>
      <c r="CK127" s="20" t="str">
        <v/>
      </c>
      <c r="CL127" s="20" t="str">
        <v/>
      </c>
      <c r="CN127" s="20">
        <v>0</v>
      </c>
      <c r="CO127" s="20">
        <v>0</v>
      </c>
      <c r="CP127" s="20">
        <v>0</v>
      </c>
      <c r="CQ127" s="20">
        <v>0</v>
      </c>
      <c r="CR127" s="20">
        <v>0</v>
      </c>
      <c r="CS127" s="20">
        <v>0</v>
      </c>
      <c r="CT127" s="20">
        <v>0</v>
      </c>
      <c r="CU127" s="20">
        <v>0</v>
      </c>
      <c r="CV127" s="20">
        <v>0</v>
      </c>
      <c r="CW127" s="20">
        <v>0</v>
      </c>
      <c r="CX127" s="20">
        <v>0</v>
      </c>
      <c r="CY127" s="20">
        <v>0</v>
      </c>
      <c r="CZ127" s="20">
        <v>0</v>
      </c>
      <c r="DA127" s="19">
        <v>0</v>
      </c>
      <c r="DB127" s="20">
        <v>0</v>
      </c>
      <c r="DC127" s="25">
        <v>0</v>
      </c>
      <c r="DD127" s="20">
        <v>0</v>
      </c>
      <c r="DE127" s="20">
        <v>0</v>
      </c>
      <c r="DF127" s="20">
        <v>0</v>
      </c>
      <c r="DG127" s="20">
        <v>0</v>
      </c>
      <c r="DH127" s="20">
        <v>0</v>
      </c>
      <c r="DI127" s="20">
        <v>0</v>
      </c>
    </row>
    <row r="128" spans="1:113">
      <c r="A128" s="20" t="str">
        <v>00:00:00</v>
      </c>
      <c r="B128" s="19">
        <v>0</v>
      </c>
      <c r="C128" s="21">
        <v>0</v>
      </c>
      <c r="D128" s="20" t="str">
        <v>未匹配</v>
      </c>
      <c r="E128" s="20">
        <v>0</v>
      </c>
      <c r="I128" s="20" t="str">
        <v/>
      </c>
      <c r="J128" s="20">
        <v>0</v>
      </c>
      <c r="K128" s="22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  <c r="U128" s="20">
        <v>0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E128" s="20" t="str">
        <v/>
      </c>
      <c r="AF128" s="20">
        <v>0</v>
      </c>
      <c r="AG128" s="22" t="e">
        <v>#VALUE!</v>
      </c>
      <c r="AI128" s="20">
        <v>0</v>
      </c>
      <c r="AJ128" s="20">
        <v>0</v>
      </c>
      <c r="AK128" s="20">
        <v>0</v>
      </c>
      <c r="AL128" s="20">
        <v>0</v>
      </c>
      <c r="AM128" s="20">
        <v>0</v>
      </c>
      <c r="AN128" s="20">
        <v>0</v>
      </c>
      <c r="AO128" s="20">
        <v>0</v>
      </c>
      <c r="AP128" s="20">
        <v>0</v>
      </c>
      <c r="AQ128" s="20">
        <v>0</v>
      </c>
      <c r="AR128" s="20">
        <v>0</v>
      </c>
      <c r="AS128" s="20">
        <v>0</v>
      </c>
      <c r="AT128" s="20">
        <v>0</v>
      </c>
      <c r="AU128" s="20">
        <v>0</v>
      </c>
      <c r="AV128" s="20">
        <v>0</v>
      </c>
      <c r="AW128" s="20">
        <v>0</v>
      </c>
      <c r="AX128" s="20">
        <v>0</v>
      </c>
      <c r="AY128" s="20">
        <v>0</v>
      </c>
      <c r="AZ128" s="20">
        <v>0</v>
      </c>
      <c r="BA128" s="20">
        <v>0</v>
      </c>
      <c r="BB128" s="20">
        <v>0</v>
      </c>
      <c r="BC128" s="20">
        <v>0</v>
      </c>
      <c r="BD128" s="20">
        <v>0</v>
      </c>
      <c r="BE128" s="20">
        <v>0</v>
      </c>
      <c r="BF128" s="20">
        <v>0</v>
      </c>
      <c r="BG128" s="20">
        <v>0</v>
      </c>
      <c r="BH128" s="20">
        <v>0</v>
      </c>
      <c r="BI128" s="20">
        <v>0</v>
      </c>
      <c r="BJ128" s="20">
        <v>0</v>
      </c>
      <c r="BK128" s="20">
        <v>0</v>
      </c>
      <c r="BL128" s="20">
        <v>0</v>
      </c>
      <c r="BM128" s="20">
        <v>0</v>
      </c>
      <c r="BN128" s="22">
        <v>0</v>
      </c>
      <c r="BO128" s="22">
        <v>0</v>
      </c>
      <c r="BP128" s="22">
        <v>0</v>
      </c>
      <c r="BR128" s="20" t="str">
        <v/>
      </c>
      <c r="CH128" s="20">
        <v>0</v>
      </c>
      <c r="CI128" s="20">
        <v>0</v>
      </c>
      <c r="CJ128" s="20">
        <v>0</v>
      </c>
      <c r="CK128" s="20" t="str">
        <v/>
      </c>
      <c r="CL128" s="20" t="str">
        <v/>
      </c>
      <c r="CN128" s="20">
        <v>0</v>
      </c>
      <c r="CO128" s="20">
        <v>0</v>
      </c>
      <c r="CP128" s="20">
        <v>0</v>
      </c>
      <c r="CQ128" s="20">
        <v>0</v>
      </c>
      <c r="CR128" s="20">
        <v>0</v>
      </c>
      <c r="CS128" s="20">
        <v>0</v>
      </c>
      <c r="CT128" s="20">
        <v>0</v>
      </c>
      <c r="CU128" s="20">
        <v>0</v>
      </c>
      <c r="CV128" s="20">
        <v>0</v>
      </c>
      <c r="CW128" s="20">
        <v>0</v>
      </c>
      <c r="CX128" s="20">
        <v>0</v>
      </c>
      <c r="CY128" s="20">
        <v>0</v>
      </c>
      <c r="CZ128" s="20">
        <v>0</v>
      </c>
      <c r="DA128" s="19">
        <v>0</v>
      </c>
      <c r="DB128" s="20">
        <v>0</v>
      </c>
      <c r="DC128" s="25">
        <v>0</v>
      </c>
      <c r="DD128" s="20">
        <v>0</v>
      </c>
      <c r="DE128" s="20">
        <v>0</v>
      </c>
      <c r="DF128" s="20">
        <v>0</v>
      </c>
      <c r="DG128" s="20">
        <v>0</v>
      </c>
      <c r="DH128" s="20">
        <v>0</v>
      </c>
      <c r="DI128" s="20">
        <v>0</v>
      </c>
    </row>
    <row r="129" spans="1:113">
      <c r="A129" s="20" t="str">
        <v>00:00:00</v>
      </c>
      <c r="B129" s="19">
        <v>0</v>
      </c>
      <c r="C129" s="21">
        <v>0</v>
      </c>
      <c r="D129" s="20" t="str">
        <v>未匹配</v>
      </c>
      <c r="E129" s="20">
        <v>0</v>
      </c>
      <c r="I129" s="20" t="str">
        <v/>
      </c>
      <c r="J129" s="20">
        <v>0</v>
      </c>
      <c r="K129" s="22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  <c r="U129" s="20">
        <v>0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E129" s="20" t="str">
        <v/>
      </c>
      <c r="AF129" s="20">
        <v>0</v>
      </c>
      <c r="AG129" s="22" t="e">
        <v>#VALUE!</v>
      </c>
      <c r="AI129" s="20">
        <v>0</v>
      </c>
      <c r="AJ129" s="20">
        <v>0</v>
      </c>
      <c r="AK129" s="20">
        <v>0</v>
      </c>
      <c r="AL129" s="20">
        <v>0</v>
      </c>
      <c r="AM129" s="20">
        <v>0</v>
      </c>
      <c r="AN129" s="20">
        <v>0</v>
      </c>
      <c r="AO129" s="20">
        <v>0</v>
      </c>
      <c r="AP129" s="20">
        <v>0</v>
      </c>
      <c r="AQ129" s="20">
        <v>0</v>
      </c>
      <c r="AR129" s="20">
        <v>0</v>
      </c>
      <c r="AS129" s="20">
        <v>0</v>
      </c>
      <c r="AT129" s="20">
        <v>0</v>
      </c>
      <c r="AU129" s="20">
        <v>0</v>
      </c>
      <c r="AV129" s="20">
        <v>0</v>
      </c>
      <c r="AW129" s="20">
        <v>0</v>
      </c>
      <c r="AX129" s="20">
        <v>0</v>
      </c>
      <c r="AY129" s="20">
        <v>0</v>
      </c>
      <c r="AZ129" s="20">
        <v>0</v>
      </c>
      <c r="BA129" s="20">
        <v>0</v>
      </c>
      <c r="BB129" s="20">
        <v>0</v>
      </c>
      <c r="BC129" s="20">
        <v>0</v>
      </c>
      <c r="BD129" s="20">
        <v>0</v>
      </c>
      <c r="BE129" s="20">
        <v>0</v>
      </c>
      <c r="BF129" s="20">
        <v>0</v>
      </c>
      <c r="BG129" s="20">
        <v>0</v>
      </c>
      <c r="BH129" s="20">
        <v>0</v>
      </c>
      <c r="BI129" s="20">
        <v>0</v>
      </c>
      <c r="BJ129" s="20">
        <v>0</v>
      </c>
      <c r="BK129" s="20">
        <v>0</v>
      </c>
      <c r="BL129" s="20">
        <v>0</v>
      </c>
      <c r="BM129" s="20">
        <v>0</v>
      </c>
      <c r="BN129" s="22">
        <v>0</v>
      </c>
      <c r="BO129" s="22">
        <v>0</v>
      </c>
      <c r="BP129" s="22">
        <v>0</v>
      </c>
      <c r="BR129" s="20" t="str">
        <v/>
      </c>
      <c r="CH129" s="20">
        <v>0</v>
      </c>
      <c r="CI129" s="20">
        <v>0</v>
      </c>
      <c r="CJ129" s="20">
        <v>0</v>
      </c>
      <c r="CK129" s="20" t="str">
        <v/>
      </c>
      <c r="CL129" s="20" t="str">
        <v/>
      </c>
      <c r="CN129" s="20">
        <v>0</v>
      </c>
      <c r="CO129" s="20">
        <v>0</v>
      </c>
      <c r="CP129" s="20">
        <v>0</v>
      </c>
      <c r="CQ129" s="20">
        <v>0</v>
      </c>
      <c r="CR129" s="20">
        <v>0</v>
      </c>
      <c r="CS129" s="20">
        <v>0</v>
      </c>
      <c r="CT129" s="20">
        <v>0</v>
      </c>
      <c r="CU129" s="20">
        <v>0</v>
      </c>
      <c r="CV129" s="20">
        <v>0</v>
      </c>
      <c r="CW129" s="20">
        <v>0</v>
      </c>
      <c r="CX129" s="20">
        <v>0</v>
      </c>
      <c r="CY129" s="20">
        <v>0</v>
      </c>
      <c r="CZ129" s="20">
        <v>0</v>
      </c>
      <c r="DA129" s="19">
        <v>0</v>
      </c>
      <c r="DB129" s="20">
        <v>0</v>
      </c>
      <c r="DC129" s="25">
        <v>0</v>
      </c>
      <c r="DD129" s="20">
        <v>0</v>
      </c>
      <c r="DE129" s="20">
        <v>0</v>
      </c>
      <c r="DF129" s="20">
        <v>0</v>
      </c>
      <c r="DG129" s="20">
        <v>0</v>
      </c>
      <c r="DH129" s="20">
        <v>0</v>
      </c>
      <c r="DI129" s="20">
        <v>0</v>
      </c>
    </row>
    <row r="130" spans="1:113">
      <c r="A130" s="20" t="str">
        <v>00:00:00</v>
      </c>
      <c r="B130" s="19">
        <v>0</v>
      </c>
      <c r="C130" s="21">
        <v>0</v>
      </c>
      <c r="D130" s="20" t="str">
        <v>未匹配</v>
      </c>
      <c r="E130" s="20">
        <v>0</v>
      </c>
      <c r="I130" s="20" t="str">
        <v/>
      </c>
      <c r="J130" s="20">
        <v>0</v>
      </c>
      <c r="K130" s="22">
        <v>0</v>
      </c>
      <c r="M130" s="20">
        <v>0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S130" s="20">
        <v>0</v>
      </c>
      <c r="T130" s="20">
        <v>0</v>
      </c>
      <c r="U130" s="20">
        <v>0</v>
      </c>
      <c r="V130" s="20">
        <v>0</v>
      </c>
      <c r="W130" s="20">
        <v>0</v>
      </c>
      <c r="X130" s="20">
        <v>0</v>
      </c>
      <c r="Y130" s="20">
        <v>0</v>
      </c>
      <c r="Z130" s="20">
        <v>0</v>
      </c>
      <c r="AA130" s="20">
        <v>0</v>
      </c>
      <c r="AB130" s="20">
        <v>0</v>
      </c>
      <c r="AC130" s="20">
        <v>0</v>
      </c>
      <c r="AE130" s="20" t="str">
        <v/>
      </c>
      <c r="AF130" s="20">
        <v>0</v>
      </c>
      <c r="AG130" s="22" t="e">
        <v>#VALUE!</v>
      </c>
      <c r="AI130" s="20">
        <v>0</v>
      </c>
      <c r="AJ130" s="20">
        <v>0</v>
      </c>
      <c r="AK130" s="20">
        <v>0</v>
      </c>
      <c r="AL130" s="20">
        <v>0</v>
      </c>
      <c r="AM130" s="20">
        <v>0</v>
      </c>
      <c r="AN130" s="20">
        <v>0</v>
      </c>
      <c r="AO130" s="20">
        <v>0</v>
      </c>
      <c r="AP130" s="20">
        <v>0</v>
      </c>
      <c r="AQ130" s="20">
        <v>0</v>
      </c>
      <c r="AR130" s="20">
        <v>0</v>
      </c>
      <c r="AS130" s="20">
        <v>0</v>
      </c>
      <c r="AT130" s="20">
        <v>0</v>
      </c>
      <c r="AU130" s="20">
        <v>0</v>
      </c>
      <c r="AV130" s="20">
        <v>0</v>
      </c>
      <c r="AW130" s="20">
        <v>0</v>
      </c>
      <c r="AX130" s="20">
        <v>0</v>
      </c>
      <c r="AY130" s="20">
        <v>0</v>
      </c>
      <c r="AZ130" s="20">
        <v>0</v>
      </c>
      <c r="BA130" s="20">
        <v>0</v>
      </c>
      <c r="BB130" s="20">
        <v>0</v>
      </c>
      <c r="BC130" s="20">
        <v>0</v>
      </c>
      <c r="BD130" s="20">
        <v>0</v>
      </c>
      <c r="BE130" s="20">
        <v>0</v>
      </c>
      <c r="BF130" s="20">
        <v>0</v>
      </c>
      <c r="BG130" s="20">
        <v>0</v>
      </c>
      <c r="BH130" s="20">
        <v>0</v>
      </c>
      <c r="BI130" s="20">
        <v>0</v>
      </c>
      <c r="BJ130" s="20">
        <v>0</v>
      </c>
      <c r="BK130" s="20">
        <v>0</v>
      </c>
      <c r="BL130" s="20">
        <v>0</v>
      </c>
      <c r="BM130" s="20">
        <v>0</v>
      </c>
      <c r="BN130" s="22">
        <v>0</v>
      </c>
      <c r="BO130" s="22">
        <v>0</v>
      </c>
      <c r="BP130" s="22">
        <v>0</v>
      </c>
      <c r="BR130" s="20" t="str">
        <v/>
      </c>
      <c r="CH130" s="20">
        <v>0</v>
      </c>
      <c r="CI130" s="20">
        <v>0</v>
      </c>
      <c r="CJ130" s="20">
        <v>0</v>
      </c>
      <c r="CK130" s="20" t="str">
        <v/>
      </c>
      <c r="CL130" s="20" t="str">
        <v/>
      </c>
      <c r="CN130" s="20">
        <v>0</v>
      </c>
      <c r="CO130" s="20">
        <v>0</v>
      </c>
      <c r="CP130" s="20">
        <v>0</v>
      </c>
      <c r="CQ130" s="20">
        <v>0</v>
      </c>
      <c r="CR130" s="20">
        <v>0</v>
      </c>
      <c r="CS130" s="20">
        <v>0</v>
      </c>
      <c r="CT130" s="20">
        <v>0</v>
      </c>
      <c r="CU130" s="20">
        <v>0</v>
      </c>
      <c r="CV130" s="20">
        <v>0</v>
      </c>
      <c r="CW130" s="20">
        <v>0</v>
      </c>
      <c r="CX130" s="20">
        <v>0</v>
      </c>
      <c r="CY130" s="20">
        <v>0</v>
      </c>
      <c r="CZ130" s="20">
        <v>0</v>
      </c>
      <c r="DA130" s="19">
        <v>0</v>
      </c>
      <c r="DB130" s="20">
        <v>0</v>
      </c>
      <c r="DC130" s="25">
        <v>0</v>
      </c>
      <c r="DD130" s="20">
        <v>0</v>
      </c>
      <c r="DE130" s="20">
        <v>0</v>
      </c>
      <c r="DF130" s="20">
        <v>0</v>
      </c>
      <c r="DG130" s="20">
        <v>0</v>
      </c>
      <c r="DH130" s="20">
        <v>0</v>
      </c>
      <c r="DI130" s="20">
        <v>0</v>
      </c>
    </row>
    <row r="131" spans="1:113">
      <c r="A131" s="20" t="str">
        <v>00:00:00</v>
      </c>
      <c r="B131" s="19">
        <v>0</v>
      </c>
      <c r="C131" s="21">
        <v>0</v>
      </c>
      <c r="D131" s="20" t="str">
        <v>未匹配</v>
      </c>
      <c r="E131" s="20">
        <v>0</v>
      </c>
      <c r="I131" s="20" t="str">
        <v/>
      </c>
      <c r="J131" s="20">
        <v>0</v>
      </c>
      <c r="K131" s="22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  <c r="U131" s="20">
        <v>0</v>
      </c>
      <c r="V131" s="20">
        <v>0</v>
      </c>
      <c r="W131" s="20">
        <v>0</v>
      </c>
      <c r="X131" s="20">
        <v>0</v>
      </c>
      <c r="Y131" s="20">
        <v>0</v>
      </c>
      <c r="Z131" s="20">
        <v>0</v>
      </c>
      <c r="AA131" s="20">
        <v>0</v>
      </c>
      <c r="AB131" s="20">
        <v>0</v>
      </c>
      <c r="AC131" s="20">
        <v>0</v>
      </c>
      <c r="AE131" s="20" t="str">
        <v/>
      </c>
      <c r="AF131" s="20">
        <v>0</v>
      </c>
      <c r="AG131" s="22" t="e">
        <v>#VALUE!</v>
      </c>
      <c r="AI131" s="20">
        <v>0</v>
      </c>
      <c r="AJ131" s="20">
        <v>0</v>
      </c>
      <c r="AK131" s="20">
        <v>0</v>
      </c>
      <c r="AL131" s="20">
        <v>0</v>
      </c>
      <c r="AM131" s="20">
        <v>0</v>
      </c>
      <c r="AN131" s="20">
        <v>0</v>
      </c>
      <c r="AO131" s="20">
        <v>0</v>
      </c>
      <c r="AP131" s="20">
        <v>0</v>
      </c>
      <c r="AQ131" s="20">
        <v>0</v>
      </c>
      <c r="AR131" s="20">
        <v>0</v>
      </c>
      <c r="AS131" s="20">
        <v>0</v>
      </c>
      <c r="AT131" s="20">
        <v>0</v>
      </c>
      <c r="AU131" s="20">
        <v>0</v>
      </c>
      <c r="AV131" s="20">
        <v>0</v>
      </c>
      <c r="AW131" s="20">
        <v>0</v>
      </c>
      <c r="AX131" s="20">
        <v>0</v>
      </c>
      <c r="AY131" s="20">
        <v>0</v>
      </c>
      <c r="AZ131" s="20">
        <v>0</v>
      </c>
      <c r="BA131" s="20">
        <v>0</v>
      </c>
      <c r="BB131" s="20">
        <v>0</v>
      </c>
      <c r="BC131" s="20">
        <v>0</v>
      </c>
      <c r="BD131" s="20">
        <v>0</v>
      </c>
      <c r="BE131" s="20">
        <v>0</v>
      </c>
      <c r="BF131" s="20">
        <v>0</v>
      </c>
      <c r="BG131" s="20">
        <v>0</v>
      </c>
      <c r="BH131" s="20">
        <v>0</v>
      </c>
      <c r="BI131" s="20">
        <v>0</v>
      </c>
      <c r="BJ131" s="20">
        <v>0</v>
      </c>
      <c r="BK131" s="20">
        <v>0</v>
      </c>
      <c r="BL131" s="20">
        <v>0</v>
      </c>
      <c r="BM131" s="20">
        <v>0</v>
      </c>
      <c r="BN131" s="22">
        <v>0</v>
      </c>
      <c r="BO131" s="22">
        <v>0</v>
      </c>
      <c r="BP131" s="22">
        <v>0</v>
      </c>
      <c r="BR131" s="20" t="str">
        <v/>
      </c>
      <c r="CH131" s="20">
        <v>0</v>
      </c>
      <c r="CI131" s="20">
        <v>0</v>
      </c>
      <c r="CJ131" s="20">
        <v>0</v>
      </c>
      <c r="CK131" s="20" t="str">
        <v/>
      </c>
      <c r="CL131" s="20" t="str">
        <v/>
      </c>
      <c r="CN131" s="20">
        <v>0</v>
      </c>
      <c r="CO131" s="20">
        <v>0</v>
      </c>
      <c r="CP131" s="20">
        <v>0</v>
      </c>
      <c r="CQ131" s="20">
        <v>0</v>
      </c>
      <c r="CR131" s="20">
        <v>0</v>
      </c>
      <c r="CS131" s="20">
        <v>0</v>
      </c>
      <c r="CT131" s="20">
        <v>0</v>
      </c>
      <c r="CU131" s="20">
        <v>0</v>
      </c>
      <c r="CV131" s="20">
        <v>0</v>
      </c>
      <c r="CW131" s="20">
        <v>0</v>
      </c>
      <c r="CX131" s="20">
        <v>0</v>
      </c>
      <c r="CY131" s="20">
        <v>0</v>
      </c>
      <c r="CZ131" s="20">
        <v>0</v>
      </c>
      <c r="DA131" s="19">
        <v>0</v>
      </c>
      <c r="DB131" s="20">
        <v>0</v>
      </c>
      <c r="DC131" s="25">
        <v>0</v>
      </c>
      <c r="DD131" s="20">
        <v>0</v>
      </c>
      <c r="DE131" s="20">
        <v>0</v>
      </c>
      <c r="DF131" s="20">
        <v>0</v>
      </c>
      <c r="DG131" s="20">
        <v>0</v>
      </c>
      <c r="DH131" s="20">
        <v>0</v>
      </c>
      <c r="DI131" s="20">
        <v>0</v>
      </c>
    </row>
    <row r="132" spans="1:113">
      <c r="A132" s="20" t="str">
        <v>00:00:00</v>
      </c>
      <c r="B132" s="19">
        <v>0</v>
      </c>
      <c r="C132" s="21">
        <v>0</v>
      </c>
      <c r="D132" s="20" t="str">
        <v>未匹配</v>
      </c>
      <c r="E132" s="20">
        <v>0</v>
      </c>
      <c r="I132" s="20" t="str">
        <v/>
      </c>
      <c r="J132" s="20">
        <v>0</v>
      </c>
      <c r="K132" s="22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E132" s="20" t="str">
        <v/>
      </c>
      <c r="AF132" s="20">
        <v>0</v>
      </c>
      <c r="AG132" s="22" t="e">
        <v>#VALUE!</v>
      </c>
      <c r="AI132" s="20">
        <v>0</v>
      </c>
      <c r="AJ132" s="20">
        <v>0</v>
      </c>
      <c r="AK132" s="20">
        <v>0</v>
      </c>
      <c r="AL132" s="20">
        <v>0</v>
      </c>
      <c r="AM132" s="20">
        <v>0</v>
      </c>
      <c r="AN132" s="20">
        <v>0</v>
      </c>
      <c r="AO132" s="20">
        <v>0</v>
      </c>
      <c r="AP132" s="20">
        <v>0</v>
      </c>
      <c r="AQ132" s="20">
        <v>0</v>
      </c>
      <c r="AR132" s="20">
        <v>0</v>
      </c>
      <c r="AS132" s="20">
        <v>0</v>
      </c>
      <c r="AT132" s="20">
        <v>0</v>
      </c>
      <c r="AU132" s="20">
        <v>0</v>
      </c>
      <c r="AV132" s="20">
        <v>0</v>
      </c>
      <c r="AW132" s="20">
        <v>0</v>
      </c>
      <c r="AX132" s="20">
        <v>0</v>
      </c>
      <c r="AY132" s="20">
        <v>0</v>
      </c>
      <c r="AZ132" s="20">
        <v>0</v>
      </c>
      <c r="BA132" s="20">
        <v>0</v>
      </c>
      <c r="BB132" s="20">
        <v>0</v>
      </c>
      <c r="BC132" s="20">
        <v>0</v>
      </c>
      <c r="BD132" s="20">
        <v>0</v>
      </c>
      <c r="BE132" s="20">
        <v>0</v>
      </c>
      <c r="BF132" s="20">
        <v>0</v>
      </c>
      <c r="BG132" s="20">
        <v>0</v>
      </c>
      <c r="BH132" s="20">
        <v>0</v>
      </c>
      <c r="BI132" s="20">
        <v>0</v>
      </c>
      <c r="BJ132" s="20">
        <v>0</v>
      </c>
      <c r="BK132" s="20">
        <v>0</v>
      </c>
      <c r="BL132" s="20">
        <v>0</v>
      </c>
      <c r="BM132" s="20">
        <v>0</v>
      </c>
      <c r="BN132" s="22">
        <v>0</v>
      </c>
      <c r="BO132" s="22">
        <v>0</v>
      </c>
      <c r="BP132" s="22">
        <v>0</v>
      </c>
      <c r="BR132" s="20" t="str">
        <v/>
      </c>
      <c r="CH132" s="20">
        <v>0</v>
      </c>
      <c r="CI132" s="20">
        <v>0</v>
      </c>
      <c r="CJ132" s="20">
        <v>0</v>
      </c>
      <c r="CK132" s="20" t="str">
        <v/>
      </c>
      <c r="CL132" s="20" t="str">
        <v/>
      </c>
      <c r="CN132" s="20">
        <v>0</v>
      </c>
      <c r="CO132" s="20">
        <v>0</v>
      </c>
      <c r="CP132" s="20">
        <v>0</v>
      </c>
      <c r="CQ132" s="20">
        <v>0</v>
      </c>
      <c r="CR132" s="20">
        <v>0</v>
      </c>
      <c r="CS132" s="20">
        <v>0</v>
      </c>
      <c r="CT132" s="20">
        <v>0</v>
      </c>
      <c r="CU132" s="20">
        <v>0</v>
      </c>
      <c r="CV132" s="20">
        <v>0</v>
      </c>
      <c r="CW132" s="20">
        <v>0</v>
      </c>
      <c r="CX132" s="20">
        <v>0</v>
      </c>
      <c r="CY132" s="20">
        <v>0</v>
      </c>
      <c r="CZ132" s="20">
        <v>0</v>
      </c>
      <c r="DA132" s="19">
        <v>0</v>
      </c>
      <c r="DB132" s="20">
        <v>0</v>
      </c>
      <c r="DC132" s="25">
        <v>0</v>
      </c>
      <c r="DD132" s="20">
        <v>0</v>
      </c>
      <c r="DE132" s="20">
        <v>0</v>
      </c>
      <c r="DF132" s="20">
        <v>0</v>
      </c>
      <c r="DG132" s="20">
        <v>0</v>
      </c>
      <c r="DH132" s="20">
        <v>0</v>
      </c>
      <c r="DI132" s="20">
        <v>0</v>
      </c>
    </row>
    <row r="133" spans="1:113">
      <c r="A133" s="20" t="str">
        <v>00:00:00</v>
      </c>
      <c r="B133" s="19">
        <v>0</v>
      </c>
      <c r="C133" s="21">
        <v>0</v>
      </c>
      <c r="D133" s="20" t="str">
        <v>未匹配</v>
      </c>
      <c r="E133" s="20">
        <v>0</v>
      </c>
      <c r="I133" s="20" t="str">
        <v/>
      </c>
      <c r="J133" s="20">
        <v>0</v>
      </c>
      <c r="K133" s="22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  <c r="U133" s="20">
        <v>0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E133" s="20" t="str">
        <v/>
      </c>
      <c r="AF133" s="20">
        <v>0</v>
      </c>
      <c r="AG133" s="22" t="e">
        <v>#VALUE!</v>
      </c>
      <c r="AI133" s="20">
        <v>0</v>
      </c>
      <c r="AJ133" s="20">
        <v>0</v>
      </c>
      <c r="AK133" s="20">
        <v>0</v>
      </c>
      <c r="AL133" s="20">
        <v>0</v>
      </c>
      <c r="AM133" s="20">
        <v>0</v>
      </c>
      <c r="AN133" s="20">
        <v>0</v>
      </c>
      <c r="AO133" s="20">
        <v>0</v>
      </c>
      <c r="AP133" s="20">
        <v>0</v>
      </c>
      <c r="AQ133" s="20">
        <v>0</v>
      </c>
      <c r="AR133" s="20">
        <v>0</v>
      </c>
      <c r="AS133" s="20">
        <v>0</v>
      </c>
      <c r="AT133" s="20">
        <v>0</v>
      </c>
      <c r="AU133" s="20">
        <v>0</v>
      </c>
      <c r="AV133" s="20">
        <v>0</v>
      </c>
      <c r="AW133" s="20">
        <v>0</v>
      </c>
      <c r="AX133" s="20">
        <v>0</v>
      </c>
      <c r="AY133" s="20">
        <v>0</v>
      </c>
      <c r="AZ133" s="20">
        <v>0</v>
      </c>
      <c r="BA133" s="20">
        <v>0</v>
      </c>
      <c r="BB133" s="20">
        <v>0</v>
      </c>
      <c r="BC133" s="20">
        <v>0</v>
      </c>
      <c r="BD133" s="20">
        <v>0</v>
      </c>
      <c r="BE133" s="20">
        <v>0</v>
      </c>
      <c r="BF133" s="20">
        <v>0</v>
      </c>
      <c r="BG133" s="20">
        <v>0</v>
      </c>
      <c r="BH133" s="20">
        <v>0</v>
      </c>
      <c r="BI133" s="20">
        <v>0</v>
      </c>
      <c r="BJ133" s="20">
        <v>0</v>
      </c>
      <c r="BK133" s="20">
        <v>0</v>
      </c>
      <c r="BL133" s="20">
        <v>0</v>
      </c>
      <c r="BM133" s="20">
        <v>0</v>
      </c>
      <c r="BN133" s="22">
        <v>0</v>
      </c>
      <c r="BO133" s="22">
        <v>0</v>
      </c>
      <c r="BP133" s="22">
        <v>0</v>
      </c>
      <c r="BR133" s="20" t="str">
        <v/>
      </c>
      <c r="CH133" s="20">
        <v>0</v>
      </c>
      <c r="CI133" s="20">
        <v>0</v>
      </c>
      <c r="CJ133" s="20">
        <v>0</v>
      </c>
      <c r="CK133" s="20" t="str">
        <v/>
      </c>
      <c r="CL133" s="20" t="str">
        <v/>
      </c>
      <c r="CN133" s="20">
        <v>0</v>
      </c>
      <c r="CO133" s="20">
        <v>0</v>
      </c>
      <c r="CP133" s="20">
        <v>0</v>
      </c>
      <c r="CQ133" s="20">
        <v>0</v>
      </c>
      <c r="CR133" s="20">
        <v>0</v>
      </c>
      <c r="CS133" s="20">
        <v>0</v>
      </c>
      <c r="CT133" s="20">
        <v>0</v>
      </c>
      <c r="CU133" s="20">
        <v>0</v>
      </c>
      <c r="CV133" s="20">
        <v>0</v>
      </c>
      <c r="CW133" s="20">
        <v>0</v>
      </c>
      <c r="CX133" s="20">
        <v>0</v>
      </c>
      <c r="CY133" s="20">
        <v>0</v>
      </c>
      <c r="CZ133" s="20">
        <v>0</v>
      </c>
      <c r="DA133" s="19">
        <v>0</v>
      </c>
      <c r="DB133" s="20">
        <v>0</v>
      </c>
      <c r="DC133" s="25">
        <v>0</v>
      </c>
      <c r="DD133" s="20">
        <v>0</v>
      </c>
      <c r="DE133" s="20">
        <v>0</v>
      </c>
      <c r="DF133" s="20">
        <v>0</v>
      </c>
      <c r="DG133" s="20">
        <v>0</v>
      </c>
      <c r="DH133" s="20">
        <v>0</v>
      </c>
      <c r="DI133" s="20">
        <v>0</v>
      </c>
    </row>
    <row r="134" spans="1:113">
      <c r="A134" s="20" t="str">
        <v>00:00:00</v>
      </c>
      <c r="B134" s="19">
        <v>0</v>
      </c>
      <c r="C134" s="21">
        <v>0</v>
      </c>
      <c r="D134" s="20" t="str">
        <v>未匹配</v>
      </c>
      <c r="E134" s="20">
        <v>0</v>
      </c>
      <c r="I134" s="20" t="str">
        <v/>
      </c>
      <c r="J134" s="20">
        <v>0</v>
      </c>
      <c r="K134" s="22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  <c r="U134" s="20">
        <v>0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E134" s="20" t="str">
        <v/>
      </c>
      <c r="AF134" s="20">
        <v>0</v>
      </c>
      <c r="AG134" s="22" t="e">
        <v>#VALUE!</v>
      </c>
      <c r="AI134" s="20">
        <v>0</v>
      </c>
      <c r="AJ134" s="20">
        <v>0</v>
      </c>
      <c r="AK134" s="20">
        <v>0</v>
      </c>
      <c r="AL134" s="20">
        <v>0</v>
      </c>
      <c r="AM134" s="20">
        <v>0</v>
      </c>
      <c r="AN134" s="20">
        <v>0</v>
      </c>
      <c r="AO134" s="20">
        <v>0</v>
      </c>
      <c r="AP134" s="20">
        <v>0</v>
      </c>
      <c r="AQ134" s="20">
        <v>0</v>
      </c>
      <c r="AR134" s="20">
        <v>0</v>
      </c>
      <c r="AS134" s="20">
        <v>0</v>
      </c>
      <c r="AT134" s="20">
        <v>0</v>
      </c>
      <c r="AU134" s="20">
        <v>0</v>
      </c>
      <c r="AV134" s="20">
        <v>0</v>
      </c>
      <c r="AW134" s="20">
        <v>0</v>
      </c>
      <c r="AX134" s="20">
        <v>0</v>
      </c>
      <c r="AY134" s="20">
        <v>0</v>
      </c>
      <c r="AZ134" s="20">
        <v>0</v>
      </c>
      <c r="BA134" s="20">
        <v>0</v>
      </c>
      <c r="BB134" s="20">
        <v>0</v>
      </c>
      <c r="BC134" s="20">
        <v>0</v>
      </c>
      <c r="BD134" s="20">
        <v>0</v>
      </c>
      <c r="BE134" s="20">
        <v>0</v>
      </c>
      <c r="BF134" s="20">
        <v>0</v>
      </c>
      <c r="BG134" s="20">
        <v>0</v>
      </c>
      <c r="BH134" s="20">
        <v>0</v>
      </c>
      <c r="BI134" s="20">
        <v>0</v>
      </c>
      <c r="BJ134" s="20">
        <v>0</v>
      </c>
      <c r="BK134" s="20">
        <v>0</v>
      </c>
      <c r="BL134" s="20">
        <v>0</v>
      </c>
      <c r="BM134" s="20">
        <v>0</v>
      </c>
      <c r="BN134" s="22">
        <v>0</v>
      </c>
      <c r="BO134" s="22">
        <v>0</v>
      </c>
      <c r="BP134" s="22">
        <v>0</v>
      </c>
      <c r="BR134" s="20" t="str">
        <v/>
      </c>
      <c r="CH134" s="20">
        <v>0</v>
      </c>
      <c r="CI134" s="20">
        <v>0</v>
      </c>
      <c r="CJ134" s="20">
        <v>0</v>
      </c>
      <c r="CK134" s="20" t="str">
        <v/>
      </c>
      <c r="CL134" s="20" t="str">
        <v/>
      </c>
      <c r="CN134" s="20">
        <v>0</v>
      </c>
      <c r="CO134" s="20">
        <v>0</v>
      </c>
      <c r="CP134" s="20">
        <v>0</v>
      </c>
      <c r="CQ134" s="20">
        <v>0</v>
      </c>
      <c r="CR134" s="20">
        <v>0</v>
      </c>
      <c r="CS134" s="20">
        <v>0</v>
      </c>
      <c r="CT134" s="20">
        <v>0</v>
      </c>
      <c r="CU134" s="20">
        <v>0</v>
      </c>
      <c r="CV134" s="20">
        <v>0</v>
      </c>
      <c r="CW134" s="20">
        <v>0</v>
      </c>
      <c r="CX134" s="20">
        <v>0</v>
      </c>
      <c r="CY134" s="20">
        <v>0</v>
      </c>
      <c r="CZ134" s="20">
        <v>0</v>
      </c>
      <c r="DA134" s="19">
        <v>0</v>
      </c>
      <c r="DB134" s="20">
        <v>0</v>
      </c>
      <c r="DC134" s="25">
        <v>0</v>
      </c>
      <c r="DD134" s="20">
        <v>0</v>
      </c>
      <c r="DE134" s="20">
        <v>0</v>
      </c>
      <c r="DF134" s="20">
        <v>0</v>
      </c>
      <c r="DG134" s="20">
        <v>0</v>
      </c>
      <c r="DH134" s="20">
        <v>0</v>
      </c>
      <c r="DI134" s="20">
        <v>0</v>
      </c>
    </row>
    <row r="135" spans="1:113">
      <c r="A135" s="20" t="str">
        <v>00:00:00</v>
      </c>
      <c r="B135" s="19">
        <v>0</v>
      </c>
      <c r="C135" s="21">
        <v>0</v>
      </c>
      <c r="D135" s="20" t="str">
        <v>未匹配</v>
      </c>
      <c r="E135" s="20">
        <v>0</v>
      </c>
      <c r="I135" s="20" t="str">
        <v/>
      </c>
      <c r="J135" s="20">
        <v>0</v>
      </c>
      <c r="K135" s="22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  <c r="U135" s="20">
        <v>0</v>
      </c>
      <c r="V135" s="20">
        <v>0</v>
      </c>
      <c r="W135" s="20">
        <v>0</v>
      </c>
      <c r="X135" s="20">
        <v>0</v>
      </c>
      <c r="Y135" s="20">
        <v>0</v>
      </c>
      <c r="Z135" s="20">
        <v>0</v>
      </c>
      <c r="AA135" s="20">
        <v>0</v>
      </c>
      <c r="AB135" s="20">
        <v>0</v>
      </c>
      <c r="AC135" s="20">
        <v>0</v>
      </c>
      <c r="AE135" s="20" t="str">
        <v/>
      </c>
      <c r="AF135" s="20">
        <v>0</v>
      </c>
      <c r="AG135" s="22" t="e">
        <v>#VALUE!</v>
      </c>
      <c r="AI135" s="20">
        <v>0</v>
      </c>
      <c r="AJ135" s="20">
        <v>0</v>
      </c>
      <c r="AK135" s="20">
        <v>0</v>
      </c>
      <c r="AL135" s="20">
        <v>0</v>
      </c>
      <c r="AM135" s="20">
        <v>0</v>
      </c>
      <c r="AN135" s="20">
        <v>0</v>
      </c>
      <c r="AO135" s="20">
        <v>0</v>
      </c>
      <c r="AP135" s="20">
        <v>0</v>
      </c>
      <c r="AQ135" s="20">
        <v>0</v>
      </c>
      <c r="AR135" s="20">
        <v>0</v>
      </c>
      <c r="AS135" s="20">
        <v>0</v>
      </c>
      <c r="AT135" s="20">
        <v>0</v>
      </c>
      <c r="AU135" s="20">
        <v>0</v>
      </c>
      <c r="AV135" s="20">
        <v>0</v>
      </c>
      <c r="AW135" s="20">
        <v>0</v>
      </c>
      <c r="AX135" s="20">
        <v>0</v>
      </c>
      <c r="AY135" s="20">
        <v>0</v>
      </c>
      <c r="AZ135" s="20">
        <v>0</v>
      </c>
      <c r="BA135" s="20">
        <v>0</v>
      </c>
      <c r="BB135" s="20">
        <v>0</v>
      </c>
      <c r="BC135" s="20">
        <v>0</v>
      </c>
      <c r="BD135" s="20">
        <v>0</v>
      </c>
      <c r="BE135" s="20">
        <v>0</v>
      </c>
      <c r="BF135" s="20">
        <v>0</v>
      </c>
      <c r="BG135" s="20">
        <v>0</v>
      </c>
      <c r="BH135" s="20">
        <v>0</v>
      </c>
      <c r="BI135" s="20">
        <v>0</v>
      </c>
      <c r="BJ135" s="20">
        <v>0</v>
      </c>
      <c r="BK135" s="20">
        <v>0</v>
      </c>
      <c r="BL135" s="20">
        <v>0</v>
      </c>
      <c r="BM135" s="20">
        <v>0</v>
      </c>
      <c r="BN135" s="22">
        <v>0</v>
      </c>
      <c r="BO135" s="22">
        <v>0</v>
      </c>
      <c r="BP135" s="22">
        <v>0</v>
      </c>
      <c r="BR135" s="20" t="str">
        <v/>
      </c>
      <c r="CH135" s="20">
        <v>0</v>
      </c>
      <c r="CI135" s="20">
        <v>0</v>
      </c>
      <c r="CJ135" s="20">
        <v>0</v>
      </c>
      <c r="CK135" s="20" t="str">
        <v/>
      </c>
      <c r="CL135" s="20" t="str">
        <v/>
      </c>
      <c r="CN135" s="20">
        <v>0</v>
      </c>
      <c r="CO135" s="20">
        <v>0</v>
      </c>
      <c r="CP135" s="20">
        <v>0</v>
      </c>
      <c r="CQ135" s="20">
        <v>0</v>
      </c>
      <c r="CR135" s="20">
        <v>0</v>
      </c>
      <c r="CS135" s="20">
        <v>0</v>
      </c>
      <c r="CT135" s="20">
        <v>0</v>
      </c>
      <c r="CU135" s="20">
        <v>0</v>
      </c>
      <c r="CV135" s="20">
        <v>0</v>
      </c>
      <c r="CW135" s="20">
        <v>0</v>
      </c>
      <c r="CX135" s="20">
        <v>0</v>
      </c>
      <c r="CY135" s="20">
        <v>0</v>
      </c>
      <c r="CZ135" s="20">
        <v>0</v>
      </c>
      <c r="DA135" s="19">
        <v>0</v>
      </c>
      <c r="DB135" s="20">
        <v>0</v>
      </c>
      <c r="DC135" s="25">
        <v>0</v>
      </c>
      <c r="DD135" s="20">
        <v>0</v>
      </c>
      <c r="DE135" s="20">
        <v>0</v>
      </c>
      <c r="DF135" s="20">
        <v>0</v>
      </c>
      <c r="DG135" s="20">
        <v>0</v>
      </c>
      <c r="DH135" s="20">
        <v>0</v>
      </c>
      <c r="DI135" s="20">
        <v>0</v>
      </c>
    </row>
    <row r="136" spans="1:113">
      <c r="A136" s="20" t="str">
        <v>00:00:00</v>
      </c>
      <c r="B136" s="19">
        <v>0</v>
      </c>
      <c r="C136" s="21">
        <v>0</v>
      </c>
      <c r="D136" s="20" t="str">
        <v>未匹配</v>
      </c>
      <c r="E136" s="20">
        <v>0</v>
      </c>
      <c r="I136" s="20" t="str">
        <v/>
      </c>
      <c r="J136" s="20">
        <v>0</v>
      </c>
      <c r="K136" s="22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0">
        <v>0</v>
      </c>
      <c r="V136" s="20">
        <v>0</v>
      </c>
      <c r="W136" s="20">
        <v>0</v>
      </c>
      <c r="X136" s="20">
        <v>0</v>
      </c>
      <c r="Y136" s="20">
        <v>0</v>
      </c>
      <c r="Z136" s="20">
        <v>0</v>
      </c>
      <c r="AA136" s="20">
        <v>0</v>
      </c>
      <c r="AB136" s="20">
        <v>0</v>
      </c>
      <c r="AC136" s="20">
        <v>0</v>
      </c>
      <c r="AE136" s="20" t="str">
        <v/>
      </c>
      <c r="AF136" s="20">
        <v>0</v>
      </c>
      <c r="AG136" s="22" t="e">
        <v>#VALUE!</v>
      </c>
      <c r="AI136" s="20">
        <v>0</v>
      </c>
      <c r="AJ136" s="20">
        <v>0</v>
      </c>
      <c r="AK136" s="20">
        <v>0</v>
      </c>
      <c r="AL136" s="20">
        <v>0</v>
      </c>
      <c r="AM136" s="20">
        <v>0</v>
      </c>
      <c r="AN136" s="20">
        <v>0</v>
      </c>
      <c r="AO136" s="20">
        <v>0</v>
      </c>
      <c r="AP136" s="20">
        <v>0</v>
      </c>
      <c r="AQ136" s="20">
        <v>0</v>
      </c>
      <c r="AR136" s="20">
        <v>0</v>
      </c>
      <c r="AS136" s="20">
        <v>0</v>
      </c>
      <c r="AT136" s="20">
        <v>0</v>
      </c>
      <c r="AU136" s="20">
        <v>0</v>
      </c>
      <c r="AV136" s="20">
        <v>0</v>
      </c>
      <c r="AW136" s="20">
        <v>0</v>
      </c>
      <c r="AX136" s="20">
        <v>0</v>
      </c>
      <c r="AY136" s="20">
        <v>0</v>
      </c>
      <c r="AZ136" s="20">
        <v>0</v>
      </c>
      <c r="BA136" s="20">
        <v>0</v>
      </c>
      <c r="BB136" s="20">
        <v>0</v>
      </c>
      <c r="BC136" s="20">
        <v>0</v>
      </c>
      <c r="BD136" s="20">
        <v>0</v>
      </c>
      <c r="BE136" s="20">
        <v>0</v>
      </c>
      <c r="BF136" s="20">
        <v>0</v>
      </c>
      <c r="BG136" s="20">
        <v>0</v>
      </c>
      <c r="BH136" s="20">
        <v>0</v>
      </c>
      <c r="BI136" s="20">
        <v>0</v>
      </c>
      <c r="BJ136" s="20">
        <v>0</v>
      </c>
      <c r="BK136" s="20">
        <v>0</v>
      </c>
      <c r="BL136" s="20">
        <v>0</v>
      </c>
      <c r="BM136" s="20">
        <v>0</v>
      </c>
      <c r="BN136" s="22">
        <v>0</v>
      </c>
      <c r="BO136" s="22">
        <v>0</v>
      </c>
      <c r="BP136" s="22">
        <v>0</v>
      </c>
      <c r="BR136" s="20" t="str">
        <v/>
      </c>
      <c r="CH136" s="20">
        <v>0</v>
      </c>
      <c r="CI136" s="20">
        <v>0</v>
      </c>
      <c r="CJ136" s="20">
        <v>0</v>
      </c>
      <c r="CK136" s="20" t="str">
        <v/>
      </c>
      <c r="CL136" s="20" t="str">
        <v/>
      </c>
      <c r="CN136" s="20">
        <v>0</v>
      </c>
      <c r="CO136" s="20">
        <v>0</v>
      </c>
      <c r="CP136" s="20">
        <v>0</v>
      </c>
      <c r="CQ136" s="20">
        <v>0</v>
      </c>
      <c r="CR136" s="20">
        <v>0</v>
      </c>
      <c r="CS136" s="20">
        <v>0</v>
      </c>
      <c r="CT136" s="20">
        <v>0</v>
      </c>
      <c r="CU136" s="20">
        <v>0</v>
      </c>
      <c r="CV136" s="20">
        <v>0</v>
      </c>
      <c r="CW136" s="20">
        <v>0</v>
      </c>
      <c r="CX136" s="20">
        <v>0</v>
      </c>
      <c r="CY136" s="20">
        <v>0</v>
      </c>
      <c r="CZ136" s="20">
        <v>0</v>
      </c>
      <c r="DA136" s="19">
        <v>0</v>
      </c>
      <c r="DB136" s="20">
        <v>0</v>
      </c>
      <c r="DC136" s="25">
        <v>0</v>
      </c>
      <c r="DD136" s="20">
        <v>0</v>
      </c>
      <c r="DE136" s="20">
        <v>0</v>
      </c>
      <c r="DF136" s="20">
        <v>0</v>
      </c>
      <c r="DG136" s="20">
        <v>0</v>
      </c>
      <c r="DH136" s="20">
        <v>0</v>
      </c>
      <c r="DI136" s="20">
        <v>0</v>
      </c>
    </row>
    <row r="137" spans="1:113">
      <c r="A137" s="20" t="str">
        <v>00:00:00</v>
      </c>
      <c r="B137" s="19">
        <v>0</v>
      </c>
      <c r="C137" s="21">
        <v>0</v>
      </c>
      <c r="D137" s="20" t="str">
        <v>未匹配</v>
      </c>
      <c r="E137" s="20">
        <v>0</v>
      </c>
      <c r="I137" s="20" t="str">
        <v/>
      </c>
      <c r="J137" s="20">
        <v>0</v>
      </c>
      <c r="K137" s="22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  <c r="U137" s="20">
        <v>0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E137" s="20" t="str">
        <v/>
      </c>
      <c r="AF137" s="20">
        <v>0</v>
      </c>
      <c r="AG137" s="22" t="e">
        <v>#VALUE!</v>
      </c>
      <c r="AI137" s="20">
        <v>0</v>
      </c>
      <c r="AJ137" s="20">
        <v>0</v>
      </c>
      <c r="AK137" s="20">
        <v>0</v>
      </c>
      <c r="AL137" s="20">
        <v>0</v>
      </c>
      <c r="AM137" s="20">
        <v>0</v>
      </c>
      <c r="AN137" s="20">
        <v>0</v>
      </c>
      <c r="AO137" s="20">
        <v>0</v>
      </c>
      <c r="AP137" s="20">
        <v>0</v>
      </c>
      <c r="AQ137" s="20">
        <v>0</v>
      </c>
      <c r="AR137" s="20">
        <v>0</v>
      </c>
      <c r="AS137" s="20">
        <v>0</v>
      </c>
      <c r="AT137" s="20">
        <v>0</v>
      </c>
      <c r="AU137" s="20">
        <v>0</v>
      </c>
      <c r="AV137" s="20">
        <v>0</v>
      </c>
      <c r="AW137" s="20">
        <v>0</v>
      </c>
      <c r="AX137" s="20">
        <v>0</v>
      </c>
      <c r="AY137" s="20">
        <v>0</v>
      </c>
      <c r="AZ137" s="20">
        <v>0</v>
      </c>
      <c r="BA137" s="20">
        <v>0</v>
      </c>
      <c r="BB137" s="20">
        <v>0</v>
      </c>
      <c r="BC137" s="20">
        <v>0</v>
      </c>
      <c r="BD137" s="20">
        <v>0</v>
      </c>
      <c r="BE137" s="20">
        <v>0</v>
      </c>
      <c r="BF137" s="20">
        <v>0</v>
      </c>
      <c r="BG137" s="20">
        <v>0</v>
      </c>
      <c r="BH137" s="20">
        <v>0</v>
      </c>
      <c r="BI137" s="20">
        <v>0</v>
      </c>
      <c r="BJ137" s="20">
        <v>0</v>
      </c>
      <c r="BK137" s="20">
        <v>0</v>
      </c>
      <c r="BL137" s="20">
        <v>0</v>
      </c>
      <c r="BM137" s="20">
        <v>0</v>
      </c>
      <c r="BN137" s="22">
        <v>0</v>
      </c>
      <c r="BO137" s="22">
        <v>0</v>
      </c>
      <c r="BP137" s="22">
        <v>0</v>
      </c>
      <c r="BR137" s="20" t="str">
        <v/>
      </c>
      <c r="CH137" s="20">
        <v>0</v>
      </c>
      <c r="CI137" s="20">
        <v>0</v>
      </c>
      <c r="CJ137" s="20">
        <v>0</v>
      </c>
      <c r="CK137" s="20" t="str">
        <v/>
      </c>
      <c r="CL137" s="20" t="str">
        <v/>
      </c>
      <c r="CN137" s="20">
        <v>0</v>
      </c>
      <c r="CO137" s="20">
        <v>0</v>
      </c>
      <c r="CP137" s="20">
        <v>0</v>
      </c>
      <c r="CQ137" s="20">
        <v>0</v>
      </c>
      <c r="CR137" s="20">
        <v>0</v>
      </c>
      <c r="CS137" s="20">
        <v>0</v>
      </c>
      <c r="CT137" s="20">
        <v>0</v>
      </c>
      <c r="CU137" s="20">
        <v>0</v>
      </c>
      <c r="CV137" s="20">
        <v>0</v>
      </c>
      <c r="CW137" s="20">
        <v>0</v>
      </c>
      <c r="CX137" s="20">
        <v>0</v>
      </c>
      <c r="CY137" s="20">
        <v>0</v>
      </c>
      <c r="CZ137" s="20">
        <v>0</v>
      </c>
      <c r="DA137" s="19">
        <v>0</v>
      </c>
      <c r="DB137" s="20">
        <v>0</v>
      </c>
      <c r="DC137" s="25">
        <v>0</v>
      </c>
      <c r="DD137" s="20">
        <v>0</v>
      </c>
      <c r="DE137" s="20">
        <v>0</v>
      </c>
      <c r="DF137" s="20">
        <v>0</v>
      </c>
      <c r="DG137" s="20">
        <v>0</v>
      </c>
      <c r="DH137" s="20">
        <v>0</v>
      </c>
      <c r="DI137" s="20">
        <v>0</v>
      </c>
    </row>
    <row r="138" spans="1:113">
      <c r="A138" s="20" t="str">
        <v>00:00:00</v>
      </c>
      <c r="B138" s="19">
        <v>0</v>
      </c>
      <c r="C138" s="21">
        <v>0</v>
      </c>
      <c r="D138" s="20" t="str">
        <v>未匹配</v>
      </c>
      <c r="E138" s="20">
        <v>0</v>
      </c>
      <c r="I138" s="20" t="str">
        <v/>
      </c>
      <c r="J138" s="20">
        <v>0</v>
      </c>
      <c r="K138" s="22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  <c r="U138" s="20">
        <v>0</v>
      </c>
      <c r="V138" s="20">
        <v>0</v>
      </c>
      <c r="W138" s="20">
        <v>0</v>
      </c>
      <c r="X138" s="20">
        <v>0</v>
      </c>
      <c r="Y138" s="20">
        <v>0</v>
      </c>
      <c r="Z138" s="20">
        <v>0</v>
      </c>
      <c r="AA138" s="20">
        <v>0</v>
      </c>
      <c r="AB138" s="20">
        <v>0</v>
      </c>
      <c r="AC138" s="20">
        <v>0</v>
      </c>
      <c r="AE138" s="20" t="str">
        <v/>
      </c>
      <c r="AF138" s="20">
        <v>0</v>
      </c>
      <c r="AG138" s="22" t="e">
        <v>#VALUE!</v>
      </c>
      <c r="AI138" s="20">
        <v>0</v>
      </c>
      <c r="AJ138" s="20">
        <v>0</v>
      </c>
      <c r="AK138" s="20">
        <v>0</v>
      </c>
      <c r="AL138" s="20">
        <v>0</v>
      </c>
      <c r="AM138" s="20">
        <v>0</v>
      </c>
      <c r="AN138" s="20">
        <v>0</v>
      </c>
      <c r="AO138" s="20">
        <v>0</v>
      </c>
      <c r="AP138" s="20">
        <v>0</v>
      </c>
      <c r="AQ138" s="20">
        <v>0</v>
      </c>
      <c r="AR138" s="20">
        <v>0</v>
      </c>
      <c r="AS138" s="20">
        <v>0</v>
      </c>
      <c r="AT138" s="20">
        <v>0</v>
      </c>
      <c r="AU138" s="20">
        <v>0</v>
      </c>
      <c r="AV138" s="20">
        <v>0</v>
      </c>
      <c r="AW138" s="20">
        <v>0</v>
      </c>
      <c r="AX138" s="20">
        <v>0</v>
      </c>
      <c r="AY138" s="20">
        <v>0</v>
      </c>
      <c r="AZ138" s="20">
        <v>0</v>
      </c>
      <c r="BA138" s="20">
        <v>0</v>
      </c>
      <c r="BB138" s="20">
        <v>0</v>
      </c>
      <c r="BC138" s="20">
        <v>0</v>
      </c>
      <c r="BD138" s="20">
        <v>0</v>
      </c>
      <c r="BE138" s="20">
        <v>0</v>
      </c>
      <c r="BF138" s="20">
        <v>0</v>
      </c>
      <c r="BG138" s="20">
        <v>0</v>
      </c>
      <c r="BH138" s="20">
        <v>0</v>
      </c>
      <c r="BI138" s="20">
        <v>0</v>
      </c>
      <c r="BJ138" s="20">
        <v>0</v>
      </c>
      <c r="BK138" s="20">
        <v>0</v>
      </c>
      <c r="BL138" s="20">
        <v>0</v>
      </c>
      <c r="BM138" s="20">
        <v>0</v>
      </c>
      <c r="BN138" s="22">
        <v>0</v>
      </c>
      <c r="BO138" s="22">
        <v>0</v>
      </c>
      <c r="BP138" s="22">
        <v>0</v>
      </c>
      <c r="BR138" s="20" t="str">
        <v/>
      </c>
      <c r="CH138" s="20">
        <v>0</v>
      </c>
      <c r="CI138" s="20">
        <v>0</v>
      </c>
      <c r="CJ138" s="20">
        <v>0</v>
      </c>
      <c r="CK138" s="20" t="str">
        <v/>
      </c>
      <c r="CL138" s="20" t="str">
        <v/>
      </c>
      <c r="CN138" s="20">
        <v>0</v>
      </c>
      <c r="CO138" s="20">
        <v>0</v>
      </c>
      <c r="CP138" s="20">
        <v>0</v>
      </c>
      <c r="CQ138" s="20">
        <v>0</v>
      </c>
      <c r="CR138" s="20">
        <v>0</v>
      </c>
      <c r="CS138" s="20">
        <v>0</v>
      </c>
      <c r="CT138" s="20">
        <v>0</v>
      </c>
      <c r="CU138" s="20">
        <v>0</v>
      </c>
      <c r="CV138" s="20">
        <v>0</v>
      </c>
      <c r="CW138" s="20">
        <v>0</v>
      </c>
      <c r="CX138" s="20">
        <v>0</v>
      </c>
      <c r="CY138" s="20">
        <v>0</v>
      </c>
      <c r="CZ138" s="20">
        <v>0</v>
      </c>
      <c r="DA138" s="19">
        <v>0</v>
      </c>
      <c r="DB138" s="20">
        <v>0</v>
      </c>
      <c r="DC138" s="25">
        <v>0</v>
      </c>
      <c r="DD138" s="20">
        <v>0</v>
      </c>
      <c r="DE138" s="20">
        <v>0</v>
      </c>
      <c r="DF138" s="20">
        <v>0</v>
      </c>
      <c r="DG138" s="20">
        <v>0</v>
      </c>
      <c r="DH138" s="20">
        <v>0</v>
      </c>
      <c r="DI138" s="20">
        <v>0</v>
      </c>
    </row>
    <row r="139" spans="1:113">
      <c r="A139" s="20" t="str">
        <v>00:00:00</v>
      </c>
      <c r="B139" s="19">
        <v>0</v>
      </c>
      <c r="C139" s="21">
        <v>0</v>
      </c>
      <c r="D139" s="20" t="str">
        <v>未匹配</v>
      </c>
      <c r="E139" s="20">
        <v>0</v>
      </c>
      <c r="I139" s="20" t="str">
        <v/>
      </c>
      <c r="J139" s="20">
        <v>0</v>
      </c>
      <c r="K139" s="22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  <c r="U139" s="20">
        <v>0</v>
      </c>
      <c r="V139" s="20">
        <v>0</v>
      </c>
      <c r="W139" s="20">
        <v>0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20">
        <v>0</v>
      </c>
      <c r="AE139" s="20" t="str">
        <v/>
      </c>
      <c r="AF139" s="20">
        <v>0</v>
      </c>
      <c r="AG139" s="22" t="e">
        <v>#VALUE!</v>
      </c>
      <c r="AI139" s="20">
        <v>0</v>
      </c>
      <c r="AJ139" s="20">
        <v>0</v>
      </c>
      <c r="AK139" s="20">
        <v>0</v>
      </c>
      <c r="AL139" s="20">
        <v>0</v>
      </c>
      <c r="AM139" s="20">
        <v>0</v>
      </c>
      <c r="AN139" s="20">
        <v>0</v>
      </c>
      <c r="AO139" s="20">
        <v>0</v>
      </c>
      <c r="AP139" s="20">
        <v>0</v>
      </c>
      <c r="AQ139" s="20">
        <v>0</v>
      </c>
      <c r="AR139" s="20">
        <v>0</v>
      </c>
      <c r="AS139" s="20">
        <v>0</v>
      </c>
      <c r="AT139" s="20">
        <v>0</v>
      </c>
      <c r="AU139" s="20">
        <v>0</v>
      </c>
      <c r="AV139" s="20">
        <v>0</v>
      </c>
      <c r="AW139" s="20">
        <v>0</v>
      </c>
      <c r="AX139" s="20">
        <v>0</v>
      </c>
      <c r="AY139" s="20">
        <v>0</v>
      </c>
      <c r="AZ139" s="20">
        <v>0</v>
      </c>
      <c r="BA139" s="20">
        <v>0</v>
      </c>
      <c r="BB139" s="20">
        <v>0</v>
      </c>
      <c r="BC139" s="20">
        <v>0</v>
      </c>
      <c r="BD139" s="20">
        <v>0</v>
      </c>
      <c r="BE139" s="20">
        <v>0</v>
      </c>
      <c r="BF139" s="20">
        <v>0</v>
      </c>
      <c r="BG139" s="20">
        <v>0</v>
      </c>
      <c r="BH139" s="20">
        <v>0</v>
      </c>
      <c r="BI139" s="20">
        <v>0</v>
      </c>
      <c r="BJ139" s="20">
        <v>0</v>
      </c>
      <c r="BK139" s="20">
        <v>0</v>
      </c>
      <c r="BL139" s="20">
        <v>0</v>
      </c>
      <c r="BM139" s="20">
        <v>0</v>
      </c>
      <c r="BN139" s="22">
        <v>0</v>
      </c>
      <c r="BO139" s="22">
        <v>0</v>
      </c>
      <c r="BP139" s="22">
        <v>0</v>
      </c>
      <c r="BR139" s="20" t="str">
        <v/>
      </c>
      <c r="CH139" s="20">
        <v>0</v>
      </c>
      <c r="CI139" s="20">
        <v>0</v>
      </c>
      <c r="CJ139" s="20">
        <v>0</v>
      </c>
      <c r="CK139" s="20" t="str">
        <v/>
      </c>
      <c r="CL139" s="20" t="str">
        <v/>
      </c>
      <c r="CN139" s="20">
        <v>0</v>
      </c>
      <c r="CO139" s="20">
        <v>0</v>
      </c>
      <c r="CP139" s="20">
        <v>0</v>
      </c>
      <c r="CQ139" s="20">
        <v>0</v>
      </c>
      <c r="CR139" s="20">
        <v>0</v>
      </c>
      <c r="CS139" s="20">
        <v>0</v>
      </c>
      <c r="CT139" s="20">
        <v>0</v>
      </c>
      <c r="CU139" s="20">
        <v>0</v>
      </c>
      <c r="CV139" s="20">
        <v>0</v>
      </c>
      <c r="CW139" s="20">
        <v>0</v>
      </c>
      <c r="CX139" s="20">
        <v>0</v>
      </c>
      <c r="CY139" s="20">
        <v>0</v>
      </c>
      <c r="CZ139" s="20">
        <v>0</v>
      </c>
      <c r="DA139" s="19">
        <v>0</v>
      </c>
      <c r="DB139" s="20">
        <v>0</v>
      </c>
      <c r="DC139" s="25">
        <v>0</v>
      </c>
      <c r="DD139" s="20">
        <v>0</v>
      </c>
      <c r="DE139" s="20">
        <v>0</v>
      </c>
      <c r="DF139" s="20">
        <v>0</v>
      </c>
      <c r="DG139" s="20">
        <v>0</v>
      </c>
      <c r="DH139" s="20">
        <v>0</v>
      </c>
      <c r="DI139" s="20">
        <v>0</v>
      </c>
    </row>
    <row r="140" spans="1:113">
      <c r="A140" s="20" t="str">
        <v>00:00:00</v>
      </c>
      <c r="B140" s="19">
        <v>0</v>
      </c>
      <c r="C140" s="21">
        <v>0</v>
      </c>
      <c r="D140" s="20" t="str">
        <v>未匹配</v>
      </c>
      <c r="E140" s="20">
        <v>0</v>
      </c>
      <c r="I140" s="20" t="str">
        <v/>
      </c>
      <c r="J140" s="20">
        <v>0</v>
      </c>
      <c r="K140" s="22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E140" s="20" t="str">
        <v/>
      </c>
      <c r="AF140" s="20">
        <v>0</v>
      </c>
      <c r="AG140" s="22" t="e">
        <v>#VALUE!</v>
      </c>
      <c r="AI140" s="20">
        <v>0</v>
      </c>
      <c r="AJ140" s="20">
        <v>0</v>
      </c>
      <c r="AK140" s="20">
        <v>0</v>
      </c>
      <c r="AL140" s="20">
        <v>0</v>
      </c>
      <c r="AM140" s="20">
        <v>0</v>
      </c>
      <c r="AN140" s="20">
        <v>0</v>
      </c>
      <c r="AO140" s="20">
        <v>0</v>
      </c>
      <c r="AP140" s="20">
        <v>0</v>
      </c>
      <c r="AQ140" s="20">
        <v>0</v>
      </c>
      <c r="AR140" s="20">
        <v>0</v>
      </c>
      <c r="AS140" s="20">
        <v>0</v>
      </c>
      <c r="AT140" s="20">
        <v>0</v>
      </c>
      <c r="AU140" s="20">
        <v>0</v>
      </c>
      <c r="AV140" s="20">
        <v>0</v>
      </c>
      <c r="AW140" s="20">
        <v>0</v>
      </c>
      <c r="AX140" s="20">
        <v>0</v>
      </c>
      <c r="AY140" s="20">
        <v>0</v>
      </c>
      <c r="AZ140" s="20">
        <v>0</v>
      </c>
      <c r="BA140" s="20">
        <v>0</v>
      </c>
      <c r="BB140" s="20">
        <v>0</v>
      </c>
      <c r="BC140" s="20">
        <v>0</v>
      </c>
      <c r="BD140" s="20">
        <v>0</v>
      </c>
      <c r="BE140" s="20">
        <v>0</v>
      </c>
      <c r="BF140" s="20">
        <v>0</v>
      </c>
      <c r="BG140" s="20">
        <v>0</v>
      </c>
      <c r="BH140" s="20">
        <v>0</v>
      </c>
      <c r="BI140" s="20">
        <v>0</v>
      </c>
      <c r="BJ140" s="20">
        <v>0</v>
      </c>
      <c r="BK140" s="20">
        <v>0</v>
      </c>
      <c r="BL140" s="20">
        <v>0</v>
      </c>
      <c r="BM140" s="20">
        <v>0</v>
      </c>
      <c r="BN140" s="22">
        <v>0</v>
      </c>
      <c r="BO140" s="22">
        <v>0</v>
      </c>
      <c r="BP140" s="22">
        <v>0</v>
      </c>
      <c r="BR140" s="20" t="str">
        <v/>
      </c>
      <c r="CH140" s="20">
        <v>0</v>
      </c>
      <c r="CI140" s="20">
        <v>0</v>
      </c>
      <c r="CJ140" s="20">
        <v>0</v>
      </c>
      <c r="CK140" s="20" t="str">
        <v/>
      </c>
      <c r="CL140" s="20" t="str">
        <v/>
      </c>
      <c r="CN140" s="20">
        <v>0</v>
      </c>
      <c r="CO140" s="20">
        <v>0</v>
      </c>
      <c r="CP140" s="20">
        <v>0</v>
      </c>
      <c r="CQ140" s="20">
        <v>0</v>
      </c>
      <c r="CR140" s="20">
        <v>0</v>
      </c>
      <c r="CS140" s="20">
        <v>0</v>
      </c>
      <c r="CT140" s="20">
        <v>0</v>
      </c>
      <c r="CU140" s="20">
        <v>0</v>
      </c>
      <c r="CV140" s="20">
        <v>0</v>
      </c>
      <c r="CW140" s="20">
        <v>0</v>
      </c>
      <c r="CX140" s="20">
        <v>0</v>
      </c>
      <c r="CY140" s="20">
        <v>0</v>
      </c>
      <c r="CZ140" s="20">
        <v>0</v>
      </c>
      <c r="DA140" s="19">
        <v>0</v>
      </c>
      <c r="DB140" s="20">
        <v>0</v>
      </c>
      <c r="DC140" s="25">
        <v>0</v>
      </c>
      <c r="DD140" s="20">
        <v>0</v>
      </c>
      <c r="DE140" s="20">
        <v>0</v>
      </c>
      <c r="DF140" s="20">
        <v>0</v>
      </c>
      <c r="DG140" s="20">
        <v>0</v>
      </c>
      <c r="DH140" s="20">
        <v>0</v>
      </c>
      <c r="DI140" s="20">
        <v>0</v>
      </c>
    </row>
    <row r="141" spans="1:113">
      <c r="A141" s="20" t="str">
        <v>00:00:00</v>
      </c>
      <c r="B141" s="19">
        <v>0</v>
      </c>
      <c r="C141" s="21">
        <v>0</v>
      </c>
      <c r="D141" s="20" t="str">
        <v>未匹配</v>
      </c>
      <c r="E141" s="20">
        <v>0</v>
      </c>
      <c r="I141" s="20" t="str">
        <v/>
      </c>
      <c r="J141" s="20">
        <v>0</v>
      </c>
      <c r="K141" s="22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  <c r="U141" s="20">
        <v>0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E141" s="20" t="str">
        <v/>
      </c>
      <c r="AF141" s="20">
        <v>0</v>
      </c>
      <c r="AG141" s="22" t="e">
        <v>#VALUE!</v>
      </c>
      <c r="AI141" s="20">
        <v>0</v>
      </c>
      <c r="AJ141" s="20">
        <v>0</v>
      </c>
      <c r="AK141" s="20">
        <v>0</v>
      </c>
      <c r="AL141" s="20">
        <v>0</v>
      </c>
      <c r="AM141" s="20">
        <v>0</v>
      </c>
      <c r="AN141" s="20">
        <v>0</v>
      </c>
      <c r="AO141" s="20">
        <v>0</v>
      </c>
      <c r="AP141" s="20">
        <v>0</v>
      </c>
      <c r="AQ141" s="20">
        <v>0</v>
      </c>
      <c r="AR141" s="20">
        <v>0</v>
      </c>
      <c r="AS141" s="20">
        <v>0</v>
      </c>
      <c r="AT141" s="20">
        <v>0</v>
      </c>
      <c r="AU141" s="20">
        <v>0</v>
      </c>
      <c r="AV141" s="20">
        <v>0</v>
      </c>
      <c r="AW141" s="20">
        <v>0</v>
      </c>
      <c r="AX141" s="20">
        <v>0</v>
      </c>
      <c r="AY141" s="20">
        <v>0</v>
      </c>
      <c r="AZ141" s="20">
        <v>0</v>
      </c>
      <c r="BA141" s="20">
        <v>0</v>
      </c>
      <c r="BB141" s="20">
        <v>0</v>
      </c>
      <c r="BC141" s="20">
        <v>0</v>
      </c>
      <c r="BD141" s="20">
        <v>0</v>
      </c>
      <c r="BE141" s="20">
        <v>0</v>
      </c>
      <c r="BF141" s="20">
        <v>0</v>
      </c>
      <c r="BG141" s="20">
        <v>0</v>
      </c>
      <c r="BH141" s="20">
        <v>0</v>
      </c>
      <c r="BI141" s="20">
        <v>0</v>
      </c>
      <c r="BJ141" s="20">
        <v>0</v>
      </c>
      <c r="BK141" s="20">
        <v>0</v>
      </c>
      <c r="BL141" s="20">
        <v>0</v>
      </c>
      <c r="BM141" s="20">
        <v>0</v>
      </c>
      <c r="BN141" s="22">
        <v>0</v>
      </c>
      <c r="BO141" s="22">
        <v>0</v>
      </c>
      <c r="BP141" s="22">
        <v>0</v>
      </c>
      <c r="BR141" s="20" t="str">
        <v/>
      </c>
      <c r="CH141" s="20">
        <v>0</v>
      </c>
      <c r="CI141" s="20">
        <v>0</v>
      </c>
      <c r="CJ141" s="20">
        <v>0</v>
      </c>
      <c r="CK141" s="20" t="str">
        <v/>
      </c>
      <c r="CL141" s="20" t="str">
        <v/>
      </c>
      <c r="CN141" s="20">
        <v>0</v>
      </c>
      <c r="CO141" s="20">
        <v>0</v>
      </c>
      <c r="CP141" s="20">
        <v>0</v>
      </c>
      <c r="CQ141" s="20">
        <v>0</v>
      </c>
      <c r="CR141" s="20">
        <v>0</v>
      </c>
      <c r="CS141" s="20">
        <v>0</v>
      </c>
      <c r="CT141" s="20">
        <v>0</v>
      </c>
      <c r="CU141" s="20">
        <v>0</v>
      </c>
      <c r="CV141" s="20">
        <v>0</v>
      </c>
      <c r="CW141" s="20">
        <v>0</v>
      </c>
      <c r="CX141" s="20">
        <v>0</v>
      </c>
      <c r="CY141" s="20">
        <v>0</v>
      </c>
      <c r="CZ141" s="20">
        <v>0</v>
      </c>
      <c r="DA141" s="19">
        <v>0</v>
      </c>
      <c r="DB141" s="20">
        <v>0</v>
      </c>
      <c r="DC141" s="25">
        <v>0</v>
      </c>
      <c r="DD141" s="20">
        <v>0</v>
      </c>
      <c r="DE141" s="20">
        <v>0</v>
      </c>
      <c r="DF141" s="20">
        <v>0</v>
      </c>
      <c r="DG141" s="20">
        <v>0</v>
      </c>
      <c r="DH141" s="20">
        <v>0</v>
      </c>
      <c r="DI141" s="20">
        <v>0</v>
      </c>
    </row>
    <row r="142" spans="1:113">
      <c r="A142" s="20" t="str">
        <v>00:00:00</v>
      </c>
      <c r="B142" s="19">
        <v>0</v>
      </c>
      <c r="C142" s="21">
        <v>0</v>
      </c>
      <c r="D142" s="20" t="str">
        <v>未匹配</v>
      </c>
      <c r="E142" s="20">
        <v>0</v>
      </c>
      <c r="I142" s="20" t="str">
        <v/>
      </c>
      <c r="J142" s="20">
        <v>0</v>
      </c>
      <c r="K142" s="22">
        <v>0</v>
      </c>
      <c r="M142" s="20">
        <v>0</v>
      </c>
      <c r="N142" s="20">
        <v>0</v>
      </c>
      <c r="O142" s="20">
        <v>0</v>
      </c>
      <c r="P142" s="20">
        <v>0</v>
      </c>
      <c r="Q142" s="20">
        <v>0</v>
      </c>
      <c r="R142" s="20">
        <v>0</v>
      </c>
      <c r="S142" s="20">
        <v>0</v>
      </c>
      <c r="T142" s="20">
        <v>0</v>
      </c>
      <c r="U142" s="20">
        <v>0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E142" s="20" t="str">
        <v/>
      </c>
      <c r="AF142" s="20">
        <v>0</v>
      </c>
      <c r="AG142" s="22" t="e">
        <v>#VALUE!</v>
      </c>
      <c r="AI142" s="20">
        <v>0</v>
      </c>
      <c r="AJ142" s="20">
        <v>0</v>
      </c>
      <c r="AK142" s="20">
        <v>0</v>
      </c>
      <c r="AL142" s="20">
        <v>0</v>
      </c>
      <c r="AM142" s="20">
        <v>0</v>
      </c>
      <c r="AN142" s="20">
        <v>0</v>
      </c>
      <c r="AO142" s="20">
        <v>0</v>
      </c>
      <c r="AP142" s="20">
        <v>0</v>
      </c>
      <c r="AQ142" s="20">
        <v>0</v>
      </c>
      <c r="AR142" s="20">
        <v>0</v>
      </c>
      <c r="AS142" s="20">
        <v>0</v>
      </c>
      <c r="AT142" s="20">
        <v>0</v>
      </c>
      <c r="AU142" s="20">
        <v>0</v>
      </c>
      <c r="AV142" s="20">
        <v>0</v>
      </c>
      <c r="AW142" s="20">
        <v>0</v>
      </c>
      <c r="AX142" s="20">
        <v>0</v>
      </c>
      <c r="AY142" s="20">
        <v>0</v>
      </c>
      <c r="AZ142" s="20">
        <v>0</v>
      </c>
      <c r="BA142" s="20">
        <v>0</v>
      </c>
      <c r="BB142" s="20">
        <v>0</v>
      </c>
      <c r="BC142" s="20">
        <v>0</v>
      </c>
      <c r="BD142" s="20">
        <v>0</v>
      </c>
      <c r="BE142" s="20">
        <v>0</v>
      </c>
      <c r="BF142" s="20">
        <v>0</v>
      </c>
      <c r="BG142" s="20">
        <v>0</v>
      </c>
      <c r="BH142" s="20">
        <v>0</v>
      </c>
      <c r="BI142" s="20">
        <v>0</v>
      </c>
      <c r="BJ142" s="20">
        <v>0</v>
      </c>
      <c r="BK142" s="20">
        <v>0</v>
      </c>
      <c r="BL142" s="20">
        <v>0</v>
      </c>
      <c r="BM142" s="20">
        <v>0</v>
      </c>
      <c r="BN142" s="22">
        <v>0</v>
      </c>
      <c r="BO142" s="22">
        <v>0</v>
      </c>
      <c r="BP142" s="22">
        <v>0</v>
      </c>
      <c r="BR142" s="20" t="str">
        <v/>
      </c>
      <c r="CH142" s="20">
        <v>0</v>
      </c>
      <c r="CI142" s="20">
        <v>0</v>
      </c>
      <c r="CJ142" s="20">
        <v>0</v>
      </c>
      <c r="CK142" s="20" t="str">
        <v/>
      </c>
      <c r="CL142" s="20" t="str">
        <v/>
      </c>
      <c r="CN142" s="20">
        <v>0</v>
      </c>
      <c r="CO142" s="20">
        <v>0</v>
      </c>
      <c r="CP142" s="20">
        <v>0</v>
      </c>
      <c r="CQ142" s="20">
        <v>0</v>
      </c>
      <c r="CR142" s="20">
        <v>0</v>
      </c>
      <c r="CS142" s="20">
        <v>0</v>
      </c>
      <c r="CT142" s="20">
        <v>0</v>
      </c>
      <c r="CU142" s="20">
        <v>0</v>
      </c>
      <c r="CV142" s="20">
        <v>0</v>
      </c>
      <c r="CW142" s="20">
        <v>0</v>
      </c>
      <c r="CX142" s="20">
        <v>0</v>
      </c>
      <c r="CY142" s="20">
        <v>0</v>
      </c>
      <c r="CZ142" s="20">
        <v>0</v>
      </c>
      <c r="DA142" s="19">
        <v>0</v>
      </c>
      <c r="DB142" s="20">
        <v>0</v>
      </c>
      <c r="DC142" s="25">
        <v>0</v>
      </c>
      <c r="DD142" s="20">
        <v>0</v>
      </c>
      <c r="DE142" s="20">
        <v>0</v>
      </c>
      <c r="DF142" s="20">
        <v>0</v>
      </c>
      <c r="DG142" s="20">
        <v>0</v>
      </c>
      <c r="DH142" s="20">
        <v>0</v>
      </c>
      <c r="DI142" s="20">
        <v>0</v>
      </c>
    </row>
    <row r="143" spans="1:113">
      <c r="A143" s="20" t="str">
        <v>00:00:00</v>
      </c>
      <c r="B143" s="19">
        <v>0</v>
      </c>
      <c r="C143" s="21">
        <v>0</v>
      </c>
      <c r="D143" s="20" t="str">
        <v>未匹配</v>
      </c>
      <c r="E143" s="20">
        <v>0</v>
      </c>
      <c r="I143" s="20" t="str">
        <v/>
      </c>
      <c r="J143" s="20">
        <v>0</v>
      </c>
      <c r="K143" s="22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  <c r="U143" s="20">
        <v>0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E143" s="20" t="str">
        <v/>
      </c>
      <c r="AF143" s="20">
        <v>0</v>
      </c>
      <c r="AG143" s="22" t="e">
        <v>#VALUE!</v>
      </c>
      <c r="AI143" s="20">
        <v>0</v>
      </c>
      <c r="AJ143" s="20">
        <v>0</v>
      </c>
      <c r="AK143" s="20">
        <v>0</v>
      </c>
      <c r="AL143" s="20">
        <v>0</v>
      </c>
      <c r="AM143" s="20">
        <v>0</v>
      </c>
      <c r="AN143" s="20">
        <v>0</v>
      </c>
      <c r="AO143" s="20">
        <v>0</v>
      </c>
      <c r="AP143" s="20">
        <v>0</v>
      </c>
      <c r="AQ143" s="20">
        <v>0</v>
      </c>
      <c r="AR143" s="20">
        <v>0</v>
      </c>
      <c r="AS143" s="20">
        <v>0</v>
      </c>
      <c r="AT143" s="20">
        <v>0</v>
      </c>
      <c r="AU143" s="20">
        <v>0</v>
      </c>
      <c r="AV143" s="20">
        <v>0</v>
      </c>
      <c r="AW143" s="20">
        <v>0</v>
      </c>
      <c r="AX143" s="20">
        <v>0</v>
      </c>
      <c r="AY143" s="20">
        <v>0</v>
      </c>
      <c r="AZ143" s="20">
        <v>0</v>
      </c>
      <c r="BA143" s="20">
        <v>0</v>
      </c>
      <c r="BB143" s="20">
        <v>0</v>
      </c>
      <c r="BC143" s="20">
        <v>0</v>
      </c>
      <c r="BD143" s="20">
        <v>0</v>
      </c>
      <c r="BE143" s="20">
        <v>0</v>
      </c>
      <c r="BF143" s="20">
        <v>0</v>
      </c>
      <c r="BG143" s="20">
        <v>0</v>
      </c>
      <c r="BH143" s="20">
        <v>0</v>
      </c>
      <c r="BI143" s="20">
        <v>0</v>
      </c>
      <c r="BJ143" s="20">
        <v>0</v>
      </c>
      <c r="BK143" s="20">
        <v>0</v>
      </c>
      <c r="BL143" s="20">
        <v>0</v>
      </c>
      <c r="BM143" s="20">
        <v>0</v>
      </c>
      <c r="BN143" s="22">
        <v>0</v>
      </c>
      <c r="BO143" s="22">
        <v>0</v>
      </c>
      <c r="BP143" s="22">
        <v>0</v>
      </c>
      <c r="BR143" s="20" t="str">
        <v/>
      </c>
      <c r="CH143" s="20">
        <v>0</v>
      </c>
      <c r="CI143" s="20">
        <v>0</v>
      </c>
      <c r="CJ143" s="20">
        <v>0</v>
      </c>
      <c r="CK143" s="20" t="str">
        <v/>
      </c>
      <c r="CL143" s="20" t="str">
        <v/>
      </c>
      <c r="CN143" s="20">
        <v>0</v>
      </c>
      <c r="CO143" s="20">
        <v>0</v>
      </c>
      <c r="CP143" s="20">
        <v>0</v>
      </c>
      <c r="CQ143" s="20">
        <v>0</v>
      </c>
      <c r="CR143" s="20">
        <v>0</v>
      </c>
      <c r="CS143" s="20">
        <v>0</v>
      </c>
      <c r="CT143" s="20">
        <v>0</v>
      </c>
      <c r="CU143" s="20">
        <v>0</v>
      </c>
      <c r="CV143" s="20">
        <v>0</v>
      </c>
      <c r="CW143" s="20">
        <v>0</v>
      </c>
      <c r="CX143" s="20">
        <v>0</v>
      </c>
      <c r="CY143" s="20">
        <v>0</v>
      </c>
      <c r="CZ143" s="20">
        <v>0</v>
      </c>
      <c r="DA143" s="19">
        <v>0</v>
      </c>
      <c r="DB143" s="20">
        <v>0</v>
      </c>
      <c r="DC143" s="25">
        <v>0</v>
      </c>
      <c r="DD143" s="20">
        <v>0</v>
      </c>
      <c r="DE143" s="20">
        <v>0</v>
      </c>
      <c r="DF143" s="20">
        <v>0</v>
      </c>
      <c r="DG143" s="20">
        <v>0</v>
      </c>
      <c r="DH143" s="20">
        <v>0</v>
      </c>
      <c r="DI143" s="20">
        <v>0</v>
      </c>
    </row>
    <row r="144" spans="1:113">
      <c r="A144" s="20" t="str">
        <v>00:00:00</v>
      </c>
      <c r="B144" s="19">
        <v>0</v>
      </c>
      <c r="C144" s="21">
        <v>0</v>
      </c>
      <c r="D144" s="20" t="str">
        <v>未匹配</v>
      </c>
      <c r="E144" s="20">
        <v>0</v>
      </c>
      <c r="I144" s="20" t="str">
        <v/>
      </c>
      <c r="J144" s="20">
        <v>0</v>
      </c>
      <c r="K144" s="22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  <c r="U144" s="20">
        <v>0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E144" s="20" t="str">
        <v/>
      </c>
      <c r="AF144" s="20">
        <v>0</v>
      </c>
      <c r="AG144" s="22" t="e">
        <v>#VALUE!</v>
      </c>
      <c r="AI144" s="20">
        <v>0</v>
      </c>
      <c r="AJ144" s="20">
        <v>0</v>
      </c>
      <c r="AK144" s="20">
        <v>0</v>
      </c>
      <c r="AL144" s="20">
        <v>0</v>
      </c>
      <c r="AM144" s="20">
        <v>0</v>
      </c>
      <c r="AN144" s="20">
        <v>0</v>
      </c>
      <c r="AO144" s="20">
        <v>0</v>
      </c>
      <c r="AP144" s="20">
        <v>0</v>
      </c>
      <c r="AQ144" s="20">
        <v>0</v>
      </c>
      <c r="AR144" s="20">
        <v>0</v>
      </c>
      <c r="AS144" s="20">
        <v>0</v>
      </c>
      <c r="AT144" s="20">
        <v>0</v>
      </c>
      <c r="AU144" s="20">
        <v>0</v>
      </c>
      <c r="AV144" s="20">
        <v>0</v>
      </c>
      <c r="AW144" s="20">
        <v>0</v>
      </c>
      <c r="AX144" s="20">
        <v>0</v>
      </c>
      <c r="AY144" s="20">
        <v>0</v>
      </c>
      <c r="AZ144" s="20">
        <v>0</v>
      </c>
      <c r="BA144" s="20">
        <v>0</v>
      </c>
      <c r="BB144" s="20">
        <v>0</v>
      </c>
      <c r="BC144" s="20">
        <v>0</v>
      </c>
      <c r="BD144" s="20">
        <v>0</v>
      </c>
      <c r="BE144" s="20">
        <v>0</v>
      </c>
      <c r="BF144" s="20">
        <v>0</v>
      </c>
      <c r="BG144" s="20">
        <v>0</v>
      </c>
      <c r="BH144" s="20">
        <v>0</v>
      </c>
      <c r="BI144" s="20">
        <v>0</v>
      </c>
      <c r="BJ144" s="20">
        <v>0</v>
      </c>
      <c r="BK144" s="20">
        <v>0</v>
      </c>
      <c r="BL144" s="20">
        <v>0</v>
      </c>
      <c r="BM144" s="20">
        <v>0</v>
      </c>
      <c r="BN144" s="22">
        <v>0</v>
      </c>
      <c r="BO144" s="22">
        <v>0</v>
      </c>
      <c r="BP144" s="22">
        <v>0</v>
      </c>
      <c r="BR144" s="20" t="str">
        <v/>
      </c>
      <c r="CH144" s="20">
        <v>0</v>
      </c>
      <c r="CI144" s="20">
        <v>0</v>
      </c>
      <c r="CJ144" s="20">
        <v>0</v>
      </c>
      <c r="CK144" s="20" t="str">
        <v/>
      </c>
      <c r="CL144" s="20" t="str">
        <v/>
      </c>
      <c r="CN144" s="20">
        <v>0</v>
      </c>
      <c r="CO144" s="20">
        <v>0</v>
      </c>
      <c r="CP144" s="20">
        <v>0</v>
      </c>
      <c r="CQ144" s="20">
        <v>0</v>
      </c>
      <c r="CR144" s="20">
        <v>0</v>
      </c>
      <c r="CS144" s="20">
        <v>0</v>
      </c>
      <c r="CT144" s="20">
        <v>0</v>
      </c>
      <c r="CU144" s="20">
        <v>0</v>
      </c>
      <c r="CV144" s="20">
        <v>0</v>
      </c>
      <c r="CW144" s="20">
        <v>0</v>
      </c>
      <c r="CX144" s="20">
        <v>0</v>
      </c>
      <c r="CY144" s="20">
        <v>0</v>
      </c>
      <c r="CZ144" s="20">
        <v>0</v>
      </c>
      <c r="DA144" s="19">
        <v>0</v>
      </c>
      <c r="DB144" s="20">
        <v>0</v>
      </c>
      <c r="DC144" s="25">
        <v>0</v>
      </c>
      <c r="DD144" s="20">
        <v>0</v>
      </c>
      <c r="DE144" s="20">
        <v>0</v>
      </c>
      <c r="DF144" s="20">
        <v>0</v>
      </c>
      <c r="DG144" s="20">
        <v>0</v>
      </c>
      <c r="DH144" s="20">
        <v>0</v>
      </c>
      <c r="DI144" s="20">
        <v>0</v>
      </c>
    </row>
    <row r="145" spans="1:113">
      <c r="A145" s="20" t="str">
        <v>00:00:00</v>
      </c>
      <c r="B145" s="19">
        <v>0</v>
      </c>
      <c r="C145" s="21">
        <v>0</v>
      </c>
      <c r="D145" s="20" t="str">
        <v>未匹配</v>
      </c>
      <c r="E145" s="20">
        <v>0</v>
      </c>
      <c r="I145" s="20" t="str">
        <v/>
      </c>
      <c r="J145" s="20">
        <v>0</v>
      </c>
      <c r="K145" s="22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  <c r="U145" s="20">
        <v>0</v>
      </c>
      <c r="V145" s="20">
        <v>0</v>
      </c>
      <c r="W145" s="20">
        <v>0</v>
      </c>
      <c r="X145" s="20">
        <v>0</v>
      </c>
      <c r="Y145" s="20">
        <v>0</v>
      </c>
      <c r="Z145" s="20">
        <v>0</v>
      </c>
      <c r="AA145" s="20">
        <v>0</v>
      </c>
      <c r="AB145" s="20">
        <v>0</v>
      </c>
      <c r="AC145" s="20">
        <v>0</v>
      </c>
      <c r="AE145" s="20" t="str">
        <v/>
      </c>
      <c r="AF145" s="20">
        <v>0</v>
      </c>
      <c r="AG145" s="22" t="e">
        <v>#VALUE!</v>
      </c>
      <c r="AI145" s="20">
        <v>0</v>
      </c>
      <c r="AJ145" s="20">
        <v>0</v>
      </c>
      <c r="AK145" s="20">
        <v>0</v>
      </c>
      <c r="AL145" s="20">
        <v>0</v>
      </c>
      <c r="AM145" s="20">
        <v>0</v>
      </c>
      <c r="AN145" s="20">
        <v>0</v>
      </c>
      <c r="AO145" s="20">
        <v>0</v>
      </c>
      <c r="AP145" s="20">
        <v>0</v>
      </c>
      <c r="AQ145" s="20">
        <v>0</v>
      </c>
      <c r="AR145" s="20">
        <v>0</v>
      </c>
      <c r="AS145" s="20">
        <v>0</v>
      </c>
      <c r="AT145" s="20">
        <v>0</v>
      </c>
      <c r="AU145" s="20">
        <v>0</v>
      </c>
      <c r="AV145" s="20">
        <v>0</v>
      </c>
      <c r="AW145" s="20">
        <v>0</v>
      </c>
      <c r="AX145" s="20">
        <v>0</v>
      </c>
      <c r="AY145" s="20">
        <v>0</v>
      </c>
      <c r="AZ145" s="20">
        <v>0</v>
      </c>
      <c r="BA145" s="20">
        <v>0</v>
      </c>
      <c r="BB145" s="20">
        <v>0</v>
      </c>
      <c r="BC145" s="20">
        <v>0</v>
      </c>
      <c r="BD145" s="20">
        <v>0</v>
      </c>
      <c r="BE145" s="20">
        <v>0</v>
      </c>
      <c r="BF145" s="20">
        <v>0</v>
      </c>
      <c r="BG145" s="20">
        <v>0</v>
      </c>
      <c r="BH145" s="20">
        <v>0</v>
      </c>
      <c r="BI145" s="20">
        <v>0</v>
      </c>
      <c r="BJ145" s="20">
        <v>0</v>
      </c>
      <c r="BK145" s="20">
        <v>0</v>
      </c>
      <c r="BL145" s="20">
        <v>0</v>
      </c>
      <c r="BM145" s="20">
        <v>0</v>
      </c>
      <c r="BN145" s="22">
        <v>0</v>
      </c>
      <c r="BO145" s="22">
        <v>0</v>
      </c>
      <c r="BP145" s="22">
        <v>0</v>
      </c>
      <c r="BR145" s="20" t="str">
        <v/>
      </c>
      <c r="CH145" s="20">
        <v>0</v>
      </c>
      <c r="CI145" s="20">
        <v>0</v>
      </c>
      <c r="CJ145" s="20">
        <v>0</v>
      </c>
      <c r="CK145" s="20" t="str">
        <v/>
      </c>
      <c r="CL145" s="20" t="str">
        <v/>
      </c>
      <c r="CN145" s="20">
        <v>0</v>
      </c>
      <c r="CO145" s="20">
        <v>0</v>
      </c>
      <c r="CP145" s="20">
        <v>0</v>
      </c>
      <c r="CQ145" s="20">
        <v>0</v>
      </c>
      <c r="CR145" s="20">
        <v>0</v>
      </c>
      <c r="CS145" s="20">
        <v>0</v>
      </c>
      <c r="CT145" s="20">
        <v>0</v>
      </c>
      <c r="CU145" s="20">
        <v>0</v>
      </c>
      <c r="CV145" s="20">
        <v>0</v>
      </c>
      <c r="CW145" s="20">
        <v>0</v>
      </c>
      <c r="CX145" s="20">
        <v>0</v>
      </c>
      <c r="CY145" s="20">
        <v>0</v>
      </c>
      <c r="CZ145" s="20">
        <v>0</v>
      </c>
      <c r="DA145" s="19">
        <v>0</v>
      </c>
      <c r="DB145" s="20">
        <v>0</v>
      </c>
      <c r="DC145" s="25">
        <v>0</v>
      </c>
      <c r="DD145" s="20">
        <v>0</v>
      </c>
      <c r="DE145" s="20">
        <v>0</v>
      </c>
      <c r="DF145" s="20">
        <v>0</v>
      </c>
      <c r="DG145" s="20">
        <v>0</v>
      </c>
      <c r="DH145" s="20">
        <v>0</v>
      </c>
      <c r="DI145" s="20">
        <v>0</v>
      </c>
    </row>
    <row r="146" spans="1:113">
      <c r="A146" s="20" t="str">
        <v>00:00:00</v>
      </c>
      <c r="B146" s="19">
        <v>0</v>
      </c>
      <c r="C146" s="21">
        <v>0</v>
      </c>
      <c r="D146" s="20" t="str">
        <v>未匹配</v>
      </c>
      <c r="E146" s="20">
        <v>0</v>
      </c>
      <c r="I146" s="20" t="str">
        <v/>
      </c>
      <c r="J146" s="20">
        <v>0</v>
      </c>
      <c r="K146" s="22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0">
        <v>0</v>
      </c>
      <c r="V146" s="20">
        <v>0</v>
      </c>
      <c r="W146" s="20">
        <v>0</v>
      </c>
      <c r="X146" s="20">
        <v>0</v>
      </c>
      <c r="Y146" s="20">
        <v>0</v>
      </c>
      <c r="Z146" s="20">
        <v>0</v>
      </c>
      <c r="AA146" s="20">
        <v>0</v>
      </c>
      <c r="AB146" s="20">
        <v>0</v>
      </c>
      <c r="AC146" s="20">
        <v>0</v>
      </c>
      <c r="AE146" s="20" t="str">
        <v/>
      </c>
      <c r="AF146" s="20">
        <v>0</v>
      </c>
      <c r="AG146" s="22" t="e">
        <v>#VALUE!</v>
      </c>
      <c r="AI146" s="20">
        <v>0</v>
      </c>
      <c r="AJ146" s="20">
        <v>0</v>
      </c>
      <c r="AK146" s="20">
        <v>0</v>
      </c>
      <c r="AL146" s="20">
        <v>0</v>
      </c>
      <c r="AM146" s="20">
        <v>0</v>
      </c>
      <c r="AN146" s="20">
        <v>0</v>
      </c>
      <c r="AO146" s="20">
        <v>0</v>
      </c>
      <c r="AP146" s="20">
        <v>0</v>
      </c>
      <c r="AQ146" s="20">
        <v>0</v>
      </c>
      <c r="AR146" s="20">
        <v>0</v>
      </c>
      <c r="AS146" s="20">
        <v>0</v>
      </c>
      <c r="AT146" s="20">
        <v>0</v>
      </c>
      <c r="AU146" s="20">
        <v>0</v>
      </c>
      <c r="AV146" s="20">
        <v>0</v>
      </c>
      <c r="AW146" s="20">
        <v>0</v>
      </c>
      <c r="AX146" s="20">
        <v>0</v>
      </c>
      <c r="AY146" s="20">
        <v>0</v>
      </c>
      <c r="AZ146" s="20">
        <v>0</v>
      </c>
      <c r="BA146" s="20">
        <v>0</v>
      </c>
      <c r="BB146" s="20">
        <v>0</v>
      </c>
      <c r="BC146" s="20">
        <v>0</v>
      </c>
      <c r="BD146" s="20">
        <v>0</v>
      </c>
      <c r="BE146" s="20">
        <v>0</v>
      </c>
      <c r="BF146" s="20">
        <v>0</v>
      </c>
      <c r="BG146" s="20">
        <v>0</v>
      </c>
      <c r="BH146" s="20">
        <v>0</v>
      </c>
      <c r="BI146" s="20">
        <v>0</v>
      </c>
      <c r="BJ146" s="20">
        <v>0</v>
      </c>
      <c r="BK146" s="20">
        <v>0</v>
      </c>
      <c r="BL146" s="20">
        <v>0</v>
      </c>
      <c r="BM146" s="20">
        <v>0</v>
      </c>
      <c r="BN146" s="22">
        <v>0</v>
      </c>
      <c r="BO146" s="22">
        <v>0</v>
      </c>
      <c r="BP146" s="22">
        <v>0</v>
      </c>
      <c r="BR146" s="20" t="str">
        <v/>
      </c>
      <c r="CH146" s="20">
        <v>0</v>
      </c>
      <c r="CI146" s="20">
        <v>0</v>
      </c>
      <c r="CJ146" s="20">
        <v>0</v>
      </c>
      <c r="CK146" s="20" t="str">
        <v/>
      </c>
      <c r="CL146" s="20" t="str">
        <v/>
      </c>
      <c r="CN146" s="20">
        <v>0</v>
      </c>
      <c r="CO146" s="20">
        <v>0</v>
      </c>
      <c r="CP146" s="20">
        <v>0</v>
      </c>
      <c r="CQ146" s="20">
        <v>0</v>
      </c>
      <c r="CR146" s="20">
        <v>0</v>
      </c>
      <c r="CS146" s="20">
        <v>0</v>
      </c>
      <c r="CT146" s="20">
        <v>0</v>
      </c>
      <c r="CU146" s="20">
        <v>0</v>
      </c>
      <c r="CV146" s="20">
        <v>0</v>
      </c>
      <c r="CW146" s="20">
        <v>0</v>
      </c>
      <c r="CX146" s="20">
        <v>0</v>
      </c>
      <c r="CY146" s="20">
        <v>0</v>
      </c>
      <c r="CZ146" s="20">
        <v>0</v>
      </c>
      <c r="DA146" s="19">
        <v>0</v>
      </c>
      <c r="DB146" s="20">
        <v>0</v>
      </c>
      <c r="DC146" s="25">
        <v>0</v>
      </c>
      <c r="DD146" s="20">
        <v>0</v>
      </c>
      <c r="DE146" s="20">
        <v>0</v>
      </c>
      <c r="DF146" s="20">
        <v>0</v>
      </c>
      <c r="DG146" s="20">
        <v>0</v>
      </c>
      <c r="DH146" s="20">
        <v>0</v>
      </c>
      <c r="DI146" s="20">
        <v>0</v>
      </c>
    </row>
    <row r="147" spans="1:113">
      <c r="A147" s="20" t="str">
        <v>00:00:00</v>
      </c>
      <c r="B147" s="19">
        <v>0</v>
      </c>
      <c r="C147" s="21">
        <v>0</v>
      </c>
      <c r="D147" s="20" t="str">
        <v>未匹配</v>
      </c>
      <c r="E147" s="20">
        <v>0</v>
      </c>
      <c r="I147" s="20" t="str">
        <v/>
      </c>
      <c r="J147" s="20">
        <v>0</v>
      </c>
      <c r="K147" s="22">
        <v>0</v>
      </c>
      <c r="M147" s="20">
        <v>0</v>
      </c>
      <c r="N147" s="20">
        <v>0</v>
      </c>
      <c r="O147" s="20">
        <v>0</v>
      </c>
      <c r="P147" s="20">
        <v>0</v>
      </c>
      <c r="Q147" s="20">
        <v>0</v>
      </c>
      <c r="R147" s="20">
        <v>0</v>
      </c>
      <c r="S147" s="20">
        <v>0</v>
      </c>
      <c r="T147" s="20">
        <v>0</v>
      </c>
      <c r="U147" s="20">
        <v>0</v>
      </c>
      <c r="V147" s="20">
        <v>0</v>
      </c>
      <c r="W147" s="20">
        <v>0</v>
      </c>
      <c r="X147" s="20">
        <v>0</v>
      </c>
      <c r="Y147" s="20">
        <v>0</v>
      </c>
      <c r="Z147" s="20">
        <v>0</v>
      </c>
      <c r="AA147" s="20">
        <v>0</v>
      </c>
      <c r="AB147" s="20">
        <v>0</v>
      </c>
      <c r="AC147" s="20">
        <v>0</v>
      </c>
      <c r="AE147" s="20" t="str">
        <v/>
      </c>
      <c r="AF147" s="20">
        <v>0</v>
      </c>
      <c r="AG147" s="22" t="e">
        <v>#VALUE!</v>
      </c>
      <c r="AI147" s="20">
        <v>0</v>
      </c>
      <c r="AJ147" s="20">
        <v>0</v>
      </c>
      <c r="AK147" s="20">
        <v>0</v>
      </c>
      <c r="AL147" s="20">
        <v>0</v>
      </c>
      <c r="AM147" s="20">
        <v>0</v>
      </c>
      <c r="AN147" s="20">
        <v>0</v>
      </c>
      <c r="AO147" s="20">
        <v>0</v>
      </c>
      <c r="AP147" s="20">
        <v>0</v>
      </c>
      <c r="AQ147" s="20">
        <v>0</v>
      </c>
      <c r="AR147" s="20">
        <v>0</v>
      </c>
      <c r="AS147" s="20">
        <v>0</v>
      </c>
      <c r="AT147" s="20">
        <v>0</v>
      </c>
      <c r="AU147" s="20">
        <v>0</v>
      </c>
      <c r="AV147" s="20">
        <v>0</v>
      </c>
      <c r="AW147" s="20">
        <v>0</v>
      </c>
      <c r="AX147" s="20">
        <v>0</v>
      </c>
      <c r="AY147" s="20">
        <v>0</v>
      </c>
      <c r="AZ147" s="20">
        <v>0</v>
      </c>
      <c r="BA147" s="20">
        <v>0</v>
      </c>
      <c r="BB147" s="20">
        <v>0</v>
      </c>
      <c r="BC147" s="20">
        <v>0</v>
      </c>
      <c r="BD147" s="20">
        <v>0</v>
      </c>
      <c r="BE147" s="20">
        <v>0</v>
      </c>
      <c r="BF147" s="20">
        <v>0</v>
      </c>
      <c r="BG147" s="20">
        <v>0</v>
      </c>
      <c r="BH147" s="20">
        <v>0</v>
      </c>
      <c r="BI147" s="20">
        <v>0</v>
      </c>
      <c r="BJ147" s="20">
        <v>0</v>
      </c>
      <c r="BK147" s="20">
        <v>0</v>
      </c>
      <c r="BL147" s="20">
        <v>0</v>
      </c>
      <c r="BM147" s="20">
        <v>0</v>
      </c>
      <c r="BN147" s="22">
        <v>0</v>
      </c>
      <c r="BO147" s="22">
        <v>0</v>
      </c>
      <c r="BP147" s="22">
        <v>0</v>
      </c>
      <c r="BR147" s="20" t="str">
        <v/>
      </c>
      <c r="CH147" s="20">
        <v>0</v>
      </c>
      <c r="CI147" s="20">
        <v>0</v>
      </c>
      <c r="CJ147" s="20">
        <v>0</v>
      </c>
      <c r="CK147" s="20" t="str">
        <v/>
      </c>
      <c r="CL147" s="20" t="str">
        <v/>
      </c>
      <c r="CN147" s="20">
        <v>0</v>
      </c>
      <c r="CO147" s="20">
        <v>0</v>
      </c>
      <c r="CP147" s="20">
        <v>0</v>
      </c>
      <c r="CQ147" s="20">
        <v>0</v>
      </c>
      <c r="CR147" s="20">
        <v>0</v>
      </c>
      <c r="CS147" s="20">
        <v>0</v>
      </c>
      <c r="CT147" s="20">
        <v>0</v>
      </c>
      <c r="CU147" s="20">
        <v>0</v>
      </c>
      <c r="CV147" s="20">
        <v>0</v>
      </c>
      <c r="CW147" s="20">
        <v>0</v>
      </c>
      <c r="CX147" s="20">
        <v>0</v>
      </c>
      <c r="CY147" s="20">
        <v>0</v>
      </c>
      <c r="CZ147" s="20">
        <v>0</v>
      </c>
      <c r="DA147" s="19">
        <v>0</v>
      </c>
      <c r="DB147" s="20">
        <v>0</v>
      </c>
      <c r="DC147" s="25">
        <v>0</v>
      </c>
      <c r="DD147" s="20">
        <v>0</v>
      </c>
      <c r="DE147" s="20">
        <v>0</v>
      </c>
      <c r="DF147" s="20">
        <v>0</v>
      </c>
      <c r="DG147" s="20">
        <v>0</v>
      </c>
      <c r="DH147" s="20">
        <v>0</v>
      </c>
      <c r="DI147" s="20">
        <v>0</v>
      </c>
    </row>
    <row r="148" spans="1:113">
      <c r="A148" s="20" t="str">
        <v>00:00:00</v>
      </c>
      <c r="B148" s="19">
        <v>0</v>
      </c>
      <c r="C148" s="21">
        <v>0</v>
      </c>
      <c r="D148" s="20" t="str">
        <v>未匹配</v>
      </c>
      <c r="E148" s="20">
        <v>0</v>
      </c>
      <c r="I148" s="20" t="str">
        <v/>
      </c>
      <c r="J148" s="20">
        <v>0</v>
      </c>
      <c r="K148" s="22">
        <v>0</v>
      </c>
      <c r="M148" s="20">
        <v>0</v>
      </c>
      <c r="N148" s="20">
        <v>0</v>
      </c>
      <c r="O148" s="20">
        <v>0</v>
      </c>
      <c r="P148" s="20">
        <v>0</v>
      </c>
      <c r="Q148" s="20">
        <v>0</v>
      </c>
      <c r="R148" s="20">
        <v>0</v>
      </c>
      <c r="S148" s="20">
        <v>0</v>
      </c>
      <c r="T148" s="20">
        <v>0</v>
      </c>
      <c r="U148" s="20">
        <v>0</v>
      </c>
      <c r="V148" s="20">
        <v>0</v>
      </c>
      <c r="W148" s="20">
        <v>0</v>
      </c>
      <c r="X148" s="20">
        <v>0</v>
      </c>
      <c r="Y148" s="20">
        <v>0</v>
      </c>
      <c r="Z148" s="20">
        <v>0</v>
      </c>
      <c r="AA148" s="20">
        <v>0</v>
      </c>
      <c r="AB148" s="20">
        <v>0</v>
      </c>
      <c r="AC148" s="20">
        <v>0</v>
      </c>
      <c r="AE148" s="20" t="str">
        <v/>
      </c>
      <c r="AF148" s="20">
        <v>0</v>
      </c>
      <c r="AG148" s="22" t="e">
        <v>#VALUE!</v>
      </c>
      <c r="AI148" s="20">
        <v>0</v>
      </c>
      <c r="AJ148" s="20">
        <v>0</v>
      </c>
      <c r="AK148" s="20">
        <v>0</v>
      </c>
      <c r="AL148" s="20">
        <v>0</v>
      </c>
      <c r="AM148" s="20">
        <v>0</v>
      </c>
      <c r="AN148" s="20">
        <v>0</v>
      </c>
      <c r="AO148" s="20">
        <v>0</v>
      </c>
      <c r="AP148" s="20">
        <v>0</v>
      </c>
      <c r="AQ148" s="20">
        <v>0</v>
      </c>
      <c r="AR148" s="20">
        <v>0</v>
      </c>
      <c r="AS148" s="20">
        <v>0</v>
      </c>
      <c r="AT148" s="20">
        <v>0</v>
      </c>
      <c r="AU148" s="20">
        <v>0</v>
      </c>
      <c r="AV148" s="20">
        <v>0</v>
      </c>
      <c r="AW148" s="20">
        <v>0</v>
      </c>
      <c r="AX148" s="20">
        <v>0</v>
      </c>
      <c r="AY148" s="20">
        <v>0</v>
      </c>
      <c r="AZ148" s="20">
        <v>0</v>
      </c>
      <c r="BA148" s="20">
        <v>0</v>
      </c>
      <c r="BB148" s="20">
        <v>0</v>
      </c>
      <c r="BC148" s="20">
        <v>0</v>
      </c>
      <c r="BD148" s="20">
        <v>0</v>
      </c>
      <c r="BE148" s="20">
        <v>0</v>
      </c>
      <c r="BF148" s="20">
        <v>0</v>
      </c>
      <c r="BG148" s="20">
        <v>0</v>
      </c>
      <c r="BH148" s="20">
        <v>0</v>
      </c>
      <c r="BI148" s="20">
        <v>0</v>
      </c>
      <c r="BJ148" s="20">
        <v>0</v>
      </c>
      <c r="BK148" s="20">
        <v>0</v>
      </c>
      <c r="BL148" s="20">
        <v>0</v>
      </c>
      <c r="BM148" s="20">
        <v>0</v>
      </c>
      <c r="BN148" s="22">
        <v>0</v>
      </c>
      <c r="BO148" s="22">
        <v>0</v>
      </c>
      <c r="BP148" s="22">
        <v>0</v>
      </c>
      <c r="BR148" s="20" t="str">
        <v/>
      </c>
      <c r="CH148" s="20">
        <v>0</v>
      </c>
      <c r="CI148" s="20">
        <v>0</v>
      </c>
      <c r="CJ148" s="20">
        <v>0</v>
      </c>
      <c r="CK148" s="20" t="str">
        <v/>
      </c>
      <c r="CL148" s="20" t="str">
        <v/>
      </c>
      <c r="CN148" s="20">
        <v>0</v>
      </c>
      <c r="CO148" s="20">
        <v>0</v>
      </c>
      <c r="CP148" s="20">
        <v>0</v>
      </c>
      <c r="CQ148" s="20">
        <v>0</v>
      </c>
      <c r="CR148" s="20">
        <v>0</v>
      </c>
      <c r="CS148" s="20">
        <v>0</v>
      </c>
      <c r="CT148" s="20">
        <v>0</v>
      </c>
      <c r="CU148" s="20">
        <v>0</v>
      </c>
      <c r="CV148" s="20">
        <v>0</v>
      </c>
      <c r="CW148" s="20">
        <v>0</v>
      </c>
      <c r="CX148" s="20">
        <v>0</v>
      </c>
      <c r="CY148" s="20">
        <v>0</v>
      </c>
      <c r="CZ148" s="20">
        <v>0</v>
      </c>
      <c r="DA148" s="19">
        <v>0</v>
      </c>
      <c r="DB148" s="20">
        <v>0</v>
      </c>
      <c r="DC148" s="25">
        <v>0</v>
      </c>
      <c r="DD148" s="20">
        <v>0</v>
      </c>
      <c r="DE148" s="20">
        <v>0</v>
      </c>
      <c r="DF148" s="20">
        <v>0</v>
      </c>
      <c r="DG148" s="20">
        <v>0</v>
      </c>
      <c r="DH148" s="20">
        <v>0</v>
      </c>
      <c r="DI148" s="20">
        <v>0</v>
      </c>
    </row>
    <row r="149" spans="1:113">
      <c r="A149" s="20" t="str">
        <v>00:00:00</v>
      </c>
      <c r="B149" s="19">
        <v>0</v>
      </c>
      <c r="C149" s="21">
        <v>0</v>
      </c>
      <c r="D149" s="20" t="str">
        <v>未匹配</v>
      </c>
      <c r="E149" s="20">
        <v>0</v>
      </c>
      <c r="I149" s="20" t="str">
        <v/>
      </c>
      <c r="J149" s="20">
        <v>0</v>
      </c>
      <c r="K149" s="22">
        <v>0</v>
      </c>
      <c r="M149" s="20">
        <v>0</v>
      </c>
      <c r="N149" s="20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  <c r="U149" s="20">
        <v>0</v>
      </c>
      <c r="V149" s="20">
        <v>0</v>
      </c>
      <c r="W149" s="20">
        <v>0</v>
      </c>
      <c r="X149" s="20">
        <v>0</v>
      </c>
      <c r="Y149" s="20">
        <v>0</v>
      </c>
      <c r="Z149" s="20">
        <v>0</v>
      </c>
      <c r="AA149" s="20">
        <v>0</v>
      </c>
      <c r="AB149" s="20">
        <v>0</v>
      </c>
      <c r="AC149" s="20">
        <v>0</v>
      </c>
      <c r="AE149" s="20" t="str">
        <v/>
      </c>
      <c r="AF149" s="20">
        <v>0</v>
      </c>
      <c r="AG149" s="22" t="e">
        <v>#VALUE!</v>
      </c>
      <c r="AI149" s="20">
        <v>0</v>
      </c>
      <c r="AJ149" s="20">
        <v>0</v>
      </c>
      <c r="AK149" s="20">
        <v>0</v>
      </c>
      <c r="AL149" s="20">
        <v>0</v>
      </c>
      <c r="AM149" s="20">
        <v>0</v>
      </c>
      <c r="AN149" s="20">
        <v>0</v>
      </c>
      <c r="AO149" s="20">
        <v>0</v>
      </c>
      <c r="AP149" s="20">
        <v>0</v>
      </c>
      <c r="AQ149" s="20">
        <v>0</v>
      </c>
      <c r="AR149" s="20">
        <v>0</v>
      </c>
      <c r="AS149" s="20">
        <v>0</v>
      </c>
      <c r="AT149" s="20">
        <v>0</v>
      </c>
      <c r="AU149" s="20">
        <v>0</v>
      </c>
      <c r="AV149" s="20">
        <v>0</v>
      </c>
      <c r="AW149" s="20">
        <v>0</v>
      </c>
      <c r="AX149" s="20">
        <v>0</v>
      </c>
      <c r="AY149" s="20">
        <v>0</v>
      </c>
      <c r="AZ149" s="20">
        <v>0</v>
      </c>
      <c r="BA149" s="20">
        <v>0</v>
      </c>
      <c r="BB149" s="20">
        <v>0</v>
      </c>
      <c r="BC149" s="20">
        <v>0</v>
      </c>
      <c r="BD149" s="20">
        <v>0</v>
      </c>
      <c r="BE149" s="20">
        <v>0</v>
      </c>
      <c r="BF149" s="20">
        <v>0</v>
      </c>
      <c r="BG149" s="20">
        <v>0</v>
      </c>
      <c r="BH149" s="20">
        <v>0</v>
      </c>
      <c r="BI149" s="20">
        <v>0</v>
      </c>
      <c r="BJ149" s="20">
        <v>0</v>
      </c>
      <c r="BK149" s="20">
        <v>0</v>
      </c>
      <c r="BL149" s="20">
        <v>0</v>
      </c>
      <c r="BM149" s="20">
        <v>0</v>
      </c>
      <c r="BN149" s="22">
        <v>0</v>
      </c>
      <c r="BO149" s="22">
        <v>0</v>
      </c>
      <c r="BP149" s="22">
        <v>0</v>
      </c>
      <c r="BR149" s="20" t="str">
        <v/>
      </c>
      <c r="CH149" s="20">
        <v>0</v>
      </c>
      <c r="CI149" s="20">
        <v>0</v>
      </c>
      <c r="CJ149" s="20">
        <v>0</v>
      </c>
      <c r="CK149" s="20" t="str">
        <v/>
      </c>
      <c r="CL149" s="20" t="str">
        <v/>
      </c>
      <c r="CN149" s="20">
        <v>0</v>
      </c>
      <c r="CO149" s="20">
        <v>0</v>
      </c>
      <c r="CP149" s="20">
        <v>0</v>
      </c>
      <c r="CQ149" s="20">
        <v>0</v>
      </c>
      <c r="CR149" s="20">
        <v>0</v>
      </c>
      <c r="CS149" s="20">
        <v>0</v>
      </c>
      <c r="CT149" s="20">
        <v>0</v>
      </c>
      <c r="CU149" s="20">
        <v>0</v>
      </c>
      <c r="CV149" s="20">
        <v>0</v>
      </c>
      <c r="CW149" s="20">
        <v>0</v>
      </c>
      <c r="CX149" s="20">
        <v>0</v>
      </c>
      <c r="CY149" s="20">
        <v>0</v>
      </c>
      <c r="CZ149" s="20">
        <v>0</v>
      </c>
      <c r="DA149" s="19">
        <v>0</v>
      </c>
      <c r="DB149" s="20">
        <v>0</v>
      </c>
      <c r="DC149" s="25">
        <v>0</v>
      </c>
      <c r="DD149" s="20">
        <v>0</v>
      </c>
      <c r="DE149" s="20">
        <v>0</v>
      </c>
      <c r="DF149" s="20">
        <v>0</v>
      </c>
      <c r="DG149" s="20">
        <v>0</v>
      </c>
      <c r="DH149" s="20">
        <v>0</v>
      </c>
      <c r="DI149" s="20">
        <v>0</v>
      </c>
    </row>
    <row r="150" spans="1:113">
      <c r="A150" s="20" t="str">
        <v>00:00:00</v>
      </c>
      <c r="B150" s="19">
        <v>0</v>
      </c>
      <c r="C150" s="21">
        <v>0</v>
      </c>
      <c r="D150" s="20" t="str">
        <v>未匹配</v>
      </c>
      <c r="E150" s="20">
        <v>0</v>
      </c>
      <c r="I150" s="20" t="str">
        <v/>
      </c>
      <c r="J150" s="20">
        <v>0</v>
      </c>
      <c r="K150" s="22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0">
        <v>0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E150" s="20" t="str">
        <v/>
      </c>
      <c r="AF150" s="20">
        <v>0</v>
      </c>
      <c r="AG150" s="22" t="e">
        <v>#VALUE!</v>
      </c>
      <c r="AI150" s="20">
        <v>0</v>
      </c>
      <c r="AJ150" s="20">
        <v>0</v>
      </c>
      <c r="AK150" s="20">
        <v>0</v>
      </c>
      <c r="AL150" s="20">
        <v>0</v>
      </c>
      <c r="AM150" s="20">
        <v>0</v>
      </c>
      <c r="AN150" s="20">
        <v>0</v>
      </c>
      <c r="AO150" s="20">
        <v>0</v>
      </c>
      <c r="AP150" s="20">
        <v>0</v>
      </c>
      <c r="AQ150" s="20">
        <v>0</v>
      </c>
      <c r="AR150" s="20">
        <v>0</v>
      </c>
      <c r="AS150" s="20">
        <v>0</v>
      </c>
      <c r="AT150" s="20">
        <v>0</v>
      </c>
      <c r="AU150" s="20">
        <v>0</v>
      </c>
      <c r="AV150" s="20">
        <v>0</v>
      </c>
      <c r="AW150" s="20">
        <v>0</v>
      </c>
      <c r="AX150" s="20">
        <v>0</v>
      </c>
      <c r="AY150" s="20">
        <v>0</v>
      </c>
      <c r="AZ150" s="20">
        <v>0</v>
      </c>
      <c r="BA150" s="20">
        <v>0</v>
      </c>
      <c r="BB150" s="20">
        <v>0</v>
      </c>
      <c r="BC150" s="20">
        <v>0</v>
      </c>
      <c r="BD150" s="20">
        <v>0</v>
      </c>
      <c r="BE150" s="20">
        <v>0</v>
      </c>
      <c r="BF150" s="20">
        <v>0</v>
      </c>
      <c r="BG150" s="20">
        <v>0</v>
      </c>
      <c r="BH150" s="20">
        <v>0</v>
      </c>
      <c r="BI150" s="20">
        <v>0</v>
      </c>
      <c r="BJ150" s="20">
        <v>0</v>
      </c>
      <c r="BK150" s="20">
        <v>0</v>
      </c>
      <c r="BL150" s="20">
        <v>0</v>
      </c>
      <c r="BM150" s="20">
        <v>0</v>
      </c>
      <c r="BN150" s="22">
        <v>0</v>
      </c>
      <c r="BO150" s="22">
        <v>0</v>
      </c>
      <c r="BP150" s="22">
        <v>0</v>
      </c>
      <c r="BR150" s="20" t="str">
        <v/>
      </c>
      <c r="CH150" s="20">
        <v>0</v>
      </c>
      <c r="CI150" s="20">
        <v>0</v>
      </c>
      <c r="CJ150" s="20">
        <v>0</v>
      </c>
      <c r="CK150" s="20" t="str">
        <v/>
      </c>
      <c r="CL150" s="20" t="str">
        <v/>
      </c>
      <c r="CN150" s="20">
        <v>0</v>
      </c>
      <c r="CO150" s="20">
        <v>0</v>
      </c>
      <c r="CP150" s="20">
        <v>0</v>
      </c>
      <c r="CQ150" s="20">
        <v>0</v>
      </c>
      <c r="CR150" s="20">
        <v>0</v>
      </c>
      <c r="CS150" s="20">
        <v>0</v>
      </c>
      <c r="CT150" s="20">
        <v>0</v>
      </c>
      <c r="CU150" s="20">
        <v>0</v>
      </c>
      <c r="CV150" s="20">
        <v>0</v>
      </c>
      <c r="CW150" s="20">
        <v>0</v>
      </c>
      <c r="CX150" s="20">
        <v>0</v>
      </c>
      <c r="CY150" s="20">
        <v>0</v>
      </c>
      <c r="CZ150" s="20">
        <v>0</v>
      </c>
      <c r="DA150" s="19">
        <v>0</v>
      </c>
      <c r="DB150" s="20">
        <v>0</v>
      </c>
      <c r="DC150" s="25">
        <v>0</v>
      </c>
      <c r="DD150" s="20">
        <v>0</v>
      </c>
      <c r="DE150" s="20">
        <v>0</v>
      </c>
      <c r="DF150" s="20">
        <v>0</v>
      </c>
      <c r="DG150" s="20">
        <v>0</v>
      </c>
      <c r="DH150" s="20">
        <v>0</v>
      </c>
      <c r="DI150" s="20">
        <v>0</v>
      </c>
    </row>
    <row r="151" spans="1:113">
      <c r="A151" s="20" t="str">
        <v>00:00:00</v>
      </c>
      <c r="B151" s="19">
        <v>0</v>
      </c>
      <c r="C151" s="21">
        <v>0</v>
      </c>
      <c r="D151" s="20" t="str">
        <v>未匹配</v>
      </c>
      <c r="E151" s="20">
        <v>0</v>
      </c>
      <c r="I151" s="20" t="str">
        <v/>
      </c>
      <c r="J151" s="20">
        <v>0</v>
      </c>
      <c r="K151" s="22">
        <v>0</v>
      </c>
      <c r="M151" s="20">
        <v>0</v>
      </c>
      <c r="N151" s="20">
        <v>0</v>
      </c>
      <c r="O151" s="20">
        <v>0</v>
      </c>
      <c r="P151" s="20">
        <v>0</v>
      </c>
      <c r="Q151" s="20">
        <v>0</v>
      </c>
      <c r="R151" s="20">
        <v>0</v>
      </c>
      <c r="S151" s="20">
        <v>0</v>
      </c>
      <c r="T151" s="20">
        <v>0</v>
      </c>
      <c r="U151" s="20">
        <v>0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E151" s="20" t="str">
        <v/>
      </c>
      <c r="AF151" s="20">
        <v>0</v>
      </c>
      <c r="AG151" s="22" t="e">
        <v>#VALUE!</v>
      </c>
      <c r="AI151" s="20">
        <v>0</v>
      </c>
      <c r="AJ151" s="20">
        <v>0</v>
      </c>
      <c r="AK151" s="20">
        <v>0</v>
      </c>
      <c r="AL151" s="20">
        <v>0</v>
      </c>
      <c r="AM151" s="20">
        <v>0</v>
      </c>
      <c r="AN151" s="20">
        <v>0</v>
      </c>
      <c r="AO151" s="20">
        <v>0</v>
      </c>
      <c r="AP151" s="20">
        <v>0</v>
      </c>
      <c r="AQ151" s="20">
        <v>0</v>
      </c>
      <c r="AR151" s="20">
        <v>0</v>
      </c>
      <c r="AS151" s="20">
        <v>0</v>
      </c>
      <c r="AT151" s="20">
        <v>0</v>
      </c>
      <c r="AU151" s="20">
        <v>0</v>
      </c>
      <c r="AV151" s="20">
        <v>0</v>
      </c>
      <c r="AW151" s="20">
        <v>0</v>
      </c>
      <c r="AX151" s="20">
        <v>0</v>
      </c>
      <c r="AY151" s="20">
        <v>0</v>
      </c>
      <c r="AZ151" s="20">
        <v>0</v>
      </c>
      <c r="BA151" s="20">
        <v>0</v>
      </c>
      <c r="BB151" s="20">
        <v>0</v>
      </c>
      <c r="BC151" s="20">
        <v>0</v>
      </c>
      <c r="BD151" s="20">
        <v>0</v>
      </c>
      <c r="BE151" s="20">
        <v>0</v>
      </c>
      <c r="BF151" s="20">
        <v>0</v>
      </c>
      <c r="BG151" s="20">
        <v>0</v>
      </c>
      <c r="BH151" s="20">
        <v>0</v>
      </c>
      <c r="BI151" s="20">
        <v>0</v>
      </c>
      <c r="BJ151" s="20">
        <v>0</v>
      </c>
      <c r="BK151" s="20">
        <v>0</v>
      </c>
      <c r="BL151" s="20">
        <v>0</v>
      </c>
      <c r="BM151" s="20">
        <v>0</v>
      </c>
      <c r="BN151" s="22">
        <v>0</v>
      </c>
      <c r="BO151" s="22">
        <v>0</v>
      </c>
      <c r="BP151" s="22">
        <v>0</v>
      </c>
      <c r="BR151" s="20" t="str">
        <v/>
      </c>
      <c r="CH151" s="20">
        <v>0</v>
      </c>
      <c r="CI151" s="20">
        <v>0</v>
      </c>
      <c r="CJ151" s="20">
        <v>0</v>
      </c>
      <c r="CK151" s="20" t="str">
        <v/>
      </c>
      <c r="CL151" s="20" t="str">
        <v/>
      </c>
      <c r="CN151" s="20">
        <v>0</v>
      </c>
      <c r="CO151" s="20">
        <v>0</v>
      </c>
      <c r="CP151" s="20">
        <v>0</v>
      </c>
      <c r="CQ151" s="20">
        <v>0</v>
      </c>
      <c r="CR151" s="20">
        <v>0</v>
      </c>
      <c r="CS151" s="20">
        <v>0</v>
      </c>
      <c r="CT151" s="20">
        <v>0</v>
      </c>
      <c r="CU151" s="20">
        <v>0</v>
      </c>
      <c r="CV151" s="20">
        <v>0</v>
      </c>
      <c r="CW151" s="20">
        <v>0</v>
      </c>
      <c r="CX151" s="20">
        <v>0</v>
      </c>
      <c r="CY151" s="20">
        <v>0</v>
      </c>
      <c r="CZ151" s="20">
        <v>0</v>
      </c>
      <c r="DA151" s="19">
        <v>0</v>
      </c>
      <c r="DB151" s="20">
        <v>0</v>
      </c>
      <c r="DC151" s="25">
        <v>0</v>
      </c>
      <c r="DD151" s="20">
        <v>0</v>
      </c>
      <c r="DE151" s="20">
        <v>0</v>
      </c>
      <c r="DF151" s="20">
        <v>0</v>
      </c>
      <c r="DG151" s="20">
        <v>0</v>
      </c>
      <c r="DH151" s="20">
        <v>0</v>
      </c>
      <c r="DI151" s="20">
        <v>0</v>
      </c>
    </row>
    <row r="152" spans="1:113">
      <c r="A152" s="20" t="str">
        <v>00:00:00</v>
      </c>
      <c r="B152" s="19">
        <v>0</v>
      </c>
      <c r="C152" s="21">
        <v>0</v>
      </c>
      <c r="D152" s="20" t="str">
        <v>未匹配</v>
      </c>
      <c r="E152" s="20">
        <v>0</v>
      </c>
      <c r="I152" s="20" t="str">
        <v/>
      </c>
      <c r="J152" s="20">
        <v>0</v>
      </c>
      <c r="K152" s="22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20">
        <v>0</v>
      </c>
      <c r="U152" s="20">
        <v>0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E152" s="20" t="str">
        <v/>
      </c>
      <c r="AF152" s="20">
        <v>0</v>
      </c>
      <c r="AG152" s="22" t="e">
        <v>#VALUE!</v>
      </c>
      <c r="AI152" s="20">
        <v>0</v>
      </c>
      <c r="AJ152" s="20">
        <v>0</v>
      </c>
      <c r="AK152" s="20">
        <v>0</v>
      </c>
      <c r="AL152" s="20">
        <v>0</v>
      </c>
      <c r="AM152" s="20">
        <v>0</v>
      </c>
      <c r="AN152" s="20">
        <v>0</v>
      </c>
      <c r="AO152" s="20">
        <v>0</v>
      </c>
      <c r="AP152" s="20">
        <v>0</v>
      </c>
      <c r="AQ152" s="20">
        <v>0</v>
      </c>
      <c r="AR152" s="20">
        <v>0</v>
      </c>
      <c r="AS152" s="20">
        <v>0</v>
      </c>
      <c r="AT152" s="20">
        <v>0</v>
      </c>
      <c r="AU152" s="20">
        <v>0</v>
      </c>
      <c r="AV152" s="20">
        <v>0</v>
      </c>
      <c r="AW152" s="20">
        <v>0</v>
      </c>
      <c r="AX152" s="20">
        <v>0</v>
      </c>
      <c r="AY152" s="20">
        <v>0</v>
      </c>
      <c r="AZ152" s="20">
        <v>0</v>
      </c>
      <c r="BA152" s="20">
        <v>0</v>
      </c>
      <c r="BB152" s="20">
        <v>0</v>
      </c>
      <c r="BC152" s="20">
        <v>0</v>
      </c>
      <c r="BD152" s="20">
        <v>0</v>
      </c>
      <c r="BE152" s="20">
        <v>0</v>
      </c>
      <c r="BF152" s="20">
        <v>0</v>
      </c>
      <c r="BG152" s="20">
        <v>0</v>
      </c>
      <c r="BH152" s="20">
        <v>0</v>
      </c>
      <c r="BI152" s="20">
        <v>0</v>
      </c>
      <c r="BJ152" s="20">
        <v>0</v>
      </c>
      <c r="BK152" s="20">
        <v>0</v>
      </c>
      <c r="BL152" s="20">
        <v>0</v>
      </c>
      <c r="BM152" s="20">
        <v>0</v>
      </c>
      <c r="BN152" s="22">
        <v>0</v>
      </c>
      <c r="BO152" s="22">
        <v>0</v>
      </c>
      <c r="BP152" s="22">
        <v>0</v>
      </c>
      <c r="BR152" s="20" t="str">
        <v/>
      </c>
      <c r="CH152" s="20">
        <v>0</v>
      </c>
      <c r="CI152" s="20">
        <v>0</v>
      </c>
      <c r="CJ152" s="20">
        <v>0</v>
      </c>
      <c r="CK152" s="20" t="str">
        <v/>
      </c>
      <c r="CL152" s="20" t="str">
        <v/>
      </c>
      <c r="CN152" s="20">
        <v>0</v>
      </c>
      <c r="CO152" s="20">
        <v>0</v>
      </c>
      <c r="CP152" s="20">
        <v>0</v>
      </c>
      <c r="CQ152" s="20">
        <v>0</v>
      </c>
      <c r="CR152" s="20">
        <v>0</v>
      </c>
      <c r="CS152" s="20">
        <v>0</v>
      </c>
      <c r="CT152" s="20">
        <v>0</v>
      </c>
      <c r="CU152" s="20">
        <v>0</v>
      </c>
      <c r="CV152" s="20">
        <v>0</v>
      </c>
      <c r="CW152" s="20">
        <v>0</v>
      </c>
      <c r="CX152" s="20">
        <v>0</v>
      </c>
      <c r="CY152" s="20">
        <v>0</v>
      </c>
      <c r="CZ152" s="20">
        <v>0</v>
      </c>
      <c r="DA152" s="19">
        <v>0</v>
      </c>
      <c r="DB152" s="20">
        <v>0</v>
      </c>
      <c r="DC152" s="25">
        <v>0</v>
      </c>
      <c r="DD152" s="20">
        <v>0</v>
      </c>
      <c r="DE152" s="20">
        <v>0</v>
      </c>
      <c r="DF152" s="20">
        <v>0</v>
      </c>
      <c r="DG152" s="20">
        <v>0</v>
      </c>
      <c r="DH152" s="20">
        <v>0</v>
      </c>
      <c r="DI152" s="20">
        <v>0</v>
      </c>
    </row>
    <row r="153" spans="1:113">
      <c r="A153" s="20" t="str">
        <v>00:00:00</v>
      </c>
      <c r="B153" s="19">
        <v>0</v>
      </c>
      <c r="C153" s="21">
        <v>0</v>
      </c>
      <c r="D153" s="20" t="str">
        <v>未匹配</v>
      </c>
      <c r="E153" s="20">
        <v>0</v>
      </c>
      <c r="I153" s="20" t="str">
        <v/>
      </c>
      <c r="J153" s="20">
        <v>0</v>
      </c>
      <c r="K153" s="22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20">
        <v>0</v>
      </c>
      <c r="U153" s="20">
        <v>0</v>
      </c>
      <c r="V153" s="20">
        <v>0</v>
      </c>
      <c r="W153" s="20">
        <v>0</v>
      </c>
      <c r="X153" s="20">
        <v>0</v>
      </c>
      <c r="Y153" s="20">
        <v>0</v>
      </c>
      <c r="Z153" s="20">
        <v>0</v>
      </c>
      <c r="AA153" s="20">
        <v>0</v>
      </c>
      <c r="AB153" s="20">
        <v>0</v>
      </c>
      <c r="AC153" s="20">
        <v>0</v>
      </c>
      <c r="AE153" s="20" t="str">
        <v/>
      </c>
      <c r="AF153" s="20">
        <v>0</v>
      </c>
      <c r="AG153" s="22" t="e">
        <v>#VALUE!</v>
      </c>
      <c r="AI153" s="20">
        <v>0</v>
      </c>
      <c r="AJ153" s="20">
        <v>0</v>
      </c>
      <c r="AK153" s="20">
        <v>0</v>
      </c>
      <c r="AL153" s="20">
        <v>0</v>
      </c>
      <c r="AM153" s="20">
        <v>0</v>
      </c>
      <c r="AN153" s="20">
        <v>0</v>
      </c>
      <c r="AO153" s="20">
        <v>0</v>
      </c>
      <c r="AP153" s="20">
        <v>0</v>
      </c>
      <c r="AQ153" s="20">
        <v>0</v>
      </c>
      <c r="AR153" s="20">
        <v>0</v>
      </c>
      <c r="AS153" s="20">
        <v>0</v>
      </c>
      <c r="AT153" s="20">
        <v>0</v>
      </c>
      <c r="AU153" s="20">
        <v>0</v>
      </c>
      <c r="AV153" s="20">
        <v>0</v>
      </c>
      <c r="AW153" s="20">
        <v>0</v>
      </c>
      <c r="AX153" s="20">
        <v>0</v>
      </c>
      <c r="AY153" s="20">
        <v>0</v>
      </c>
      <c r="AZ153" s="20">
        <v>0</v>
      </c>
      <c r="BA153" s="20">
        <v>0</v>
      </c>
      <c r="BB153" s="20">
        <v>0</v>
      </c>
      <c r="BC153" s="20">
        <v>0</v>
      </c>
      <c r="BD153" s="20">
        <v>0</v>
      </c>
      <c r="BE153" s="20">
        <v>0</v>
      </c>
      <c r="BF153" s="20">
        <v>0</v>
      </c>
      <c r="BG153" s="20">
        <v>0</v>
      </c>
      <c r="BH153" s="20">
        <v>0</v>
      </c>
      <c r="BI153" s="20">
        <v>0</v>
      </c>
      <c r="BJ153" s="20">
        <v>0</v>
      </c>
      <c r="BK153" s="20">
        <v>0</v>
      </c>
      <c r="BL153" s="20">
        <v>0</v>
      </c>
      <c r="BM153" s="20">
        <v>0</v>
      </c>
      <c r="BN153" s="22">
        <v>0</v>
      </c>
      <c r="BO153" s="22">
        <v>0</v>
      </c>
      <c r="BP153" s="22">
        <v>0</v>
      </c>
      <c r="BR153" s="20" t="str">
        <v/>
      </c>
      <c r="CH153" s="20">
        <v>0</v>
      </c>
      <c r="CI153" s="20">
        <v>0</v>
      </c>
      <c r="CJ153" s="20">
        <v>0</v>
      </c>
      <c r="CK153" s="20" t="str">
        <v/>
      </c>
      <c r="CL153" s="20" t="str">
        <v/>
      </c>
      <c r="CN153" s="20">
        <v>0</v>
      </c>
      <c r="CO153" s="20">
        <v>0</v>
      </c>
      <c r="CP153" s="20">
        <v>0</v>
      </c>
      <c r="CQ153" s="20">
        <v>0</v>
      </c>
      <c r="CR153" s="20">
        <v>0</v>
      </c>
      <c r="CS153" s="20">
        <v>0</v>
      </c>
      <c r="CT153" s="20">
        <v>0</v>
      </c>
      <c r="CU153" s="20">
        <v>0</v>
      </c>
      <c r="CV153" s="20">
        <v>0</v>
      </c>
      <c r="CW153" s="20">
        <v>0</v>
      </c>
      <c r="CX153" s="20">
        <v>0</v>
      </c>
      <c r="CY153" s="20">
        <v>0</v>
      </c>
      <c r="CZ153" s="20">
        <v>0</v>
      </c>
      <c r="DA153" s="19">
        <v>0</v>
      </c>
      <c r="DB153" s="20">
        <v>0</v>
      </c>
      <c r="DC153" s="25">
        <v>0</v>
      </c>
      <c r="DD153" s="20">
        <v>0</v>
      </c>
      <c r="DE153" s="20">
        <v>0</v>
      </c>
      <c r="DF153" s="20">
        <v>0</v>
      </c>
      <c r="DG153" s="20">
        <v>0</v>
      </c>
      <c r="DH153" s="20">
        <v>0</v>
      </c>
      <c r="DI153" s="20">
        <v>0</v>
      </c>
    </row>
    <row r="154" spans="1:113">
      <c r="A154" s="20" t="str">
        <v>00:00:00</v>
      </c>
      <c r="B154" s="19">
        <v>0</v>
      </c>
      <c r="C154" s="21">
        <v>0</v>
      </c>
      <c r="D154" s="20" t="str">
        <v>未匹配</v>
      </c>
      <c r="E154" s="20">
        <v>0</v>
      </c>
      <c r="I154" s="20" t="str">
        <v/>
      </c>
      <c r="J154" s="20">
        <v>0</v>
      </c>
      <c r="K154" s="22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  <c r="U154" s="20">
        <v>0</v>
      </c>
      <c r="V154" s="20">
        <v>0</v>
      </c>
      <c r="W154" s="20">
        <v>0</v>
      </c>
      <c r="X154" s="20">
        <v>0</v>
      </c>
      <c r="Y154" s="20">
        <v>0</v>
      </c>
      <c r="Z154" s="20">
        <v>0</v>
      </c>
      <c r="AA154" s="20">
        <v>0</v>
      </c>
      <c r="AB154" s="20">
        <v>0</v>
      </c>
      <c r="AC154" s="20">
        <v>0</v>
      </c>
      <c r="AE154" s="20" t="str">
        <v/>
      </c>
      <c r="AF154" s="20">
        <v>0</v>
      </c>
      <c r="AG154" s="22" t="e">
        <v>#VALUE!</v>
      </c>
      <c r="AI154" s="20">
        <v>0</v>
      </c>
      <c r="AJ154" s="20">
        <v>0</v>
      </c>
      <c r="AK154" s="20">
        <v>0</v>
      </c>
      <c r="AL154" s="20">
        <v>0</v>
      </c>
      <c r="AM154" s="20">
        <v>0</v>
      </c>
      <c r="AN154" s="20">
        <v>0</v>
      </c>
      <c r="AO154" s="20">
        <v>0</v>
      </c>
      <c r="AP154" s="20">
        <v>0</v>
      </c>
      <c r="AQ154" s="20">
        <v>0</v>
      </c>
      <c r="AR154" s="20">
        <v>0</v>
      </c>
      <c r="AS154" s="20">
        <v>0</v>
      </c>
      <c r="AT154" s="20">
        <v>0</v>
      </c>
      <c r="AU154" s="20">
        <v>0</v>
      </c>
      <c r="AV154" s="20">
        <v>0</v>
      </c>
      <c r="AW154" s="20">
        <v>0</v>
      </c>
      <c r="AX154" s="20">
        <v>0</v>
      </c>
      <c r="AY154" s="20">
        <v>0</v>
      </c>
      <c r="AZ154" s="20">
        <v>0</v>
      </c>
      <c r="BA154" s="20">
        <v>0</v>
      </c>
      <c r="BB154" s="20">
        <v>0</v>
      </c>
      <c r="BC154" s="20">
        <v>0</v>
      </c>
      <c r="BD154" s="20">
        <v>0</v>
      </c>
      <c r="BE154" s="20">
        <v>0</v>
      </c>
      <c r="BF154" s="20">
        <v>0</v>
      </c>
      <c r="BG154" s="20">
        <v>0</v>
      </c>
      <c r="BH154" s="20">
        <v>0</v>
      </c>
      <c r="BI154" s="20">
        <v>0</v>
      </c>
      <c r="BJ154" s="20">
        <v>0</v>
      </c>
      <c r="BK154" s="20">
        <v>0</v>
      </c>
      <c r="BL154" s="20">
        <v>0</v>
      </c>
      <c r="BM154" s="20">
        <v>0</v>
      </c>
      <c r="BN154" s="22">
        <v>0</v>
      </c>
      <c r="BO154" s="22">
        <v>0</v>
      </c>
      <c r="BP154" s="22">
        <v>0</v>
      </c>
      <c r="BR154" s="20" t="str">
        <v/>
      </c>
      <c r="CH154" s="20">
        <v>0</v>
      </c>
      <c r="CI154" s="20">
        <v>0</v>
      </c>
      <c r="CJ154" s="20">
        <v>0</v>
      </c>
      <c r="CK154" s="20" t="str">
        <v/>
      </c>
      <c r="CL154" s="20" t="str">
        <v/>
      </c>
      <c r="CN154" s="20">
        <v>0</v>
      </c>
      <c r="CO154" s="20">
        <v>0</v>
      </c>
      <c r="CP154" s="20">
        <v>0</v>
      </c>
      <c r="CQ154" s="20">
        <v>0</v>
      </c>
      <c r="CR154" s="20">
        <v>0</v>
      </c>
      <c r="CS154" s="20">
        <v>0</v>
      </c>
      <c r="CT154" s="20">
        <v>0</v>
      </c>
      <c r="CU154" s="20">
        <v>0</v>
      </c>
      <c r="CV154" s="20">
        <v>0</v>
      </c>
      <c r="CW154" s="20">
        <v>0</v>
      </c>
      <c r="CX154" s="20">
        <v>0</v>
      </c>
      <c r="CY154" s="20">
        <v>0</v>
      </c>
      <c r="CZ154" s="20">
        <v>0</v>
      </c>
      <c r="DA154" s="19">
        <v>0</v>
      </c>
      <c r="DB154" s="20">
        <v>0</v>
      </c>
      <c r="DC154" s="25">
        <v>0</v>
      </c>
      <c r="DD154" s="20">
        <v>0</v>
      </c>
      <c r="DE154" s="20">
        <v>0</v>
      </c>
      <c r="DF154" s="20">
        <v>0</v>
      </c>
      <c r="DG154" s="20">
        <v>0</v>
      </c>
      <c r="DH154" s="20">
        <v>0</v>
      </c>
      <c r="DI154" s="20">
        <v>0</v>
      </c>
    </row>
    <row r="155" spans="1:113">
      <c r="A155" s="20" t="str">
        <v>00:00:00</v>
      </c>
      <c r="B155" s="19">
        <v>0</v>
      </c>
      <c r="C155" s="21">
        <v>0</v>
      </c>
      <c r="D155" s="20" t="str">
        <v>未匹配</v>
      </c>
      <c r="E155" s="20">
        <v>0</v>
      </c>
      <c r="I155" s="20" t="str">
        <v/>
      </c>
      <c r="J155" s="20">
        <v>0</v>
      </c>
      <c r="K155" s="22">
        <v>0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0</v>
      </c>
      <c r="T155" s="20">
        <v>0</v>
      </c>
      <c r="U155" s="20">
        <v>0</v>
      </c>
      <c r="V155" s="20">
        <v>0</v>
      </c>
      <c r="W155" s="20">
        <v>0</v>
      </c>
      <c r="X155" s="20">
        <v>0</v>
      </c>
      <c r="Y155" s="20">
        <v>0</v>
      </c>
      <c r="Z155" s="20">
        <v>0</v>
      </c>
      <c r="AA155" s="20">
        <v>0</v>
      </c>
      <c r="AB155" s="20">
        <v>0</v>
      </c>
      <c r="AC155" s="20">
        <v>0</v>
      </c>
      <c r="AE155" s="20" t="str">
        <v/>
      </c>
      <c r="AF155" s="20">
        <v>0</v>
      </c>
      <c r="AG155" s="22" t="e">
        <v>#VALUE!</v>
      </c>
      <c r="AI155" s="20">
        <v>0</v>
      </c>
      <c r="AJ155" s="20">
        <v>0</v>
      </c>
      <c r="AK155" s="20">
        <v>0</v>
      </c>
      <c r="AL155" s="20">
        <v>0</v>
      </c>
      <c r="AM155" s="20">
        <v>0</v>
      </c>
      <c r="AN155" s="20">
        <v>0</v>
      </c>
      <c r="AO155" s="20">
        <v>0</v>
      </c>
      <c r="AP155" s="20">
        <v>0</v>
      </c>
      <c r="AQ155" s="20">
        <v>0</v>
      </c>
      <c r="AR155" s="20">
        <v>0</v>
      </c>
      <c r="AS155" s="20">
        <v>0</v>
      </c>
      <c r="AT155" s="20">
        <v>0</v>
      </c>
      <c r="AU155" s="20">
        <v>0</v>
      </c>
      <c r="AV155" s="20">
        <v>0</v>
      </c>
      <c r="AW155" s="20">
        <v>0</v>
      </c>
      <c r="AX155" s="20">
        <v>0</v>
      </c>
      <c r="AY155" s="20">
        <v>0</v>
      </c>
      <c r="AZ155" s="20">
        <v>0</v>
      </c>
      <c r="BA155" s="20">
        <v>0</v>
      </c>
      <c r="BB155" s="20">
        <v>0</v>
      </c>
      <c r="BC155" s="20">
        <v>0</v>
      </c>
      <c r="BD155" s="20">
        <v>0</v>
      </c>
      <c r="BE155" s="20">
        <v>0</v>
      </c>
      <c r="BF155" s="20">
        <v>0</v>
      </c>
      <c r="BG155" s="20">
        <v>0</v>
      </c>
      <c r="BH155" s="20">
        <v>0</v>
      </c>
      <c r="BI155" s="20">
        <v>0</v>
      </c>
      <c r="BJ155" s="20">
        <v>0</v>
      </c>
      <c r="BK155" s="20">
        <v>0</v>
      </c>
      <c r="BL155" s="20">
        <v>0</v>
      </c>
      <c r="BM155" s="20">
        <v>0</v>
      </c>
      <c r="BN155" s="22">
        <v>0</v>
      </c>
      <c r="BO155" s="22">
        <v>0</v>
      </c>
      <c r="BP155" s="22">
        <v>0</v>
      </c>
      <c r="BR155" s="20" t="str">
        <v/>
      </c>
      <c r="CH155" s="20">
        <v>0</v>
      </c>
      <c r="CI155" s="20">
        <v>0</v>
      </c>
      <c r="CJ155" s="20">
        <v>0</v>
      </c>
      <c r="CK155" s="20" t="str">
        <v/>
      </c>
      <c r="CL155" s="20" t="str">
        <v/>
      </c>
      <c r="CN155" s="20">
        <v>0</v>
      </c>
      <c r="CO155" s="20">
        <v>0</v>
      </c>
      <c r="CP155" s="20">
        <v>0</v>
      </c>
      <c r="CQ155" s="20">
        <v>0</v>
      </c>
      <c r="CR155" s="20">
        <v>0</v>
      </c>
      <c r="CS155" s="20">
        <v>0</v>
      </c>
      <c r="CT155" s="20">
        <v>0</v>
      </c>
      <c r="CU155" s="20">
        <v>0</v>
      </c>
      <c r="CV155" s="20">
        <v>0</v>
      </c>
      <c r="CW155" s="20">
        <v>0</v>
      </c>
      <c r="CX155" s="20">
        <v>0</v>
      </c>
      <c r="CY155" s="20">
        <v>0</v>
      </c>
      <c r="CZ155" s="20">
        <v>0</v>
      </c>
      <c r="DA155" s="19">
        <v>0</v>
      </c>
      <c r="DB155" s="20">
        <v>0</v>
      </c>
      <c r="DC155" s="25">
        <v>0</v>
      </c>
      <c r="DD155" s="20">
        <v>0</v>
      </c>
      <c r="DE155" s="20">
        <v>0</v>
      </c>
      <c r="DF155" s="20">
        <v>0</v>
      </c>
      <c r="DG155" s="20">
        <v>0</v>
      </c>
      <c r="DH155" s="20">
        <v>0</v>
      </c>
      <c r="DI155" s="20">
        <v>0</v>
      </c>
    </row>
    <row r="156" spans="1:113">
      <c r="A156" s="20" t="str">
        <v>00:00:00</v>
      </c>
      <c r="B156" s="19">
        <v>0</v>
      </c>
      <c r="C156" s="21">
        <v>0</v>
      </c>
      <c r="D156" s="20" t="str">
        <v>未匹配</v>
      </c>
      <c r="E156" s="20">
        <v>0</v>
      </c>
      <c r="I156" s="20" t="str">
        <v/>
      </c>
      <c r="J156" s="20">
        <v>0</v>
      </c>
      <c r="K156" s="22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20">
        <v>0</v>
      </c>
      <c r="U156" s="20">
        <v>0</v>
      </c>
      <c r="V156" s="20">
        <v>0</v>
      </c>
      <c r="W156" s="20">
        <v>0</v>
      </c>
      <c r="X156" s="20">
        <v>0</v>
      </c>
      <c r="Y156" s="20">
        <v>0</v>
      </c>
      <c r="Z156" s="20">
        <v>0</v>
      </c>
      <c r="AA156" s="20">
        <v>0</v>
      </c>
      <c r="AB156" s="20">
        <v>0</v>
      </c>
      <c r="AC156" s="20">
        <v>0</v>
      </c>
      <c r="AE156" s="20" t="str">
        <v/>
      </c>
      <c r="AF156" s="20">
        <v>0</v>
      </c>
      <c r="AG156" s="22" t="e">
        <v>#VALUE!</v>
      </c>
      <c r="AI156" s="20">
        <v>0</v>
      </c>
      <c r="AJ156" s="20">
        <v>0</v>
      </c>
      <c r="AK156" s="20">
        <v>0</v>
      </c>
      <c r="AL156" s="20">
        <v>0</v>
      </c>
      <c r="AM156" s="20">
        <v>0</v>
      </c>
      <c r="AN156" s="20">
        <v>0</v>
      </c>
      <c r="AO156" s="20">
        <v>0</v>
      </c>
      <c r="AP156" s="20">
        <v>0</v>
      </c>
      <c r="AQ156" s="20">
        <v>0</v>
      </c>
      <c r="AR156" s="20">
        <v>0</v>
      </c>
      <c r="AS156" s="20">
        <v>0</v>
      </c>
      <c r="AT156" s="20">
        <v>0</v>
      </c>
      <c r="AU156" s="20">
        <v>0</v>
      </c>
      <c r="AV156" s="20">
        <v>0</v>
      </c>
      <c r="AW156" s="20">
        <v>0</v>
      </c>
      <c r="AX156" s="20">
        <v>0</v>
      </c>
      <c r="AY156" s="20">
        <v>0</v>
      </c>
      <c r="AZ156" s="20">
        <v>0</v>
      </c>
      <c r="BA156" s="20">
        <v>0</v>
      </c>
      <c r="BB156" s="20">
        <v>0</v>
      </c>
      <c r="BC156" s="20">
        <v>0</v>
      </c>
      <c r="BD156" s="20">
        <v>0</v>
      </c>
      <c r="BE156" s="20">
        <v>0</v>
      </c>
      <c r="BF156" s="20">
        <v>0</v>
      </c>
      <c r="BG156" s="20">
        <v>0</v>
      </c>
      <c r="BH156" s="20">
        <v>0</v>
      </c>
      <c r="BI156" s="20">
        <v>0</v>
      </c>
      <c r="BJ156" s="20">
        <v>0</v>
      </c>
      <c r="BK156" s="20">
        <v>0</v>
      </c>
      <c r="BL156" s="20">
        <v>0</v>
      </c>
      <c r="BM156" s="20">
        <v>0</v>
      </c>
      <c r="BN156" s="22">
        <v>0</v>
      </c>
      <c r="BO156" s="22">
        <v>0</v>
      </c>
      <c r="BP156" s="22">
        <v>0</v>
      </c>
      <c r="BR156" s="20" t="str">
        <v/>
      </c>
      <c r="CH156" s="20">
        <v>0</v>
      </c>
      <c r="CI156" s="20">
        <v>0</v>
      </c>
      <c r="CJ156" s="20">
        <v>0</v>
      </c>
      <c r="CK156" s="20" t="str">
        <v/>
      </c>
      <c r="CL156" s="20" t="str">
        <v/>
      </c>
      <c r="CN156" s="20">
        <v>0</v>
      </c>
      <c r="CO156" s="20">
        <v>0</v>
      </c>
      <c r="CP156" s="20">
        <v>0</v>
      </c>
      <c r="CQ156" s="20">
        <v>0</v>
      </c>
      <c r="CR156" s="20">
        <v>0</v>
      </c>
      <c r="CS156" s="20">
        <v>0</v>
      </c>
      <c r="CT156" s="20">
        <v>0</v>
      </c>
      <c r="CU156" s="20">
        <v>0</v>
      </c>
      <c r="CV156" s="20">
        <v>0</v>
      </c>
      <c r="CW156" s="20">
        <v>0</v>
      </c>
      <c r="CX156" s="20">
        <v>0</v>
      </c>
      <c r="CY156" s="20">
        <v>0</v>
      </c>
      <c r="CZ156" s="20">
        <v>0</v>
      </c>
      <c r="DA156" s="19">
        <v>0</v>
      </c>
      <c r="DB156" s="20">
        <v>0</v>
      </c>
      <c r="DC156" s="25">
        <v>0</v>
      </c>
      <c r="DD156" s="20">
        <v>0</v>
      </c>
      <c r="DE156" s="20">
        <v>0</v>
      </c>
      <c r="DF156" s="20">
        <v>0</v>
      </c>
      <c r="DG156" s="20">
        <v>0</v>
      </c>
      <c r="DH156" s="20">
        <v>0</v>
      </c>
      <c r="DI156" s="20">
        <v>0</v>
      </c>
    </row>
    <row r="157" spans="1:113">
      <c r="A157" s="20" t="str">
        <v>00:00:00</v>
      </c>
      <c r="B157" s="19">
        <v>0</v>
      </c>
      <c r="C157" s="21">
        <v>0</v>
      </c>
      <c r="D157" s="20" t="str">
        <v>未匹配</v>
      </c>
      <c r="E157" s="20">
        <v>0</v>
      </c>
      <c r="I157" s="20" t="str">
        <v/>
      </c>
      <c r="J157" s="20">
        <v>0</v>
      </c>
      <c r="K157" s="22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  <c r="U157" s="20">
        <v>0</v>
      </c>
      <c r="V157" s="20">
        <v>0</v>
      </c>
      <c r="W157" s="20">
        <v>0</v>
      </c>
      <c r="X157" s="20">
        <v>0</v>
      </c>
      <c r="Y157" s="20">
        <v>0</v>
      </c>
      <c r="Z157" s="20">
        <v>0</v>
      </c>
      <c r="AA157" s="20">
        <v>0</v>
      </c>
      <c r="AB157" s="20">
        <v>0</v>
      </c>
      <c r="AC157" s="20">
        <v>0</v>
      </c>
      <c r="AE157" s="20" t="str">
        <v/>
      </c>
      <c r="AF157" s="20">
        <v>0</v>
      </c>
      <c r="AG157" s="22" t="e">
        <v>#VALUE!</v>
      </c>
      <c r="AI157" s="20">
        <v>0</v>
      </c>
      <c r="AJ157" s="20">
        <v>0</v>
      </c>
      <c r="AK157" s="20">
        <v>0</v>
      </c>
      <c r="AL157" s="20">
        <v>0</v>
      </c>
      <c r="AM157" s="20">
        <v>0</v>
      </c>
      <c r="AN157" s="20">
        <v>0</v>
      </c>
      <c r="AO157" s="20">
        <v>0</v>
      </c>
      <c r="AP157" s="20">
        <v>0</v>
      </c>
      <c r="AQ157" s="20">
        <v>0</v>
      </c>
      <c r="AR157" s="20">
        <v>0</v>
      </c>
      <c r="AS157" s="20">
        <v>0</v>
      </c>
      <c r="AT157" s="20">
        <v>0</v>
      </c>
      <c r="AU157" s="20">
        <v>0</v>
      </c>
      <c r="AV157" s="20">
        <v>0</v>
      </c>
      <c r="AW157" s="20">
        <v>0</v>
      </c>
      <c r="AX157" s="20">
        <v>0</v>
      </c>
      <c r="AY157" s="20">
        <v>0</v>
      </c>
      <c r="AZ157" s="20">
        <v>0</v>
      </c>
      <c r="BA157" s="20">
        <v>0</v>
      </c>
      <c r="BB157" s="20">
        <v>0</v>
      </c>
      <c r="BC157" s="20">
        <v>0</v>
      </c>
      <c r="BD157" s="20">
        <v>0</v>
      </c>
      <c r="BE157" s="20">
        <v>0</v>
      </c>
      <c r="BF157" s="20">
        <v>0</v>
      </c>
      <c r="BG157" s="20">
        <v>0</v>
      </c>
      <c r="BH157" s="20">
        <v>0</v>
      </c>
      <c r="BI157" s="20">
        <v>0</v>
      </c>
      <c r="BJ157" s="20">
        <v>0</v>
      </c>
      <c r="BK157" s="20">
        <v>0</v>
      </c>
      <c r="BL157" s="20">
        <v>0</v>
      </c>
      <c r="BM157" s="20">
        <v>0</v>
      </c>
      <c r="BN157" s="22">
        <v>0</v>
      </c>
      <c r="BO157" s="22">
        <v>0</v>
      </c>
      <c r="BP157" s="22">
        <v>0</v>
      </c>
      <c r="BR157" s="20" t="str">
        <v/>
      </c>
      <c r="CH157" s="20">
        <v>0</v>
      </c>
      <c r="CI157" s="20">
        <v>0</v>
      </c>
      <c r="CJ157" s="20">
        <v>0</v>
      </c>
      <c r="CK157" s="20" t="str">
        <v/>
      </c>
      <c r="CL157" s="20" t="str">
        <v/>
      </c>
      <c r="CN157" s="20">
        <v>0</v>
      </c>
      <c r="CO157" s="20">
        <v>0</v>
      </c>
      <c r="CP157" s="20">
        <v>0</v>
      </c>
      <c r="CQ157" s="20">
        <v>0</v>
      </c>
      <c r="CR157" s="20">
        <v>0</v>
      </c>
      <c r="CS157" s="20">
        <v>0</v>
      </c>
      <c r="CT157" s="20">
        <v>0</v>
      </c>
      <c r="CU157" s="20">
        <v>0</v>
      </c>
      <c r="CV157" s="20">
        <v>0</v>
      </c>
      <c r="CW157" s="20">
        <v>0</v>
      </c>
      <c r="CX157" s="20">
        <v>0</v>
      </c>
      <c r="CY157" s="20">
        <v>0</v>
      </c>
      <c r="CZ157" s="20">
        <v>0</v>
      </c>
      <c r="DA157" s="19">
        <v>0</v>
      </c>
      <c r="DB157" s="20">
        <v>0</v>
      </c>
      <c r="DC157" s="25">
        <v>0</v>
      </c>
      <c r="DD157" s="20">
        <v>0</v>
      </c>
      <c r="DE157" s="20">
        <v>0</v>
      </c>
      <c r="DF157" s="20">
        <v>0</v>
      </c>
      <c r="DG157" s="20">
        <v>0</v>
      </c>
      <c r="DH157" s="20">
        <v>0</v>
      </c>
      <c r="DI157" s="20">
        <v>0</v>
      </c>
    </row>
    <row r="158" spans="1:113">
      <c r="A158" s="20" t="str">
        <v>00:00:00</v>
      </c>
      <c r="B158" s="19">
        <v>0</v>
      </c>
      <c r="C158" s="21">
        <v>0</v>
      </c>
      <c r="D158" s="20" t="str">
        <v>未匹配</v>
      </c>
      <c r="E158" s="20">
        <v>0</v>
      </c>
      <c r="I158" s="20" t="str">
        <v/>
      </c>
      <c r="J158" s="20">
        <v>0</v>
      </c>
      <c r="K158" s="22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  <c r="U158" s="20">
        <v>0</v>
      </c>
      <c r="V158" s="20">
        <v>0</v>
      </c>
      <c r="W158" s="20">
        <v>0</v>
      </c>
      <c r="X158" s="20">
        <v>0</v>
      </c>
      <c r="Y158" s="20">
        <v>0</v>
      </c>
      <c r="Z158" s="20">
        <v>0</v>
      </c>
      <c r="AA158" s="20">
        <v>0</v>
      </c>
      <c r="AB158" s="20">
        <v>0</v>
      </c>
      <c r="AC158" s="20">
        <v>0</v>
      </c>
      <c r="AE158" s="20" t="str">
        <v/>
      </c>
      <c r="AF158" s="20">
        <v>0</v>
      </c>
      <c r="AG158" s="22" t="e">
        <v>#VALUE!</v>
      </c>
      <c r="AI158" s="20">
        <v>0</v>
      </c>
      <c r="AJ158" s="20">
        <v>0</v>
      </c>
      <c r="AK158" s="20">
        <v>0</v>
      </c>
      <c r="AL158" s="20">
        <v>0</v>
      </c>
      <c r="AM158" s="20">
        <v>0</v>
      </c>
      <c r="AN158" s="20">
        <v>0</v>
      </c>
      <c r="AO158" s="20">
        <v>0</v>
      </c>
      <c r="AP158" s="20">
        <v>0</v>
      </c>
      <c r="AQ158" s="20">
        <v>0</v>
      </c>
      <c r="AR158" s="20">
        <v>0</v>
      </c>
      <c r="AS158" s="20">
        <v>0</v>
      </c>
      <c r="AT158" s="20">
        <v>0</v>
      </c>
      <c r="AU158" s="20">
        <v>0</v>
      </c>
      <c r="AV158" s="20">
        <v>0</v>
      </c>
      <c r="AW158" s="20">
        <v>0</v>
      </c>
      <c r="AX158" s="20">
        <v>0</v>
      </c>
      <c r="AY158" s="20">
        <v>0</v>
      </c>
      <c r="AZ158" s="20">
        <v>0</v>
      </c>
      <c r="BA158" s="20">
        <v>0</v>
      </c>
      <c r="BB158" s="20">
        <v>0</v>
      </c>
      <c r="BC158" s="20">
        <v>0</v>
      </c>
      <c r="BD158" s="20">
        <v>0</v>
      </c>
      <c r="BE158" s="20">
        <v>0</v>
      </c>
      <c r="BF158" s="20">
        <v>0</v>
      </c>
      <c r="BG158" s="20">
        <v>0</v>
      </c>
      <c r="BH158" s="20">
        <v>0</v>
      </c>
      <c r="BI158" s="20">
        <v>0</v>
      </c>
      <c r="BJ158" s="20">
        <v>0</v>
      </c>
      <c r="BK158" s="20">
        <v>0</v>
      </c>
      <c r="BL158" s="20">
        <v>0</v>
      </c>
      <c r="BM158" s="20">
        <v>0</v>
      </c>
      <c r="BN158" s="22">
        <v>0</v>
      </c>
      <c r="BO158" s="22">
        <v>0</v>
      </c>
      <c r="BP158" s="22">
        <v>0</v>
      </c>
      <c r="BR158" s="20" t="str">
        <v/>
      </c>
      <c r="CH158" s="20">
        <v>0</v>
      </c>
      <c r="CI158" s="20">
        <v>0</v>
      </c>
      <c r="CJ158" s="20">
        <v>0</v>
      </c>
      <c r="CK158" s="20" t="str">
        <v/>
      </c>
      <c r="CL158" s="20" t="str">
        <v/>
      </c>
      <c r="CN158" s="20">
        <v>0</v>
      </c>
      <c r="CO158" s="20">
        <v>0</v>
      </c>
      <c r="CP158" s="20">
        <v>0</v>
      </c>
      <c r="CQ158" s="20">
        <v>0</v>
      </c>
      <c r="CR158" s="20">
        <v>0</v>
      </c>
      <c r="CS158" s="20">
        <v>0</v>
      </c>
      <c r="CT158" s="20">
        <v>0</v>
      </c>
      <c r="CU158" s="20">
        <v>0</v>
      </c>
      <c r="CV158" s="20">
        <v>0</v>
      </c>
      <c r="CW158" s="20">
        <v>0</v>
      </c>
      <c r="CX158" s="20">
        <v>0</v>
      </c>
      <c r="CY158" s="20">
        <v>0</v>
      </c>
      <c r="CZ158" s="20">
        <v>0</v>
      </c>
      <c r="DA158" s="19">
        <v>0</v>
      </c>
      <c r="DB158" s="20">
        <v>0</v>
      </c>
      <c r="DC158" s="25">
        <v>0</v>
      </c>
      <c r="DD158" s="20">
        <v>0</v>
      </c>
      <c r="DE158" s="20">
        <v>0</v>
      </c>
      <c r="DF158" s="20">
        <v>0</v>
      </c>
      <c r="DG158" s="20">
        <v>0</v>
      </c>
      <c r="DH158" s="20">
        <v>0</v>
      </c>
      <c r="DI158" s="20">
        <v>0</v>
      </c>
    </row>
    <row r="159" spans="1:113">
      <c r="A159" s="20" t="str">
        <v>00:00:00</v>
      </c>
      <c r="B159" s="19">
        <v>0</v>
      </c>
      <c r="C159" s="21">
        <v>0</v>
      </c>
      <c r="D159" s="20" t="str">
        <v>未匹配</v>
      </c>
      <c r="E159" s="20">
        <v>0</v>
      </c>
      <c r="I159" s="20" t="str">
        <v/>
      </c>
      <c r="J159" s="20">
        <v>0</v>
      </c>
      <c r="K159" s="22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  <c r="U159" s="20">
        <v>0</v>
      </c>
      <c r="V159" s="20">
        <v>0</v>
      </c>
      <c r="W159" s="20">
        <v>0</v>
      </c>
      <c r="X159" s="20">
        <v>0</v>
      </c>
      <c r="Y159" s="20">
        <v>0</v>
      </c>
      <c r="Z159" s="20">
        <v>0</v>
      </c>
      <c r="AA159" s="20">
        <v>0</v>
      </c>
      <c r="AB159" s="20">
        <v>0</v>
      </c>
      <c r="AC159" s="20">
        <v>0</v>
      </c>
      <c r="AE159" s="20" t="str">
        <v/>
      </c>
      <c r="AF159" s="20">
        <v>0</v>
      </c>
      <c r="AG159" s="22" t="e">
        <v>#VALUE!</v>
      </c>
      <c r="AI159" s="20">
        <v>0</v>
      </c>
      <c r="AJ159" s="20">
        <v>0</v>
      </c>
      <c r="AK159" s="20">
        <v>0</v>
      </c>
      <c r="AL159" s="20">
        <v>0</v>
      </c>
      <c r="AM159" s="20">
        <v>0</v>
      </c>
      <c r="AN159" s="20">
        <v>0</v>
      </c>
      <c r="AO159" s="20">
        <v>0</v>
      </c>
      <c r="AP159" s="20">
        <v>0</v>
      </c>
      <c r="AQ159" s="20">
        <v>0</v>
      </c>
      <c r="AR159" s="20">
        <v>0</v>
      </c>
      <c r="AS159" s="20">
        <v>0</v>
      </c>
      <c r="AT159" s="20">
        <v>0</v>
      </c>
      <c r="AU159" s="20">
        <v>0</v>
      </c>
      <c r="AV159" s="20">
        <v>0</v>
      </c>
      <c r="AW159" s="20">
        <v>0</v>
      </c>
      <c r="AX159" s="20">
        <v>0</v>
      </c>
      <c r="AY159" s="20">
        <v>0</v>
      </c>
      <c r="AZ159" s="20">
        <v>0</v>
      </c>
      <c r="BA159" s="20">
        <v>0</v>
      </c>
      <c r="BB159" s="20">
        <v>0</v>
      </c>
      <c r="BC159" s="20">
        <v>0</v>
      </c>
      <c r="BD159" s="20">
        <v>0</v>
      </c>
      <c r="BE159" s="20">
        <v>0</v>
      </c>
      <c r="BF159" s="20">
        <v>0</v>
      </c>
      <c r="BG159" s="20">
        <v>0</v>
      </c>
      <c r="BH159" s="20">
        <v>0</v>
      </c>
      <c r="BI159" s="20">
        <v>0</v>
      </c>
      <c r="BJ159" s="20">
        <v>0</v>
      </c>
      <c r="BK159" s="20">
        <v>0</v>
      </c>
      <c r="BL159" s="20">
        <v>0</v>
      </c>
      <c r="BM159" s="20">
        <v>0</v>
      </c>
      <c r="BN159" s="22">
        <v>0</v>
      </c>
      <c r="BO159" s="22">
        <v>0</v>
      </c>
      <c r="BP159" s="22">
        <v>0</v>
      </c>
      <c r="BR159" s="20" t="str">
        <v/>
      </c>
      <c r="CH159" s="20">
        <v>0</v>
      </c>
      <c r="CI159" s="20">
        <v>0</v>
      </c>
      <c r="CJ159" s="20">
        <v>0</v>
      </c>
      <c r="CK159" s="20" t="str">
        <v/>
      </c>
      <c r="CL159" s="20" t="str">
        <v/>
      </c>
      <c r="CN159" s="20">
        <v>0</v>
      </c>
      <c r="CO159" s="20">
        <v>0</v>
      </c>
      <c r="CP159" s="20">
        <v>0</v>
      </c>
      <c r="CQ159" s="20">
        <v>0</v>
      </c>
      <c r="CR159" s="20">
        <v>0</v>
      </c>
      <c r="CS159" s="20">
        <v>0</v>
      </c>
      <c r="CT159" s="20">
        <v>0</v>
      </c>
      <c r="CU159" s="20">
        <v>0</v>
      </c>
      <c r="CV159" s="20">
        <v>0</v>
      </c>
      <c r="CW159" s="20">
        <v>0</v>
      </c>
      <c r="CX159" s="20">
        <v>0</v>
      </c>
      <c r="CY159" s="20">
        <v>0</v>
      </c>
      <c r="CZ159" s="20">
        <v>0</v>
      </c>
      <c r="DA159" s="19">
        <v>0</v>
      </c>
      <c r="DB159" s="20">
        <v>0</v>
      </c>
      <c r="DC159" s="25">
        <v>0</v>
      </c>
      <c r="DD159" s="20">
        <v>0</v>
      </c>
      <c r="DE159" s="20">
        <v>0</v>
      </c>
      <c r="DF159" s="20">
        <v>0</v>
      </c>
      <c r="DG159" s="20">
        <v>0</v>
      </c>
      <c r="DH159" s="20">
        <v>0</v>
      </c>
      <c r="DI159" s="20">
        <v>0</v>
      </c>
    </row>
    <row r="160" spans="1:113">
      <c r="A160" s="20" t="str">
        <v>00:00:00</v>
      </c>
      <c r="B160" s="19">
        <v>0</v>
      </c>
      <c r="C160" s="21">
        <v>0</v>
      </c>
      <c r="D160" s="20" t="str">
        <v>未匹配</v>
      </c>
      <c r="E160" s="20">
        <v>0</v>
      </c>
      <c r="I160" s="20" t="str">
        <v/>
      </c>
      <c r="J160" s="20">
        <v>0</v>
      </c>
      <c r="K160" s="22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  <c r="U160" s="20">
        <v>0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E160" s="20" t="str">
        <v/>
      </c>
      <c r="AF160" s="20">
        <v>0</v>
      </c>
      <c r="AG160" s="22" t="e">
        <v>#VALUE!</v>
      </c>
      <c r="AI160" s="20">
        <v>0</v>
      </c>
      <c r="AJ160" s="20">
        <v>0</v>
      </c>
      <c r="AK160" s="20">
        <v>0</v>
      </c>
      <c r="AL160" s="20">
        <v>0</v>
      </c>
      <c r="AM160" s="20">
        <v>0</v>
      </c>
      <c r="AN160" s="20">
        <v>0</v>
      </c>
      <c r="AO160" s="20">
        <v>0</v>
      </c>
      <c r="AP160" s="20">
        <v>0</v>
      </c>
      <c r="AQ160" s="20">
        <v>0</v>
      </c>
      <c r="AR160" s="20">
        <v>0</v>
      </c>
      <c r="AS160" s="20">
        <v>0</v>
      </c>
      <c r="AT160" s="20">
        <v>0</v>
      </c>
      <c r="AU160" s="20">
        <v>0</v>
      </c>
      <c r="AV160" s="20">
        <v>0</v>
      </c>
      <c r="AW160" s="20">
        <v>0</v>
      </c>
      <c r="AX160" s="20">
        <v>0</v>
      </c>
      <c r="AY160" s="20">
        <v>0</v>
      </c>
      <c r="AZ160" s="20">
        <v>0</v>
      </c>
      <c r="BA160" s="20">
        <v>0</v>
      </c>
      <c r="BB160" s="20">
        <v>0</v>
      </c>
      <c r="BC160" s="20">
        <v>0</v>
      </c>
      <c r="BD160" s="20">
        <v>0</v>
      </c>
      <c r="BE160" s="20">
        <v>0</v>
      </c>
      <c r="BF160" s="20">
        <v>0</v>
      </c>
      <c r="BG160" s="20">
        <v>0</v>
      </c>
      <c r="BH160" s="20">
        <v>0</v>
      </c>
      <c r="BI160" s="20">
        <v>0</v>
      </c>
      <c r="BJ160" s="20">
        <v>0</v>
      </c>
      <c r="BK160" s="20">
        <v>0</v>
      </c>
      <c r="BL160" s="20">
        <v>0</v>
      </c>
      <c r="BM160" s="20">
        <v>0</v>
      </c>
      <c r="BN160" s="22">
        <v>0</v>
      </c>
      <c r="BO160" s="22">
        <v>0</v>
      </c>
      <c r="BP160" s="22">
        <v>0</v>
      </c>
      <c r="BR160" s="20" t="str">
        <v/>
      </c>
      <c r="CH160" s="20">
        <v>0</v>
      </c>
      <c r="CI160" s="20">
        <v>0</v>
      </c>
      <c r="CJ160" s="20">
        <v>0</v>
      </c>
      <c r="CK160" s="20" t="str">
        <v/>
      </c>
      <c r="CL160" s="20" t="str">
        <v/>
      </c>
      <c r="CN160" s="20">
        <v>0</v>
      </c>
      <c r="CO160" s="20">
        <v>0</v>
      </c>
      <c r="CP160" s="20">
        <v>0</v>
      </c>
      <c r="CQ160" s="20">
        <v>0</v>
      </c>
      <c r="CR160" s="20">
        <v>0</v>
      </c>
      <c r="CS160" s="20">
        <v>0</v>
      </c>
      <c r="CT160" s="20">
        <v>0</v>
      </c>
      <c r="CU160" s="20">
        <v>0</v>
      </c>
      <c r="CV160" s="20">
        <v>0</v>
      </c>
      <c r="CW160" s="20">
        <v>0</v>
      </c>
      <c r="CX160" s="20">
        <v>0</v>
      </c>
      <c r="CY160" s="20">
        <v>0</v>
      </c>
      <c r="CZ160" s="20">
        <v>0</v>
      </c>
      <c r="DA160" s="19">
        <v>0</v>
      </c>
      <c r="DB160" s="20">
        <v>0</v>
      </c>
      <c r="DC160" s="25">
        <v>0</v>
      </c>
      <c r="DD160" s="20">
        <v>0</v>
      </c>
      <c r="DE160" s="20">
        <v>0</v>
      </c>
      <c r="DF160" s="20">
        <v>0</v>
      </c>
      <c r="DG160" s="20">
        <v>0</v>
      </c>
      <c r="DH160" s="20">
        <v>0</v>
      </c>
      <c r="DI160" s="20">
        <v>0</v>
      </c>
    </row>
    <row r="161" spans="1:113">
      <c r="A161" s="20" t="str">
        <v>00:00:00</v>
      </c>
      <c r="B161" s="19">
        <v>0</v>
      </c>
      <c r="C161" s="21">
        <v>0</v>
      </c>
      <c r="D161" s="20" t="str">
        <v>未匹配</v>
      </c>
      <c r="E161" s="20">
        <v>0</v>
      </c>
      <c r="I161" s="20" t="str">
        <v/>
      </c>
      <c r="J161" s="20">
        <v>0</v>
      </c>
      <c r="K161" s="22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  <c r="U161" s="20">
        <v>0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E161" s="20" t="str">
        <v/>
      </c>
      <c r="AF161" s="20">
        <v>0</v>
      </c>
      <c r="AG161" s="22" t="e">
        <v>#VALUE!</v>
      </c>
      <c r="AI161" s="20">
        <v>0</v>
      </c>
      <c r="AJ161" s="20">
        <v>0</v>
      </c>
      <c r="AK161" s="20">
        <v>0</v>
      </c>
      <c r="AL161" s="20">
        <v>0</v>
      </c>
      <c r="AM161" s="20">
        <v>0</v>
      </c>
      <c r="AN161" s="20">
        <v>0</v>
      </c>
      <c r="AO161" s="20">
        <v>0</v>
      </c>
      <c r="AP161" s="20">
        <v>0</v>
      </c>
      <c r="AQ161" s="20">
        <v>0</v>
      </c>
      <c r="AR161" s="20">
        <v>0</v>
      </c>
      <c r="AS161" s="20">
        <v>0</v>
      </c>
      <c r="AT161" s="20">
        <v>0</v>
      </c>
      <c r="AU161" s="20">
        <v>0</v>
      </c>
      <c r="AV161" s="20">
        <v>0</v>
      </c>
      <c r="AW161" s="20">
        <v>0</v>
      </c>
      <c r="AX161" s="20">
        <v>0</v>
      </c>
      <c r="AY161" s="20">
        <v>0</v>
      </c>
      <c r="AZ161" s="20">
        <v>0</v>
      </c>
      <c r="BA161" s="20">
        <v>0</v>
      </c>
      <c r="BB161" s="20">
        <v>0</v>
      </c>
      <c r="BC161" s="20">
        <v>0</v>
      </c>
      <c r="BD161" s="20">
        <v>0</v>
      </c>
      <c r="BE161" s="20">
        <v>0</v>
      </c>
      <c r="BF161" s="20">
        <v>0</v>
      </c>
      <c r="BG161" s="20">
        <v>0</v>
      </c>
      <c r="BH161" s="20">
        <v>0</v>
      </c>
      <c r="BI161" s="20">
        <v>0</v>
      </c>
      <c r="BJ161" s="20">
        <v>0</v>
      </c>
      <c r="BK161" s="20">
        <v>0</v>
      </c>
      <c r="BL161" s="20">
        <v>0</v>
      </c>
      <c r="BM161" s="20">
        <v>0</v>
      </c>
      <c r="BN161" s="22">
        <v>0</v>
      </c>
      <c r="BO161" s="22">
        <v>0</v>
      </c>
      <c r="BP161" s="22">
        <v>0</v>
      </c>
      <c r="BR161" s="20" t="str">
        <v/>
      </c>
      <c r="CH161" s="20">
        <v>0</v>
      </c>
      <c r="CI161" s="20">
        <v>0</v>
      </c>
      <c r="CJ161" s="20">
        <v>0</v>
      </c>
      <c r="CK161" s="20" t="str">
        <v/>
      </c>
      <c r="CL161" s="20" t="str">
        <v/>
      </c>
      <c r="CN161" s="20">
        <v>0</v>
      </c>
      <c r="CO161" s="20">
        <v>0</v>
      </c>
      <c r="CP161" s="20">
        <v>0</v>
      </c>
      <c r="CQ161" s="20">
        <v>0</v>
      </c>
      <c r="CR161" s="20">
        <v>0</v>
      </c>
      <c r="CS161" s="20">
        <v>0</v>
      </c>
      <c r="CT161" s="20">
        <v>0</v>
      </c>
      <c r="CU161" s="20">
        <v>0</v>
      </c>
      <c r="CV161" s="20">
        <v>0</v>
      </c>
      <c r="CW161" s="20">
        <v>0</v>
      </c>
      <c r="CX161" s="20">
        <v>0</v>
      </c>
      <c r="CY161" s="20">
        <v>0</v>
      </c>
      <c r="CZ161" s="20">
        <v>0</v>
      </c>
      <c r="DA161" s="19">
        <v>0</v>
      </c>
      <c r="DB161" s="20">
        <v>0</v>
      </c>
      <c r="DC161" s="25">
        <v>0</v>
      </c>
      <c r="DD161" s="20">
        <v>0</v>
      </c>
      <c r="DE161" s="20">
        <v>0</v>
      </c>
      <c r="DF161" s="20">
        <v>0</v>
      </c>
      <c r="DG161" s="20">
        <v>0</v>
      </c>
      <c r="DH161" s="20">
        <v>0</v>
      </c>
      <c r="DI161" s="20">
        <v>0</v>
      </c>
    </row>
    <row r="162" spans="1:113">
      <c r="A162" s="20" t="str">
        <v>00:00:00</v>
      </c>
      <c r="B162" s="19">
        <v>0</v>
      </c>
      <c r="C162" s="21">
        <v>0</v>
      </c>
      <c r="D162" s="20" t="str">
        <v>未匹配</v>
      </c>
      <c r="E162" s="20">
        <v>0</v>
      </c>
      <c r="I162" s="20" t="str">
        <v/>
      </c>
      <c r="J162" s="20">
        <v>0</v>
      </c>
      <c r="K162" s="22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0">
        <v>0</v>
      </c>
      <c r="V162" s="20">
        <v>0</v>
      </c>
      <c r="W162" s="20">
        <v>0</v>
      </c>
      <c r="X162" s="20">
        <v>0</v>
      </c>
      <c r="Y162" s="20">
        <v>0</v>
      </c>
      <c r="Z162" s="20">
        <v>0</v>
      </c>
      <c r="AA162" s="20">
        <v>0</v>
      </c>
      <c r="AB162" s="20">
        <v>0</v>
      </c>
      <c r="AC162" s="20">
        <v>0</v>
      </c>
      <c r="AE162" s="20" t="str">
        <v/>
      </c>
      <c r="AF162" s="20">
        <v>0</v>
      </c>
      <c r="AG162" s="22" t="e">
        <v>#VALUE!</v>
      </c>
      <c r="AI162" s="20">
        <v>0</v>
      </c>
      <c r="AJ162" s="20">
        <v>0</v>
      </c>
      <c r="AK162" s="20">
        <v>0</v>
      </c>
      <c r="AL162" s="20">
        <v>0</v>
      </c>
      <c r="AM162" s="20">
        <v>0</v>
      </c>
      <c r="AN162" s="20">
        <v>0</v>
      </c>
      <c r="AO162" s="20">
        <v>0</v>
      </c>
      <c r="AP162" s="20">
        <v>0</v>
      </c>
      <c r="AQ162" s="20">
        <v>0</v>
      </c>
      <c r="AR162" s="20">
        <v>0</v>
      </c>
      <c r="AS162" s="20">
        <v>0</v>
      </c>
      <c r="AT162" s="20">
        <v>0</v>
      </c>
      <c r="AU162" s="20">
        <v>0</v>
      </c>
      <c r="AV162" s="20">
        <v>0</v>
      </c>
      <c r="AW162" s="20">
        <v>0</v>
      </c>
      <c r="AX162" s="20">
        <v>0</v>
      </c>
      <c r="AY162" s="20">
        <v>0</v>
      </c>
      <c r="AZ162" s="20">
        <v>0</v>
      </c>
      <c r="BA162" s="20">
        <v>0</v>
      </c>
      <c r="BB162" s="20">
        <v>0</v>
      </c>
      <c r="BC162" s="20">
        <v>0</v>
      </c>
      <c r="BD162" s="20">
        <v>0</v>
      </c>
      <c r="BE162" s="20">
        <v>0</v>
      </c>
      <c r="BF162" s="20">
        <v>0</v>
      </c>
      <c r="BG162" s="20">
        <v>0</v>
      </c>
      <c r="BH162" s="20">
        <v>0</v>
      </c>
      <c r="BI162" s="20">
        <v>0</v>
      </c>
      <c r="BJ162" s="20">
        <v>0</v>
      </c>
      <c r="BK162" s="20">
        <v>0</v>
      </c>
      <c r="BL162" s="20">
        <v>0</v>
      </c>
      <c r="BM162" s="20">
        <v>0</v>
      </c>
      <c r="BN162" s="22">
        <v>0</v>
      </c>
      <c r="BO162" s="22">
        <v>0</v>
      </c>
      <c r="BP162" s="22">
        <v>0</v>
      </c>
      <c r="BR162" s="20" t="str">
        <v/>
      </c>
      <c r="CH162" s="20">
        <v>0</v>
      </c>
      <c r="CI162" s="20">
        <v>0</v>
      </c>
      <c r="CJ162" s="20">
        <v>0</v>
      </c>
      <c r="CK162" s="20" t="str">
        <v/>
      </c>
      <c r="CL162" s="20" t="str">
        <v/>
      </c>
      <c r="CN162" s="20">
        <v>0</v>
      </c>
      <c r="CO162" s="20">
        <v>0</v>
      </c>
      <c r="CP162" s="20">
        <v>0</v>
      </c>
      <c r="CQ162" s="20">
        <v>0</v>
      </c>
      <c r="CR162" s="20">
        <v>0</v>
      </c>
      <c r="CS162" s="20">
        <v>0</v>
      </c>
      <c r="CT162" s="20">
        <v>0</v>
      </c>
      <c r="CU162" s="20">
        <v>0</v>
      </c>
      <c r="CV162" s="20">
        <v>0</v>
      </c>
      <c r="CW162" s="20">
        <v>0</v>
      </c>
      <c r="CX162" s="20">
        <v>0</v>
      </c>
      <c r="CY162" s="20">
        <v>0</v>
      </c>
      <c r="CZ162" s="20">
        <v>0</v>
      </c>
      <c r="DA162" s="19">
        <v>0</v>
      </c>
      <c r="DB162" s="20">
        <v>0</v>
      </c>
      <c r="DC162" s="25">
        <v>0</v>
      </c>
      <c r="DD162" s="20">
        <v>0</v>
      </c>
      <c r="DE162" s="20">
        <v>0</v>
      </c>
      <c r="DF162" s="20">
        <v>0</v>
      </c>
      <c r="DG162" s="20">
        <v>0</v>
      </c>
      <c r="DH162" s="20">
        <v>0</v>
      </c>
      <c r="DI162" s="20">
        <v>0</v>
      </c>
    </row>
    <row r="163" spans="1:113">
      <c r="A163" s="20" t="str">
        <v>00:00:00</v>
      </c>
      <c r="B163" s="19">
        <v>0</v>
      </c>
      <c r="C163" s="21">
        <v>0</v>
      </c>
      <c r="D163" s="20" t="str">
        <v>未匹配</v>
      </c>
      <c r="E163" s="20">
        <v>0</v>
      </c>
      <c r="I163" s="20" t="str">
        <v/>
      </c>
      <c r="J163" s="20">
        <v>0</v>
      </c>
      <c r="K163" s="22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  <c r="U163" s="20">
        <v>0</v>
      </c>
      <c r="V163" s="20">
        <v>0</v>
      </c>
      <c r="W163" s="20">
        <v>0</v>
      </c>
      <c r="X163" s="20">
        <v>0</v>
      </c>
      <c r="Y163" s="20">
        <v>0</v>
      </c>
      <c r="Z163" s="20">
        <v>0</v>
      </c>
      <c r="AA163" s="20">
        <v>0</v>
      </c>
      <c r="AB163" s="20">
        <v>0</v>
      </c>
      <c r="AC163" s="20">
        <v>0</v>
      </c>
      <c r="AE163" s="20" t="str">
        <v/>
      </c>
      <c r="AF163" s="20">
        <v>0</v>
      </c>
      <c r="AG163" s="22" t="e">
        <v>#VALUE!</v>
      </c>
      <c r="AI163" s="20">
        <v>0</v>
      </c>
      <c r="AJ163" s="20">
        <v>0</v>
      </c>
      <c r="AK163" s="20">
        <v>0</v>
      </c>
      <c r="AL163" s="20">
        <v>0</v>
      </c>
      <c r="AM163" s="20">
        <v>0</v>
      </c>
      <c r="AN163" s="20">
        <v>0</v>
      </c>
      <c r="AO163" s="20">
        <v>0</v>
      </c>
      <c r="AP163" s="20">
        <v>0</v>
      </c>
      <c r="AQ163" s="20">
        <v>0</v>
      </c>
      <c r="AR163" s="20">
        <v>0</v>
      </c>
      <c r="AS163" s="20">
        <v>0</v>
      </c>
      <c r="AT163" s="20">
        <v>0</v>
      </c>
      <c r="AU163" s="20">
        <v>0</v>
      </c>
      <c r="AV163" s="20">
        <v>0</v>
      </c>
      <c r="AW163" s="20">
        <v>0</v>
      </c>
      <c r="AX163" s="20">
        <v>0</v>
      </c>
      <c r="AY163" s="20">
        <v>0</v>
      </c>
      <c r="AZ163" s="20">
        <v>0</v>
      </c>
      <c r="BA163" s="20">
        <v>0</v>
      </c>
      <c r="BB163" s="20">
        <v>0</v>
      </c>
      <c r="BC163" s="20">
        <v>0</v>
      </c>
      <c r="BD163" s="20">
        <v>0</v>
      </c>
      <c r="BE163" s="20">
        <v>0</v>
      </c>
      <c r="BF163" s="20">
        <v>0</v>
      </c>
      <c r="BG163" s="20">
        <v>0</v>
      </c>
      <c r="BH163" s="20">
        <v>0</v>
      </c>
      <c r="BI163" s="20">
        <v>0</v>
      </c>
      <c r="BJ163" s="20">
        <v>0</v>
      </c>
      <c r="BK163" s="20">
        <v>0</v>
      </c>
      <c r="BL163" s="20">
        <v>0</v>
      </c>
      <c r="BM163" s="20">
        <v>0</v>
      </c>
      <c r="BN163" s="22">
        <v>0</v>
      </c>
      <c r="BO163" s="22">
        <v>0</v>
      </c>
      <c r="BP163" s="22">
        <v>0</v>
      </c>
      <c r="BR163" s="20" t="str">
        <v/>
      </c>
      <c r="CH163" s="20">
        <v>0</v>
      </c>
      <c r="CI163" s="20">
        <v>0</v>
      </c>
      <c r="CJ163" s="20">
        <v>0</v>
      </c>
      <c r="CK163" s="20" t="str">
        <v/>
      </c>
      <c r="CL163" s="20" t="str">
        <v/>
      </c>
      <c r="CN163" s="20">
        <v>0</v>
      </c>
      <c r="CO163" s="20">
        <v>0</v>
      </c>
      <c r="CP163" s="20">
        <v>0</v>
      </c>
      <c r="CQ163" s="20">
        <v>0</v>
      </c>
      <c r="CR163" s="20">
        <v>0</v>
      </c>
      <c r="CS163" s="20">
        <v>0</v>
      </c>
      <c r="CT163" s="20">
        <v>0</v>
      </c>
      <c r="CU163" s="20">
        <v>0</v>
      </c>
      <c r="CV163" s="20">
        <v>0</v>
      </c>
      <c r="CW163" s="20">
        <v>0</v>
      </c>
      <c r="CX163" s="20">
        <v>0</v>
      </c>
      <c r="CY163" s="20">
        <v>0</v>
      </c>
      <c r="CZ163" s="20">
        <v>0</v>
      </c>
      <c r="DA163" s="19">
        <v>0</v>
      </c>
      <c r="DB163" s="20">
        <v>0</v>
      </c>
      <c r="DC163" s="25">
        <v>0</v>
      </c>
      <c r="DD163" s="20">
        <v>0</v>
      </c>
      <c r="DE163" s="20">
        <v>0</v>
      </c>
      <c r="DF163" s="20">
        <v>0</v>
      </c>
      <c r="DG163" s="20">
        <v>0</v>
      </c>
      <c r="DH163" s="20">
        <v>0</v>
      </c>
      <c r="DI163" s="20">
        <v>0</v>
      </c>
    </row>
    <row r="164" spans="1:113">
      <c r="A164" s="20" t="str">
        <v>00:00:00</v>
      </c>
      <c r="B164" s="19">
        <v>0</v>
      </c>
      <c r="C164" s="21">
        <v>0</v>
      </c>
      <c r="D164" s="20" t="str">
        <v>未匹配</v>
      </c>
      <c r="E164" s="20">
        <v>0</v>
      </c>
      <c r="I164" s="20" t="str">
        <v/>
      </c>
      <c r="J164" s="20">
        <v>0</v>
      </c>
      <c r="K164" s="22">
        <v>0</v>
      </c>
      <c r="M164" s="20">
        <v>0</v>
      </c>
      <c r="N164" s="20">
        <v>0</v>
      </c>
      <c r="O164" s="20">
        <v>0</v>
      </c>
      <c r="P164" s="20">
        <v>0</v>
      </c>
      <c r="Q164" s="20">
        <v>0</v>
      </c>
      <c r="R164" s="20">
        <v>0</v>
      </c>
      <c r="S164" s="20">
        <v>0</v>
      </c>
      <c r="T164" s="20">
        <v>0</v>
      </c>
      <c r="U164" s="20">
        <v>0</v>
      </c>
      <c r="V164" s="20">
        <v>0</v>
      </c>
      <c r="W164" s="20">
        <v>0</v>
      </c>
      <c r="X164" s="20">
        <v>0</v>
      </c>
      <c r="Y164" s="20">
        <v>0</v>
      </c>
      <c r="Z164" s="20">
        <v>0</v>
      </c>
      <c r="AA164" s="20">
        <v>0</v>
      </c>
      <c r="AB164" s="20">
        <v>0</v>
      </c>
      <c r="AC164" s="20">
        <v>0</v>
      </c>
      <c r="AE164" s="20" t="str">
        <v/>
      </c>
      <c r="AF164" s="20">
        <v>0</v>
      </c>
      <c r="AG164" s="22" t="e">
        <v>#VALUE!</v>
      </c>
      <c r="AI164" s="20">
        <v>0</v>
      </c>
      <c r="AJ164" s="20">
        <v>0</v>
      </c>
      <c r="AK164" s="20">
        <v>0</v>
      </c>
      <c r="AL164" s="20">
        <v>0</v>
      </c>
      <c r="AM164" s="20">
        <v>0</v>
      </c>
      <c r="AN164" s="20">
        <v>0</v>
      </c>
      <c r="AO164" s="20">
        <v>0</v>
      </c>
      <c r="AP164" s="20">
        <v>0</v>
      </c>
      <c r="AQ164" s="20">
        <v>0</v>
      </c>
      <c r="AR164" s="20">
        <v>0</v>
      </c>
      <c r="AS164" s="20">
        <v>0</v>
      </c>
      <c r="AT164" s="20">
        <v>0</v>
      </c>
      <c r="AU164" s="20">
        <v>0</v>
      </c>
      <c r="AV164" s="20">
        <v>0</v>
      </c>
      <c r="AW164" s="20">
        <v>0</v>
      </c>
      <c r="AX164" s="20">
        <v>0</v>
      </c>
      <c r="AY164" s="20">
        <v>0</v>
      </c>
      <c r="AZ164" s="20">
        <v>0</v>
      </c>
      <c r="BA164" s="20">
        <v>0</v>
      </c>
      <c r="BB164" s="20">
        <v>0</v>
      </c>
      <c r="BC164" s="20">
        <v>0</v>
      </c>
      <c r="BD164" s="20">
        <v>0</v>
      </c>
      <c r="BE164" s="20">
        <v>0</v>
      </c>
      <c r="BF164" s="20">
        <v>0</v>
      </c>
      <c r="BG164" s="20">
        <v>0</v>
      </c>
      <c r="BH164" s="20">
        <v>0</v>
      </c>
      <c r="BI164" s="20">
        <v>0</v>
      </c>
      <c r="BJ164" s="20">
        <v>0</v>
      </c>
      <c r="BK164" s="20">
        <v>0</v>
      </c>
      <c r="BL164" s="20">
        <v>0</v>
      </c>
      <c r="BM164" s="20">
        <v>0</v>
      </c>
      <c r="BN164" s="22">
        <v>0</v>
      </c>
      <c r="BO164" s="22">
        <v>0</v>
      </c>
      <c r="BP164" s="22">
        <v>0</v>
      </c>
      <c r="BR164" s="20" t="str">
        <v/>
      </c>
      <c r="CH164" s="20">
        <v>0</v>
      </c>
      <c r="CI164" s="20">
        <v>0</v>
      </c>
      <c r="CJ164" s="20">
        <v>0</v>
      </c>
      <c r="CK164" s="20" t="str">
        <v/>
      </c>
      <c r="CL164" s="20" t="str">
        <v/>
      </c>
      <c r="CN164" s="20">
        <v>0</v>
      </c>
      <c r="CO164" s="20">
        <v>0</v>
      </c>
      <c r="CP164" s="20">
        <v>0</v>
      </c>
      <c r="CQ164" s="20">
        <v>0</v>
      </c>
      <c r="CR164" s="20">
        <v>0</v>
      </c>
      <c r="CS164" s="20">
        <v>0</v>
      </c>
      <c r="CT164" s="20">
        <v>0</v>
      </c>
      <c r="CU164" s="20">
        <v>0</v>
      </c>
      <c r="CV164" s="20">
        <v>0</v>
      </c>
      <c r="CW164" s="20">
        <v>0</v>
      </c>
      <c r="CX164" s="20">
        <v>0</v>
      </c>
      <c r="CY164" s="20">
        <v>0</v>
      </c>
      <c r="CZ164" s="20">
        <v>0</v>
      </c>
      <c r="DA164" s="19">
        <v>0</v>
      </c>
      <c r="DB164" s="20">
        <v>0</v>
      </c>
      <c r="DC164" s="25">
        <v>0</v>
      </c>
      <c r="DD164" s="20">
        <v>0</v>
      </c>
      <c r="DE164" s="20">
        <v>0</v>
      </c>
      <c r="DF164" s="20">
        <v>0</v>
      </c>
      <c r="DG164" s="20">
        <v>0</v>
      </c>
      <c r="DH164" s="20">
        <v>0</v>
      </c>
      <c r="DI164" s="20">
        <v>0</v>
      </c>
    </row>
    <row r="165" spans="1:113">
      <c r="A165" s="20" t="str">
        <v>00:00:00</v>
      </c>
      <c r="B165" s="19">
        <v>0</v>
      </c>
      <c r="C165" s="21">
        <v>0</v>
      </c>
      <c r="D165" s="20" t="str">
        <v>未匹配</v>
      </c>
      <c r="E165" s="20">
        <v>0</v>
      </c>
      <c r="I165" s="20" t="str">
        <v/>
      </c>
      <c r="J165" s="20">
        <v>0</v>
      </c>
      <c r="K165" s="22">
        <v>0</v>
      </c>
      <c r="M165" s="20">
        <v>0</v>
      </c>
      <c r="N165" s="20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  <c r="U165" s="20">
        <v>0</v>
      </c>
      <c r="V165" s="20">
        <v>0</v>
      </c>
      <c r="W165" s="20">
        <v>0</v>
      </c>
      <c r="X165" s="20">
        <v>0</v>
      </c>
      <c r="Y165" s="20">
        <v>0</v>
      </c>
      <c r="Z165" s="20">
        <v>0</v>
      </c>
      <c r="AA165" s="20">
        <v>0</v>
      </c>
      <c r="AB165" s="20">
        <v>0</v>
      </c>
      <c r="AC165" s="20">
        <v>0</v>
      </c>
      <c r="AE165" s="20" t="str">
        <v/>
      </c>
      <c r="AF165" s="20">
        <v>0</v>
      </c>
      <c r="AG165" s="22" t="e">
        <v>#VALUE!</v>
      </c>
      <c r="AI165" s="20">
        <v>0</v>
      </c>
      <c r="AJ165" s="20">
        <v>0</v>
      </c>
      <c r="AK165" s="20">
        <v>0</v>
      </c>
      <c r="AL165" s="20">
        <v>0</v>
      </c>
      <c r="AM165" s="20">
        <v>0</v>
      </c>
      <c r="AN165" s="20">
        <v>0</v>
      </c>
      <c r="AO165" s="20">
        <v>0</v>
      </c>
      <c r="AP165" s="20">
        <v>0</v>
      </c>
      <c r="AQ165" s="20">
        <v>0</v>
      </c>
      <c r="AR165" s="20">
        <v>0</v>
      </c>
      <c r="AS165" s="20">
        <v>0</v>
      </c>
      <c r="AT165" s="20">
        <v>0</v>
      </c>
      <c r="AU165" s="20">
        <v>0</v>
      </c>
      <c r="AV165" s="20">
        <v>0</v>
      </c>
      <c r="AW165" s="20">
        <v>0</v>
      </c>
      <c r="AX165" s="20">
        <v>0</v>
      </c>
      <c r="AY165" s="20">
        <v>0</v>
      </c>
      <c r="AZ165" s="20">
        <v>0</v>
      </c>
      <c r="BA165" s="20">
        <v>0</v>
      </c>
      <c r="BB165" s="20">
        <v>0</v>
      </c>
      <c r="BC165" s="20">
        <v>0</v>
      </c>
      <c r="BD165" s="20">
        <v>0</v>
      </c>
      <c r="BE165" s="20">
        <v>0</v>
      </c>
      <c r="BF165" s="20">
        <v>0</v>
      </c>
      <c r="BG165" s="20">
        <v>0</v>
      </c>
      <c r="BH165" s="20">
        <v>0</v>
      </c>
      <c r="BI165" s="20">
        <v>0</v>
      </c>
      <c r="BJ165" s="20">
        <v>0</v>
      </c>
      <c r="BK165" s="20">
        <v>0</v>
      </c>
      <c r="BL165" s="20">
        <v>0</v>
      </c>
      <c r="BM165" s="20">
        <v>0</v>
      </c>
      <c r="BN165" s="22">
        <v>0</v>
      </c>
      <c r="BO165" s="22">
        <v>0</v>
      </c>
      <c r="BP165" s="22">
        <v>0</v>
      </c>
      <c r="BR165" s="20" t="str">
        <v/>
      </c>
      <c r="CH165" s="20">
        <v>0</v>
      </c>
      <c r="CI165" s="20">
        <v>0</v>
      </c>
      <c r="CJ165" s="20">
        <v>0</v>
      </c>
      <c r="CK165" s="20" t="str">
        <v/>
      </c>
      <c r="CL165" s="20" t="str">
        <v/>
      </c>
      <c r="CN165" s="20">
        <v>0</v>
      </c>
      <c r="CO165" s="20">
        <v>0</v>
      </c>
      <c r="CP165" s="20">
        <v>0</v>
      </c>
      <c r="CQ165" s="20">
        <v>0</v>
      </c>
      <c r="CR165" s="20">
        <v>0</v>
      </c>
      <c r="CS165" s="20">
        <v>0</v>
      </c>
      <c r="CT165" s="20">
        <v>0</v>
      </c>
      <c r="CU165" s="20">
        <v>0</v>
      </c>
      <c r="CV165" s="20">
        <v>0</v>
      </c>
      <c r="CW165" s="20">
        <v>0</v>
      </c>
      <c r="CX165" s="20">
        <v>0</v>
      </c>
      <c r="CY165" s="20">
        <v>0</v>
      </c>
      <c r="CZ165" s="20">
        <v>0</v>
      </c>
      <c r="DA165" s="19">
        <v>0</v>
      </c>
      <c r="DB165" s="20">
        <v>0</v>
      </c>
      <c r="DC165" s="25">
        <v>0</v>
      </c>
      <c r="DD165" s="20">
        <v>0</v>
      </c>
      <c r="DE165" s="20">
        <v>0</v>
      </c>
      <c r="DF165" s="20">
        <v>0</v>
      </c>
      <c r="DG165" s="20">
        <v>0</v>
      </c>
      <c r="DH165" s="20">
        <v>0</v>
      </c>
      <c r="DI165" s="20">
        <v>0</v>
      </c>
    </row>
    <row r="166" spans="1:113">
      <c r="A166" s="20" t="str">
        <v>00:00:00</v>
      </c>
      <c r="B166" s="19">
        <v>0</v>
      </c>
      <c r="C166" s="21">
        <v>0</v>
      </c>
      <c r="D166" s="20" t="str">
        <v>未匹配</v>
      </c>
      <c r="E166" s="20">
        <v>0</v>
      </c>
      <c r="I166" s="20" t="str">
        <v/>
      </c>
      <c r="J166" s="20">
        <v>0</v>
      </c>
      <c r="K166" s="22">
        <v>0</v>
      </c>
      <c r="M166" s="20">
        <v>0</v>
      </c>
      <c r="N166" s="20">
        <v>0</v>
      </c>
      <c r="O166" s="20">
        <v>0</v>
      </c>
      <c r="P166" s="20">
        <v>0</v>
      </c>
      <c r="Q166" s="20">
        <v>0</v>
      </c>
      <c r="R166" s="20">
        <v>0</v>
      </c>
      <c r="S166" s="20">
        <v>0</v>
      </c>
      <c r="T166" s="20">
        <v>0</v>
      </c>
      <c r="U166" s="20">
        <v>0</v>
      </c>
      <c r="V166" s="20">
        <v>0</v>
      </c>
      <c r="W166" s="20">
        <v>0</v>
      </c>
      <c r="X166" s="20">
        <v>0</v>
      </c>
      <c r="Y166" s="20">
        <v>0</v>
      </c>
      <c r="Z166" s="20">
        <v>0</v>
      </c>
      <c r="AA166" s="20">
        <v>0</v>
      </c>
      <c r="AB166" s="20">
        <v>0</v>
      </c>
      <c r="AC166" s="20">
        <v>0</v>
      </c>
      <c r="AE166" s="20" t="str">
        <v/>
      </c>
      <c r="AF166" s="20">
        <v>0</v>
      </c>
      <c r="AG166" s="22" t="e">
        <v>#VALUE!</v>
      </c>
      <c r="AI166" s="20">
        <v>0</v>
      </c>
      <c r="AJ166" s="20">
        <v>0</v>
      </c>
      <c r="AK166" s="20">
        <v>0</v>
      </c>
      <c r="AL166" s="20">
        <v>0</v>
      </c>
      <c r="AM166" s="20">
        <v>0</v>
      </c>
      <c r="AN166" s="20">
        <v>0</v>
      </c>
      <c r="AO166" s="20">
        <v>0</v>
      </c>
      <c r="AP166" s="20">
        <v>0</v>
      </c>
      <c r="AQ166" s="20">
        <v>0</v>
      </c>
      <c r="AR166" s="20">
        <v>0</v>
      </c>
      <c r="AS166" s="20">
        <v>0</v>
      </c>
      <c r="AT166" s="20">
        <v>0</v>
      </c>
      <c r="AU166" s="20">
        <v>0</v>
      </c>
      <c r="AV166" s="20">
        <v>0</v>
      </c>
      <c r="AW166" s="20">
        <v>0</v>
      </c>
      <c r="AX166" s="20">
        <v>0</v>
      </c>
      <c r="AY166" s="20">
        <v>0</v>
      </c>
      <c r="AZ166" s="20">
        <v>0</v>
      </c>
      <c r="BA166" s="20">
        <v>0</v>
      </c>
      <c r="BB166" s="20">
        <v>0</v>
      </c>
      <c r="BC166" s="20">
        <v>0</v>
      </c>
      <c r="BD166" s="20">
        <v>0</v>
      </c>
      <c r="BE166" s="20">
        <v>0</v>
      </c>
      <c r="BF166" s="20">
        <v>0</v>
      </c>
      <c r="BG166" s="20">
        <v>0</v>
      </c>
      <c r="BH166" s="20">
        <v>0</v>
      </c>
      <c r="BI166" s="20">
        <v>0</v>
      </c>
      <c r="BJ166" s="20">
        <v>0</v>
      </c>
      <c r="BK166" s="20">
        <v>0</v>
      </c>
      <c r="BL166" s="20">
        <v>0</v>
      </c>
      <c r="BM166" s="20">
        <v>0</v>
      </c>
      <c r="BN166" s="22">
        <v>0</v>
      </c>
      <c r="BO166" s="22">
        <v>0</v>
      </c>
      <c r="BP166" s="22">
        <v>0</v>
      </c>
      <c r="BR166" s="20" t="str">
        <v/>
      </c>
      <c r="CH166" s="20">
        <v>0</v>
      </c>
      <c r="CI166" s="20">
        <v>0</v>
      </c>
      <c r="CJ166" s="20">
        <v>0</v>
      </c>
      <c r="CK166" s="20" t="str">
        <v/>
      </c>
      <c r="CL166" s="20" t="str">
        <v/>
      </c>
      <c r="CN166" s="20">
        <v>0</v>
      </c>
      <c r="CO166" s="20">
        <v>0</v>
      </c>
      <c r="CP166" s="20">
        <v>0</v>
      </c>
      <c r="CQ166" s="20">
        <v>0</v>
      </c>
      <c r="CR166" s="20">
        <v>0</v>
      </c>
      <c r="CS166" s="20">
        <v>0</v>
      </c>
      <c r="CT166" s="20">
        <v>0</v>
      </c>
      <c r="CU166" s="20">
        <v>0</v>
      </c>
      <c r="CV166" s="20">
        <v>0</v>
      </c>
      <c r="CW166" s="20">
        <v>0</v>
      </c>
      <c r="CX166" s="20">
        <v>0</v>
      </c>
      <c r="CY166" s="20">
        <v>0</v>
      </c>
      <c r="CZ166" s="20">
        <v>0</v>
      </c>
      <c r="DA166" s="19">
        <v>0</v>
      </c>
      <c r="DB166" s="20">
        <v>0</v>
      </c>
      <c r="DC166" s="25">
        <v>0</v>
      </c>
      <c r="DD166" s="20">
        <v>0</v>
      </c>
      <c r="DE166" s="20">
        <v>0</v>
      </c>
      <c r="DF166" s="20">
        <v>0</v>
      </c>
      <c r="DG166" s="20">
        <v>0</v>
      </c>
      <c r="DH166" s="20">
        <v>0</v>
      </c>
      <c r="DI166" s="20">
        <v>0</v>
      </c>
    </row>
    <row r="167" spans="1:113">
      <c r="A167" s="20" t="str">
        <v>00:00:00</v>
      </c>
      <c r="B167" s="19">
        <v>0</v>
      </c>
      <c r="C167" s="21">
        <v>0</v>
      </c>
      <c r="D167" s="20" t="str">
        <v>未匹配</v>
      </c>
      <c r="E167" s="20">
        <v>0</v>
      </c>
      <c r="I167" s="20" t="str">
        <v/>
      </c>
      <c r="J167" s="20">
        <v>0</v>
      </c>
      <c r="K167" s="22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  <c r="U167" s="20">
        <v>0</v>
      </c>
      <c r="V167" s="20">
        <v>0</v>
      </c>
      <c r="W167" s="20">
        <v>0</v>
      </c>
      <c r="X167" s="20">
        <v>0</v>
      </c>
      <c r="Y167" s="20">
        <v>0</v>
      </c>
      <c r="Z167" s="20">
        <v>0</v>
      </c>
      <c r="AA167" s="20">
        <v>0</v>
      </c>
      <c r="AB167" s="20">
        <v>0</v>
      </c>
      <c r="AC167" s="20">
        <v>0</v>
      </c>
      <c r="AE167" s="20" t="str">
        <v/>
      </c>
      <c r="AF167" s="20">
        <v>0</v>
      </c>
      <c r="AG167" s="22" t="e">
        <v>#VALUE!</v>
      </c>
      <c r="AI167" s="20">
        <v>0</v>
      </c>
      <c r="AJ167" s="20">
        <v>0</v>
      </c>
      <c r="AK167" s="20">
        <v>0</v>
      </c>
      <c r="AL167" s="20">
        <v>0</v>
      </c>
      <c r="AM167" s="20">
        <v>0</v>
      </c>
      <c r="AN167" s="20">
        <v>0</v>
      </c>
      <c r="AO167" s="20">
        <v>0</v>
      </c>
      <c r="AP167" s="20">
        <v>0</v>
      </c>
      <c r="AQ167" s="20">
        <v>0</v>
      </c>
      <c r="AR167" s="20">
        <v>0</v>
      </c>
      <c r="AS167" s="20">
        <v>0</v>
      </c>
      <c r="AT167" s="20">
        <v>0</v>
      </c>
      <c r="AU167" s="20">
        <v>0</v>
      </c>
      <c r="AV167" s="20">
        <v>0</v>
      </c>
      <c r="AW167" s="20">
        <v>0</v>
      </c>
      <c r="AX167" s="20">
        <v>0</v>
      </c>
      <c r="AY167" s="20">
        <v>0</v>
      </c>
      <c r="AZ167" s="20">
        <v>0</v>
      </c>
      <c r="BA167" s="20">
        <v>0</v>
      </c>
      <c r="BB167" s="20">
        <v>0</v>
      </c>
      <c r="BC167" s="20">
        <v>0</v>
      </c>
      <c r="BD167" s="20">
        <v>0</v>
      </c>
      <c r="BE167" s="20">
        <v>0</v>
      </c>
      <c r="BF167" s="20">
        <v>0</v>
      </c>
      <c r="BG167" s="20">
        <v>0</v>
      </c>
      <c r="BH167" s="20">
        <v>0</v>
      </c>
      <c r="BI167" s="20">
        <v>0</v>
      </c>
      <c r="BJ167" s="20">
        <v>0</v>
      </c>
      <c r="BK167" s="20">
        <v>0</v>
      </c>
      <c r="BL167" s="20">
        <v>0</v>
      </c>
      <c r="BM167" s="20">
        <v>0</v>
      </c>
      <c r="BN167" s="22">
        <v>0</v>
      </c>
      <c r="BO167" s="22">
        <v>0</v>
      </c>
      <c r="BP167" s="22">
        <v>0</v>
      </c>
      <c r="BR167" s="20" t="str">
        <v/>
      </c>
      <c r="CH167" s="20">
        <v>0</v>
      </c>
      <c r="CI167" s="20">
        <v>0</v>
      </c>
      <c r="CJ167" s="20">
        <v>0</v>
      </c>
      <c r="CK167" s="20" t="str">
        <v/>
      </c>
      <c r="CL167" s="20" t="str">
        <v/>
      </c>
      <c r="CN167" s="20">
        <v>0</v>
      </c>
      <c r="CO167" s="20">
        <v>0</v>
      </c>
      <c r="CP167" s="20">
        <v>0</v>
      </c>
      <c r="CQ167" s="20">
        <v>0</v>
      </c>
      <c r="CR167" s="20">
        <v>0</v>
      </c>
      <c r="CS167" s="20">
        <v>0</v>
      </c>
      <c r="CT167" s="20">
        <v>0</v>
      </c>
      <c r="CU167" s="20">
        <v>0</v>
      </c>
      <c r="CV167" s="20">
        <v>0</v>
      </c>
      <c r="CW167" s="20">
        <v>0</v>
      </c>
      <c r="CX167" s="20">
        <v>0</v>
      </c>
      <c r="CY167" s="20">
        <v>0</v>
      </c>
      <c r="CZ167" s="20">
        <v>0</v>
      </c>
      <c r="DA167" s="19">
        <v>0</v>
      </c>
      <c r="DB167" s="20">
        <v>0</v>
      </c>
      <c r="DC167" s="25">
        <v>0</v>
      </c>
      <c r="DD167" s="20">
        <v>0</v>
      </c>
      <c r="DE167" s="20">
        <v>0</v>
      </c>
      <c r="DF167" s="20">
        <v>0</v>
      </c>
      <c r="DG167" s="20">
        <v>0</v>
      </c>
      <c r="DH167" s="20">
        <v>0</v>
      </c>
      <c r="DI167" s="20">
        <v>0</v>
      </c>
    </row>
    <row r="168" spans="1:113">
      <c r="A168" s="20" t="str">
        <v>00:00:00</v>
      </c>
      <c r="B168" s="19">
        <v>0</v>
      </c>
      <c r="C168" s="21">
        <v>0</v>
      </c>
      <c r="D168" s="20" t="str">
        <v>未匹配</v>
      </c>
      <c r="E168" s="20">
        <v>0</v>
      </c>
      <c r="I168" s="20" t="str">
        <v/>
      </c>
      <c r="J168" s="20">
        <v>0</v>
      </c>
      <c r="K168" s="22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  <c r="U168" s="20">
        <v>0</v>
      </c>
      <c r="V168" s="20">
        <v>0</v>
      </c>
      <c r="W168" s="20">
        <v>0</v>
      </c>
      <c r="X168" s="20">
        <v>0</v>
      </c>
      <c r="Y168" s="20">
        <v>0</v>
      </c>
      <c r="Z168" s="20">
        <v>0</v>
      </c>
      <c r="AA168" s="20">
        <v>0</v>
      </c>
      <c r="AB168" s="20">
        <v>0</v>
      </c>
      <c r="AC168" s="20">
        <v>0</v>
      </c>
      <c r="AE168" s="20" t="str">
        <v/>
      </c>
      <c r="AF168" s="20">
        <v>0</v>
      </c>
      <c r="AG168" s="22" t="e">
        <v>#VALUE!</v>
      </c>
      <c r="AI168" s="20">
        <v>0</v>
      </c>
      <c r="AJ168" s="20">
        <v>0</v>
      </c>
      <c r="AK168" s="20">
        <v>0</v>
      </c>
      <c r="AL168" s="20">
        <v>0</v>
      </c>
      <c r="AM168" s="20">
        <v>0</v>
      </c>
      <c r="AN168" s="20">
        <v>0</v>
      </c>
      <c r="AO168" s="20">
        <v>0</v>
      </c>
      <c r="AP168" s="20">
        <v>0</v>
      </c>
      <c r="AQ168" s="20">
        <v>0</v>
      </c>
      <c r="AR168" s="20">
        <v>0</v>
      </c>
      <c r="AS168" s="20">
        <v>0</v>
      </c>
      <c r="AT168" s="20">
        <v>0</v>
      </c>
      <c r="AU168" s="20">
        <v>0</v>
      </c>
      <c r="AV168" s="20">
        <v>0</v>
      </c>
      <c r="AW168" s="20">
        <v>0</v>
      </c>
      <c r="AX168" s="20">
        <v>0</v>
      </c>
      <c r="AY168" s="20">
        <v>0</v>
      </c>
      <c r="AZ168" s="20">
        <v>0</v>
      </c>
      <c r="BA168" s="20">
        <v>0</v>
      </c>
      <c r="BB168" s="20">
        <v>0</v>
      </c>
      <c r="BC168" s="20">
        <v>0</v>
      </c>
      <c r="BD168" s="20">
        <v>0</v>
      </c>
      <c r="BE168" s="20">
        <v>0</v>
      </c>
      <c r="BF168" s="20">
        <v>0</v>
      </c>
      <c r="BG168" s="20">
        <v>0</v>
      </c>
      <c r="BH168" s="20">
        <v>0</v>
      </c>
      <c r="BI168" s="20">
        <v>0</v>
      </c>
      <c r="BJ168" s="20">
        <v>0</v>
      </c>
      <c r="BK168" s="20">
        <v>0</v>
      </c>
      <c r="BL168" s="20">
        <v>0</v>
      </c>
      <c r="BM168" s="20">
        <v>0</v>
      </c>
      <c r="BN168" s="22">
        <v>0</v>
      </c>
      <c r="BO168" s="22">
        <v>0</v>
      </c>
      <c r="BP168" s="22">
        <v>0</v>
      </c>
      <c r="BR168" s="20" t="str">
        <v/>
      </c>
      <c r="CH168" s="20">
        <v>0</v>
      </c>
      <c r="CI168" s="20">
        <v>0</v>
      </c>
      <c r="CJ168" s="20">
        <v>0</v>
      </c>
      <c r="CK168" s="20" t="str">
        <v/>
      </c>
      <c r="CL168" s="20" t="str">
        <v/>
      </c>
      <c r="CN168" s="20">
        <v>0</v>
      </c>
      <c r="CO168" s="20">
        <v>0</v>
      </c>
      <c r="CP168" s="20">
        <v>0</v>
      </c>
      <c r="CQ168" s="20">
        <v>0</v>
      </c>
      <c r="CR168" s="20">
        <v>0</v>
      </c>
      <c r="CS168" s="20">
        <v>0</v>
      </c>
      <c r="CT168" s="20">
        <v>0</v>
      </c>
      <c r="CU168" s="20">
        <v>0</v>
      </c>
      <c r="CV168" s="20">
        <v>0</v>
      </c>
      <c r="CW168" s="20">
        <v>0</v>
      </c>
      <c r="CX168" s="20">
        <v>0</v>
      </c>
      <c r="CY168" s="20">
        <v>0</v>
      </c>
      <c r="CZ168" s="20">
        <v>0</v>
      </c>
      <c r="DA168" s="19">
        <v>0</v>
      </c>
      <c r="DB168" s="20">
        <v>0</v>
      </c>
      <c r="DC168" s="25">
        <v>0</v>
      </c>
      <c r="DD168" s="20">
        <v>0</v>
      </c>
      <c r="DE168" s="20">
        <v>0</v>
      </c>
      <c r="DF168" s="20">
        <v>0</v>
      </c>
      <c r="DG168" s="20">
        <v>0</v>
      </c>
      <c r="DH168" s="20">
        <v>0</v>
      </c>
      <c r="DI168" s="20">
        <v>0</v>
      </c>
    </row>
    <row r="169" spans="1:113">
      <c r="A169" s="20" t="str">
        <v>00:00:00</v>
      </c>
      <c r="B169" s="19">
        <v>0</v>
      </c>
      <c r="C169" s="21">
        <v>0</v>
      </c>
      <c r="D169" s="20" t="str">
        <v>未匹配</v>
      </c>
      <c r="E169" s="20">
        <v>0</v>
      </c>
      <c r="I169" s="20" t="str">
        <v/>
      </c>
      <c r="J169" s="20">
        <v>0</v>
      </c>
      <c r="K169" s="22">
        <v>0</v>
      </c>
      <c r="M169" s="20">
        <v>0</v>
      </c>
      <c r="N169" s="20">
        <v>0</v>
      </c>
      <c r="O169" s="20">
        <v>0</v>
      </c>
      <c r="P169" s="20">
        <v>0</v>
      </c>
      <c r="Q169" s="20">
        <v>0</v>
      </c>
      <c r="R169" s="20">
        <v>0</v>
      </c>
      <c r="S169" s="20">
        <v>0</v>
      </c>
      <c r="T169" s="20">
        <v>0</v>
      </c>
      <c r="U169" s="20">
        <v>0</v>
      </c>
      <c r="V169" s="20">
        <v>0</v>
      </c>
      <c r="W169" s="20">
        <v>0</v>
      </c>
      <c r="X169" s="20">
        <v>0</v>
      </c>
      <c r="Y169" s="20">
        <v>0</v>
      </c>
      <c r="Z169" s="20">
        <v>0</v>
      </c>
      <c r="AA169" s="20">
        <v>0</v>
      </c>
      <c r="AB169" s="20">
        <v>0</v>
      </c>
      <c r="AC169" s="20">
        <v>0</v>
      </c>
      <c r="AE169" s="20" t="str">
        <v/>
      </c>
      <c r="AF169" s="20">
        <v>0</v>
      </c>
      <c r="AG169" s="22" t="e">
        <v>#VALUE!</v>
      </c>
      <c r="AI169" s="20">
        <v>0</v>
      </c>
      <c r="AJ169" s="20">
        <v>0</v>
      </c>
      <c r="AK169" s="20">
        <v>0</v>
      </c>
      <c r="AL169" s="20">
        <v>0</v>
      </c>
      <c r="AM169" s="20">
        <v>0</v>
      </c>
      <c r="AN169" s="20">
        <v>0</v>
      </c>
      <c r="AO169" s="20">
        <v>0</v>
      </c>
      <c r="AP169" s="20">
        <v>0</v>
      </c>
      <c r="AQ169" s="20">
        <v>0</v>
      </c>
      <c r="AR169" s="20">
        <v>0</v>
      </c>
      <c r="AS169" s="20">
        <v>0</v>
      </c>
      <c r="AT169" s="20">
        <v>0</v>
      </c>
      <c r="AU169" s="20">
        <v>0</v>
      </c>
      <c r="AV169" s="20">
        <v>0</v>
      </c>
      <c r="AW169" s="20">
        <v>0</v>
      </c>
      <c r="AX169" s="20">
        <v>0</v>
      </c>
      <c r="AY169" s="20">
        <v>0</v>
      </c>
      <c r="AZ169" s="20">
        <v>0</v>
      </c>
      <c r="BA169" s="20">
        <v>0</v>
      </c>
      <c r="BB169" s="20">
        <v>0</v>
      </c>
      <c r="BC169" s="20">
        <v>0</v>
      </c>
      <c r="BD169" s="20">
        <v>0</v>
      </c>
      <c r="BE169" s="20">
        <v>0</v>
      </c>
      <c r="BF169" s="20">
        <v>0</v>
      </c>
      <c r="BG169" s="20">
        <v>0</v>
      </c>
      <c r="BH169" s="20">
        <v>0</v>
      </c>
      <c r="BI169" s="20">
        <v>0</v>
      </c>
      <c r="BJ169" s="20">
        <v>0</v>
      </c>
      <c r="BK169" s="20">
        <v>0</v>
      </c>
      <c r="BL169" s="20">
        <v>0</v>
      </c>
      <c r="BM169" s="20">
        <v>0</v>
      </c>
      <c r="BN169" s="22">
        <v>0</v>
      </c>
      <c r="BO169" s="22">
        <v>0</v>
      </c>
      <c r="BP169" s="22">
        <v>0</v>
      </c>
      <c r="BR169" s="20" t="str">
        <v/>
      </c>
      <c r="CH169" s="20">
        <v>0</v>
      </c>
      <c r="CI169" s="20">
        <v>0</v>
      </c>
      <c r="CJ169" s="20">
        <v>0</v>
      </c>
      <c r="CK169" s="20" t="str">
        <v/>
      </c>
      <c r="CL169" s="20" t="str">
        <v/>
      </c>
      <c r="CN169" s="20">
        <v>0</v>
      </c>
      <c r="CO169" s="20">
        <v>0</v>
      </c>
      <c r="CP169" s="20">
        <v>0</v>
      </c>
      <c r="CQ169" s="20">
        <v>0</v>
      </c>
      <c r="CR169" s="20">
        <v>0</v>
      </c>
      <c r="CS169" s="20">
        <v>0</v>
      </c>
      <c r="CT169" s="20">
        <v>0</v>
      </c>
      <c r="CU169" s="20">
        <v>0</v>
      </c>
      <c r="CV169" s="20">
        <v>0</v>
      </c>
      <c r="CW169" s="20">
        <v>0</v>
      </c>
      <c r="CX169" s="20">
        <v>0</v>
      </c>
      <c r="CY169" s="20">
        <v>0</v>
      </c>
      <c r="CZ169" s="20">
        <v>0</v>
      </c>
      <c r="DA169" s="19">
        <v>0</v>
      </c>
      <c r="DB169" s="20">
        <v>0</v>
      </c>
      <c r="DC169" s="25">
        <v>0</v>
      </c>
      <c r="DD169" s="20">
        <v>0</v>
      </c>
      <c r="DE169" s="20">
        <v>0</v>
      </c>
      <c r="DF169" s="20">
        <v>0</v>
      </c>
      <c r="DG169" s="20">
        <v>0</v>
      </c>
      <c r="DH169" s="20">
        <v>0</v>
      </c>
      <c r="DI169" s="20">
        <v>0</v>
      </c>
    </row>
    <row r="170" spans="1:113">
      <c r="A170" s="20" t="str">
        <v>00:00:00</v>
      </c>
      <c r="B170" s="19">
        <v>0</v>
      </c>
      <c r="C170" s="21">
        <v>0</v>
      </c>
      <c r="D170" s="20" t="str">
        <v>未匹配</v>
      </c>
      <c r="E170" s="20">
        <v>0</v>
      </c>
      <c r="I170" s="20" t="str">
        <v/>
      </c>
      <c r="J170" s="20">
        <v>0</v>
      </c>
      <c r="K170" s="22">
        <v>0</v>
      </c>
      <c r="M170" s="20">
        <v>0</v>
      </c>
      <c r="N170" s="20">
        <v>0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0">
        <v>0</v>
      </c>
      <c r="U170" s="20">
        <v>0</v>
      </c>
      <c r="V170" s="20">
        <v>0</v>
      </c>
      <c r="W170" s="20">
        <v>0</v>
      </c>
      <c r="X170" s="20">
        <v>0</v>
      </c>
      <c r="Y170" s="20">
        <v>0</v>
      </c>
      <c r="Z170" s="20">
        <v>0</v>
      </c>
      <c r="AA170" s="20">
        <v>0</v>
      </c>
      <c r="AB170" s="20">
        <v>0</v>
      </c>
      <c r="AC170" s="20">
        <v>0</v>
      </c>
      <c r="AE170" s="20" t="str">
        <v/>
      </c>
      <c r="AF170" s="20">
        <v>0</v>
      </c>
      <c r="AG170" s="22" t="e">
        <v>#VALUE!</v>
      </c>
      <c r="AI170" s="20">
        <v>0</v>
      </c>
      <c r="AJ170" s="20">
        <v>0</v>
      </c>
      <c r="AK170" s="20">
        <v>0</v>
      </c>
      <c r="AL170" s="20">
        <v>0</v>
      </c>
      <c r="AM170" s="20">
        <v>0</v>
      </c>
      <c r="AN170" s="20">
        <v>0</v>
      </c>
      <c r="AO170" s="20">
        <v>0</v>
      </c>
      <c r="AP170" s="20">
        <v>0</v>
      </c>
      <c r="AQ170" s="20">
        <v>0</v>
      </c>
      <c r="AR170" s="20">
        <v>0</v>
      </c>
      <c r="AS170" s="20">
        <v>0</v>
      </c>
      <c r="AT170" s="20">
        <v>0</v>
      </c>
      <c r="AU170" s="20">
        <v>0</v>
      </c>
      <c r="AV170" s="20">
        <v>0</v>
      </c>
      <c r="AW170" s="20">
        <v>0</v>
      </c>
      <c r="AX170" s="20">
        <v>0</v>
      </c>
      <c r="AY170" s="20">
        <v>0</v>
      </c>
      <c r="AZ170" s="20">
        <v>0</v>
      </c>
      <c r="BA170" s="20">
        <v>0</v>
      </c>
      <c r="BB170" s="20">
        <v>0</v>
      </c>
      <c r="BC170" s="20">
        <v>0</v>
      </c>
      <c r="BD170" s="20">
        <v>0</v>
      </c>
      <c r="BE170" s="20">
        <v>0</v>
      </c>
      <c r="BF170" s="20">
        <v>0</v>
      </c>
      <c r="BG170" s="20">
        <v>0</v>
      </c>
      <c r="BH170" s="20">
        <v>0</v>
      </c>
      <c r="BI170" s="20">
        <v>0</v>
      </c>
      <c r="BJ170" s="20">
        <v>0</v>
      </c>
      <c r="BK170" s="20">
        <v>0</v>
      </c>
      <c r="BL170" s="20">
        <v>0</v>
      </c>
      <c r="BM170" s="20">
        <v>0</v>
      </c>
      <c r="BN170" s="22">
        <v>0</v>
      </c>
      <c r="BO170" s="22">
        <v>0</v>
      </c>
      <c r="BP170" s="22">
        <v>0</v>
      </c>
      <c r="BR170" s="20" t="str">
        <v/>
      </c>
      <c r="CH170" s="20">
        <v>0</v>
      </c>
      <c r="CI170" s="20">
        <v>0</v>
      </c>
      <c r="CJ170" s="20">
        <v>0</v>
      </c>
      <c r="CK170" s="20" t="str">
        <v/>
      </c>
      <c r="CL170" s="20" t="str">
        <v/>
      </c>
      <c r="CN170" s="20">
        <v>0</v>
      </c>
      <c r="CO170" s="20">
        <v>0</v>
      </c>
      <c r="CP170" s="20">
        <v>0</v>
      </c>
      <c r="CQ170" s="20">
        <v>0</v>
      </c>
      <c r="CR170" s="20">
        <v>0</v>
      </c>
      <c r="CS170" s="20">
        <v>0</v>
      </c>
      <c r="CT170" s="20">
        <v>0</v>
      </c>
      <c r="CU170" s="20">
        <v>0</v>
      </c>
      <c r="CV170" s="20">
        <v>0</v>
      </c>
      <c r="CW170" s="20">
        <v>0</v>
      </c>
      <c r="CX170" s="20">
        <v>0</v>
      </c>
      <c r="CY170" s="20">
        <v>0</v>
      </c>
      <c r="CZ170" s="20">
        <v>0</v>
      </c>
      <c r="DA170" s="19">
        <v>0</v>
      </c>
      <c r="DB170" s="20">
        <v>0</v>
      </c>
      <c r="DC170" s="25">
        <v>0</v>
      </c>
      <c r="DD170" s="20">
        <v>0</v>
      </c>
      <c r="DE170" s="20">
        <v>0</v>
      </c>
      <c r="DF170" s="20">
        <v>0</v>
      </c>
      <c r="DG170" s="20">
        <v>0</v>
      </c>
      <c r="DH170" s="20">
        <v>0</v>
      </c>
      <c r="DI170" s="20">
        <v>0</v>
      </c>
    </row>
    <row r="171" spans="1:113">
      <c r="A171" s="20" t="str">
        <v>00:00:00</v>
      </c>
      <c r="B171" s="19">
        <v>0</v>
      </c>
      <c r="C171" s="21">
        <v>0</v>
      </c>
      <c r="D171" s="20" t="str">
        <v>未匹配</v>
      </c>
      <c r="E171" s="20">
        <v>0</v>
      </c>
      <c r="I171" s="20" t="str">
        <v/>
      </c>
      <c r="J171" s="20">
        <v>0</v>
      </c>
      <c r="K171" s="22">
        <v>0</v>
      </c>
      <c r="M171" s="20">
        <v>0</v>
      </c>
      <c r="N171" s="20">
        <v>0</v>
      </c>
      <c r="O171" s="20">
        <v>0</v>
      </c>
      <c r="P171" s="20">
        <v>0</v>
      </c>
      <c r="Q171" s="20">
        <v>0</v>
      </c>
      <c r="R171" s="20">
        <v>0</v>
      </c>
      <c r="S171" s="20">
        <v>0</v>
      </c>
      <c r="T171" s="20">
        <v>0</v>
      </c>
      <c r="U171" s="20">
        <v>0</v>
      </c>
      <c r="V171" s="20">
        <v>0</v>
      </c>
      <c r="W171" s="20">
        <v>0</v>
      </c>
      <c r="X171" s="20">
        <v>0</v>
      </c>
      <c r="Y171" s="20">
        <v>0</v>
      </c>
      <c r="Z171" s="20">
        <v>0</v>
      </c>
      <c r="AA171" s="20">
        <v>0</v>
      </c>
      <c r="AB171" s="20">
        <v>0</v>
      </c>
      <c r="AC171" s="20">
        <v>0</v>
      </c>
      <c r="AE171" s="20" t="str">
        <v/>
      </c>
      <c r="AF171" s="20">
        <v>0</v>
      </c>
      <c r="AG171" s="22" t="e">
        <v>#VALUE!</v>
      </c>
      <c r="AI171" s="20">
        <v>0</v>
      </c>
      <c r="AJ171" s="20">
        <v>0</v>
      </c>
      <c r="AK171" s="20">
        <v>0</v>
      </c>
      <c r="AL171" s="20">
        <v>0</v>
      </c>
      <c r="AM171" s="20">
        <v>0</v>
      </c>
      <c r="AN171" s="20">
        <v>0</v>
      </c>
      <c r="AO171" s="20">
        <v>0</v>
      </c>
      <c r="AP171" s="20">
        <v>0</v>
      </c>
      <c r="AQ171" s="20">
        <v>0</v>
      </c>
      <c r="AR171" s="20">
        <v>0</v>
      </c>
      <c r="AS171" s="20">
        <v>0</v>
      </c>
      <c r="AT171" s="20">
        <v>0</v>
      </c>
      <c r="AU171" s="20">
        <v>0</v>
      </c>
      <c r="AV171" s="20">
        <v>0</v>
      </c>
      <c r="AW171" s="20">
        <v>0</v>
      </c>
      <c r="AX171" s="20">
        <v>0</v>
      </c>
      <c r="AY171" s="20">
        <v>0</v>
      </c>
      <c r="AZ171" s="20">
        <v>0</v>
      </c>
      <c r="BA171" s="20">
        <v>0</v>
      </c>
      <c r="BB171" s="20">
        <v>0</v>
      </c>
      <c r="BC171" s="20">
        <v>0</v>
      </c>
      <c r="BD171" s="20">
        <v>0</v>
      </c>
      <c r="BE171" s="20">
        <v>0</v>
      </c>
      <c r="BF171" s="20">
        <v>0</v>
      </c>
      <c r="BG171" s="20">
        <v>0</v>
      </c>
      <c r="BH171" s="20">
        <v>0</v>
      </c>
      <c r="BI171" s="20">
        <v>0</v>
      </c>
      <c r="BJ171" s="20">
        <v>0</v>
      </c>
      <c r="BK171" s="20">
        <v>0</v>
      </c>
      <c r="BL171" s="20">
        <v>0</v>
      </c>
      <c r="BM171" s="20">
        <v>0</v>
      </c>
      <c r="BN171" s="22">
        <v>0</v>
      </c>
      <c r="BO171" s="22">
        <v>0</v>
      </c>
      <c r="BP171" s="22">
        <v>0</v>
      </c>
      <c r="BR171" s="20" t="str">
        <v/>
      </c>
      <c r="CH171" s="20">
        <v>0</v>
      </c>
      <c r="CI171" s="20">
        <v>0</v>
      </c>
      <c r="CJ171" s="20">
        <v>0</v>
      </c>
      <c r="CK171" s="20" t="str">
        <v/>
      </c>
      <c r="CL171" s="20" t="str">
        <v/>
      </c>
      <c r="CN171" s="20">
        <v>0</v>
      </c>
      <c r="CO171" s="20">
        <v>0</v>
      </c>
      <c r="CP171" s="20">
        <v>0</v>
      </c>
      <c r="CQ171" s="20">
        <v>0</v>
      </c>
      <c r="CR171" s="20">
        <v>0</v>
      </c>
      <c r="CS171" s="20">
        <v>0</v>
      </c>
      <c r="CT171" s="20">
        <v>0</v>
      </c>
      <c r="CU171" s="20">
        <v>0</v>
      </c>
      <c r="CV171" s="20">
        <v>0</v>
      </c>
      <c r="CW171" s="20">
        <v>0</v>
      </c>
      <c r="CX171" s="20">
        <v>0</v>
      </c>
      <c r="CY171" s="20">
        <v>0</v>
      </c>
      <c r="CZ171" s="20">
        <v>0</v>
      </c>
      <c r="DA171" s="19">
        <v>0</v>
      </c>
      <c r="DB171" s="20">
        <v>0</v>
      </c>
      <c r="DC171" s="25">
        <v>0</v>
      </c>
      <c r="DD171" s="20">
        <v>0</v>
      </c>
      <c r="DE171" s="20">
        <v>0</v>
      </c>
      <c r="DF171" s="20">
        <v>0</v>
      </c>
      <c r="DG171" s="20">
        <v>0</v>
      </c>
      <c r="DH171" s="20">
        <v>0</v>
      </c>
      <c r="DI171" s="20">
        <v>0</v>
      </c>
    </row>
    <row r="172" spans="1:113">
      <c r="A172" s="20" t="str">
        <v>00:00:00</v>
      </c>
      <c r="B172" s="19">
        <v>0</v>
      </c>
      <c r="C172" s="21">
        <v>0</v>
      </c>
      <c r="D172" s="20" t="str">
        <v>未匹配</v>
      </c>
      <c r="E172" s="20">
        <v>0</v>
      </c>
      <c r="I172" s="20" t="str">
        <v/>
      </c>
      <c r="J172" s="20">
        <v>0</v>
      </c>
      <c r="K172" s="22">
        <v>0</v>
      </c>
      <c r="M172" s="20">
        <v>0</v>
      </c>
      <c r="N172" s="20">
        <v>0</v>
      </c>
      <c r="O172" s="20">
        <v>0</v>
      </c>
      <c r="P172" s="20">
        <v>0</v>
      </c>
      <c r="Q172" s="20">
        <v>0</v>
      </c>
      <c r="R172" s="20">
        <v>0</v>
      </c>
      <c r="S172" s="20">
        <v>0</v>
      </c>
      <c r="T172" s="20">
        <v>0</v>
      </c>
      <c r="U172" s="20">
        <v>0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E172" s="20" t="str">
        <v/>
      </c>
      <c r="AF172" s="20">
        <v>0</v>
      </c>
      <c r="AG172" s="22" t="e">
        <v>#VALUE!</v>
      </c>
      <c r="AI172" s="20">
        <v>0</v>
      </c>
      <c r="AJ172" s="20">
        <v>0</v>
      </c>
      <c r="AK172" s="20">
        <v>0</v>
      </c>
      <c r="AL172" s="20">
        <v>0</v>
      </c>
      <c r="AM172" s="20">
        <v>0</v>
      </c>
      <c r="AN172" s="20">
        <v>0</v>
      </c>
      <c r="AO172" s="20">
        <v>0</v>
      </c>
      <c r="AP172" s="20">
        <v>0</v>
      </c>
      <c r="AQ172" s="20">
        <v>0</v>
      </c>
      <c r="AR172" s="20">
        <v>0</v>
      </c>
      <c r="AS172" s="20">
        <v>0</v>
      </c>
      <c r="AT172" s="20">
        <v>0</v>
      </c>
      <c r="AU172" s="20">
        <v>0</v>
      </c>
      <c r="AV172" s="20">
        <v>0</v>
      </c>
      <c r="AW172" s="20">
        <v>0</v>
      </c>
      <c r="AX172" s="20">
        <v>0</v>
      </c>
      <c r="AY172" s="20">
        <v>0</v>
      </c>
      <c r="AZ172" s="20">
        <v>0</v>
      </c>
      <c r="BA172" s="20">
        <v>0</v>
      </c>
      <c r="BB172" s="20">
        <v>0</v>
      </c>
      <c r="BC172" s="20">
        <v>0</v>
      </c>
      <c r="BD172" s="20">
        <v>0</v>
      </c>
      <c r="BE172" s="20">
        <v>0</v>
      </c>
      <c r="BF172" s="20">
        <v>0</v>
      </c>
      <c r="BG172" s="20">
        <v>0</v>
      </c>
      <c r="BH172" s="20">
        <v>0</v>
      </c>
      <c r="BI172" s="20">
        <v>0</v>
      </c>
      <c r="BJ172" s="20">
        <v>0</v>
      </c>
      <c r="BK172" s="20">
        <v>0</v>
      </c>
      <c r="BL172" s="20">
        <v>0</v>
      </c>
      <c r="BM172" s="20">
        <v>0</v>
      </c>
      <c r="BN172" s="22">
        <v>0</v>
      </c>
      <c r="BO172" s="22">
        <v>0</v>
      </c>
      <c r="BP172" s="22">
        <v>0</v>
      </c>
      <c r="BR172" s="20" t="str">
        <v/>
      </c>
      <c r="CH172" s="20">
        <v>0</v>
      </c>
      <c r="CI172" s="20">
        <v>0</v>
      </c>
      <c r="CJ172" s="20">
        <v>0</v>
      </c>
      <c r="CK172" s="20" t="str">
        <v/>
      </c>
      <c r="CL172" s="20" t="str">
        <v/>
      </c>
      <c r="CN172" s="20">
        <v>0</v>
      </c>
      <c r="CO172" s="20">
        <v>0</v>
      </c>
      <c r="CP172" s="20">
        <v>0</v>
      </c>
      <c r="CQ172" s="20">
        <v>0</v>
      </c>
      <c r="CR172" s="20">
        <v>0</v>
      </c>
      <c r="CS172" s="20">
        <v>0</v>
      </c>
      <c r="CT172" s="20">
        <v>0</v>
      </c>
      <c r="CU172" s="20">
        <v>0</v>
      </c>
      <c r="CV172" s="20">
        <v>0</v>
      </c>
      <c r="CW172" s="20">
        <v>0</v>
      </c>
      <c r="CX172" s="20">
        <v>0</v>
      </c>
      <c r="CY172" s="20">
        <v>0</v>
      </c>
      <c r="CZ172" s="20">
        <v>0</v>
      </c>
      <c r="DA172" s="19">
        <v>0</v>
      </c>
      <c r="DB172" s="20">
        <v>0</v>
      </c>
      <c r="DC172" s="25">
        <v>0</v>
      </c>
      <c r="DD172" s="20">
        <v>0</v>
      </c>
      <c r="DE172" s="20">
        <v>0</v>
      </c>
      <c r="DF172" s="20">
        <v>0</v>
      </c>
      <c r="DG172" s="20">
        <v>0</v>
      </c>
      <c r="DH172" s="20">
        <v>0</v>
      </c>
      <c r="DI172" s="20">
        <v>0</v>
      </c>
    </row>
    <row r="173" spans="1:113">
      <c r="A173" s="20" t="str">
        <v>00:00:00</v>
      </c>
      <c r="B173" s="19">
        <v>0</v>
      </c>
      <c r="C173" s="21">
        <v>0</v>
      </c>
      <c r="D173" s="20" t="str">
        <v>未匹配</v>
      </c>
      <c r="E173" s="20">
        <v>0</v>
      </c>
      <c r="I173" s="20" t="str">
        <v/>
      </c>
      <c r="J173" s="20">
        <v>0</v>
      </c>
      <c r="K173" s="22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  <c r="U173" s="20">
        <v>0</v>
      </c>
      <c r="V173" s="20">
        <v>0</v>
      </c>
      <c r="W173" s="20">
        <v>0</v>
      </c>
      <c r="X173" s="20">
        <v>0</v>
      </c>
      <c r="Y173" s="20">
        <v>0</v>
      </c>
      <c r="Z173" s="20">
        <v>0</v>
      </c>
      <c r="AA173" s="20">
        <v>0</v>
      </c>
      <c r="AB173" s="20">
        <v>0</v>
      </c>
      <c r="AC173" s="20">
        <v>0</v>
      </c>
      <c r="AE173" s="20" t="str">
        <v/>
      </c>
      <c r="AF173" s="20">
        <v>0</v>
      </c>
      <c r="AG173" s="22" t="e">
        <v>#VALUE!</v>
      </c>
      <c r="AI173" s="20">
        <v>0</v>
      </c>
      <c r="AJ173" s="20">
        <v>0</v>
      </c>
      <c r="AK173" s="20">
        <v>0</v>
      </c>
      <c r="AL173" s="20">
        <v>0</v>
      </c>
      <c r="AM173" s="20">
        <v>0</v>
      </c>
      <c r="AN173" s="20">
        <v>0</v>
      </c>
      <c r="AO173" s="20">
        <v>0</v>
      </c>
      <c r="AP173" s="20">
        <v>0</v>
      </c>
      <c r="AQ173" s="20">
        <v>0</v>
      </c>
      <c r="AR173" s="20">
        <v>0</v>
      </c>
      <c r="AS173" s="20">
        <v>0</v>
      </c>
      <c r="AT173" s="20">
        <v>0</v>
      </c>
      <c r="AU173" s="20">
        <v>0</v>
      </c>
      <c r="AV173" s="20">
        <v>0</v>
      </c>
      <c r="AW173" s="20">
        <v>0</v>
      </c>
      <c r="AX173" s="20">
        <v>0</v>
      </c>
      <c r="AY173" s="20">
        <v>0</v>
      </c>
      <c r="AZ173" s="20">
        <v>0</v>
      </c>
      <c r="BA173" s="20">
        <v>0</v>
      </c>
      <c r="BB173" s="20">
        <v>0</v>
      </c>
      <c r="BC173" s="20">
        <v>0</v>
      </c>
      <c r="BD173" s="20">
        <v>0</v>
      </c>
      <c r="BE173" s="20">
        <v>0</v>
      </c>
      <c r="BF173" s="20">
        <v>0</v>
      </c>
      <c r="BG173" s="20">
        <v>0</v>
      </c>
      <c r="BH173" s="20">
        <v>0</v>
      </c>
      <c r="BI173" s="20">
        <v>0</v>
      </c>
      <c r="BJ173" s="20">
        <v>0</v>
      </c>
      <c r="BK173" s="20">
        <v>0</v>
      </c>
      <c r="BL173" s="20">
        <v>0</v>
      </c>
      <c r="BM173" s="20">
        <v>0</v>
      </c>
      <c r="BN173" s="22">
        <v>0</v>
      </c>
      <c r="BO173" s="22">
        <v>0</v>
      </c>
      <c r="BP173" s="22">
        <v>0</v>
      </c>
      <c r="BR173" s="20" t="str">
        <v/>
      </c>
      <c r="CH173" s="20">
        <v>0</v>
      </c>
      <c r="CI173" s="20">
        <v>0</v>
      </c>
      <c r="CJ173" s="20">
        <v>0</v>
      </c>
      <c r="CK173" s="20" t="str">
        <v/>
      </c>
      <c r="CL173" s="20" t="str">
        <v/>
      </c>
      <c r="CN173" s="20">
        <v>0</v>
      </c>
      <c r="CO173" s="20">
        <v>0</v>
      </c>
      <c r="CP173" s="20">
        <v>0</v>
      </c>
      <c r="CQ173" s="20">
        <v>0</v>
      </c>
      <c r="CR173" s="20">
        <v>0</v>
      </c>
      <c r="CS173" s="20">
        <v>0</v>
      </c>
      <c r="CT173" s="20">
        <v>0</v>
      </c>
      <c r="CU173" s="20">
        <v>0</v>
      </c>
      <c r="CV173" s="20">
        <v>0</v>
      </c>
      <c r="CW173" s="20">
        <v>0</v>
      </c>
      <c r="CX173" s="20">
        <v>0</v>
      </c>
      <c r="CY173" s="20">
        <v>0</v>
      </c>
      <c r="CZ173" s="20">
        <v>0</v>
      </c>
      <c r="DA173" s="19">
        <v>0</v>
      </c>
      <c r="DB173" s="20">
        <v>0</v>
      </c>
      <c r="DC173" s="25">
        <v>0</v>
      </c>
      <c r="DD173" s="20">
        <v>0</v>
      </c>
      <c r="DE173" s="20">
        <v>0</v>
      </c>
      <c r="DF173" s="20">
        <v>0</v>
      </c>
      <c r="DG173" s="20">
        <v>0</v>
      </c>
      <c r="DH173" s="20">
        <v>0</v>
      </c>
      <c r="DI173" s="20">
        <v>0</v>
      </c>
    </row>
    <row r="174" spans="1:113">
      <c r="A174" s="20" t="str">
        <v>00:00:00</v>
      </c>
      <c r="B174" s="19">
        <v>0</v>
      </c>
      <c r="C174" s="21">
        <v>0</v>
      </c>
      <c r="D174" s="20" t="str">
        <v>未匹配</v>
      </c>
      <c r="E174" s="20">
        <v>0</v>
      </c>
      <c r="I174" s="20" t="str">
        <v/>
      </c>
      <c r="J174" s="20">
        <v>0</v>
      </c>
      <c r="K174" s="22">
        <v>0</v>
      </c>
      <c r="M174" s="20">
        <v>0</v>
      </c>
      <c r="N174" s="20">
        <v>0</v>
      </c>
      <c r="O174" s="20">
        <v>0</v>
      </c>
      <c r="P174" s="20">
        <v>0</v>
      </c>
      <c r="Q174" s="20">
        <v>0</v>
      </c>
      <c r="R174" s="20">
        <v>0</v>
      </c>
      <c r="S174" s="20">
        <v>0</v>
      </c>
      <c r="T174" s="20">
        <v>0</v>
      </c>
      <c r="U174" s="20">
        <v>0</v>
      </c>
      <c r="V174" s="20">
        <v>0</v>
      </c>
      <c r="W174" s="20">
        <v>0</v>
      </c>
      <c r="X174" s="20">
        <v>0</v>
      </c>
      <c r="Y174" s="20">
        <v>0</v>
      </c>
      <c r="Z174" s="20">
        <v>0</v>
      </c>
      <c r="AA174" s="20">
        <v>0</v>
      </c>
      <c r="AB174" s="20">
        <v>0</v>
      </c>
      <c r="AC174" s="20">
        <v>0</v>
      </c>
      <c r="AE174" s="20" t="str">
        <v/>
      </c>
      <c r="AF174" s="20">
        <v>0</v>
      </c>
      <c r="AG174" s="22" t="e">
        <v>#VALUE!</v>
      </c>
      <c r="AI174" s="20">
        <v>0</v>
      </c>
      <c r="AJ174" s="20">
        <v>0</v>
      </c>
      <c r="AK174" s="20">
        <v>0</v>
      </c>
      <c r="AL174" s="20">
        <v>0</v>
      </c>
      <c r="AM174" s="20">
        <v>0</v>
      </c>
      <c r="AN174" s="20">
        <v>0</v>
      </c>
      <c r="AO174" s="20">
        <v>0</v>
      </c>
      <c r="AP174" s="20">
        <v>0</v>
      </c>
      <c r="AQ174" s="20">
        <v>0</v>
      </c>
      <c r="AR174" s="20">
        <v>0</v>
      </c>
      <c r="AS174" s="20">
        <v>0</v>
      </c>
      <c r="AT174" s="20">
        <v>0</v>
      </c>
      <c r="AU174" s="20">
        <v>0</v>
      </c>
      <c r="AV174" s="20">
        <v>0</v>
      </c>
      <c r="AW174" s="20">
        <v>0</v>
      </c>
      <c r="AX174" s="20">
        <v>0</v>
      </c>
      <c r="AY174" s="20">
        <v>0</v>
      </c>
      <c r="AZ174" s="20">
        <v>0</v>
      </c>
      <c r="BA174" s="20">
        <v>0</v>
      </c>
      <c r="BB174" s="20">
        <v>0</v>
      </c>
      <c r="BC174" s="20">
        <v>0</v>
      </c>
      <c r="BD174" s="20">
        <v>0</v>
      </c>
      <c r="BE174" s="20">
        <v>0</v>
      </c>
      <c r="BF174" s="20">
        <v>0</v>
      </c>
      <c r="BG174" s="20">
        <v>0</v>
      </c>
      <c r="BH174" s="20">
        <v>0</v>
      </c>
      <c r="BI174" s="20">
        <v>0</v>
      </c>
      <c r="BJ174" s="20">
        <v>0</v>
      </c>
      <c r="BK174" s="20">
        <v>0</v>
      </c>
      <c r="BL174" s="20">
        <v>0</v>
      </c>
      <c r="BM174" s="20">
        <v>0</v>
      </c>
      <c r="BN174" s="22">
        <v>0</v>
      </c>
      <c r="BO174" s="22">
        <v>0</v>
      </c>
      <c r="BP174" s="22">
        <v>0</v>
      </c>
      <c r="BR174" s="20" t="str">
        <v/>
      </c>
      <c r="CH174" s="20">
        <v>0</v>
      </c>
      <c r="CI174" s="20">
        <v>0</v>
      </c>
      <c r="CJ174" s="20">
        <v>0</v>
      </c>
      <c r="CK174" s="20" t="str">
        <v/>
      </c>
      <c r="CL174" s="20" t="str">
        <v/>
      </c>
      <c r="CN174" s="20">
        <v>0</v>
      </c>
      <c r="CO174" s="20">
        <v>0</v>
      </c>
      <c r="CP174" s="20">
        <v>0</v>
      </c>
      <c r="CQ174" s="20">
        <v>0</v>
      </c>
      <c r="CR174" s="20">
        <v>0</v>
      </c>
      <c r="CS174" s="20">
        <v>0</v>
      </c>
      <c r="CT174" s="20">
        <v>0</v>
      </c>
      <c r="CU174" s="20">
        <v>0</v>
      </c>
      <c r="CV174" s="20">
        <v>0</v>
      </c>
      <c r="CW174" s="20">
        <v>0</v>
      </c>
      <c r="CX174" s="20">
        <v>0</v>
      </c>
      <c r="CY174" s="20">
        <v>0</v>
      </c>
      <c r="CZ174" s="20">
        <v>0</v>
      </c>
      <c r="DA174" s="19">
        <v>0</v>
      </c>
      <c r="DB174" s="20">
        <v>0</v>
      </c>
      <c r="DC174" s="25">
        <v>0</v>
      </c>
      <c r="DD174" s="20">
        <v>0</v>
      </c>
      <c r="DE174" s="20">
        <v>0</v>
      </c>
      <c r="DF174" s="20">
        <v>0</v>
      </c>
      <c r="DG174" s="20">
        <v>0</v>
      </c>
      <c r="DH174" s="20">
        <v>0</v>
      </c>
      <c r="DI174" s="20">
        <v>0</v>
      </c>
    </row>
    <row r="175" spans="1:113">
      <c r="A175" s="20" t="str">
        <v>00:00:00</v>
      </c>
      <c r="B175" s="19">
        <v>0</v>
      </c>
      <c r="C175" s="21">
        <v>0</v>
      </c>
      <c r="D175" s="20" t="str">
        <v>未匹配</v>
      </c>
      <c r="E175" s="20">
        <v>0</v>
      </c>
      <c r="I175" s="20" t="str">
        <v/>
      </c>
      <c r="J175" s="20">
        <v>0</v>
      </c>
      <c r="K175" s="22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  <c r="U175" s="20">
        <v>0</v>
      </c>
      <c r="V175" s="20">
        <v>0</v>
      </c>
      <c r="W175" s="20">
        <v>0</v>
      </c>
      <c r="X175" s="20">
        <v>0</v>
      </c>
      <c r="Y175" s="20">
        <v>0</v>
      </c>
      <c r="Z175" s="20">
        <v>0</v>
      </c>
      <c r="AA175" s="20">
        <v>0</v>
      </c>
      <c r="AB175" s="20">
        <v>0</v>
      </c>
      <c r="AC175" s="20">
        <v>0</v>
      </c>
      <c r="AE175" s="20" t="str">
        <v/>
      </c>
      <c r="AF175" s="20">
        <v>0</v>
      </c>
      <c r="AG175" s="22" t="e">
        <v>#VALUE!</v>
      </c>
      <c r="AI175" s="20">
        <v>0</v>
      </c>
      <c r="AJ175" s="20">
        <v>0</v>
      </c>
      <c r="AK175" s="20">
        <v>0</v>
      </c>
      <c r="AL175" s="20">
        <v>0</v>
      </c>
      <c r="AM175" s="20">
        <v>0</v>
      </c>
      <c r="AN175" s="20">
        <v>0</v>
      </c>
      <c r="AO175" s="20">
        <v>0</v>
      </c>
      <c r="AP175" s="20">
        <v>0</v>
      </c>
      <c r="AQ175" s="20">
        <v>0</v>
      </c>
      <c r="AR175" s="20">
        <v>0</v>
      </c>
      <c r="AS175" s="20">
        <v>0</v>
      </c>
      <c r="AT175" s="20">
        <v>0</v>
      </c>
      <c r="AU175" s="20">
        <v>0</v>
      </c>
      <c r="AV175" s="20">
        <v>0</v>
      </c>
      <c r="AW175" s="20">
        <v>0</v>
      </c>
      <c r="AX175" s="20">
        <v>0</v>
      </c>
      <c r="AY175" s="20">
        <v>0</v>
      </c>
      <c r="AZ175" s="20">
        <v>0</v>
      </c>
      <c r="BA175" s="20">
        <v>0</v>
      </c>
      <c r="BB175" s="20">
        <v>0</v>
      </c>
      <c r="BC175" s="20">
        <v>0</v>
      </c>
      <c r="BD175" s="20">
        <v>0</v>
      </c>
      <c r="BE175" s="20">
        <v>0</v>
      </c>
      <c r="BF175" s="20">
        <v>0</v>
      </c>
      <c r="BG175" s="20">
        <v>0</v>
      </c>
      <c r="BH175" s="20">
        <v>0</v>
      </c>
      <c r="BI175" s="20">
        <v>0</v>
      </c>
      <c r="BJ175" s="20">
        <v>0</v>
      </c>
      <c r="BK175" s="20">
        <v>0</v>
      </c>
      <c r="BL175" s="20">
        <v>0</v>
      </c>
      <c r="BM175" s="20">
        <v>0</v>
      </c>
      <c r="BN175" s="22">
        <v>0</v>
      </c>
      <c r="BO175" s="22">
        <v>0</v>
      </c>
      <c r="BP175" s="22">
        <v>0</v>
      </c>
      <c r="BR175" s="20" t="str">
        <v/>
      </c>
      <c r="CH175" s="20">
        <v>0</v>
      </c>
      <c r="CI175" s="20">
        <v>0</v>
      </c>
      <c r="CJ175" s="20">
        <v>0</v>
      </c>
      <c r="CK175" s="20" t="str">
        <v/>
      </c>
      <c r="CL175" s="20" t="str">
        <v/>
      </c>
      <c r="CN175" s="20">
        <v>0</v>
      </c>
      <c r="CO175" s="20">
        <v>0</v>
      </c>
      <c r="CP175" s="20">
        <v>0</v>
      </c>
      <c r="CQ175" s="20">
        <v>0</v>
      </c>
      <c r="CR175" s="20">
        <v>0</v>
      </c>
      <c r="CS175" s="20">
        <v>0</v>
      </c>
      <c r="CT175" s="20">
        <v>0</v>
      </c>
      <c r="CU175" s="20">
        <v>0</v>
      </c>
      <c r="CV175" s="20">
        <v>0</v>
      </c>
      <c r="CW175" s="20">
        <v>0</v>
      </c>
      <c r="CX175" s="20">
        <v>0</v>
      </c>
      <c r="CY175" s="20">
        <v>0</v>
      </c>
      <c r="CZ175" s="20">
        <v>0</v>
      </c>
      <c r="DA175" s="19">
        <v>0</v>
      </c>
      <c r="DB175" s="20">
        <v>0</v>
      </c>
      <c r="DC175" s="25">
        <v>0</v>
      </c>
      <c r="DD175" s="20">
        <v>0</v>
      </c>
      <c r="DE175" s="20">
        <v>0</v>
      </c>
      <c r="DF175" s="20">
        <v>0</v>
      </c>
      <c r="DG175" s="20">
        <v>0</v>
      </c>
      <c r="DH175" s="20">
        <v>0</v>
      </c>
      <c r="DI175" s="20">
        <v>0</v>
      </c>
    </row>
    <row r="176" spans="1:113">
      <c r="A176" s="20" t="str">
        <v>00:00:00</v>
      </c>
      <c r="B176" s="19">
        <v>0</v>
      </c>
      <c r="C176" s="21">
        <v>0</v>
      </c>
      <c r="D176" s="20" t="str">
        <v>未匹配</v>
      </c>
      <c r="E176" s="20">
        <v>0</v>
      </c>
      <c r="I176" s="20" t="str">
        <v/>
      </c>
      <c r="J176" s="20">
        <v>0</v>
      </c>
      <c r="K176" s="22">
        <v>0</v>
      </c>
      <c r="M176" s="20">
        <v>0</v>
      </c>
      <c r="N176" s="20">
        <v>0</v>
      </c>
      <c r="O176" s="20">
        <v>0</v>
      </c>
      <c r="P176" s="20">
        <v>0</v>
      </c>
      <c r="Q176" s="20">
        <v>0</v>
      </c>
      <c r="R176" s="20">
        <v>0</v>
      </c>
      <c r="S176" s="20">
        <v>0</v>
      </c>
      <c r="T176" s="20">
        <v>0</v>
      </c>
      <c r="U176" s="20">
        <v>0</v>
      </c>
      <c r="V176" s="20">
        <v>0</v>
      </c>
      <c r="W176" s="20">
        <v>0</v>
      </c>
      <c r="X176" s="20">
        <v>0</v>
      </c>
      <c r="Y176" s="20">
        <v>0</v>
      </c>
      <c r="Z176" s="20">
        <v>0</v>
      </c>
      <c r="AA176" s="20">
        <v>0</v>
      </c>
      <c r="AB176" s="20">
        <v>0</v>
      </c>
      <c r="AC176" s="20">
        <v>0</v>
      </c>
      <c r="AE176" s="20" t="str">
        <v/>
      </c>
      <c r="AF176" s="20">
        <v>0</v>
      </c>
      <c r="AG176" s="22" t="e">
        <v>#VALUE!</v>
      </c>
      <c r="AI176" s="20">
        <v>0</v>
      </c>
      <c r="AJ176" s="20">
        <v>0</v>
      </c>
      <c r="AK176" s="20">
        <v>0</v>
      </c>
      <c r="AL176" s="20">
        <v>0</v>
      </c>
      <c r="AM176" s="20">
        <v>0</v>
      </c>
      <c r="AN176" s="20">
        <v>0</v>
      </c>
      <c r="AO176" s="20">
        <v>0</v>
      </c>
      <c r="AP176" s="20">
        <v>0</v>
      </c>
      <c r="AQ176" s="20">
        <v>0</v>
      </c>
      <c r="AR176" s="20">
        <v>0</v>
      </c>
      <c r="AS176" s="20">
        <v>0</v>
      </c>
      <c r="AT176" s="20">
        <v>0</v>
      </c>
      <c r="AU176" s="20">
        <v>0</v>
      </c>
      <c r="AV176" s="20">
        <v>0</v>
      </c>
      <c r="AW176" s="20">
        <v>0</v>
      </c>
      <c r="AX176" s="20">
        <v>0</v>
      </c>
      <c r="AY176" s="20">
        <v>0</v>
      </c>
      <c r="AZ176" s="20">
        <v>0</v>
      </c>
      <c r="BA176" s="20">
        <v>0</v>
      </c>
      <c r="BB176" s="20">
        <v>0</v>
      </c>
      <c r="BC176" s="20">
        <v>0</v>
      </c>
      <c r="BD176" s="20">
        <v>0</v>
      </c>
      <c r="BE176" s="20">
        <v>0</v>
      </c>
      <c r="BF176" s="20">
        <v>0</v>
      </c>
      <c r="BG176" s="20">
        <v>0</v>
      </c>
      <c r="BH176" s="20">
        <v>0</v>
      </c>
      <c r="BI176" s="20">
        <v>0</v>
      </c>
      <c r="BJ176" s="20">
        <v>0</v>
      </c>
      <c r="BK176" s="20">
        <v>0</v>
      </c>
      <c r="BL176" s="20">
        <v>0</v>
      </c>
      <c r="BM176" s="20">
        <v>0</v>
      </c>
      <c r="BN176" s="22">
        <v>0</v>
      </c>
      <c r="BO176" s="22">
        <v>0</v>
      </c>
      <c r="BP176" s="22">
        <v>0</v>
      </c>
      <c r="BR176" s="20" t="str">
        <v/>
      </c>
      <c r="CH176" s="20">
        <v>0</v>
      </c>
      <c r="CI176" s="20">
        <v>0</v>
      </c>
      <c r="CJ176" s="20">
        <v>0</v>
      </c>
      <c r="CK176" s="20" t="str">
        <v/>
      </c>
      <c r="CL176" s="20" t="str">
        <v/>
      </c>
      <c r="CN176" s="20">
        <v>0</v>
      </c>
      <c r="CO176" s="20">
        <v>0</v>
      </c>
      <c r="CP176" s="20">
        <v>0</v>
      </c>
      <c r="CQ176" s="20">
        <v>0</v>
      </c>
      <c r="CR176" s="20">
        <v>0</v>
      </c>
      <c r="CS176" s="20">
        <v>0</v>
      </c>
      <c r="CT176" s="20">
        <v>0</v>
      </c>
      <c r="CU176" s="20">
        <v>0</v>
      </c>
      <c r="CV176" s="20">
        <v>0</v>
      </c>
      <c r="CW176" s="20">
        <v>0</v>
      </c>
      <c r="CX176" s="20">
        <v>0</v>
      </c>
      <c r="CY176" s="20">
        <v>0</v>
      </c>
      <c r="CZ176" s="20">
        <v>0</v>
      </c>
      <c r="DA176" s="19">
        <v>0</v>
      </c>
      <c r="DB176" s="20">
        <v>0</v>
      </c>
      <c r="DC176" s="25">
        <v>0</v>
      </c>
      <c r="DD176" s="20">
        <v>0</v>
      </c>
      <c r="DE176" s="20">
        <v>0</v>
      </c>
      <c r="DF176" s="20">
        <v>0</v>
      </c>
      <c r="DG176" s="20">
        <v>0</v>
      </c>
      <c r="DH176" s="20">
        <v>0</v>
      </c>
      <c r="DI176" s="20">
        <v>0</v>
      </c>
    </row>
    <row r="177" spans="1:113">
      <c r="A177" s="20" t="str">
        <v>00:00:00</v>
      </c>
      <c r="B177" s="19">
        <v>0</v>
      </c>
      <c r="C177" s="21">
        <v>0</v>
      </c>
      <c r="D177" s="20" t="str">
        <v>未匹配</v>
      </c>
      <c r="E177" s="20">
        <v>0</v>
      </c>
      <c r="I177" s="20" t="str">
        <v/>
      </c>
      <c r="J177" s="20">
        <v>0</v>
      </c>
      <c r="K177" s="22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20">
        <v>0</v>
      </c>
      <c r="U177" s="20">
        <v>0</v>
      </c>
      <c r="V177" s="20">
        <v>0</v>
      </c>
      <c r="W177" s="20">
        <v>0</v>
      </c>
      <c r="X177" s="20">
        <v>0</v>
      </c>
      <c r="Y177" s="20">
        <v>0</v>
      </c>
      <c r="Z177" s="20">
        <v>0</v>
      </c>
      <c r="AA177" s="20">
        <v>0</v>
      </c>
      <c r="AB177" s="20">
        <v>0</v>
      </c>
      <c r="AC177" s="20">
        <v>0</v>
      </c>
      <c r="AE177" s="20" t="str">
        <v/>
      </c>
      <c r="AF177" s="20">
        <v>0</v>
      </c>
      <c r="AG177" s="22" t="e">
        <v>#VALUE!</v>
      </c>
      <c r="AI177" s="20">
        <v>0</v>
      </c>
      <c r="AJ177" s="20">
        <v>0</v>
      </c>
      <c r="AK177" s="20">
        <v>0</v>
      </c>
      <c r="AL177" s="20">
        <v>0</v>
      </c>
      <c r="AM177" s="20">
        <v>0</v>
      </c>
      <c r="AN177" s="20">
        <v>0</v>
      </c>
      <c r="AO177" s="20">
        <v>0</v>
      </c>
      <c r="AP177" s="20">
        <v>0</v>
      </c>
      <c r="AQ177" s="20">
        <v>0</v>
      </c>
      <c r="AR177" s="20">
        <v>0</v>
      </c>
      <c r="AS177" s="20">
        <v>0</v>
      </c>
      <c r="AT177" s="20">
        <v>0</v>
      </c>
      <c r="AU177" s="20">
        <v>0</v>
      </c>
      <c r="AV177" s="20">
        <v>0</v>
      </c>
      <c r="AW177" s="20">
        <v>0</v>
      </c>
      <c r="AX177" s="20">
        <v>0</v>
      </c>
      <c r="AY177" s="20">
        <v>0</v>
      </c>
      <c r="AZ177" s="20">
        <v>0</v>
      </c>
      <c r="BA177" s="20">
        <v>0</v>
      </c>
      <c r="BB177" s="20">
        <v>0</v>
      </c>
      <c r="BC177" s="20">
        <v>0</v>
      </c>
      <c r="BD177" s="20">
        <v>0</v>
      </c>
      <c r="BE177" s="20">
        <v>0</v>
      </c>
      <c r="BF177" s="20">
        <v>0</v>
      </c>
      <c r="BG177" s="20">
        <v>0</v>
      </c>
      <c r="BH177" s="20">
        <v>0</v>
      </c>
      <c r="BI177" s="20">
        <v>0</v>
      </c>
      <c r="BJ177" s="20">
        <v>0</v>
      </c>
      <c r="BK177" s="20">
        <v>0</v>
      </c>
      <c r="BL177" s="20">
        <v>0</v>
      </c>
      <c r="BM177" s="20">
        <v>0</v>
      </c>
      <c r="BN177" s="22">
        <v>0</v>
      </c>
      <c r="BO177" s="22">
        <v>0</v>
      </c>
      <c r="BP177" s="22">
        <v>0</v>
      </c>
      <c r="BR177" s="20" t="str">
        <v/>
      </c>
      <c r="CH177" s="20">
        <v>0</v>
      </c>
      <c r="CI177" s="20">
        <v>0</v>
      </c>
      <c r="CJ177" s="20">
        <v>0</v>
      </c>
      <c r="CK177" s="20" t="str">
        <v/>
      </c>
      <c r="CL177" s="20" t="str">
        <v/>
      </c>
      <c r="CN177" s="20">
        <v>0</v>
      </c>
      <c r="CO177" s="20">
        <v>0</v>
      </c>
      <c r="CP177" s="20">
        <v>0</v>
      </c>
      <c r="CQ177" s="20">
        <v>0</v>
      </c>
      <c r="CR177" s="20">
        <v>0</v>
      </c>
      <c r="CS177" s="20">
        <v>0</v>
      </c>
      <c r="CT177" s="20">
        <v>0</v>
      </c>
      <c r="CU177" s="20">
        <v>0</v>
      </c>
      <c r="CV177" s="20">
        <v>0</v>
      </c>
      <c r="CW177" s="20">
        <v>0</v>
      </c>
      <c r="CX177" s="20">
        <v>0</v>
      </c>
      <c r="CY177" s="20">
        <v>0</v>
      </c>
      <c r="CZ177" s="20">
        <v>0</v>
      </c>
      <c r="DA177" s="19">
        <v>0</v>
      </c>
      <c r="DB177" s="20">
        <v>0</v>
      </c>
      <c r="DC177" s="25">
        <v>0</v>
      </c>
      <c r="DD177" s="20">
        <v>0</v>
      </c>
      <c r="DE177" s="20">
        <v>0</v>
      </c>
      <c r="DF177" s="20">
        <v>0</v>
      </c>
      <c r="DG177" s="20">
        <v>0</v>
      </c>
      <c r="DH177" s="20">
        <v>0</v>
      </c>
      <c r="DI177" s="20">
        <v>0</v>
      </c>
    </row>
    <row r="178" spans="1:113">
      <c r="A178" s="20" t="str">
        <v>00:00:00</v>
      </c>
      <c r="B178" s="19">
        <v>0</v>
      </c>
      <c r="C178" s="21">
        <v>0</v>
      </c>
      <c r="D178" s="20" t="str">
        <v>未匹配</v>
      </c>
      <c r="E178" s="20">
        <v>0</v>
      </c>
      <c r="I178" s="20" t="str">
        <v/>
      </c>
      <c r="J178" s="20">
        <v>0</v>
      </c>
      <c r="K178" s="22">
        <v>0</v>
      </c>
      <c r="M178" s="20">
        <v>0</v>
      </c>
      <c r="N178" s="20">
        <v>0</v>
      </c>
      <c r="O178" s="20">
        <v>0</v>
      </c>
      <c r="P178" s="20">
        <v>0</v>
      </c>
      <c r="Q178" s="20">
        <v>0</v>
      </c>
      <c r="R178" s="20">
        <v>0</v>
      </c>
      <c r="S178" s="20">
        <v>0</v>
      </c>
      <c r="T178" s="20">
        <v>0</v>
      </c>
      <c r="U178" s="20">
        <v>0</v>
      </c>
      <c r="V178" s="20">
        <v>0</v>
      </c>
      <c r="W178" s="20">
        <v>0</v>
      </c>
      <c r="X178" s="20">
        <v>0</v>
      </c>
      <c r="Y178" s="20">
        <v>0</v>
      </c>
      <c r="Z178" s="20">
        <v>0</v>
      </c>
      <c r="AA178" s="20">
        <v>0</v>
      </c>
      <c r="AB178" s="20">
        <v>0</v>
      </c>
      <c r="AC178" s="20">
        <v>0</v>
      </c>
      <c r="AE178" s="20" t="str">
        <v/>
      </c>
      <c r="AF178" s="20">
        <v>0</v>
      </c>
      <c r="AG178" s="22" t="e">
        <v>#VALUE!</v>
      </c>
      <c r="AI178" s="20">
        <v>0</v>
      </c>
      <c r="AJ178" s="20">
        <v>0</v>
      </c>
      <c r="AK178" s="20">
        <v>0</v>
      </c>
      <c r="AL178" s="20">
        <v>0</v>
      </c>
      <c r="AM178" s="20">
        <v>0</v>
      </c>
      <c r="AN178" s="20">
        <v>0</v>
      </c>
      <c r="AO178" s="20">
        <v>0</v>
      </c>
      <c r="AP178" s="20">
        <v>0</v>
      </c>
      <c r="AQ178" s="20">
        <v>0</v>
      </c>
      <c r="AR178" s="20">
        <v>0</v>
      </c>
      <c r="AS178" s="20">
        <v>0</v>
      </c>
      <c r="AT178" s="20">
        <v>0</v>
      </c>
      <c r="AU178" s="20">
        <v>0</v>
      </c>
      <c r="AV178" s="20">
        <v>0</v>
      </c>
      <c r="AW178" s="20">
        <v>0</v>
      </c>
      <c r="AX178" s="20">
        <v>0</v>
      </c>
      <c r="AY178" s="20">
        <v>0</v>
      </c>
      <c r="AZ178" s="20">
        <v>0</v>
      </c>
      <c r="BA178" s="20">
        <v>0</v>
      </c>
      <c r="BB178" s="20">
        <v>0</v>
      </c>
      <c r="BC178" s="20">
        <v>0</v>
      </c>
      <c r="BD178" s="20">
        <v>0</v>
      </c>
      <c r="BE178" s="20">
        <v>0</v>
      </c>
      <c r="BF178" s="20">
        <v>0</v>
      </c>
      <c r="BG178" s="20">
        <v>0</v>
      </c>
      <c r="BH178" s="20">
        <v>0</v>
      </c>
      <c r="BI178" s="20">
        <v>0</v>
      </c>
      <c r="BJ178" s="20">
        <v>0</v>
      </c>
      <c r="BK178" s="20">
        <v>0</v>
      </c>
      <c r="BL178" s="20">
        <v>0</v>
      </c>
      <c r="BM178" s="20">
        <v>0</v>
      </c>
      <c r="BN178" s="22">
        <v>0</v>
      </c>
      <c r="BO178" s="22">
        <v>0</v>
      </c>
      <c r="BP178" s="22">
        <v>0</v>
      </c>
      <c r="BR178" s="20" t="str">
        <v/>
      </c>
      <c r="CH178" s="20">
        <v>0</v>
      </c>
      <c r="CI178" s="20">
        <v>0</v>
      </c>
      <c r="CJ178" s="20">
        <v>0</v>
      </c>
      <c r="CK178" s="20" t="str">
        <v/>
      </c>
      <c r="CL178" s="20" t="str">
        <v/>
      </c>
      <c r="CN178" s="20">
        <v>0</v>
      </c>
      <c r="CO178" s="20">
        <v>0</v>
      </c>
      <c r="CP178" s="20">
        <v>0</v>
      </c>
      <c r="CQ178" s="20">
        <v>0</v>
      </c>
      <c r="CR178" s="20">
        <v>0</v>
      </c>
      <c r="CS178" s="20">
        <v>0</v>
      </c>
      <c r="CT178" s="20">
        <v>0</v>
      </c>
      <c r="CU178" s="20">
        <v>0</v>
      </c>
      <c r="CV178" s="20">
        <v>0</v>
      </c>
      <c r="CW178" s="20">
        <v>0</v>
      </c>
      <c r="CX178" s="20">
        <v>0</v>
      </c>
      <c r="CY178" s="20">
        <v>0</v>
      </c>
      <c r="CZ178" s="20">
        <v>0</v>
      </c>
      <c r="DA178" s="19">
        <v>0</v>
      </c>
      <c r="DB178" s="20">
        <v>0</v>
      </c>
      <c r="DC178" s="25">
        <v>0</v>
      </c>
      <c r="DD178" s="20">
        <v>0</v>
      </c>
      <c r="DE178" s="20">
        <v>0</v>
      </c>
      <c r="DF178" s="20">
        <v>0</v>
      </c>
      <c r="DG178" s="20">
        <v>0</v>
      </c>
      <c r="DH178" s="20">
        <v>0</v>
      </c>
      <c r="DI178" s="20">
        <v>0</v>
      </c>
    </row>
    <row r="179" spans="1:113">
      <c r="A179" s="20" t="str">
        <v>00:00:00</v>
      </c>
      <c r="B179" s="19">
        <v>0</v>
      </c>
      <c r="C179" s="21">
        <v>0</v>
      </c>
      <c r="D179" s="20" t="str">
        <v>未匹配</v>
      </c>
      <c r="E179" s="20">
        <v>0</v>
      </c>
      <c r="I179" s="20" t="str">
        <v/>
      </c>
      <c r="J179" s="20">
        <v>0</v>
      </c>
      <c r="K179" s="22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20">
        <v>0</v>
      </c>
      <c r="U179" s="20">
        <v>0</v>
      </c>
      <c r="V179" s="20">
        <v>0</v>
      </c>
      <c r="W179" s="20">
        <v>0</v>
      </c>
      <c r="X179" s="20">
        <v>0</v>
      </c>
      <c r="Y179" s="20">
        <v>0</v>
      </c>
      <c r="Z179" s="20">
        <v>0</v>
      </c>
      <c r="AA179" s="20">
        <v>0</v>
      </c>
      <c r="AB179" s="20">
        <v>0</v>
      </c>
      <c r="AC179" s="20">
        <v>0</v>
      </c>
      <c r="AE179" s="20" t="str">
        <v/>
      </c>
      <c r="AF179" s="20">
        <v>0</v>
      </c>
      <c r="AG179" s="22" t="e">
        <v>#VALUE!</v>
      </c>
      <c r="AI179" s="20">
        <v>0</v>
      </c>
      <c r="AJ179" s="20">
        <v>0</v>
      </c>
      <c r="AK179" s="20">
        <v>0</v>
      </c>
      <c r="AL179" s="20">
        <v>0</v>
      </c>
      <c r="AM179" s="20">
        <v>0</v>
      </c>
      <c r="AN179" s="20">
        <v>0</v>
      </c>
      <c r="AO179" s="20">
        <v>0</v>
      </c>
      <c r="AP179" s="20">
        <v>0</v>
      </c>
      <c r="AQ179" s="20">
        <v>0</v>
      </c>
      <c r="AR179" s="20">
        <v>0</v>
      </c>
      <c r="AS179" s="20">
        <v>0</v>
      </c>
      <c r="AT179" s="20">
        <v>0</v>
      </c>
      <c r="AU179" s="20">
        <v>0</v>
      </c>
      <c r="AV179" s="20">
        <v>0</v>
      </c>
      <c r="AW179" s="20">
        <v>0</v>
      </c>
      <c r="AX179" s="20">
        <v>0</v>
      </c>
      <c r="AY179" s="20">
        <v>0</v>
      </c>
      <c r="AZ179" s="20">
        <v>0</v>
      </c>
      <c r="BA179" s="20">
        <v>0</v>
      </c>
      <c r="BB179" s="20">
        <v>0</v>
      </c>
      <c r="BC179" s="20">
        <v>0</v>
      </c>
      <c r="BD179" s="20">
        <v>0</v>
      </c>
      <c r="BE179" s="20">
        <v>0</v>
      </c>
      <c r="BF179" s="20">
        <v>0</v>
      </c>
      <c r="BG179" s="20">
        <v>0</v>
      </c>
      <c r="BH179" s="20">
        <v>0</v>
      </c>
      <c r="BI179" s="20">
        <v>0</v>
      </c>
      <c r="BJ179" s="20">
        <v>0</v>
      </c>
      <c r="BK179" s="20">
        <v>0</v>
      </c>
      <c r="BL179" s="20">
        <v>0</v>
      </c>
      <c r="BM179" s="20">
        <v>0</v>
      </c>
      <c r="BN179" s="22">
        <v>0</v>
      </c>
      <c r="BO179" s="22">
        <v>0</v>
      </c>
      <c r="BP179" s="22">
        <v>0</v>
      </c>
      <c r="BR179" s="20" t="str">
        <v/>
      </c>
      <c r="CH179" s="20">
        <v>0</v>
      </c>
      <c r="CI179" s="20">
        <v>0</v>
      </c>
      <c r="CJ179" s="20">
        <v>0</v>
      </c>
      <c r="CK179" s="20" t="str">
        <v/>
      </c>
      <c r="CL179" s="20" t="str">
        <v/>
      </c>
      <c r="CN179" s="20">
        <v>0</v>
      </c>
      <c r="CO179" s="20">
        <v>0</v>
      </c>
      <c r="CP179" s="20">
        <v>0</v>
      </c>
      <c r="CQ179" s="20">
        <v>0</v>
      </c>
      <c r="CR179" s="20">
        <v>0</v>
      </c>
      <c r="CS179" s="20">
        <v>0</v>
      </c>
      <c r="CT179" s="20">
        <v>0</v>
      </c>
      <c r="CU179" s="20">
        <v>0</v>
      </c>
      <c r="CV179" s="20">
        <v>0</v>
      </c>
      <c r="CW179" s="20">
        <v>0</v>
      </c>
      <c r="CX179" s="20">
        <v>0</v>
      </c>
      <c r="CY179" s="20">
        <v>0</v>
      </c>
      <c r="CZ179" s="20">
        <v>0</v>
      </c>
      <c r="DA179" s="19">
        <v>0</v>
      </c>
      <c r="DB179" s="20">
        <v>0</v>
      </c>
      <c r="DC179" s="25">
        <v>0</v>
      </c>
      <c r="DD179" s="20">
        <v>0</v>
      </c>
      <c r="DE179" s="20">
        <v>0</v>
      </c>
      <c r="DF179" s="20">
        <v>0</v>
      </c>
      <c r="DG179" s="20">
        <v>0</v>
      </c>
      <c r="DH179" s="20">
        <v>0</v>
      </c>
      <c r="DI179" s="20">
        <v>0</v>
      </c>
    </row>
    <row r="180" spans="1:113">
      <c r="A180" s="20" t="str">
        <v>00:00:00</v>
      </c>
      <c r="B180" s="19">
        <v>0</v>
      </c>
      <c r="C180" s="21">
        <v>0</v>
      </c>
      <c r="D180" s="20" t="str">
        <v>未匹配</v>
      </c>
      <c r="E180" s="20">
        <v>0</v>
      </c>
      <c r="I180" s="20" t="str">
        <v/>
      </c>
      <c r="J180" s="20">
        <v>0</v>
      </c>
      <c r="K180" s="22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20">
        <v>0</v>
      </c>
      <c r="U180" s="20">
        <v>0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E180" s="20" t="str">
        <v/>
      </c>
      <c r="AF180" s="20">
        <v>0</v>
      </c>
      <c r="AG180" s="22" t="e">
        <v>#VALUE!</v>
      </c>
      <c r="AI180" s="20">
        <v>0</v>
      </c>
      <c r="AJ180" s="20">
        <v>0</v>
      </c>
      <c r="AK180" s="20">
        <v>0</v>
      </c>
      <c r="AL180" s="20">
        <v>0</v>
      </c>
      <c r="AM180" s="20">
        <v>0</v>
      </c>
      <c r="AN180" s="20">
        <v>0</v>
      </c>
      <c r="AO180" s="20">
        <v>0</v>
      </c>
      <c r="AP180" s="20">
        <v>0</v>
      </c>
      <c r="AQ180" s="20">
        <v>0</v>
      </c>
      <c r="AR180" s="20">
        <v>0</v>
      </c>
      <c r="AS180" s="20">
        <v>0</v>
      </c>
      <c r="AT180" s="20">
        <v>0</v>
      </c>
      <c r="AU180" s="20">
        <v>0</v>
      </c>
      <c r="AV180" s="20">
        <v>0</v>
      </c>
      <c r="AW180" s="20">
        <v>0</v>
      </c>
      <c r="AX180" s="20">
        <v>0</v>
      </c>
      <c r="AY180" s="20">
        <v>0</v>
      </c>
      <c r="AZ180" s="20">
        <v>0</v>
      </c>
      <c r="BA180" s="20">
        <v>0</v>
      </c>
      <c r="BB180" s="20">
        <v>0</v>
      </c>
      <c r="BC180" s="20">
        <v>0</v>
      </c>
      <c r="BD180" s="20">
        <v>0</v>
      </c>
      <c r="BE180" s="20">
        <v>0</v>
      </c>
      <c r="BF180" s="20">
        <v>0</v>
      </c>
      <c r="BG180" s="20">
        <v>0</v>
      </c>
      <c r="BH180" s="20">
        <v>0</v>
      </c>
      <c r="BI180" s="20">
        <v>0</v>
      </c>
      <c r="BJ180" s="20">
        <v>0</v>
      </c>
      <c r="BK180" s="20">
        <v>0</v>
      </c>
      <c r="BL180" s="20">
        <v>0</v>
      </c>
      <c r="BM180" s="20">
        <v>0</v>
      </c>
      <c r="BN180" s="22">
        <v>0</v>
      </c>
      <c r="BO180" s="22">
        <v>0</v>
      </c>
      <c r="BP180" s="22">
        <v>0</v>
      </c>
      <c r="BR180" s="20" t="str">
        <v/>
      </c>
      <c r="CH180" s="20">
        <v>0</v>
      </c>
      <c r="CI180" s="20">
        <v>0</v>
      </c>
      <c r="CJ180" s="20">
        <v>0</v>
      </c>
      <c r="CK180" s="20" t="str">
        <v/>
      </c>
      <c r="CL180" s="20" t="str">
        <v/>
      </c>
      <c r="CN180" s="20">
        <v>0</v>
      </c>
      <c r="CO180" s="20">
        <v>0</v>
      </c>
      <c r="CP180" s="20">
        <v>0</v>
      </c>
      <c r="CQ180" s="20">
        <v>0</v>
      </c>
      <c r="CR180" s="20">
        <v>0</v>
      </c>
      <c r="CS180" s="20">
        <v>0</v>
      </c>
      <c r="CT180" s="20">
        <v>0</v>
      </c>
      <c r="CU180" s="20">
        <v>0</v>
      </c>
      <c r="CV180" s="20">
        <v>0</v>
      </c>
      <c r="CW180" s="20">
        <v>0</v>
      </c>
      <c r="CX180" s="20">
        <v>0</v>
      </c>
      <c r="CY180" s="20">
        <v>0</v>
      </c>
      <c r="CZ180" s="20">
        <v>0</v>
      </c>
      <c r="DA180" s="19">
        <v>0</v>
      </c>
      <c r="DB180" s="20">
        <v>0</v>
      </c>
      <c r="DC180" s="25">
        <v>0</v>
      </c>
      <c r="DD180" s="20">
        <v>0</v>
      </c>
      <c r="DE180" s="20">
        <v>0</v>
      </c>
      <c r="DF180" s="20">
        <v>0</v>
      </c>
      <c r="DG180" s="20">
        <v>0</v>
      </c>
      <c r="DH180" s="20">
        <v>0</v>
      </c>
      <c r="DI180" s="20">
        <v>0</v>
      </c>
    </row>
    <row r="181" spans="1:113">
      <c r="A181" s="20" t="str">
        <v>00:00:00</v>
      </c>
      <c r="B181" s="19">
        <v>0</v>
      </c>
      <c r="C181" s="21">
        <v>0</v>
      </c>
      <c r="D181" s="20" t="str">
        <v>未匹配</v>
      </c>
      <c r="E181" s="20">
        <v>0</v>
      </c>
      <c r="I181" s="20" t="str">
        <v/>
      </c>
      <c r="J181" s="20">
        <v>0</v>
      </c>
      <c r="K181" s="22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  <c r="T181" s="20">
        <v>0</v>
      </c>
      <c r="U181" s="20">
        <v>0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E181" s="20" t="str">
        <v/>
      </c>
      <c r="AF181" s="20">
        <v>0</v>
      </c>
      <c r="AG181" s="22" t="e">
        <v>#VALUE!</v>
      </c>
      <c r="AI181" s="20">
        <v>0</v>
      </c>
      <c r="AJ181" s="20">
        <v>0</v>
      </c>
      <c r="AK181" s="20">
        <v>0</v>
      </c>
      <c r="AL181" s="20">
        <v>0</v>
      </c>
      <c r="AM181" s="20">
        <v>0</v>
      </c>
      <c r="AN181" s="20">
        <v>0</v>
      </c>
      <c r="AO181" s="20">
        <v>0</v>
      </c>
      <c r="AP181" s="20">
        <v>0</v>
      </c>
      <c r="AQ181" s="20">
        <v>0</v>
      </c>
      <c r="AR181" s="20">
        <v>0</v>
      </c>
      <c r="AS181" s="20">
        <v>0</v>
      </c>
      <c r="AT181" s="20">
        <v>0</v>
      </c>
      <c r="AU181" s="20">
        <v>0</v>
      </c>
      <c r="AV181" s="20">
        <v>0</v>
      </c>
      <c r="AW181" s="20">
        <v>0</v>
      </c>
      <c r="AX181" s="20">
        <v>0</v>
      </c>
      <c r="AY181" s="20">
        <v>0</v>
      </c>
      <c r="AZ181" s="20">
        <v>0</v>
      </c>
      <c r="BA181" s="20">
        <v>0</v>
      </c>
      <c r="BB181" s="20">
        <v>0</v>
      </c>
      <c r="BC181" s="20">
        <v>0</v>
      </c>
      <c r="BD181" s="20">
        <v>0</v>
      </c>
      <c r="BE181" s="20">
        <v>0</v>
      </c>
      <c r="BF181" s="20">
        <v>0</v>
      </c>
      <c r="BG181" s="20">
        <v>0</v>
      </c>
      <c r="BH181" s="20">
        <v>0</v>
      </c>
      <c r="BI181" s="20">
        <v>0</v>
      </c>
      <c r="BJ181" s="20">
        <v>0</v>
      </c>
      <c r="BK181" s="20">
        <v>0</v>
      </c>
      <c r="BL181" s="20">
        <v>0</v>
      </c>
      <c r="BM181" s="20">
        <v>0</v>
      </c>
      <c r="BN181" s="22">
        <v>0</v>
      </c>
      <c r="BO181" s="22">
        <v>0</v>
      </c>
      <c r="BP181" s="22">
        <v>0</v>
      </c>
      <c r="BR181" s="20" t="str">
        <v/>
      </c>
      <c r="CH181" s="20">
        <v>0</v>
      </c>
      <c r="CI181" s="20">
        <v>0</v>
      </c>
      <c r="CJ181" s="20">
        <v>0</v>
      </c>
      <c r="CK181" s="20" t="str">
        <v/>
      </c>
      <c r="CL181" s="20" t="str">
        <v/>
      </c>
      <c r="CN181" s="20">
        <v>0</v>
      </c>
      <c r="CO181" s="20">
        <v>0</v>
      </c>
      <c r="CP181" s="20">
        <v>0</v>
      </c>
      <c r="CQ181" s="20">
        <v>0</v>
      </c>
      <c r="CR181" s="20">
        <v>0</v>
      </c>
      <c r="CS181" s="20">
        <v>0</v>
      </c>
      <c r="CT181" s="20">
        <v>0</v>
      </c>
      <c r="CU181" s="20">
        <v>0</v>
      </c>
      <c r="CV181" s="20">
        <v>0</v>
      </c>
      <c r="CW181" s="20">
        <v>0</v>
      </c>
      <c r="CX181" s="20">
        <v>0</v>
      </c>
      <c r="CY181" s="20">
        <v>0</v>
      </c>
      <c r="CZ181" s="20">
        <v>0</v>
      </c>
      <c r="DA181" s="19">
        <v>0</v>
      </c>
      <c r="DB181" s="20">
        <v>0</v>
      </c>
      <c r="DC181" s="25">
        <v>0</v>
      </c>
      <c r="DD181" s="20">
        <v>0</v>
      </c>
      <c r="DE181" s="20">
        <v>0</v>
      </c>
      <c r="DF181" s="20">
        <v>0</v>
      </c>
      <c r="DG181" s="20">
        <v>0</v>
      </c>
      <c r="DH181" s="20">
        <v>0</v>
      </c>
      <c r="DI181" s="20">
        <v>0</v>
      </c>
    </row>
    <row r="182" spans="1:113">
      <c r="A182" s="20" t="str">
        <v>00:00:00</v>
      </c>
      <c r="B182" s="19">
        <v>0</v>
      </c>
      <c r="C182" s="21">
        <v>0</v>
      </c>
      <c r="D182" s="20" t="str">
        <v>未匹配</v>
      </c>
      <c r="E182" s="20">
        <v>0</v>
      </c>
      <c r="I182" s="20" t="str">
        <v/>
      </c>
      <c r="J182" s="20">
        <v>0</v>
      </c>
      <c r="K182" s="22">
        <v>0</v>
      </c>
      <c r="M182" s="20">
        <v>0</v>
      </c>
      <c r="N182" s="20">
        <v>0</v>
      </c>
      <c r="O182" s="20">
        <v>0</v>
      </c>
      <c r="P182" s="20">
        <v>0</v>
      </c>
      <c r="Q182" s="20">
        <v>0</v>
      </c>
      <c r="R182" s="20">
        <v>0</v>
      </c>
      <c r="S182" s="20">
        <v>0</v>
      </c>
      <c r="T182" s="20">
        <v>0</v>
      </c>
      <c r="U182" s="20">
        <v>0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E182" s="20" t="str">
        <v/>
      </c>
      <c r="AF182" s="20">
        <v>0</v>
      </c>
      <c r="AG182" s="22" t="e">
        <v>#VALUE!</v>
      </c>
      <c r="AI182" s="20">
        <v>0</v>
      </c>
      <c r="AJ182" s="20">
        <v>0</v>
      </c>
      <c r="AK182" s="20">
        <v>0</v>
      </c>
      <c r="AL182" s="20">
        <v>0</v>
      </c>
      <c r="AM182" s="20">
        <v>0</v>
      </c>
      <c r="AN182" s="20">
        <v>0</v>
      </c>
      <c r="AO182" s="20">
        <v>0</v>
      </c>
      <c r="AP182" s="20">
        <v>0</v>
      </c>
      <c r="AQ182" s="20">
        <v>0</v>
      </c>
      <c r="AR182" s="20">
        <v>0</v>
      </c>
      <c r="AS182" s="20">
        <v>0</v>
      </c>
      <c r="AT182" s="20">
        <v>0</v>
      </c>
      <c r="AU182" s="20">
        <v>0</v>
      </c>
      <c r="AV182" s="20">
        <v>0</v>
      </c>
      <c r="AW182" s="20">
        <v>0</v>
      </c>
      <c r="AX182" s="20">
        <v>0</v>
      </c>
      <c r="AY182" s="20">
        <v>0</v>
      </c>
      <c r="AZ182" s="20">
        <v>0</v>
      </c>
      <c r="BA182" s="20">
        <v>0</v>
      </c>
      <c r="BB182" s="20">
        <v>0</v>
      </c>
      <c r="BC182" s="20">
        <v>0</v>
      </c>
      <c r="BD182" s="20">
        <v>0</v>
      </c>
      <c r="BE182" s="20">
        <v>0</v>
      </c>
      <c r="BF182" s="20">
        <v>0</v>
      </c>
      <c r="BG182" s="20">
        <v>0</v>
      </c>
      <c r="BH182" s="20">
        <v>0</v>
      </c>
      <c r="BI182" s="20">
        <v>0</v>
      </c>
      <c r="BJ182" s="20">
        <v>0</v>
      </c>
      <c r="BK182" s="20">
        <v>0</v>
      </c>
      <c r="BL182" s="20">
        <v>0</v>
      </c>
      <c r="BM182" s="20">
        <v>0</v>
      </c>
      <c r="BN182" s="22">
        <v>0</v>
      </c>
      <c r="BO182" s="22">
        <v>0</v>
      </c>
      <c r="BP182" s="22">
        <v>0</v>
      </c>
      <c r="BR182" s="20" t="str">
        <v/>
      </c>
      <c r="CH182" s="20">
        <v>0</v>
      </c>
      <c r="CI182" s="20">
        <v>0</v>
      </c>
      <c r="CJ182" s="20">
        <v>0</v>
      </c>
      <c r="CK182" s="20" t="str">
        <v/>
      </c>
      <c r="CL182" s="20" t="str">
        <v/>
      </c>
      <c r="CN182" s="20">
        <v>0</v>
      </c>
      <c r="CO182" s="20">
        <v>0</v>
      </c>
      <c r="CP182" s="20">
        <v>0</v>
      </c>
      <c r="CQ182" s="20">
        <v>0</v>
      </c>
      <c r="CR182" s="20">
        <v>0</v>
      </c>
      <c r="CS182" s="20">
        <v>0</v>
      </c>
      <c r="CT182" s="20">
        <v>0</v>
      </c>
      <c r="CU182" s="20">
        <v>0</v>
      </c>
      <c r="CV182" s="20">
        <v>0</v>
      </c>
      <c r="CW182" s="20">
        <v>0</v>
      </c>
      <c r="CX182" s="20">
        <v>0</v>
      </c>
      <c r="CY182" s="20">
        <v>0</v>
      </c>
      <c r="CZ182" s="20">
        <v>0</v>
      </c>
      <c r="DA182" s="19">
        <v>0</v>
      </c>
      <c r="DB182" s="20">
        <v>0</v>
      </c>
      <c r="DC182" s="25">
        <v>0</v>
      </c>
      <c r="DD182" s="20">
        <v>0</v>
      </c>
      <c r="DE182" s="20">
        <v>0</v>
      </c>
      <c r="DF182" s="20">
        <v>0</v>
      </c>
      <c r="DG182" s="20">
        <v>0</v>
      </c>
      <c r="DH182" s="20">
        <v>0</v>
      </c>
      <c r="DI182" s="20">
        <v>0</v>
      </c>
    </row>
    <row r="183" spans="1:113">
      <c r="A183" s="20" t="str">
        <v>00:00:00</v>
      </c>
      <c r="B183" s="19">
        <v>0</v>
      </c>
      <c r="C183" s="21">
        <v>0</v>
      </c>
      <c r="D183" s="20" t="str">
        <v>未匹配</v>
      </c>
      <c r="E183" s="20">
        <v>0</v>
      </c>
      <c r="I183" s="20" t="str">
        <v/>
      </c>
      <c r="J183" s="20">
        <v>0</v>
      </c>
      <c r="K183" s="22">
        <v>0</v>
      </c>
      <c r="M183" s="20">
        <v>0</v>
      </c>
      <c r="N183" s="20">
        <v>0</v>
      </c>
      <c r="O183" s="20">
        <v>0</v>
      </c>
      <c r="P183" s="20">
        <v>0</v>
      </c>
      <c r="Q183" s="20">
        <v>0</v>
      </c>
      <c r="R183" s="20">
        <v>0</v>
      </c>
      <c r="S183" s="20">
        <v>0</v>
      </c>
      <c r="T183" s="20">
        <v>0</v>
      </c>
      <c r="U183" s="20">
        <v>0</v>
      </c>
      <c r="V183" s="20">
        <v>0</v>
      </c>
      <c r="W183" s="20">
        <v>0</v>
      </c>
      <c r="X183" s="20">
        <v>0</v>
      </c>
      <c r="Y183" s="20">
        <v>0</v>
      </c>
      <c r="Z183" s="20">
        <v>0</v>
      </c>
      <c r="AA183" s="20">
        <v>0</v>
      </c>
      <c r="AB183" s="20">
        <v>0</v>
      </c>
      <c r="AC183" s="20">
        <v>0</v>
      </c>
      <c r="AE183" s="20" t="str">
        <v/>
      </c>
      <c r="AF183" s="20">
        <v>0</v>
      </c>
      <c r="AG183" s="22" t="e">
        <v>#VALUE!</v>
      </c>
      <c r="AI183" s="20">
        <v>0</v>
      </c>
      <c r="AJ183" s="20">
        <v>0</v>
      </c>
      <c r="AK183" s="20">
        <v>0</v>
      </c>
      <c r="AL183" s="20">
        <v>0</v>
      </c>
      <c r="AM183" s="20">
        <v>0</v>
      </c>
      <c r="AN183" s="20">
        <v>0</v>
      </c>
      <c r="AO183" s="20">
        <v>0</v>
      </c>
      <c r="AP183" s="20">
        <v>0</v>
      </c>
      <c r="AQ183" s="20">
        <v>0</v>
      </c>
      <c r="AR183" s="20">
        <v>0</v>
      </c>
      <c r="AS183" s="20">
        <v>0</v>
      </c>
      <c r="AT183" s="20">
        <v>0</v>
      </c>
      <c r="AU183" s="20">
        <v>0</v>
      </c>
      <c r="AV183" s="20">
        <v>0</v>
      </c>
      <c r="AW183" s="20">
        <v>0</v>
      </c>
      <c r="AX183" s="20">
        <v>0</v>
      </c>
      <c r="AY183" s="20">
        <v>0</v>
      </c>
      <c r="AZ183" s="20">
        <v>0</v>
      </c>
      <c r="BA183" s="20">
        <v>0</v>
      </c>
      <c r="BB183" s="20">
        <v>0</v>
      </c>
      <c r="BC183" s="20">
        <v>0</v>
      </c>
      <c r="BD183" s="20">
        <v>0</v>
      </c>
      <c r="BE183" s="20">
        <v>0</v>
      </c>
      <c r="BF183" s="20">
        <v>0</v>
      </c>
      <c r="BG183" s="20">
        <v>0</v>
      </c>
      <c r="BH183" s="20">
        <v>0</v>
      </c>
      <c r="BI183" s="20">
        <v>0</v>
      </c>
      <c r="BJ183" s="20">
        <v>0</v>
      </c>
      <c r="BK183" s="20">
        <v>0</v>
      </c>
      <c r="BL183" s="20">
        <v>0</v>
      </c>
      <c r="BM183" s="20">
        <v>0</v>
      </c>
      <c r="BN183" s="22">
        <v>0</v>
      </c>
      <c r="BO183" s="22">
        <v>0</v>
      </c>
      <c r="BP183" s="22">
        <v>0</v>
      </c>
      <c r="BR183" s="20" t="str">
        <v/>
      </c>
      <c r="CH183" s="20">
        <v>0</v>
      </c>
      <c r="CI183" s="20">
        <v>0</v>
      </c>
      <c r="CJ183" s="20">
        <v>0</v>
      </c>
      <c r="CK183" s="20" t="str">
        <v/>
      </c>
      <c r="CL183" s="20" t="str">
        <v/>
      </c>
      <c r="CN183" s="20">
        <v>0</v>
      </c>
      <c r="CO183" s="20">
        <v>0</v>
      </c>
      <c r="CP183" s="20">
        <v>0</v>
      </c>
      <c r="CQ183" s="20">
        <v>0</v>
      </c>
      <c r="CR183" s="20">
        <v>0</v>
      </c>
      <c r="CS183" s="20">
        <v>0</v>
      </c>
      <c r="CT183" s="20">
        <v>0</v>
      </c>
      <c r="CU183" s="20">
        <v>0</v>
      </c>
      <c r="CV183" s="20">
        <v>0</v>
      </c>
      <c r="CW183" s="20">
        <v>0</v>
      </c>
      <c r="CX183" s="20">
        <v>0</v>
      </c>
      <c r="CY183" s="20">
        <v>0</v>
      </c>
      <c r="CZ183" s="20">
        <v>0</v>
      </c>
      <c r="DA183" s="19">
        <v>0</v>
      </c>
      <c r="DB183" s="20">
        <v>0</v>
      </c>
      <c r="DC183" s="25">
        <v>0</v>
      </c>
      <c r="DD183" s="20">
        <v>0</v>
      </c>
      <c r="DE183" s="20">
        <v>0</v>
      </c>
      <c r="DF183" s="20">
        <v>0</v>
      </c>
      <c r="DG183" s="20">
        <v>0</v>
      </c>
      <c r="DH183" s="20">
        <v>0</v>
      </c>
      <c r="DI183" s="20">
        <v>0</v>
      </c>
    </row>
    <row r="184" spans="1:113">
      <c r="A184" s="20" t="str">
        <v>00:00:00</v>
      </c>
      <c r="B184" s="19">
        <v>0</v>
      </c>
      <c r="C184" s="21">
        <v>0</v>
      </c>
      <c r="D184" s="20" t="str">
        <v>未匹配</v>
      </c>
      <c r="E184" s="20">
        <v>0</v>
      </c>
      <c r="I184" s="20" t="str">
        <v/>
      </c>
      <c r="J184" s="20">
        <v>0</v>
      </c>
      <c r="K184" s="22">
        <v>0</v>
      </c>
      <c r="M184" s="20">
        <v>0</v>
      </c>
      <c r="N184" s="20">
        <v>0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20">
        <v>0</v>
      </c>
      <c r="U184" s="20">
        <v>0</v>
      </c>
      <c r="V184" s="20">
        <v>0</v>
      </c>
      <c r="W184" s="20">
        <v>0</v>
      </c>
      <c r="X184" s="20">
        <v>0</v>
      </c>
      <c r="Y184" s="20">
        <v>0</v>
      </c>
      <c r="Z184" s="20">
        <v>0</v>
      </c>
      <c r="AA184" s="20">
        <v>0</v>
      </c>
      <c r="AB184" s="20">
        <v>0</v>
      </c>
      <c r="AC184" s="20">
        <v>0</v>
      </c>
      <c r="AE184" s="20" t="str">
        <v/>
      </c>
      <c r="AF184" s="20">
        <v>0</v>
      </c>
      <c r="AG184" s="22" t="e">
        <v>#VALUE!</v>
      </c>
      <c r="AI184" s="20">
        <v>0</v>
      </c>
      <c r="AJ184" s="20">
        <v>0</v>
      </c>
      <c r="AK184" s="20">
        <v>0</v>
      </c>
      <c r="AL184" s="20">
        <v>0</v>
      </c>
      <c r="AM184" s="20">
        <v>0</v>
      </c>
      <c r="AN184" s="20">
        <v>0</v>
      </c>
      <c r="AO184" s="20">
        <v>0</v>
      </c>
      <c r="AP184" s="20">
        <v>0</v>
      </c>
      <c r="AQ184" s="20">
        <v>0</v>
      </c>
      <c r="AR184" s="20">
        <v>0</v>
      </c>
      <c r="AS184" s="20">
        <v>0</v>
      </c>
      <c r="AT184" s="20">
        <v>0</v>
      </c>
      <c r="AU184" s="20">
        <v>0</v>
      </c>
      <c r="AV184" s="20">
        <v>0</v>
      </c>
      <c r="AW184" s="20">
        <v>0</v>
      </c>
      <c r="AX184" s="20">
        <v>0</v>
      </c>
      <c r="AY184" s="20">
        <v>0</v>
      </c>
      <c r="AZ184" s="20">
        <v>0</v>
      </c>
      <c r="BA184" s="20">
        <v>0</v>
      </c>
      <c r="BB184" s="20">
        <v>0</v>
      </c>
      <c r="BC184" s="20">
        <v>0</v>
      </c>
      <c r="BD184" s="20">
        <v>0</v>
      </c>
      <c r="BE184" s="20">
        <v>0</v>
      </c>
      <c r="BF184" s="20">
        <v>0</v>
      </c>
      <c r="BG184" s="20">
        <v>0</v>
      </c>
      <c r="BH184" s="20">
        <v>0</v>
      </c>
      <c r="BI184" s="20">
        <v>0</v>
      </c>
      <c r="BJ184" s="20">
        <v>0</v>
      </c>
      <c r="BK184" s="20">
        <v>0</v>
      </c>
      <c r="BL184" s="20">
        <v>0</v>
      </c>
      <c r="BM184" s="20">
        <v>0</v>
      </c>
      <c r="BN184" s="22">
        <v>0</v>
      </c>
      <c r="BO184" s="22">
        <v>0</v>
      </c>
      <c r="BP184" s="22">
        <v>0</v>
      </c>
      <c r="BR184" s="20" t="str">
        <v/>
      </c>
      <c r="CH184" s="20">
        <v>0</v>
      </c>
      <c r="CI184" s="20">
        <v>0</v>
      </c>
      <c r="CJ184" s="20">
        <v>0</v>
      </c>
      <c r="CK184" s="20" t="str">
        <v/>
      </c>
      <c r="CL184" s="20" t="str">
        <v/>
      </c>
      <c r="CN184" s="20">
        <v>0</v>
      </c>
      <c r="CO184" s="20">
        <v>0</v>
      </c>
      <c r="CP184" s="20">
        <v>0</v>
      </c>
      <c r="CQ184" s="20">
        <v>0</v>
      </c>
      <c r="CR184" s="20">
        <v>0</v>
      </c>
      <c r="CS184" s="20">
        <v>0</v>
      </c>
      <c r="CT184" s="20">
        <v>0</v>
      </c>
      <c r="CU184" s="20">
        <v>0</v>
      </c>
      <c r="CV184" s="20">
        <v>0</v>
      </c>
      <c r="CW184" s="20">
        <v>0</v>
      </c>
      <c r="CX184" s="20">
        <v>0</v>
      </c>
      <c r="CY184" s="20">
        <v>0</v>
      </c>
      <c r="CZ184" s="20">
        <v>0</v>
      </c>
      <c r="DA184" s="19">
        <v>0</v>
      </c>
      <c r="DB184" s="20">
        <v>0</v>
      </c>
      <c r="DC184" s="25">
        <v>0</v>
      </c>
      <c r="DD184" s="20">
        <v>0</v>
      </c>
      <c r="DE184" s="20">
        <v>0</v>
      </c>
      <c r="DF184" s="20">
        <v>0</v>
      </c>
      <c r="DG184" s="20">
        <v>0</v>
      </c>
      <c r="DH184" s="20">
        <v>0</v>
      </c>
      <c r="DI184" s="20">
        <v>0</v>
      </c>
    </row>
    <row r="185" spans="1:113">
      <c r="A185" s="20" t="str">
        <v>00:00:00</v>
      </c>
      <c r="B185" s="19">
        <v>0</v>
      </c>
      <c r="C185" s="21">
        <v>0</v>
      </c>
      <c r="D185" s="20" t="str">
        <v>未匹配</v>
      </c>
      <c r="E185" s="20">
        <v>0</v>
      </c>
      <c r="I185" s="20" t="str">
        <v/>
      </c>
      <c r="J185" s="20">
        <v>0</v>
      </c>
      <c r="K185" s="22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  <c r="U185" s="20">
        <v>0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E185" s="20" t="str">
        <v/>
      </c>
      <c r="AF185" s="20">
        <v>0</v>
      </c>
      <c r="AG185" s="22" t="e">
        <v>#VALUE!</v>
      </c>
      <c r="AI185" s="20">
        <v>0</v>
      </c>
      <c r="AJ185" s="20">
        <v>0</v>
      </c>
      <c r="AK185" s="20">
        <v>0</v>
      </c>
      <c r="AL185" s="20">
        <v>0</v>
      </c>
      <c r="AM185" s="20">
        <v>0</v>
      </c>
      <c r="AN185" s="20">
        <v>0</v>
      </c>
      <c r="AO185" s="20">
        <v>0</v>
      </c>
      <c r="AP185" s="20">
        <v>0</v>
      </c>
      <c r="AQ185" s="20">
        <v>0</v>
      </c>
      <c r="AR185" s="20">
        <v>0</v>
      </c>
      <c r="AS185" s="20">
        <v>0</v>
      </c>
      <c r="AT185" s="20">
        <v>0</v>
      </c>
      <c r="AU185" s="20">
        <v>0</v>
      </c>
      <c r="AV185" s="20">
        <v>0</v>
      </c>
      <c r="AW185" s="20">
        <v>0</v>
      </c>
      <c r="AX185" s="20">
        <v>0</v>
      </c>
      <c r="AY185" s="20">
        <v>0</v>
      </c>
      <c r="AZ185" s="20">
        <v>0</v>
      </c>
      <c r="BA185" s="20">
        <v>0</v>
      </c>
      <c r="BB185" s="20">
        <v>0</v>
      </c>
      <c r="BC185" s="20">
        <v>0</v>
      </c>
      <c r="BD185" s="20">
        <v>0</v>
      </c>
      <c r="BE185" s="20">
        <v>0</v>
      </c>
      <c r="BF185" s="20">
        <v>0</v>
      </c>
      <c r="BG185" s="20">
        <v>0</v>
      </c>
      <c r="BH185" s="20">
        <v>0</v>
      </c>
      <c r="BI185" s="20">
        <v>0</v>
      </c>
      <c r="BJ185" s="20">
        <v>0</v>
      </c>
      <c r="BK185" s="20">
        <v>0</v>
      </c>
      <c r="BL185" s="20">
        <v>0</v>
      </c>
      <c r="BM185" s="20">
        <v>0</v>
      </c>
      <c r="BN185" s="22">
        <v>0</v>
      </c>
      <c r="BO185" s="22">
        <v>0</v>
      </c>
      <c r="BP185" s="22">
        <v>0</v>
      </c>
      <c r="BR185" s="20" t="str">
        <v/>
      </c>
      <c r="CH185" s="20">
        <v>0</v>
      </c>
      <c r="CI185" s="20">
        <v>0</v>
      </c>
      <c r="CJ185" s="20">
        <v>0</v>
      </c>
      <c r="CK185" s="20" t="str">
        <v/>
      </c>
      <c r="CL185" s="20" t="str">
        <v/>
      </c>
      <c r="CN185" s="20">
        <v>0</v>
      </c>
      <c r="CO185" s="20">
        <v>0</v>
      </c>
      <c r="CP185" s="20">
        <v>0</v>
      </c>
      <c r="CQ185" s="20">
        <v>0</v>
      </c>
      <c r="CR185" s="20">
        <v>0</v>
      </c>
      <c r="CS185" s="20">
        <v>0</v>
      </c>
      <c r="CT185" s="20">
        <v>0</v>
      </c>
      <c r="CU185" s="20">
        <v>0</v>
      </c>
      <c r="CV185" s="20">
        <v>0</v>
      </c>
      <c r="CW185" s="20">
        <v>0</v>
      </c>
      <c r="CX185" s="20">
        <v>0</v>
      </c>
      <c r="CY185" s="20">
        <v>0</v>
      </c>
      <c r="CZ185" s="20">
        <v>0</v>
      </c>
      <c r="DA185" s="19">
        <v>0</v>
      </c>
      <c r="DB185" s="20">
        <v>0</v>
      </c>
      <c r="DC185" s="25">
        <v>0</v>
      </c>
      <c r="DD185" s="20">
        <v>0</v>
      </c>
      <c r="DE185" s="20">
        <v>0</v>
      </c>
      <c r="DF185" s="20">
        <v>0</v>
      </c>
      <c r="DG185" s="20">
        <v>0</v>
      </c>
      <c r="DH185" s="20">
        <v>0</v>
      </c>
      <c r="DI185" s="20">
        <v>0</v>
      </c>
    </row>
    <row r="186" spans="1:113">
      <c r="A186" s="20" t="str">
        <v>00:00:00</v>
      </c>
      <c r="B186" s="19">
        <v>0</v>
      </c>
      <c r="C186" s="21">
        <v>0</v>
      </c>
      <c r="D186" s="20" t="str">
        <v>未匹配</v>
      </c>
      <c r="E186" s="20">
        <v>0</v>
      </c>
      <c r="I186" s="20" t="str">
        <v/>
      </c>
      <c r="J186" s="20">
        <v>0</v>
      </c>
      <c r="K186" s="22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0">
        <v>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E186" s="20" t="str">
        <v/>
      </c>
      <c r="AF186" s="20">
        <v>0</v>
      </c>
      <c r="AG186" s="22" t="e">
        <v>#VALUE!</v>
      </c>
      <c r="AI186" s="20">
        <v>0</v>
      </c>
      <c r="AJ186" s="20">
        <v>0</v>
      </c>
      <c r="AK186" s="20">
        <v>0</v>
      </c>
      <c r="AL186" s="20">
        <v>0</v>
      </c>
      <c r="AM186" s="20">
        <v>0</v>
      </c>
      <c r="AN186" s="20">
        <v>0</v>
      </c>
      <c r="AO186" s="20">
        <v>0</v>
      </c>
      <c r="AP186" s="20">
        <v>0</v>
      </c>
      <c r="AQ186" s="20">
        <v>0</v>
      </c>
      <c r="AR186" s="20">
        <v>0</v>
      </c>
      <c r="AS186" s="20">
        <v>0</v>
      </c>
      <c r="AT186" s="20">
        <v>0</v>
      </c>
      <c r="AU186" s="20">
        <v>0</v>
      </c>
      <c r="AV186" s="20">
        <v>0</v>
      </c>
      <c r="AW186" s="20">
        <v>0</v>
      </c>
      <c r="AX186" s="20">
        <v>0</v>
      </c>
      <c r="AY186" s="20">
        <v>0</v>
      </c>
      <c r="AZ186" s="20">
        <v>0</v>
      </c>
      <c r="BA186" s="20">
        <v>0</v>
      </c>
      <c r="BB186" s="20">
        <v>0</v>
      </c>
      <c r="BC186" s="20">
        <v>0</v>
      </c>
      <c r="BD186" s="20">
        <v>0</v>
      </c>
      <c r="BE186" s="20">
        <v>0</v>
      </c>
      <c r="BF186" s="20">
        <v>0</v>
      </c>
      <c r="BG186" s="20">
        <v>0</v>
      </c>
      <c r="BH186" s="20">
        <v>0</v>
      </c>
      <c r="BI186" s="20">
        <v>0</v>
      </c>
      <c r="BJ186" s="20">
        <v>0</v>
      </c>
      <c r="BK186" s="20">
        <v>0</v>
      </c>
      <c r="BL186" s="20">
        <v>0</v>
      </c>
      <c r="BM186" s="20">
        <v>0</v>
      </c>
      <c r="BN186" s="22">
        <v>0</v>
      </c>
      <c r="BO186" s="22">
        <v>0</v>
      </c>
      <c r="BP186" s="22">
        <v>0</v>
      </c>
      <c r="BR186" s="20" t="str">
        <v/>
      </c>
      <c r="CH186" s="20">
        <v>0</v>
      </c>
      <c r="CI186" s="20">
        <v>0</v>
      </c>
      <c r="CJ186" s="20">
        <v>0</v>
      </c>
      <c r="CK186" s="20" t="str">
        <v/>
      </c>
      <c r="CL186" s="20" t="str">
        <v/>
      </c>
      <c r="CN186" s="20">
        <v>0</v>
      </c>
      <c r="CO186" s="20">
        <v>0</v>
      </c>
      <c r="CP186" s="20">
        <v>0</v>
      </c>
      <c r="CQ186" s="20">
        <v>0</v>
      </c>
      <c r="CR186" s="20">
        <v>0</v>
      </c>
      <c r="CS186" s="20">
        <v>0</v>
      </c>
      <c r="CT186" s="20">
        <v>0</v>
      </c>
      <c r="CU186" s="20">
        <v>0</v>
      </c>
      <c r="CV186" s="20">
        <v>0</v>
      </c>
      <c r="CW186" s="20">
        <v>0</v>
      </c>
      <c r="CX186" s="20">
        <v>0</v>
      </c>
      <c r="CY186" s="20">
        <v>0</v>
      </c>
      <c r="CZ186" s="20">
        <v>0</v>
      </c>
      <c r="DA186" s="19">
        <v>0</v>
      </c>
      <c r="DB186" s="20">
        <v>0</v>
      </c>
      <c r="DC186" s="25">
        <v>0</v>
      </c>
      <c r="DD186" s="20">
        <v>0</v>
      </c>
      <c r="DE186" s="20">
        <v>0</v>
      </c>
      <c r="DF186" s="20">
        <v>0</v>
      </c>
      <c r="DG186" s="20">
        <v>0</v>
      </c>
      <c r="DH186" s="20">
        <v>0</v>
      </c>
      <c r="DI186" s="20">
        <v>0</v>
      </c>
    </row>
    <row r="187" spans="1:113">
      <c r="A187" s="20" t="str">
        <v>00:00:00</v>
      </c>
      <c r="B187" s="19">
        <v>0</v>
      </c>
      <c r="C187" s="21">
        <v>0</v>
      </c>
      <c r="D187" s="20" t="str">
        <v>未匹配</v>
      </c>
      <c r="E187" s="20">
        <v>0</v>
      </c>
      <c r="I187" s="20" t="str">
        <v/>
      </c>
      <c r="J187" s="20">
        <v>0</v>
      </c>
      <c r="K187" s="22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20">
        <v>0</v>
      </c>
      <c r="U187" s="20">
        <v>0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E187" s="20" t="str">
        <v/>
      </c>
      <c r="AF187" s="20">
        <v>0</v>
      </c>
      <c r="AG187" s="22" t="e">
        <v>#VALUE!</v>
      </c>
      <c r="AI187" s="20">
        <v>0</v>
      </c>
      <c r="AJ187" s="20">
        <v>0</v>
      </c>
      <c r="AK187" s="20">
        <v>0</v>
      </c>
      <c r="AL187" s="20">
        <v>0</v>
      </c>
      <c r="AM187" s="20">
        <v>0</v>
      </c>
      <c r="AN187" s="20">
        <v>0</v>
      </c>
      <c r="AO187" s="20">
        <v>0</v>
      </c>
      <c r="AP187" s="20">
        <v>0</v>
      </c>
      <c r="AQ187" s="20">
        <v>0</v>
      </c>
      <c r="AR187" s="20">
        <v>0</v>
      </c>
      <c r="AS187" s="20">
        <v>0</v>
      </c>
      <c r="AT187" s="20">
        <v>0</v>
      </c>
      <c r="AU187" s="20">
        <v>0</v>
      </c>
      <c r="AV187" s="20">
        <v>0</v>
      </c>
      <c r="AW187" s="20">
        <v>0</v>
      </c>
      <c r="AX187" s="20">
        <v>0</v>
      </c>
      <c r="AY187" s="20">
        <v>0</v>
      </c>
      <c r="AZ187" s="20">
        <v>0</v>
      </c>
      <c r="BA187" s="20">
        <v>0</v>
      </c>
      <c r="BB187" s="20">
        <v>0</v>
      </c>
      <c r="BC187" s="20">
        <v>0</v>
      </c>
      <c r="BD187" s="20">
        <v>0</v>
      </c>
      <c r="BE187" s="20">
        <v>0</v>
      </c>
      <c r="BF187" s="20">
        <v>0</v>
      </c>
      <c r="BG187" s="20">
        <v>0</v>
      </c>
      <c r="BH187" s="20">
        <v>0</v>
      </c>
      <c r="BI187" s="20">
        <v>0</v>
      </c>
      <c r="BJ187" s="20">
        <v>0</v>
      </c>
      <c r="BK187" s="20">
        <v>0</v>
      </c>
      <c r="BL187" s="20">
        <v>0</v>
      </c>
      <c r="BM187" s="20">
        <v>0</v>
      </c>
      <c r="BN187" s="22">
        <v>0</v>
      </c>
      <c r="BO187" s="22">
        <v>0</v>
      </c>
      <c r="BP187" s="22">
        <v>0</v>
      </c>
      <c r="BR187" s="20" t="str">
        <v/>
      </c>
      <c r="CH187" s="20">
        <v>0</v>
      </c>
      <c r="CI187" s="20">
        <v>0</v>
      </c>
      <c r="CJ187" s="20">
        <v>0</v>
      </c>
      <c r="CK187" s="20" t="str">
        <v/>
      </c>
      <c r="CL187" s="20" t="str">
        <v/>
      </c>
      <c r="CN187" s="20">
        <v>0</v>
      </c>
      <c r="CO187" s="20">
        <v>0</v>
      </c>
      <c r="CP187" s="20">
        <v>0</v>
      </c>
      <c r="CQ187" s="20">
        <v>0</v>
      </c>
      <c r="CR187" s="20">
        <v>0</v>
      </c>
      <c r="CS187" s="20">
        <v>0</v>
      </c>
      <c r="CT187" s="20">
        <v>0</v>
      </c>
      <c r="CU187" s="20">
        <v>0</v>
      </c>
      <c r="CV187" s="20">
        <v>0</v>
      </c>
      <c r="CW187" s="20">
        <v>0</v>
      </c>
      <c r="CX187" s="20">
        <v>0</v>
      </c>
      <c r="CY187" s="20">
        <v>0</v>
      </c>
      <c r="CZ187" s="20">
        <v>0</v>
      </c>
      <c r="DA187" s="19">
        <v>0</v>
      </c>
      <c r="DB187" s="20">
        <v>0</v>
      </c>
      <c r="DC187" s="25">
        <v>0</v>
      </c>
      <c r="DD187" s="20">
        <v>0</v>
      </c>
      <c r="DE187" s="20">
        <v>0</v>
      </c>
      <c r="DF187" s="20">
        <v>0</v>
      </c>
      <c r="DG187" s="20">
        <v>0</v>
      </c>
      <c r="DH187" s="20">
        <v>0</v>
      </c>
      <c r="DI187" s="20">
        <v>0</v>
      </c>
    </row>
    <row r="188" spans="1:113">
      <c r="A188" s="20" t="str">
        <v>00:00:00</v>
      </c>
      <c r="B188" s="19">
        <v>0</v>
      </c>
      <c r="C188" s="21">
        <v>0</v>
      </c>
      <c r="D188" s="20" t="str">
        <v>未匹配</v>
      </c>
      <c r="E188" s="20">
        <v>0</v>
      </c>
      <c r="I188" s="20" t="str">
        <v/>
      </c>
      <c r="J188" s="20">
        <v>0</v>
      </c>
      <c r="K188" s="22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  <c r="U188" s="20">
        <v>0</v>
      </c>
      <c r="V188" s="20">
        <v>0</v>
      </c>
      <c r="W188" s="20">
        <v>0</v>
      </c>
      <c r="X188" s="20">
        <v>0</v>
      </c>
      <c r="Y188" s="20">
        <v>0</v>
      </c>
      <c r="Z188" s="20">
        <v>0</v>
      </c>
      <c r="AA188" s="20">
        <v>0</v>
      </c>
      <c r="AB188" s="20">
        <v>0</v>
      </c>
      <c r="AC188" s="20">
        <v>0</v>
      </c>
      <c r="AE188" s="20" t="str">
        <v/>
      </c>
      <c r="AF188" s="20">
        <v>0</v>
      </c>
      <c r="AG188" s="22" t="e">
        <v>#VALUE!</v>
      </c>
      <c r="AI188" s="20">
        <v>0</v>
      </c>
      <c r="AJ188" s="20">
        <v>0</v>
      </c>
      <c r="AK188" s="20">
        <v>0</v>
      </c>
      <c r="AL188" s="20">
        <v>0</v>
      </c>
      <c r="AM188" s="20">
        <v>0</v>
      </c>
      <c r="AN188" s="20">
        <v>0</v>
      </c>
      <c r="AO188" s="20">
        <v>0</v>
      </c>
      <c r="AP188" s="20">
        <v>0</v>
      </c>
      <c r="AQ188" s="20">
        <v>0</v>
      </c>
      <c r="AR188" s="20">
        <v>0</v>
      </c>
      <c r="AS188" s="20">
        <v>0</v>
      </c>
      <c r="AT188" s="20">
        <v>0</v>
      </c>
      <c r="AU188" s="20">
        <v>0</v>
      </c>
      <c r="AV188" s="20">
        <v>0</v>
      </c>
      <c r="AW188" s="20">
        <v>0</v>
      </c>
      <c r="AX188" s="20">
        <v>0</v>
      </c>
      <c r="AY188" s="20">
        <v>0</v>
      </c>
      <c r="AZ188" s="20">
        <v>0</v>
      </c>
      <c r="BA188" s="20">
        <v>0</v>
      </c>
      <c r="BB188" s="20">
        <v>0</v>
      </c>
      <c r="BC188" s="20">
        <v>0</v>
      </c>
      <c r="BD188" s="20">
        <v>0</v>
      </c>
      <c r="BE188" s="20">
        <v>0</v>
      </c>
      <c r="BF188" s="20">
        <v>0</v>
      </c>
      <c r="BG188" s="20">
        <v>0</v>
      </c>
      <c r="BH188" s="20">
        <v>0</v>
      </c>
      <c r="BI188" s="20">
        <v>0</v>
      </c>
      <c r="BJ188" s="20">
        <v>0</v>
      </c>
      <c r="BK188" s="20">
        <v>0</v>
      </c>
      <c r="BL188" s="20">
        <v>0</v>
      </c>
      <c r="BM188" s="20">
        <v>0</v>
      </c>
      <c r="BN188" s="22">
        <v>0</v>
      </c>
      <c r="BO188" s="22">
        <v>0</v>
      </c>
      <c r="BP188" s="22">
        <v>0</v>
      </c>
      <c r="BR188" s="20" t="str">
        <v/>
      </c>
      <c r="CH188" s="20">
        <v>0</v>
      </c>
      <c r="CI188" s="20">
        <v>0</v>
      </c>
      <c r="CJ188" s="20">
        <v>0</v>
      </c>
      <c r="CK188" s="20" t="str">
        <v/>
      </c>
      <c r="CL188" s="20" t="str">
        <v/>
      </c>
      <c r="CN188" s="20">
        <v>0</v>
      </c>
      <c r="CO188" s="20">
        <v>0</v>
      </c>
      <c r="CP188" s="20">
        <v>0</v>
      </c>
      <c r="CQ188" s="20">
        <v>0</v>
      </c>
      <c r="CR188" s="20">
        <v>0</v>
      </c>
      <c r="CS188" s="20">
        <v>0</v>
      </c>
      <c r="CT188" s="20">
        <v>0</v>
      </c>
      <c r="CU188" s="20">
        <v>0</v>
      </c>
      <c r="CV188" s="20">
        <v>0</v>
      </c>
      <c r="CW188" s="20">
        <v>0</v>
      </c>
      <c r="CX188" s="20">
        <v>0</v>
      </c>
      <c r="CY188" s="20">
        <v>0</v>
      </c>
      <c r="CZ188" s="20">
        <v>0</v>
      </c>
      <c r="DA188" s="19">
        <v>0</v>
      </c>
      <c r="DB188" s="20">
        <v>0</v>
      </c>
      <c r="DC188" s="25">
        <v>0</v>
      </c>
      <c r="DD188" s="20">
        <v>0</v>
      </c>
      <c r="DE188" s="20">
        <v>0</v>
      </c>
      <c r="DF188" s="20">
        <v>0</v>
      </c>
      <c r="DG188" s="20">
        <v>0</v>
      </c>
      <c r="DH188" s="20">
        <v>0</v>
      </c>
      <c r="DI188" s="20">
        <v>0</v>
      </c>
    </row>
    <row r="189" spans="1:113">
      <c r="A189" s="20" t="str">
        <v>00:00:00</v>
      </c>
      <c r="B189" s="19">
        <v>0</v>
      </c>
      <c r="C189" s="21">
        <v>0</v>
      </c>
      <c r="D189" s="20" t="str">
        <v>未匹配</v>
      </c>
      <c r="E189" s="20">
        <v>0</v>
      </c>
      <c r="I189" s="20" t="str">
        <v/>
      </c>
      <c r="J189" s="20">
        <v>0</v>
      </c>
      <c r="K189" s="22">
        <v>0</v>
      </c>
      <c r="M189" s="20">
        <v>0</v>
      </c>
      <c r="N189" s="20">
        <v>0</v>
      </c>
      <c r="O189" s="20">
        <v>0</v>
      </c>
      <c r="P189" s="20">
        <v>0</v>
      </c>
      <c r="Q189" s="20">
        <v>0</v>
      </c>
      <c r="R189" s="20">
        <v>0</v>
      </c>
      <c r="S189" s="20">
        <v>0</v>
      </c>
      <c r="T189" s="20">
        <v>0</v>
      </c>
      <c r="U189" s="20">
        <v>0</v>
      </c>
      <c r="V189" s="20">
        <v>0</v>
      </c>
      <c r="W189" s="20">
        <v>0</v>
      </c>
      <c r="X189" s="20">
        <v>0</v>
      </c>
      <c r="Y189" s="20">
        <v>0</v>
      </c>
      <c r="Z189" s="20">
        <v>0</v>
      </c>
      <c r="AA189" s="20">
        <v>0</v>
      </c>
      <c r="AB189" s="20">
        <v>0</v>
      </c>
      <c r="AC189" s="20">
        <v>0</v>
      </c>
      <c r="AE189" s="20" t="str">
        <v/>
      </c>
      <c r="AF189" s="20">
        <v>0</v>
      </c>
      <c r="AG189" s="22" t="e">
        <v>#VALUE!</v>
      </c>
      <c r="AI189" s="20">
        <v>0</v>
      </c>
      <c r="AJ189" s="20">
        <v>0</v>
      </c>
      <c r="AK189" s="20">
        <v>0</v>
      </c>
      <c r="AL189" s="20">
        <v>0</v>
      </c>
      <c r="AM189" s="20">
        <v>0</v>
      </c>
      <c r="AN189" s="20">
        <v>0</v>
      </c>
      <c r="AO189" s="20">
        <v>0</v>
      </c>
      <c r="AP189" s="20">
        <v>0</v>
      </c>
      <c r="AQ189" s="20">
        <v>0</v>
      </c>
      <c r="AR189" s="20">
        <v>0</v>
      </c>
      <c r="AS189" s="20">
        <v>0</v>
      </c>
      <c r="AT189" s="20">
        <v>0</v>
      </c>
      <c r="AU189" s="20">
        <v>0</v>
      </c>
      <c r="AV189" s="20">
        <v>0</v>
      </c>
      <c r="AW189" s="20">
        <v>0</v>
      </c>
      <c r="AX189" s="20">
        <v>0</v>
      </c>
      <c r="AY189" s="20">
        <v>0</v>
      </c>
      <c r="AZ189" s="20">
        <v>0</v>
      </c>
      <c r="BA189" s="20">
        <v>0</v>
      </c>
      <c r="BB189" s="20">
        <v>0</v>
      </c>
      <c r="BC189" s="20">
        <v>0</v>
      </c>
      <c r="BD189" s="20">
        <v>0</v>
      </c>
      <c r="BE189" s="20">
        <v>0</v>
      </c>
      <c r="BF189" s="20">
        <v>0</v>
      </c>
      <c r="BG189" s="20">
        <v>0</v>
      </c>
      <c r="BH189" s="20">
        <v>0</v>
      </c>
      <c r="BI189" s="20">
        <v>0</v>
      </c>
      <c r="BJ189" s="20">
        <v>0</v>
      </c>
      <c r="BK189" s="20">
        <v>0</v>
      </c>
      <c r="BL189" s="20">
        <v>0</v>
      </c>
      <c r="BM189" s="20">
        <v>0</v>
      </c>
      <c r="BN189" s="22">
        <v>0</v>
      </c>
      <c r="BO189" s="22">
        <v>0</v>
      </c>
      <c r="BP189" s="22">
        <v>0</v>
      </c>
      <c r="BR189" s="20" t="str">
        <v/>
      </c>
      <c r="CH189" s="20">
        <v>0</v>
      </c>
      <c r="CI189" s="20">
        <v>0</v>
      </c>
      <c r="CJ189" s="20">
        <v>0</v>
      </c>
      <c r="CK189" s="20" t="str">
        <v/>
      </c>
      <c r="CL189" s="20" t="str">
        <v/>
      </c>
      <c r="CN189" s="20">
        <v>0</v>
      </c>
      <c r="CO189" s="20">
        <v>0</v>
      </c>
      <c r="CP189" s="20">
        <v>0</v>
      </c>
      <c r="CQ189" s="20">
        <v>0</v>
      </c>
      <c r="CR189" s="20">
        <v>0</v>
      </c>
      <c r="CS189" s="20">
        <v>0</v>
      </c>
      <c r="CT189" s="20">
        <v>0</v>
      </c>
      <c r="CU189" s="20">
        <v>0</v>
      </c>
      <c r="CV189" s="20">
        <v>0</v>
      </c>
      <c r="CW189" s="20">
        <v>0</v>
      </c>
      <c r="CX189" s="20">
        <v>0</v>
      </c>
      <c r="CY189" s="20">
        <v>0</v>
      </c>
      <c r="CZ189" s="20">
        <v>0</v>
      </c>
      <c r="DA189" s="19">
        <v>0</v>
      </c>
      <c r="DB189" s="20">
        <v>0</v>
      </c>
      <c r="DC189" s="25">
        <v>0</v>
      </c>
      <c r="DD189" s="20">
        <v>0</v>
      </c>
      <c r="DE189" s="20">
        <v>0</v>
      </c>
      <c r="DF189" s="20">
        <v>0</v>
      </c>
      <c r="DG189" s="20">
        <v>0</v>
      </c>
      <c r="DH189" s="20">
        <v>0</v>
      </c>
      <c r="DI189" s="20">
        <v>0</v>
      </c>
    </row>
    <row r="190" spans="1:113">
      <c r="A190" s="20" t="str">
        <v>00:00:00</v>
      </c>
      <c r="B190" s="19">
        <v>0</v>
      </c>
      <c r="C190" s="21">
        <v>0</v>
      </c>
      <c r="D190" s="20" t="str">
        <v>未匹配</v>
      </c>
      <c r="E190" s="20">
        <v>0</v>
      </c>
      <c r="I190" s="20" t="str">
        <v/>
      </c>
      <c r="J190" s="20">
        <v>0</v>
      </c>
      <c r="K190" s="22">
        <v>0</v>
      </c>
      <c r="M190" s="20">
        <v>0</v>
      </c>
      <c r="N190" s="20">
        <v>0</v>
      </c>
      <c r="O190" s="20">
        <v>0</v>
      </c>
      <c r="P190" s="20">
        <v>0</v>
      </c>
      <c r="Q190" s="20">
        <v>0</v>
      </c>
      <c r="R190" s="20">
        <v>0</v>
      </c>
      <c r="S190" s="20">
        <v>0</v>
      </c>
      <c r="T190" s="20">
        <v>0</v>
      </c>
      <c r="U190" s="20">
        <v>0</v>
      </c>
      <c r="V190" s="20">
        <v>0</v>
      </c>
      <c r="W190" s="20">
        <v>0</v>
      </c>
      <c r="X190" s="20">
        <v>0</v>
      </c>
      <c r="Y190" s="20">
        <v>0</v>
      </c>
      <c r="Z190" s="20">
        <v>0</v>
      </c>
      <c r="AA190" s="20">
        <v>0</v>
      </c>
      <c r="AB190" s="20">
        <v>0</v>
      </c>
      <c r="AC190" s="20">
        <v>0</v>
      </c>
      <c r="AE190" s="20" t="str">
        <v/>
      </c>
      <c r="AF190" s="20">
        <v>0</v>
      </c>
      <c r="AG190" s="22" t="e">
        <v>#VALUE!</v>
      </c>
      <c r="AI190" s="20">
        <v>0</v>
      </c>
      <c r="AJ190" s="20">
        <v>0</v>
      </c>
      <c r="AK190" s="20">
        <v>0</v>
      </c>
      <c r="AL190" s="20">
        <v>0</v>
      </c>
      <c r="AM190" s="20">
        <v>0</v>
      </c>
      <c r="AN190" s="20">
        <v>0</v>
      </c>
      <c r="AO190" s="20">
        <v>0</v>
      </c>
      <c r="AP190" s="20">
        <v>0</v>
      </c>
      <c r="AQ190" s="20">
        <v>0</v>
      </c>
      <c r="AR190" s="20">
        <v>0</v>
      </c>
      <c r="AS190" s="20">
        <v>0</v>
      </c>
      <c r="AT190" s="20">
        <v>0</v>
      </c>
      <c r="AU190" s="20">
        <v>0</v>
      </c>
      <c r="AV190" s="20">
        <v>0</v>
      </c>
      <c r="AW190" s="20">
        <v>0</v>
      </c>
      <c r="AX190" s="20">
        <v>0</v>
      </c>
      <c r="AY190" s="20">
        <v>0</v>
      </c>
      <c r="AZ190" s="20">
        <v>0</v>
      </c>
      <c r="BA190" s="20">
        <v>0</v>
      </c>
      <c r="BB190" s="20">
        <v>0</v>
      </c>
      <c r="BC190" s="20">
        <v>0</v>
      </c>
      <c r="BD190" s="20">
        <v>0</v>
      </c>
      <c r="BE190" s="20">
        <v>0</v>
      </c>
      <c r="BF190" s="20">
        <v>0</v>
      </c>
      <c r="BG190" s="20">
        <v>0</v>
      </c>
      <c r="BH190" s="20">
        <v>0</v>
      </c>
      <c r="BI190" s="20">
        <v>0</v>
      </c>
      <c r="BJ190" s="20">
        <v>0</v>
      </c>
      <c r="BK190" s="20">
        <v>0</v>
      </c>
      <c r="BL190" s="20">
        <v>0</v>
      </c>
      <c r="BM190" s="20">
        <v>0</v>
      </c>
      <c r="BN190" s="22">
        <v>0</v>
      </c>
      <c r="BO190" s="22">
        <v>0</v>
      </c>
      <c r="BP190" s="22">
        <v>0</v>
      </c>
      <c r="BR190" s="20" t="str">
        <v/>
      </c>
      <c r="CH190" s="20">
        <v>0</v>
      </c>
      <c r="CI190" s="20">
        <v>0</v>
      </c>
      <c r="CJ190" s="20">
        <v>0</v>
      </c>
      <c r="CK190" s="20" t="str">
        <v/>
      </c>
      <c r="CL190" s="20" t="str">
        <v/>
      </c>
      <c r="CN190" s="20">
        <v>0</v>
      </c>
      <c r="CO190" s="20">
        <v>0</v>
      </c>
      <c r="CP190" s="20">
        <v>0</v>
      </c>
      <c r="CQ190" s="20">
        <v>0</v>
      </c>
      <c r="CR190" s="20">
        <v>0</v>
      </c>
      <c r="CS190" s="20">
        <v>0</v>
      </c>
      <c r="CT190" s="20">
        <v>0</v>
      </c>
      <c r="CU190" s="20">
        <v>0</v>
      </c>
      <c r="CV190" s="20">
        <v>0</v>
      </c>
      <c r="CW190" s="20">
        <v>0</v>
      </c>
      <c r="CX190" s="20">
        <v>0</v>
      </c>
      <c r="CY190" s="20">
        <v>0</v>
      </c>
      <c r="CZ190" s="20">
        <v>0</v>
      </c>
      <c r="DA190" s="19">
        <v>0</v>
      </c>
      <c r="DB190" s="20">
        <v>0</v>
      </c>
      <c r="DC190" s="25">
        <v>0</v>
      </c>
      <c r="DD190" s="20">
        <v>0</v>
      </c>
      <c r="DE190" s="20">
        <v>0</v>
      </c>
      <c r="DF190" s="20">
        <v>0</v>
      </c>
      <c r="DG190" s="20">
        <v>0</v>
      </c>
      <c r="DH190" s="20">
        <v>0</v>
      </c>
      <c r="DI190" s="20">
        <v>0</v>
      </c>
    </row>
    <row r="191" spans="1:113">
      <c r="A191" s="20" t="str">
        <v>00:00:00</v>
      </c>
      <c r="B191" s="19">
        <v>0</v>
      </c>
      <c r="C191" s="21">
        <v>0</v>
      </c>
      <c r="D191" s="20" t="str">
        <v>未匹配</v>
      </c>
      <c r="E191" s="20">
        <v>0</v>
      </c>
      <c r="I191" s="20" t="str">
        <v/>
      </c>
      <c r="J191" s="20">
        <v>0</v>
      </c>
      <c r="K191" s="22">
        <v>0</v>
      </c>
      <c r="M191" s="20">
        <v>0</v>
      </c>
      <c r="N191" s="20">
        <v>0</v>
      </c>
      <c r="O191" s="20">
        <v>0</v>
      </c>
      <c r="P191" s="20">
        <v>0</v>
      </c>
      <c r="Q191" s="20">
        <v>0</v>
      </c>
      <c r="R191" s="20">
        <v>0</v>
      </c>
      <c r="S191" s="20">
        <v>0</v>
      </c>
      <c r="T191" s="20">
        <v>0</v>
      </c>
      <c r="U191" s="20">
        <v>0</v>
      </c>
      <c r="V191" s="20">
        <v>0</v>
      </c>
      <c r="W191" s="20">
        <v>0</v>
      </c>
      <c r="X191" s="20">
        <v>0</v>
      </c>
      <c r="Y191" s="20">
        <v>0</v>
      </c>
      <c r="Z191" s="20">
        <v>0</v>
      </c>
      <c r="AA191" s="20">
        <v>0</v>
      </c>
      <c r="AB191" s="20">
        <v>0</v>
      </c>
      <c r="AC191" s="20">
        <v>0</v>
      </c>
      <c r="AE191" s="20" t="str">
        <v/>
      </c>
      <c r="AF191" s="20">
        <v>0</v>
      </c>
      <c r="AG191" s="22" t="e">
        <v>#VALUE!</v>
      </c>
      <c r="AI191" s="20">
        <v>0</v>
      </c>
      <c r="AJ191" s="20">
        <v>0</v>
      </c>
      <c r="AK191" s="20">
        <v>0</v>
      </c>
      <c r="AL191" s="20">
        <v>0</v>
      </c>
      <c r="AM191" s="20">
        <v>0</v>
      </c>
      <c r="AN191" s="20">
        <v>0</v>
      </c>
      <c r="AO191" s="20">
        <v>0</v>
      </c>
      <c r="AP191" s="20">
        <v>0</v>
      </c>
      <c r="AQ191" s="20">
        <v>0</v>
      </c>
      <c r="AR191" s="20">
        <v>0</v>
      </c>
      <c r="AS191" s="20">
        <v>0</v>
      </c>
      <c r="AT191" s="20">
        <v>0</v>
      </c>
      <c r="AU191" s="20">
        <v>0</v>
      </c>
      <c r="AV191" s="20">
        <v>0</v>
      </c>
      <c r="AW191" s="20">
        <v>0</v>
      </c>
      <c r="AX191" s="20">
        <v>0</v>
      </c>
      <c r="AY191" s="20">
        <v>0</v>
      </c>
      <c r="AZ191" s="20">
        <v>0</v>
      </c>
      <c r="BA191" s="20">
        <v>0</v>
      </c>
      <c r="BB191" s="20">
        <v>0</v>
      </c>
      <c r="BC191" s="20">
        <v>0</v>
      </c>
      <c r="BD191" s="20">
        <v>0</v>
      </c>
      <c r="BE191" s="20">
        <v>0</v>
      </c>
      <c r="BF191" s="20">
        <v>0</v>
      </c>
      <c r="BG191" s="20">
        <v>0</v>
      </c>
      <c r="BH191" s="20">
        <v>0</v>
      </c>
      <c r="BI191" s="20">
        <v>0</v>
      </c>
      <c r="BJ191" s="20">
        <v>0</v>
      </c>
      <c r="BK191" s="20">
        <v>0</v>
      </c>
      <c r="BL191" s="20">
        <v>0</v>
      </c>
      <c r="BM191" s="20">
        <v>0</v>
      </c>
      <c r="BN191" s="22">
        <v>0</v>
      </c>
      <c r="BO191" s="22">
        <v>0</v>
      </c>
      <c r="BP191" s="22">
        <v>0</v>
      </c>
      <c r="BR191" s="20" t="str">
        <v/>
      </c>
      <c r="CH191" s="20">
        <v>0</v>
      </c>
      <c r="CI191" s="20">
        <v>0</v>
      </c>
      <c r="CJ191" s="20">
        <v>0</v>
      </c>
      <c r="CK191" s="20" t="str">
        <v/>
      </c>
      <c r="CL191" s="20" t="str">
        <v/>
      </c>
      <c r="CN191" s="20">
        <v>0</v>
      </c>
      <c r="CO191" s="20">
        <v>0</v>
      </c>
      <c r="CP191" s="20">
        <v>0</v>
      </c>
      <c r="CQ191" s="20">
        <v>0</v>
      </c>
      <c r="CR191" s="20">
        <v>0</v>
      </c>
      <c r="CS191" s="20">
        <v>0</v>
      </c>
      <c r="CT191" s="20">
        <v>0</v>
      </c>
      <c r="CU191" s="20">
        <v>0</v>
      </c>
      <c r="CV191" s="20">
        <v>0</v>
      </c>
      <c r="CW191" s="20">
        <v>0</v>
      </c>
      <c r="CX191" s="20">
        <v>0</v>
      </c>
      <c r="CY191" s="20">
        <v>0</v>
      </c>
      <c r="CZ191" s="20">
        <v>0</v>
      </c>
      <c r="DA191" s="19">
        <v>0</v>
      </c>
      <c r="DB191" s="20">
        <v>0</v>
      </c>
      <c r="DC191" s="25">
        <v>0</v>
      </c>
      <c r="DD191" s="20">
        <v>0</v>
      </c>
      <c r="DE191" s="20">
        <v>0</v>
      </c>
      <c r="DF191" s="20">
        <v>0</v>
      </c>
      <c r="DG191" s="20">
        <v>0</v>
      </c>
      <c r="DH191" s="20">
        <v>0</v>
      </c>
      <c r="DI191" s="20">
        <v>0</v>
      </c>
    </row>
    <row r="192" spans="1:113">
      <c r="A192" s="20" t="str">
        <v>00:00:00</v>
      </c>
      <c r="B192" s="19">
        <v>0</v>
      </c>
      <c r="C192" s="21">
        <v>0</v>
      </c>
      <c r="D192" s="20" t="str">
        <v>未匹配</v>
      </c>
      <c r="E192" s="20">
        <v>0</v>
      </c>
      <c r="I192" s="20" t="str">
        <v/>
      </c>
      <c r="J192" s="20">
        <v>0</v>
      </c>
      <c r="K192" s="22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  <c r="R192" s="20">
        <v>0</v>
      </c>
      <c r="S192" s="20">
        <v>0</v>
      </c>
      <c r="T192" s="20">
        <v>0</v>
      </c>
      <c r="U192" s="20">
        <v>0</v>
      </c>
      <c r="V192" s="20">
        <v>0</v>
      </c>
      <c r="W192" s="20">
        <v>0</v>
      </c>
      <c r="X192" s="20">
        <v>0</v>
      </c>
      <c r="Y192" s="20">
        <v>0</v>
      </c>
      <c r="Z192" s="20">
        <v>0</v>
      </c>
      <c r="AA192" s="20">
        <v>0</v>
      </c>
      <c r="AB192" s="20">
        <v>0</v>
      </c>
      <c r="AC192" s="20">
        <v>0</v>
      </c>
      <c r="AE192" s="20" t="str">
        <v/>
      </c>
      <c r="AF192" s="20">
        <v>0</v>
      </c>
      <c r="AG192" s="22" t="e">
        <v>#VALUE!</v>
      </c>
      <c r="AI192" s="20">
        <v>0</v>
      </c>
      <c r="AJ192" s="20">
        <v>0</v>
      </c>
      <c r="AK192" s="20">
        <v>0</v>
      </c>
      <c r="AL192" s="20">
        <v>0</v>
      </c>
      <c r="AM192" s="20">
        <v>0</v>
      </c>
      <c r="AN192" s="20">
        <v>0</v>
      </c>
      <c r="AO192" s="20">
        <v>0</v>
      </c>
      <c r="AP192" s="20">
        <v>0</v>
      </c>
      <c r="AQ192" s="20">
        <v>0</v>
      </c>
      <c r="AR192" s="20">
        <v>0</v>
      </c>
      <c r="AS192" s="20">
        <v>0</v>
      </c>
      <c r="AT192" s="20">
        <v>0</v>
      </c>
      <c r="AU192" s="20">
        <v>0</v>
      </c>
      <c r="AV192" s="20">
        <v>0</v>
      </c>
      <c r="AW192" s="20">
        <v>0</v>
      </c>
      <c r="AX192" s="20">
        <v>0</v>
      </c>
      <c r="AY192" s="20">
        <v>0</v>
      </c>
      <c r="AZ192" s="20">
        <v>0</v>
      </c>
      <c r="BA192" s="20">
        <v>0</v>
      </c>
      <c r="BB192" s="20">
        <v>0</v>
      </c>
      <c r="BC192" s="20">
        <v>0</v>
      </c>
      <c r="BD192" s="20">
        <v>0</v>
      </c>
      <c r="BE192" s="20">
        <v>0</v>
      </c>
      <c r="BF192" s="20">
        <v>0</v>
      </c>
      <c r="BG192" s="20">
        <v>0</v>
      </c>
      <c r="BH192" s="20">
        <v>0</v>
      </c>
      <c r="BI192" s="20">
        <v>0</v>
      </c>
      <c r="BJ192" s="20">
        <v>0</v>
      </c>
      <c r="BK192" s="20">
        <v>0</v>
      </c>
      <c r="BL192" s="20">
        <v>0</v>
      </c>
      <c r="BM192" s="20">
        <v>0</v>
      </c>
      <c r="BN192" s="22">
        <v>0</v>
      </c>
      <c r="BO192" s="22">
        <v>0</v>
      </c>
      <c r="BP192" s="22">
        <v>0</v>
      </c>
      <c r="BR192" s="20" t="str">
        <v/>
      </c>
      <c r="CH192" s="20">
        <v>0</v>
      </c>
      <c r="CI192" s="20">
        <v>0</v>
      </c>
      <c r="CJ192" s="20">
        <v>0</v>
      </c>
      <c r="CK192" s="20" t="str">
        <v/>
      </c>
      <c r="CL192" s="20" t="str">
        <v/>
      </c>
      <c r="CN192" s="20">
        <v>0</v>
      </c>
      <c r="CO192" s="20">
        <v>0</v>
      </c>
      <c r="CP192" s="20">
        <v>0</v>
      </c>
      <c r="CQ192" s="20">
        <v>0</v>
      </c>
      <c r="CR192" s="20">
        <v>0</v>
      </c>
      <c r="CS192" s="20">
        <v>0</v>
      </c>
      <c r="CT192" s="20">
        <v>0</v>
      </c>
      <c r="CU192" s="20">
        <v>0</v>
      </c>
      <c r="CV192" s="20">
        <v>0</v>
      </c>
      <c r="CW192" s="20">
        <v>0</v>
      </c>
      <c r="CX192" s="20">
        <v>0</v>
      </c>
      <c r="CY192" s="20">
        <v>0</v>
      </c>
      <c r="CZ192" s="20">
        <v>0</v>
      </c>
      <c r="DA192" s="19">
        <v>0</v>
      </c>
      <c r="DB192" s="20">
        <v>0</v>
      </c>
      <c r="DC192" s="25">
        <v>0</v>
      </c>
      <c r="DD192" s="20">
        <v>0</v>
      </c>
      <c r="DE192" s="20">
        <v>0</v>
      </c>
      <c r="DF192" s="20">
        <v>0</v>
      </c>
      <c r="DG192" s="20">
        <v>0</v>
      </c>
      <c r="DH192" s="20">
        <v>0</v>
      </c>
      <c r="DI192" s="20">
        <v>0</v>
      </c>
    </row>
    <row r="193" spans="1:113">
      <c r="A193" s="20" t="str">
        <v>00:00:00</v>
      </c>
      <c r="B193" s="19">
        <v>0</v>
      </c>
      <c r="C193" s="21">
        <v>0</v>
      </c>
      <c r="D193" s="20" t="str">
        <v>未匹配</v>
      </c>
      <c r="E193" s="20">
        <v>0</v>
      </c>
      <c r="I193" s="20" t="str">
        <v/>
      </c>
      <c r="J193" s="20">
        <v>0</v>
      </c>
      <c r="K193" s="22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  <c r="S193" s="20">
        <v>0</v>
      </c>
      <c r="T193" s="20">
        <v>0</v>
      </c>
      <c r="U193" s="20">
        <v>0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E193" s="20" t="str">
        <v/>
      </c>
      <c r="AF193" s="20">
        <v>0</v>
      </c>
      <c r="AG193" s="22" t="e">
        <v>#VALUE!</v>
      </c>
      <c r="AI193" s="20">
        <v>0</v>
      </c>
      <c r="AJ193" s="20">
        <v>0</v>
      </c>
      <c r="AK193" s="20">
        <v>0</v>
      </c>
      <c r="AL193" s="20">
        <v>0</v>
      </c>
      <c r="AM193" s="20">
        <v>0</v>
      </c>
      <c r="AN193" s="20">
        <v>0</v>
      </c>
      <c r="AO193" s="20">
        <v>0</v>
      </c>
      <c r="AP193" s="20">
        <v>0</v>
      </c>
      <c r="AQ193" s="20">
        <v>0</v>
      </c>
      <c r="AR193" s="20">
        <v>0</v>
      </c>
      <c r="AS193" s="20">
        <v>0</v>
      </c>
      <c r="AT193" s="20">
        <v>0</v>
      </c>
      <c r="AU193" s="20">
        <v>0</v>
      </c>
      <c r="AV193" s="20">
        <v>0</v>
      </c>
      <c r="AW193" s="20">
        <v>0</v>
      </c>
      <c r="AX193" s="20">
        <v>0</v>
      </c>
      <c r="AY193" s="20">
        <v>0</v>
      </c>
      <c r="AZ193" s="20">
        <v>0</v>
      </c>
      <c r="BA193" s="20">
        <v>0</v>
      </c>
      <c r="BB193" s="20">
        <v>0</v>
      </c>
      <c r="BC193" s="20">
        <v>0</v>
      </c>
      <c r="BD193" s="20">
        <v>0</v>
      </c>
      <c r="BE193" s="20">
        <v>0</v>
      </c>
      <c r="BF193" s="20">
        <v>0</v>
      </c>
      <c r="BG193" s="20">
        <v>0</v>
      </c>
      <c r="BH193" s="20">
        <v>0</v>
      </c>
      <c r="BI193" s="20">
        <v>0</v>
      </c>
      <c r="BJ193" s="20">
        <v>0</v>
      </c>
      <c r="BK193" s="20">
        <v>0</v>
      </c>
      <c r="BL193" s="20">
        <v>0</v>
      </c>
      <c r="BM193" s="20">
        <v>0</v>
      </c>
      <c r="BN193" s="22">
        <v>0</v>
      </c>
      <c r="BO193" s="22">
        <v>0</v>
      </c>
      <c r="BP193" s="22">
        <v>0</v>
      </c>
      <c r="BR193" s="20" t="str">
        <v/>
      </c>
      <c r="CH193" s="20">
        <v>0</v>
      </c>
      <c r="CI193" s="20">
        <v>0</v>
      </c>
      <c r="CJ193" s="20">
        <v>0</v>
      </c>
      <c r="CK193" s="20" t="str">
        <v/>
      </c>
      <c r="CL193" s="20" t="str">
        <v/>
      </c>
      <c r="CN193" s="20">
        <v>0</v>
      </c>
      <c r="CO193" s="20">
        <v>0</v>
      </c>
      <c r="CP193" s="20">
        <v>0</v>
      </c>
      <c r="CQ193" s="20">
        <v>0</v>
      </c>
      <c r="CR193" s="20">
        <v>0</v>
      </c>
      <c r="CS193" s="20">
        <v>0</v>
      </c>
      <c r="CT193" s="20">
        <v>0</v>
      </c>
      <c r="CU193" s="20">
        <v>0</v>
      </c>
      <c r="CV193" s="20">
        <v>0</v>
      </c>
      <c r="CW193" s="20">
        <v>0</v>
      </c>
      <c r="CX193" s="20">
        <v>0</v>
      </c>
      <c r="CY193" s="20">
        <v>0</v>
      </c>
      <c r="CZ193" s="20">
        <v>0</v>
      </c>
      <c r="DA193" s="19">
        <v>0</v>
      </c>
      <c r="DB193" s="20">
        <v>0</v>
      </c>
      <c r="DC193" s="25">
        <v>0</v>
      </c>
      <c r="DD193" s="20">
        <v>0</v>
      </c>
      <c r="DE193" s="20">
        <v>0</v>
      </c>
      <c r="DF193" s="20">
        <v>0</v>
      </c>
      <c r="DG193" s="20">
        <v>0</v>
      </c>
      <c r="DH193" s="20">
        <v>0</v>
      </c>
      <c r="DI193" s="20">
        <v>0</v>
      </c>
    </row>
    <row r="194" spans="1:113">
      <c r="A194" s="20" t="str">
        <v>00:00:00</v>
      </c>
      <c r="B194" s="19">
        <v>0</v>
      </c>
      <c r="C194" s="21">
        <v>0</v>
      </c>
      <c r="D194" s="20" t="str">
        <v>未匹配</v>
      </c>
      <c r="E194" s="20">
        <v>0</v>
      </c>
      <c r="I194" s="20" t="str">
        <v/>
      </c>
      <c r="J194" s="20">
        <v>0</v>
      </c>
      <c r="K194" s="22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  <c r="U194" s="20">
        <v>0</v>
      </c>
      <c r="V194" s="20">
        <v>0</v>
      </c>
      <c r="W194" s="20">
        <v>0</v>
      </c>
      <c r="X194" s="20">
        <v>0</v>
      </c>
      <c r="Y194" s="20">
        <v>0</v>
      </c>
      <c r="Z194" s="20">
        <v>0</v>
      </c>
      <c r="AA194" s="20">
        <v>0</v>
      </c>
      <c r="AB194" s="20">
        <v>0</v>
      </c>
      <c r="AC194" s="20">
        <v>0</v>
      </c>
      <c r="AE194" s="20" t="str">
        <v/>
      </c>
      <c r="AF194" s="20">
        <v>0</v>
      </c>
      <c r="AG194" s="22" t="e">
        <v>#VALUE!</v>
      </c>
      <c r="AI194" s="20">
        <v>0</v>
      </c>
      <c r="AJ194" s="20">
        <v>0</v>
      </c>
      <c r="AK194" s="20">
        <v>0</v>
      </c>
      <c r="AL194" s="20">
        <v>0</v>
      </c>
      <c r="AM194" s="20">
        <v>0</v>
      </c>
      <c r="AN194" s="20">
        <v>0</v>
      </c>
      <c r="AO194" s="20">
        <v>0</v>
      </c>
      <c r="AP194" s="20">
        <v>0</v>
      </c>
      <c r="AQ194" s="20">
        <v>0</v>
      </c>
      <c r="AR194" s="20">
        <v>0</v>
      </c>
      <c r="AS194" s="20">
        <v>0</v>
      </c>
      <c r="AT194" s="20">
        <v>0</v>
      </c>
      <c r="AU194" s="20">
        <v>0</v>
      </c>
      <c r="AV194" s="20">
        <v>0</v>
      </c>
      <c r="AW194" s="20">
        <v>0</v>
      </c>
      <c r="AX194" s="20">
        <v>0</v>
      </c>
      <c r="AY194" s="20">
        <v>0</v>
      </c>
      <c r="AZ194" s="20">
        <v>0</v>
      </c>
      <c r="BA194" s="20">
        <v>0</v>
      </c>
      <c r="BB194" s="20">
        <v>0</v>
      </c>
      <c r="BC194" s="20">
        <v>0</v>
      </c>
      <c r="BD194" s="20">
        <v>0</v>
      </c>
      <c r="BE194" s="20">
        <v>0</v>
      </c>
      <c r="BF194" s="20">
        <v>0</v>
      </c>
      <c r="BG194" s="20">
        <v>0</v>
      </c>
      <c r="BH194" s="20">
        <v>0</v>
      </c>
      <c r="BI194" s="20">
        <v>0</v>
      </c>
      <c r="BJ194" s="20">
        <v>0</v>
      </c>
      <c r="BK194" s="20">
        <v>0</v>
      </c>
      <c r="BL194" s="20">
        <v>0</v>
      </c>
      <c r="BM194" s="20">
        <v>0</v>
      </c>
      <c r="BN194" s="22">
        <v>0</v>
      </c>
      <c r="BO194" s="22">
        <v>0</v>
      </c>
      <c r="BP194" s="22">
        <v>0</v>
      </c>
      <c r="BR194" s="20" t="str">
        <v/>
      </c>
      <c r="CH194" s="20">
        <v>0</v>
      </c>
      <c r="CI194" s="20">
        <v>0</v>
      </c>
      <c r="CJ194" s="20">
        <v>0</v>
      </c>
      <c r="CK194" s="20" t="str">
        <v/>
      </c>
      <c r="CL194" s="20" t="str">
        <v/>
      </c>
      <c r="CN194" s="20">
        <v>0</v>
      </c>
      <c r="CO194" s="20">
        <v>0</v>
      </c>
      <c r="CP194" s="20">
        <v>0</v>
      </c>
      <c r="CQ194" s="20">
        <v>0</v>
      </c>
      <c r="CR194" s="20">
        <v>0</v>
      </c>
      <c r="CS194" s="20">
        <v>0</v>
      </c>
      <c r="CT194" s="20">
        <v>0</v>
      </c>
      <c r="CU194" s="20">
        <v>0</v>
      </c>
      <c r="CV194" s="20">
        <v>0</v>
      </c>
      <c r="CW194" s="20">
        <v>0</v>
      </c>
      <c r="CX194" s="20">
        <v>0</v>
      </c>
      <c r="CY194" s="20">
        <v>0</v>
      </c>
      <c r="CZ194" s="20">
        <v>0</v>
      </c>
      <c r="DA194" s="19">
        <v>0</v>
      </c>
      <c r="DB194" s="20">
        <v>0</v>
      </c>
      <c r="DC194" s="25">
        <v>0</v>
      </c>
      <c r="DD194" s="20">
        <v>0</v>
      </c>
      <c r="DE194" s="20">
        <v>0</v>
      </c>
      <c r="DF194" s="20">
        <v>0</v>
      </c>
      <c r="DG194" s="20">
        <v>0</v>
      </c>
      <c r="DH194" s="20">
        <v>0</v>
      </c>
      <c r="DI194" s="20">
        <v>0</v>
      </c>
    </row>
    <row r="195" spans="1:113">
      <c r="A195" s="20" t="str">
        <v>00:00:00</v>
      </c>
      <c r="B195" s="19">
        <v>0</v>
      </c>
      <c r="C195" s="21">
        <v>0</v>
      </c>
      <c r="D195" s="20" t="str">
        <v>未匹配</v>
      </c>
      <c r="E195" s="20">
        <v>0</v>
      </c>
      <c r="I195" s="20" t="str">
        <v/>
      </c>
      <c r="J195" s="20">
        <v>0</v>
      </c>
      <c r="K195" s="22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  <c r="U195" s="20">
        <v>0</v>
      </c>
      <c r="V195" s="20">
        <v>0</v>
      </c>
      <c r="W195" s="20">
        <v>0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  <c r="AC195" s="20">
        <v>0</v>
      </c>
      <c r="AE195" s="20" t="str">
        <v/>
      </c>
      <c r="AF195" s="20">
        <v>0</v>
      </c>
      <c r="AG195" s="22" t="e">
        <v>#VALUE!</v>
      </c>
      <c r="AI195" s="20">
        <v>0</v>
      </c>
      <c r="AJ195" s="20">
        <v>0</v>
      </c>
      <c r="AK195" s="20">
        <v>0</v>
      </c>
      <c r="AL195" s="20">
        <v>0</v>
      </c>
      <c r="AM195" s="20">
        <v>0</v>
      </c>
      <c r="AN195" s="20">
        <v>0</v>
      </c>
      <c r="AO195" s="20">
        <v>0</v>
      </c>
      <c r="AP195" s="20">
        <v>0</v>
      </c>
      <c r="AQ195" s="20">
        <v>0</v>
      </c>
      <c r="AR195" s="20">
        <v>0</v>
      </c>
      <c r="AS195" s="20">
        <v>0</v>
      </c>
      <c r="AT195" s="20">
        <v>0</v>
      </c>
      <c r="AU195" s="20">
        <v>0</v>
      </c>
      <c r="AV195" s="20">
        <v>0</v>
      </c>
      <c r="AW195" s="20">
        <v>0</v>
      </c>
      <c r="AX195" s="20">
        <v>0</v>
      </c>
      <c r="AY195" s="20">
        <v>0</v>
      </c>
      <c r="AZ195" s="20">
        <v>0</v>
      </c>
      <c r="BA195" s="20">
        <v>0</v>
      </c>
      <c r="BB195" s="20">
        <v>0</v>
      </c>
      <c r="BC195" s="20">
        <v>0</v>
      </c>
      <c r="BD195" s="20">
        <v>0</v>
      </c>
      <c r="BE195" s="20">
        <v>0</v>
      </c>
      <c r="BF195" s="20">
        <v>0</v>
      </c>
      <c r="BG195" s="20">
        <v>0</v>
      </c>
      <c r="BH195" s="20">
        <v>0</v>
      </c>
      <c r="BI195" s="20">
        <v>0</v>
      </c>
      <c r="BJ195" s="20">
        <v>0</v>
      </c>
      <c r="BK195" s="20">
        <v>0</v>
      </c>
      <c r="BL195" s="20">
        <v>0</v>
      </c>
      <c r="BM195" s="20">
        <v>0</v>
      </c>
      <c r="BN195" s="22">
        <v>0</v>
      </c>
      <c r="BO195" s="22">
        <v>0</v>
      </c>
      <c r="BP195" s="22">
        <v>0</v>
      </c>
      <c r="BR195" s="20" t="str">
        <v/>
      </c>
      <c r="CH195" s="20">
        <v>0</v>
      </c>
      <c r="CI195" s="20">
        <v>0</v>
      </c>
      <c r="CJ195" s="20">
        <v>0</v>
      </c>
      <c r="CK195" s="20" t="str">
        <v/>
      </c>
      <c r="CL195" s="20" t="str">
        <v/>
      </c>
      <c r="CN195" s="20">
        <v>0</v>
      </c>
      <c r="CO195" s="20">
        <v>0</v>
      </c>
      <c r="CP195" s="20">
        <v>0</v>
      </c>
      <c r="CQ195" s="20">
        <v>0</v>
      </c>
      <c r="CR195" s="20">
        <v>0</v>
      </c>
      <c r="CS195" s="20">
        <v>0</v>
      </c>
      <c r="CT195" s="20">
        <v>0</v>
      </c>
      <c r="CU195" s="20">
        <v>0</v>
      </c>
      <c r="CV195" s="20">
        <v>0</v>
      </c>
      <c r="CW195" s="20">
        <v>0</v>
      </c>
      <c r="CX195" s="20">
        <v>0</v>
      </c>
      <c r="CY195" s="20">
        <v>0</v>
      </c>
      <c r="CZ195" s="20">
        <v>0</v>
      </c>
      <c r="DA195" s="19">
        <v>0</v>
      </c>
      <c r="DB195" s="20">
        <v>0</v>
      </c>
      <c r="DC195" s="25">
        <v>0</v>
      </c>
      <c r="DD195" s="20">
        <v>0</v>
      </c>
      <c r="DE195" s="20">
        <v>0</v>
      </c>
      <c r="DF195" s="20">
        <v>0</v>
      </c>
      <c r="DG195" s="20">
        <v>0</v>
      </c>
      <c r="DH195" s="20">
        <v>0</v>
      </c>
      <c r="DI195" s="20">
        <v>0</v>
      </c>
    </row>
    <row r="196" spans="1:113">
      <c r="A196" s="20" t="str">
        <v>00:00:00</v>
      </c>
      <c r="B196" s="19">
        <v>0</v>
      </c>
      <c r="C196" s="21">
        <v>0</v>
      </c>
      <c r="D196" s="20" t="str">
        <v>未匹配</v>
      </c>
      <c r="E196" s="20">
        <v>0</v>
      </c>
      <c r="I196" s="20" t="str">
        <v/>
      </c>
      <c r="J196" s="20">
        <v>0</v>
      </c>
      <c r="K196" s="22">
        <v>0</v>
      </c>
      <c r="M196" s="20">
        <v>0</v>
      </c>
      <c r="N196" s="20">
        <v>0</v>
      </c>
      <c r="O196" s="20">
        <v>0</v>
      </c>
      <c r="P196" s="20">
        <v>0</v>
      </c>
      <c r="Q196" s="20">
        <v>0</v>
      </c>
      <c r="R196" s="20">
        <v>0</v>
      </c>
      <c r="S196" s="20">
        <v>0</v>
      </c>
      <c r="T196" s="20">
        <v>0</v>
      </c>
      <c r="U196" s="20">
        <v>0</v>
      </c>
      <c r="V196" s="20">
        <v>0</v>
      </c>
      <c r="W196" s="20">
        <v>0</v>
      </c>
      <c r="X196" s="20">
        <v>0</v>
      </c>
      <c r="Y196" s="20">
        <v>0</v>
      </c>
      <c r="Z196" s="20">
        <v>0</v>
      </c>
      <c r="AA196" s="20">
        <v>0</v>
      </c>
      <c r="AB196" s="20">
        <v>0</v>
      </c>
      <c r="AC196" s="20">
        <v>0</v>
      </c>
      <c r="AE196" s="20" t="str">
        <v/>
      </c>
      <c r="AF196" s="20">
        <v>0</v>
      </c>
      <c r="AG196" s="22" t="e">
        <v>#VALUE!</v>
      </c>
      <c r="AI196" s="20">
        <v>0</v>
      </c>
      <c r="AJ196" s="20">
        <v>0</v>
      </c>
      <c r="AK196" s="20">
        <v>0</v>
      </c>
      <c r="AL196" s="20">
        <v>0</v>
      </c>
      <c r="AM196" s="20">
        <v>0</v>
      </c>
      <c r="AN196" s="20">
        <v>0</v>
      </c>
      <c r="AO196" s="20">
        <v>0</v>
      </c>
      <c r="AP196" s="20">
        <v>0</v>
      </c>
      <c r="AQ196" s="20">
        <v>0</v>
      </c>
      <c r="AR196" s="20">
        <v>0</v>
      </c>
      <c r="AS196" s="20">
        <v>0</v>
      </c>
      <c r="AT196" s="20">
        <v>0</v>
      </c>
      <c r="AU196" s="20">
        <v>0</v>
      </c>
      <c r="AV196" s="20">
        <v>0</v>
      </c>
      <c r="AW196" s="20">
        <v>0</v>
      </c>
      <c r="AX196" s="20">
        <v>0</v>
      </c>
      <c r="AY196" s="20">
        <v>0</v>
      </c>
      <c r="AZ196" s="20">
        <v>0</v>
      </c>
      <c r="BA196" s="20">
        <v>0</v>
      </c>
      <c r="BB196" s="20">
        <v>0</v>
      </c>
      <c r="BC196" s="20">
        <v>0</v>
      </c>
      <c r="BD196" s="20">
        <v>0</v>
      </c>
      <c r="BE196" s="20">
        <v>0</v>
      </c>
      <c r="BF196" s="20">
        <v>0</v>
      </c>
      <c r="BG196" s="20">
        <v>0</v>
      </c>
      <c r="BH196" s="20">
        <v>0</v>
      </c>
      <c r="BI196" s="20">
        <v>0</v>
      </c>
      <c r="BJ196" s="20">
        <v>0</v>
      </c>
      <c r="BK196" s="20">
        <v>0</v>
      </c>
      <c r="BL196" s="20">
        <v>0</v>
      </c>
      <c r="BM196" s="20">
        <v>0</v>
      </c>
      <c r="BN196" s="22">
        <v>0</v>
      </c>
      <c r="BO196" s="22">
        <v>0</v>
      </c>
      <c r="BP196" s="22">
        <v>0</v>
      </c>
      <c r="BR196" s="20" t="str">
        <v/>
      </c>
      <c r="CH196" s="20">
        <v>0</v>
      </c>
      <c r="CI196" s="20">
        <v>0</v>
      </c>
      <c r="CJ196" s="20">
        <v>0</v>
      </c>
      <c r="CK196" s="20" t="str">
        <v/>
      </c>
      <c r="CL196" s="20" t="str">
        <v/>
      </c>
      <c r="CN196" s="20">
        <v>0</v>
      </c>
      <c r="CO196" s="20">
        <v>0</v>
      </c>
      <c r="CP196" s="20">
        <v>0</v>
      </c>
      <c r="CQ196" s="20">
        <v>0</v>
      </c>
      <c r="CR196" s="20">
        <v>0</v>
      </c>
      <c r="CS196" s="20">
        <v>0</v>
      </c>
      <c r="CT196" s="20">
        <v>0</v>
      </c>
      <c r="CU196" s="20">
        <v>0</v>
      </c>
      <c r="CV196" s="20">
        <v>0</v>
      </c>
      <c r="CW196" s="20">
        <v>0</v>
      </c>
      <c r="CX196" s="20">
        <v>0</v>
      </c>
      <c r="CY196" s="20">
        <v>0</v>
      </c>
      <c r="CZ196" s="20">
        <v>0</v>
      </c>
      <c r="DA196" s="19">
        <v>0</v>
      </c>
      <c r="DB196" s="20">
        <v>0</v>
      </c>
      <c r="DC196" s="25">
        <v>0</v>
      </c>
      <c r="DD196" s="20">
        <v>0</v>
      </c>
      <c r="DE196" s="20">
        <v>0</v>
      </c>
      <c r="DF196" s="20">
        <v>0</v>
      </c>
      <c r="DG196" s="20">
        <v>0</v>
      </c>
      <c r="DH196" s="20">
        <v>0</v>
      </c>
      <c r="DI196" s="20">
        <v>0</v>
      </c>
    </row>
    <row r="197" spans="1:113">
      <c r="A197" s="20" t="str">
        <v>00:00:00</v>
      </c>
      <c r="B197" s="19">
        <v>0</v>
      </c>
      <c r="C197" s="21">
        <v>0</v>
      </c>
      <c r="D197" s="20" t="str">
        <v>未匹配</v>
      </c>
      <c r="E197" s="20">
        <v>0</v>
      </c>
      <c r="I197" s="20" t="str">
        <v/>
      </c>
      <c r="J197" s="20">
        <v>0</v>
      </c>
      <c r="K197" s="22">
        <v>0</v>
      </c>
      <c r="M197" s="20">
        <v>0</v>
      </c>
      <c r="N197" s="20">
        <v>0</v>
      </c>
      <c r="O197" s="20">
        <v>0</v>
      </c>
      <c r="P197" s="20">
        <v>0</v>
      </c>
      <c r="Q197" s="20">
        <v>0</v>
      </c>
      <c r="R197" s="20">
        <v>0</v>
      </c>
      <c r="S197" s="20">
        <v>0</v>
      </c>
      <c r="T197" s="20">
        <v>0</v>
      </c>
      <c r="U197" s="20">
        <v>0</v>
      </c>
      <c r="V197" s="20">
        <v>0</v>
      </c>
      <c r="W197" s="20">
        <v>0</v>
      </c>
      <c r="X197" s="20">
        <v>0</v>
      </c>
      <c r="Y197" s="20">
        <v>0</v>
      </c>
      <c r="Z197" s="20">
        <v>0</v>
      </c>
      <c r="AA197" s="20">
        <v>0</v>
      </c>
      <c r="AB197" s="20">
        <v>0</v>
      </c>
      <c r="AC197" s="20">
        <v>0</v>
      </c>
      <c r="AE197" s="20" t="str">
        <v/>
      </c>
      <c r="AF197" s="20">
        <v>0</v>
      </c>
      <c r="AG197" s="22" t="e">
        <v>#VALUE!</v>
      </c>
      <c r="AI197" s="20">
        <v>0</v>
      </c>
      <c r="AJ197" s="20">
        <v>0</v>
      </c>
      <c r="AK197" s="20">
        <v>0</v>
      </c>
      <c r="AL197" s="20">
        <v>0</v>
      </c>
      <c r="AM197" s="20">
        <v>0</v>
      </c>
      <c r="AN197" s="20">
        <v>0</v>
      </c>
      <c r="AO197" s="20">
        <v>0</v>
      </c>
      <c r="AP197" s="20">
        <v>0</v>
      </c>
      <c r="AQ197" s="20">
        <v>0</v>
      </c>
      <c r="AR197" s="20">
        <v>0</v>
      </c>
      <c r="AS197" s="20">
        <v>0</v>
      </c>
      <c r="AT197" s="20">
        <v>0</v>
      </c>
      <c r="AU197" s="20">
        <v>0</v>
      </c>
      <c r="AV197" s="20">
        <v>0</v>
      </c>
      <c r="AW197" s="20">
        <v>0</v>
      </c>
      <c r="AX197" s="20">
        <v>0</v>
      </c>
      <c r="AY197" s="20">
        <v>0</v>
      </c>
      <c r="AZ197" s="20">
        <v>0</v>
      </c>
      <c r="BA197" s="20">
        <v>0</v>
      </c>
      <c r="BB197" s="20">
        <v>0</v>
      </c>
      <c r="BC197" s="20">
        <v>0</v>
      </c>
      <c r="BD197" s="20">
        <v>0</v>
      </c>
      <c r="BE197" s="20">
        <v>0</v>
      </c>
      <c r="BF197" s="20">
        <v>0</v>
      </c>
      <c r="BG197" s="20">
        <v>0</v>
      </c>
      <c r="BH197" s="20">
        <v>0</v>
      </c>
      <c r="BI197" s="20">
        <v>0</v>
      </c>
      <c r="BJ197" s="20">
        <v>0</v>
      </c>
      <c r="BK197" s="20">
        <v>0</v>
      </c>
      <c r="BL197" s="20">
        <v>0</v>
      </c>
      <c r="BM197" s="20">
        <v>0</v>
      </c>
      <c r="BN197" s="22">
        <v>0</v>
      </c>
      <c r="BO197" s="22">
        <v>0</v>
      </c>
      <c r="BP197" s="22">
        <v>0</v>
      </c>
      <c r="BR197" s="20" t="str">
        <v/>
      </c>
      <c r="CH197" s="20">
        <v>0</v>
      </c>
      <c r="CI197" s="20">
        <v>0</v>
      </c>
      <c r="CJ197" s="20">
        <v>0</v>
      </c>
      <c r="CK197" s="20" t="str">
        <v/>
      </c>
      <c r="CL197" s="20" t="str">
        <v/>
      </c>
      <c r="CN197" s="20">
        <v>0</v>
      </c>
      <c r="CO197" s="20">
        <v>0</v>
      </c>
      <c r="CP197" s="20">
        <v>0</v>
      </c>
      <c r="CQ197" s="20">
        <v>0</v>
      </c>
      <c r="CR197" s="20">
        <v>0</v>
      </c>
      <c r="CS197" s="20">
        <v>0</v>
      </c>
      <c r="CT197" s="20">
        <v>0</v>
      </c>
      <c r="CU197" s="20">
        <v>0</v>
      </c>
      <c r="CV197" s="20">
        <v>0</v>
      </c>
      <c r="CW197" s="20">
        <v>0</v>
      </c>
      <c r="CX197" s="20">
        <v>0</v>
      </c>
      <c r="CY197" s="20">
        <v>0</v>
      </c>
      <c r="CZ197" s="20">
        <v>0</v>
      </c>
      <c r="DA197" s="19">
        <v>0</v>
      </c>
      <c r="DB197" s="20">
        <v>0</v>
      </c>
      <c r="DC197" s="25">
        <v>0</v>
      </c>
      <c r="DD197" s="20">
        <v>0</v>
      </c>
      <c r="DE197" s="20">
        <v>0</v>
      </c>
      <c r="DF197" s="20">
        <v>0</v>
      </c>
      <c r="DG197" s="20">
        <v>0</v>
      </c>
      <c r="DH197" s="20">
        <v>0</v>
      </c>
      <c r="DI197" s="20">
        <v>0</v>
      </c>
    </row>
    <row r="198" spans="1:113">
      <c r="A198" s="20" t="str">
        <v>00:00:00</v>
      </c>
      <c r="B198" s="19">
        <v>0</v>
      </c>
      <c r="C198" s="21">
        <v>0</v>
      </c>
      <c r="D198" s="20" t="str">
        <v>未匹配</v>
      </c>
      <c r="E198" s="20">
        <v>0</v>
      </c>
      <c r="I198" s="20" t="str">
        <v/>
      </c>
      <c r="J198" s="20">
        <v>0</v>
      </c>
      <c r="K198" s="22">
        <v>0</v>
      </c>
      <c r="M198" s="20">
        <v>0</v>
      </c>
      <c r="N198" s="20">
        <v>0</v>
      </c>
      <c r="O198" s="20">
        <v>0</v>
      </c>
      <c r="P198" s="20">
        <v>0</v>
      </c>
      <c r="Q198" s="20">
        <v>0</v>
      </c>
      <c r="R198" s="20">
        <v>0</v>
      </c>
      <c r="S198" s="20">
        <v>0</v>
      </c>
      <c r="T198" s="20">
        <v>0</v>
      </c>
      <c r="U198" s="20">
        <v>0</v>
      </c>
      <c r="V198" s="20">
        <v>0</v>
      </c>
      <c r="W198" s="20">
        <v>0</v>
      </c>
      <c r="X198" s="20">
        <v>0</v>
      </c>
      <c r="Y198" s="20">
        <v>0</v>
      </c>
      <c r="Z198" s="20">
        <v>0</v>
      </c>
      <c r="AA198" s="20">
        <v>0</v>
      </c>
      <c r="AB198" s="20">
        <v>0</v>
      </c>
      <c r="AC198" s="20">
        <v>0</v>
      </c>
      <c r="AE198" s="20" t="str">
        <v/>
      </c>
      <c r="AF198" s="20">
        <v>0</v>
      </c>
      <c r="AG198" s="22" t="e">
        <v>#VALUE!</v>
      </c>
      <c r="AI198" s="20">
        <v>0</v>
      </c>
      <c r="AJ198" s="20">
        <v>0</v>
      </c>
      <c r="AK198" s="20">
        <v>0</v>
      </c>
      <c r="AL198" s="20">
        <v>0</v>
      </c>
      <c r="AM198" s="20">
        <v>0</v>
      </c>
      <c r="AN198" s="20">
        <v>0</v>
      </c>
      <c r="AO198" s="20">
        <v>0</v>
      </c>
      <c r="AP198" s="20">
        <v>0</v>
      </c>
      <c r="AQ198" s="20">
        <v>0</v>
      </c>
      <c r="AR198" s="20">
        <v>0</v>
      </c>
      <c r="AS198" s="20">
        <v>0</v>
      </c>
      <c r="AT198" s="20">
        <v>0</v>
      </c>
      <c r="AU198" s="20">
        <v>0</v>
      </c>
      <c r="AV198" s="20">
        <v>0</v>
      </c>
      <c r="AW198" s="20">
        <v>0</v>
      </c>
      <c r="AX198" s="20">
        <v>0</v>
      </c>
      <c r="AY198" s="20">
        <v>0</v>
      </c>
      <c r="AZ198" s="20">
        <v>0</v>
      </c>
      <c r="BA198" s="20">
        <v>0</v>
      </c>
      <c r="BB198" s="20">
        <v>0</v>
      </c>
      <c r="BC198" s="20">
        <v>0</v>
      </c>
      <c r="BD198" s="20">
        <v>0</v>
      </c>
      <c r="BE198" s="20">
        <v>0</v>
      </c>
      <c r="BF198" s="20">
        <v>0</v>
      </c>
      <c r="BG198" s="20">
        <v>0</v>
      </c>
      <c r="BH198" s="20">
        <v>0</v>
      </c>
      <c r="BI198" s="20">
        <v>0</v>
      </c>
      <c r="BJ198" s="20">
        <v>0</v>
      </c>
      <c r="BK198" s="20">
        <v>0</v>
      </c>
      <c r="BL198" s="20">
        <v>0</v>
      </c>
      <c r="BM198" s="20">
        <v>0</v>
      </c>
      <c r="BN198" s="22">
        <v>0</v>
      </c>
      <c r="BO198" s="22">
        <v>0</v>
      </c>
      <c r="BP198" s="22">
        <v>0</v>
      </c>
      <c r="BR198" s="20" t="str">
        <v/>
      </c>
      <c r="CH198" s="20">
        <v>0</v>
      </c>
      <c r="CI198" s="20">
        <v>0</v>
      </c>
      <c r="CJ198" s="20">
        <v>0</v>
      </c>
      <c r="CK198" s="20" t="str">
        <v/>
      </c>
      <c r="CL198" s="20" t="str">
        <v/>
      </c>
      <c r="CN198" s="20">
        <v>0</v>
      </c>
      <c r="CO198" s="20">
        <v>0</v>
      </c>
      <c r="CP198" s="20">
        <v>0</v>
      </c>
      <c r="CQ198" s="20">
        <v>0</v>
      </c>
      <c r="CR198" s="20">
        <v>0</v>
      </c>
      <c r="CS198" s="20">
        <v>0</v>
      </c>
      <c r="CT198" s="20">
        <v>0</v>
      </c>
      <c r="CU198" s="20">
        <v>0</v>
      </c>
      <c r="CV198" s="20">
        <v>0</v>
      </c>
      <c r="CW198" s="20">
        <v>0</v>
      </c>
      <c r="CX198" s="20">
        <v>0</v>
      </c>
      <c r="CY198" s="20">
        <v>0</v>
      </c>
      <c r="CZ198" s="20">
        <v>0</v>
      </c>
      <c r="DA198" s="19">
        <v>0</v>
      </c>
      <c r="DB198" s="20">
        <v>0</v>
      </c>
      <c r="DC198" s="25">
        <v>0</v>
      </c>
      <c r="DD198" s="20">
        <v>0</v>
      </c>
      <c r="DE198" s="20">
        <v>0</v>
      </c>
      <c r="DF198" s="20">
        <v>0</v>
      </c>
      <c r="DG198" s="20">
        <v>0</v>
      </c>
      <c r="DH198" s="20">
        <v>0</v>
      </c>
      <c r="DI198" s="20">
        <v>0</v>
      </c>
    </row>
    <row r="199" spans="1:113">
      <c r="A199" s="20" t="str">
        <v>00:00:00</v>
      </c>
      <c r="B199" s="19">
        <v>0</v>
      </c>
      <c r="C199" s="21">
        <v>0</v>
      </c>
      <c r="D199" s="20" t="str">
        <v>未匹配</v>
      </c>
      <c r="E199" s="20">
        <v>0</v>
      </c>
      <c r="I199" s="20" t="str">
        <v/>
      </c>
      <c r="J199" s="20">
        <v>0</v>
      </c>
      <c r="K199" s="22">
        <v>0</v>
      </c>
      <c r="M199" s="20">
        <v>0</v>
      </c>
      <c r="N199" s="20">
        <v>0</v>
      </c>
      <c r="O199" s="20">
        <v>0</v>
      </c>
      <c r="P199" s="20">
        <v>0</v>
      </c>
      <c r="Q199" s="20">
        <v>0</v>
      </c>
      <c r="R199" s="20">
        <v>0</v>
      </c>
      <c r="S199" s="20">
        <v>0</v>
      </c>
      <c r="T199" s="20">
        <v>0</v>
      </c>
      <c r="U199" s="20">
        <v>0</v>
      </c>
      <c r="V199" s="20">
        <v>0</v>
      </c>
      <c r="W199" s="20">
        <v>0</v>
      </c>
      <c r="X199" s="20">
        <v>0</v>
      </c>
      <c r="Y199" s="20">
        <v>0</v>
      </c>
      <c r="Z199" s="20">
        <v>0</v>
      </c>
      <c r="AA199" s="20">
        <v>0</v>
      </c>
      <c r="AB199" s="20">
        <v>0</v>
      </c>
      <c r="AC199" s="20">
        <v>0</v>
      </c>
      <c r="AE199" s="20" t="str">
        <v/>
      </c>
      <c r="AF199" s="20">
        <v>0</v>
      </c>
      <c r="AG199" s="22" t="e">
        <v>#VALUE!</v>
      </c>
      <c r="AI199" s="20">
        <v>0</v>
      </c>
      <c r="AJ199" s="20">
        <v>0</v>
      </c>
      <c r="AK199" s="20">
        <v>0</v>
      </c>
      <c r="AL199" s="20">
        <v>0</v>
      </c>
      <c r="AM199" s="20">
        <v>0</v>
      </c>
      <c r="AN199" s="20">
        <v>0</v>
      </c>
      <c r="AO199" s="20">
        <v>0</v>
      </c>
      <c r="AP199" s="20">
        <v>0</v>
      </c>
      <c r="AQ199" s="20">
        <v>0</v>
      </c>
      <c r="AR199" s="20">
        <v>0</v>
      </c>
      <c r="AS199" s="20">
        <v>0</v>
      </c>
      <c r="AT199" s="20">
        <v>0</v>
      </c>
      <c r="AU199" s="20">
        <v>0</v>
      </c>
      <c r="AV199" s="20">
        <v>0</v>
      </c>
      <c r="AW199" s="20">
        <v>0</v>
      </c>
      <c r="AX199" s="20">
        <v>0</v>
      </c>
      <c r="AY199" s="20">
        <v>0</v>
      </c>
      <c r="AZ199" s="20">
        <v>0</v>
      </c>
      <c r="BA199" s="20">
        <v>0</v>
      </c>
      <c r="BB199" s="20">
        <v>0</v>
      </c>
      <c r="BC199" s="20">
        <v>0</v>
      </c>
      <c r="BD199" s="20">
        <v>0</v>
      </c>
      <c r="BE199" s="20">
        <v>0</v>
      </c>
      <c r="BF199" s="20">
        <v>0</v>
      </c>
      <c r="BG199" s="20">
        <v>0</v>
      </c>
      <c r="BH199" s="20">
        <v>0</v>
      </c>
      <c r="BI199" s="20">
        <v>0</v>
      </c>
      <c r="BJ199" s="20">
        <v>0</v>
      </c>
      <c r="BK199" s="20">
        <v>0</v>
      </c>
      <c r="BL199" s="20">
        <v>0</v>
      </c>
      <c r="BM199" s="20">
        <v>0</v>
      </c>
      <c r="BN199" s="22">
        <v>0</v>
      </c>
      <c r="BO199" s="22">
        <v>0</v>
      </c>
      <c r="BP199" s="22">
        <v>0</v>
      </c>
      <c r="BR199" s="20" t="str">
        <v/>
      </c>
      <c r="CH199" s="20">
        <v>0</v>
      </c>
      <c r="CI199" s="20">
        <v>0</v>
      </c>
      <c r="CJ199" s="20">
        <v>0</v>
      </c>
      <c r="CK199" s="20" t="str">
        <v/>
      </c>
      <c r="CL199" s="20" t="str">
        <v/>
      </c>
      <c r="CN199" s="20">
        <v>0</v>
      </c>
      <c r="CO199" s="20">
        <v>0</v>
      </c>
      <c r="CP199" s="20">
        <v>0</v>
      </c>
      <c r="CQ199" s="20">
        <v>0</v>
      </c>
      <c r="CR199" s="20">
        <v>0</v>
      </c>
      <c r="CS199" s="20">
        <v>0</v>
      </c>
      <c r="CT199" s="20">
        <v>0</v>
      </c>
      <c r="CU199" s="20">
        <v>0</v>
      </c>
      <c r="CV199" s="20">
        <v>0</v>
      </c>
      <c r="CW199" s="20">
        <v>0</v>
      </c>
      <c r="CX199" s="20">
        <v>0</v>
      </c>
      <c r="CY199" s="20">
        <v>0</v>
      </c>
      <c r="CZ199" s="20">
        <v>0</v>
      </c>
      <c r="DA199" s="19">
        <v>0</v>
      </c>
      <c r="DB199" s="20">
        <v>0</v>
      </c>
      <c r="DC199" s="25">
        <v>0</v>
      </c>
      <c r="DD199" s="20">
        <v>0</v>
      </c>
      <c r="DE199" s="20">
        <v>0</v>
      </c>
      <c r="DF199" s="20">
        <v>0</v>
      </c>
      <c r="DG199" s="20">
        <v>0</v>
      </c>
      <c r="DH199" s="20">
        <v>0</v>
      </c>
      <c r="DI199" s="20">
        <v>0</v>
      </c>
    </row>
    <row r="200" spans="1:113">
      <c r="A200" s="20" t="str">
        <v>00:00:00</v>
      </c>
      <c r="B200" s="19">
        <v>0</v>
      </c>
      <c r="C200" s="21">
        <v>0</v>
      </c>
      <c r="D200" s="20" t="str">
        <v>未匹配</v>
      </c>
      <c r="E200" s="20">
        <v>0</v>
      </c>
      <c r="I200" s="20" t="str">
        <v/>
      </c>
      <c r="J200" s="20">
        <v>0</v>
      </c>
      <c r="K200" s="22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  <c r="U200" s="20">
        <v>0</v>
      </c>
      <c r="V200" s="20">
        <v>0</v>
      </c>
      <c r="W200" s="20">
        <v>0</v>
      </c>
      <c r="X200" s="20">
        <v>0</v>
      </c>
      <c r="Y200" s="20">
        <v>0</v>
      </c>
      <c r="Z200" s="20">
        <v>0</v>
      </c>
      <c r="AA200" s="20">
        <v>0</v>
      </c>
      <c r="AB200" s="20">
        <v>0</v>
      </c>
      <c r="AC200" s="20">
        <v>0</v>
      </c>
      <c r="AE200" s="20" t="str">
        <v/>
      </c>
      <c r="AF200" s="20">
        <v>0</v>
      </c>
      <c r="AG200" s="22" t="e">
        <v>#VALUE!</v>
      </c>
      <c r="AI200" s="20">
        <v>0</v>
      </c>
      <c r="AJ200" s="20">
        <v>0</v>
      </c>
      <c r="AK200" s="20">
        <v>0</v>
      </c>
      <c r="AL200" s="20">
        <v>0</v>
      </c>
      <c r="AM200" s="20">
        <v>0</v>
      </c>
      <c r="AN200" s="20">
        <v>0</v>
      </c>
      <c r="AO200" s="20">
        <v>0</v>
      </c>
      <c r="AP200" s="20">
        <v>0</v>
      </c>
      <c r="AQ200" s="20">
        <v>0</v>
      </c>
      <c r="AR200" s="20">
        <v>0</v>
      </c>
      <c r="AS200" s="20">
        <v>0</v>
      </c>
      <c r="AT200" s="20">
        <v>0</v>
      </c>
      <c r="AU200" s="20">
        <v>0</v>
      </c>
      <c r="AV200" s="20">
        <v>0</v>
      </c>
      <c r="AW200" s="20">
        <v>0</v>
      </c>
      <c r="AX200" s="20">
        <v>0</v>
      </c>
      <c r="AY200" s="20">
        <v>0</v>
      </c>
      <c r="AZ200" s="20">
        <v>0</v>
      </c>
      <c r="BA200" s="20">
        <v>0</v>
      </c>
      <c r="BB200" s="20">
        <v>0</v>
      </c>
      <c r="BC200" s="20">
        <v>0</v>
      </c>
      <c r="BD200" s="20">
        <v>0</v>
      </c>
      <c r="BE200" s="20">
        <v>0</v>
      </c>
      <c r="BF200" s="20">
        <v>0</v>
      </c>
      <c r="BG200" s="20">
        <v>0</v>
      </c>
      <c r="BH200" s="20">
        <v>0</v>
      </c>
      <c r="BI200" s="20">
        <v>0</v>
      </c>
      <c r="BJ200" s="20">
        <v>0</v>
      </c>
      <c r="BK200" s="20">
        <v>0</v>
      </c>
      <c r="BL200" s="20">
        <v>0</v>
      </c>
      <c r="BM200" s="20">
        <v>0</v>
      </c>
      <c r="BN200" s="22">
        <v>0</v>
      </c>
      <c r="BO200" s="22">
        <v>0</v>
      </c>
      <c r="BP200" s="22">
        <v>0</v>
      </c>
      <c r="BR200" s="20" t="str">
        <v/>
      </c>
      <c r="CH200" s="20">
        <v>0</v>
      </c>
      <c r="CI200" s="20">
        <v>0</v>
      </c>
      <c r="CJ200" s="20">
        <v>0</v>
      </c>
      <c r="CK200" s="20" t="str">
        <v/>
      </c>
      <c r="CL200" s="20" t="str">
        <v/>
      </c>
      <c r="CN200" s="20">
        <v>0</v>
      </c>
      <c r="CO200" s="20">
        <v>0</v>
      </c>
      <c r="CP200" s="20">
        <v>0</v>
      </c>
      <c r="CQ200" s="20">
        <v>0</v>
      </c>
      <c r="CR200" s="20">
        <v>0</v>
      </c>
      <c r="CS200" s="20">
        <v>0</v>
      </c>
      <c r="CT200" s="20">
        <v>0</v>
      </c>
      <c r="CU200" s="20">
        <v>0</v>
      </c>
      <c r="CV200" s="20">
        <v>0</v>
      </c>
      <c r="CW200" s="20">
        <v>0</v>
      </c>
      <c r="CX200" s="20">
        <v>0</v>
      </c>
      <c r="CY200" s="20">
        <v>0</v>
      </c>
      <c r="CZ200" s="20">
        <v>0</v>
      </c>
      <c r="DA200" s="19">
        <v>0</v>
      </c>
      <c r="DB200" s="20">
        <v>0</v>
      </c>
      <c r="DC200" s="25">
        <v>0</v>
      </c>
      <c r="DD200" s="20">
        <v>0</v>
      </c>
      <c r="DE200" s="20">
        <v>0</v>
      </c>
      <c r="DF200" s="20">
        <v>0</v>
      </c>
      <c r="DG200" s="20">
        <v>0</v>
      </c>
      <c r="DH200" s="20">
        <v>0</v>
      </c>
      <c r="DI200" s="20">
        <v>0</v>
      </c>
    </row>
    <row r="201" spans="1:5">
      <c r="A201" s="20" t="str">
        <v>00:00:00</v>
      </c>
      <c r="B201" s="19">
        <v>0</v>
      </c>
      <c r="C201" s="21">
        <v>0</v>
      </c>
      <c r="D201" s="20" t="str">
        <v>未匹配</v>
      </c>
      <c r="E201" s="20">
        <v>0</v>
      </c>
    </row>
    <row r="202" spans="1:5">
      <c r="A202" s="20" t="str">
        <v>00:00:00</v>
      </c>
      <c r="B202" s="19">
        <v>0</v>
      </c>
      <c r="C202" s="21">
        <v>0</v>
      </c>
      <c r="D202" s="20" t="str">
        <v>未匹配</v>
      </c>
      <c r="E202" s="20">
        <v>0</v>
      </c>
    </row>
    <row r="203" spans="1:5">
      <c r="A203" s="20" t="str">
        <v>00:00:00</v>
      </c>
      <c r="B203" s="19">
        <v>0</v>
      </c>
      <c r="C203" s="21">
        <v>0</v>
      </c>
      <c r="D203" s="20" t="str">
        <v>未匹配</v>
      </c>
      <c r="E203" s="20">
        <v>0</v>
      </c>
    </row>
    <row r="204" spans="1:5">
      <c r="A204" s="20" t="str">
        <v>00:00:00</v>
      </c>
      <c r="B204" s="19">
        <v>0</v>
      </c>
      <c r="C204" s="21">
        <v>0</v>
      </c>
      <c r="D204" s="20" t="str">
        <v>未匹配</v>
      </c>
      <c r="E204" s="20">
        <v>0</v>
      </c>
    </row>
    <row r="205" spans="1:5">
      <c r="A205" s="20" t="str">
        <v>00:00:00</v>
      </c>
      <c r="B205" s="19">
        <v>0</v>
      </c>
      <c r="C205" s="21">
        <v>0</v>
      </c>
      <c r="D205" s="20" t="str">
        <v>未匹配</v>
      </c>
      <c r="E205" s="20">
        <v>0</v>
      </c>
    </row>
    <row r="206" spans="1:5">
      <c r="A206" s="20" t="str">
        <v>00:00:00</v>
      </c>
      <c r="B206" s="19">
        <v>0</v>
      </c>
      <c r="C206" s="21">
        <v>0</v>
      </c>
      <c r="D206" s="20" t="str">
        <v>未匹配</v>
      </c>
      <c r="E206" s="20">
        <v>0</v>
      </c>
    </row>
    <row r="207" spans="1:5">
      <c r="A207" s="20" t="str">
        <v>00:00:00</v>
      </c>
      <c r="B207" s="19">
        <v>0</v>
      </c>
      <c r="C207" s="21">
        <v>0</v>
      </c>
      <c r="D207" s="20" t="str">
        <v>未匹配</v>
      </c>
      <c r="E207" s="20">
        <v>0</v>
      </c>
    </row>
    <row r="208" spans="1:5">
      <c r="A208" s="20" t="str">
        <v>00:00:00</v>
      </c>
      <c r="B208" s="19">
        <v>0</v>
      </c>
      <c r="C208" s="21">
        <v>0</v>
      </c>
      <c r="D208" s="20" t="str">
        <v>未匹配</v>
      </c>
      <c r="E208" s="20">
        <v>0</v>
      </c>
    </row>
    <row r="209" spans="1:5">
      <c r="A209" s="20" t="str">
        <v>00:00:00</v>
      </c>
      <c r="B209" s="19">
        <v>0</v>
      </c>
      <c r="C209" s="21">
        <v>0</v>
      </c>
      <c r="D209" s="20" t="str">
        <v>未匹配</v>
      </c>
      <c r="E209" s="20">
        <v>0</v>
      </c>
    </row>
    <row r="210" spans="1:5">
      <c r="A210" s="20" t="str">
        <v>00:00:00</v>
      </c>
      <c r="B210" s="19">
        <v>0</v>
      </c>
      <c r="C210" s="21">
        <v>0</v>
      </c>
      <c r="D210" s="20" t="str">
        <v>未匹配</v>
      </c>
      <c r="E210" s="20">
        <v>0</v>
      </c>
    </row>
    <row r="211" spans="1:5">
      <c r="A211" s="20" t="str">
        <v>00:00:00</v>
      </c>
      <c r="B211" s="19">
        <v>0</v>
      </c>
      <c r="C211" s="21">
        <v>0</v>
      </c>
      <c r="D211" s="20" t="str">
        <v>未匹配</v>
      </c>
      <c r="E211" s="20">
        <v>0</v>
      </c>
    </row>
    <row r="212" spans="1:5">
      <c r="A212" s="20" t="str">
        <v>00:00:00</v>
      </c>
      <c r="B212" s="19">
        <v>0</v>
      </c>
      <c r="C212" s="21">
        <v>0</v>
      </c>
      <c r="D212" s="20" t="str">
        <v>未匹配</v>
      </c>
      <c r="E212" s="20">
        <v>0</v>
      </c>
    </row>
    <row r="213" spans="1:5">
      <c r="A213" s="20" t="str">
        <v>00:00:00</v>
      </c>
      <c r="B213" s="19">
        <v>0</v>
      </c>
      <c r="C213" s="21">
        <v>0</v>
      </c>
      <c r="D213" s="20" t="str">
        <v>未匹配</v>
      </c>
      <c r="E213" s="20">
        <v>0</v>
      </c>
    </row>
    <row r="214" spans="1:5">
      <c r="A214" s="20" t="str">
        <v>00:00:00</v>
      </c>
      <c r="B214" s="19">
        <v>0</v>
      </c>
      <c r="C214" s="21">
        <v>0</v>
      </c>
      <c r="D214" s="20" t="str">
        <v>未匹配</v>
      </c>
      <c r="E214" s="20">
        <v>0</v>
      </c>
    </row>
    <row r="215" spans="1:5">
      <c r="A215" s="20" t="str">
        <v>00:00:00</v>
      </c>
      <c r="B215" s="19">
        <v>0</v>
      </c>
      <c r="C215" s="21">
        <v>0</v>
      </c>
      <c r="D215" s="20" t="str">
        <v>未匹配</v>
      </c>
      <c r="E215" s="20">
        <v>0</v>
      </c>
    </row>
    <row r="216" spans="1:5">
      <c r="A216" s="20" t="str">
        <v>00:00:00</v>
      </c>
      <c r="B216" s="19">
        <v>0</v>
      </c>
      <c r="C216" s="21">
        <v>0</v>
      </c>
      <c r="D216" s="20" t="str">
        <v>未匹配</v>
      </c>
      <c r="E216" s="20">
        <v>0</v>
      </c>
    </row>
    <row r="217" spans="1:5">
      <c r="A217" s="20" t="str">
        <v>00:00:00</v>
      </c>
      <c r="B217" s="19">
        <v>0</v>
      </c>
      <c r="C217" s="21">
        <v>0</v>
      </c>
      <c r="D217" s="20" t="str">
        <v>未匹配</v>
      </c>
      <c r="E217" s="20">
        <v>0</v>
      </c>
    </row>
    <row r="218" spans="1:5">
      <c r="A218" s="20" t="str">
        <v>00:00:00</v>
      </c>
      <c r="B218" s="19">
        <v>0</v>
      </c>
      <c r="C218" s="21">
        <v>0</v>
      </c>
      <c r="D218" s="20" t="str">
        <v>未匹配</v>
      </c>
      <c r="E218" s="20">
        <v>0</v>
      </c>
    </row>
    <row r="219" spans="1:5">
      <c r="A219" s="20" t="str">
        <v>00:00:00</v>
      </c>
      <c r="B219" s="19">
        <v>0</v>
      </c>
      <c r="C219" s="21">
        <v>0</v>
      </c>
      <c r="D219" s="20" t="str">
        <v>未匹配</v>
      </c>
      <c r="E219" s="20">
        <v>0</v>
      </c>
    </row>
    <row r="220" spans="1:5">
      <c r="A220" s="20" t="str">
        <v>00:00:00</v>
      </c>
      <c r="B220" s="19">
        <v>0</v>
      </c>
      <c r="C220" s="21">
        <v>0</v>
      </c>
      <c r="D220" s="20" t="str">
        <v>未匹配</v>
      </c>
      <c r="E220" s="20">
        <v>0</v>
      </c>
    </row>
    <row r="221" spans="1:5">
      <c r="A221" s="20" t="str">
        <v>00:00:00</v>
      </c>
      <c r="B221" s="19">
        <v>0</v>
      </c>
      <c r="C221" s="21">
        <v>0</v>
      </c>
      <c r="D221" s="20" t="str">
        <v>未匹配</v>
      </c>
      <c r="E221" s="20">
        <v>0</v>
      </c>
    </row>
    <row r="222" spans="1:5">
      <c r="A222" s="20" t="str">
        <v>00:00:00</v>
      </c>
      <c r="B222" s="19">
        <v>0</v>
      </c>
      <c r="C222" s="21">
        <v>0</v>
      </c>
      <c r="D222" s="20" t="str">
        <v>未匹配</v>
      </c>
      <c r="E222" s="20">
        <v>0</v>
      </c>
    </row>
    <row r="223" spans="1:5">
      <c r="A223" s="20" t="str">
        <v>00:00:00</v>
      </c>
      <c r="B223" s="19">
        <v>0</v>
      </c>
      <c r="C223" s="21">
        <v>0</v>
      </c>
      <c r="D223" s="20" t="str">
        <v>未匹配</v>
      </c>
      <c r="E223" s="20">
        <v>0</v>
      </c>
    </row>
    <row r="224" spans="1:5">
      <c r="A224" s="20" t="str">
        <v>00:00:00</v>
      </c>
      <c r="B224" s="19">
        <v>0</v>
      </c>
      <c r="C224" s="21">
        <v>0</v>
      </c>
      <c r="D224" s="20" t="str">
        <v>未匹配</v>
      </c>
      <c r="E224" s="20">
        <v>0</v>
      </c>
    </row>
    <row r="225" spans="1:5">
      <c r="A225" s="20" t="str">
        <v>00:00:00</v>
      </c>
      <c r="B225" s="19">
        <v>0</v>
      </c>
      <c r="C225" s="21">
        <v>0</v>
      </c>
      <c r="D225" s="20" t="str">
        <v>未匹配</v>
      </c>
      <c r="E225" s="20">
        <v>0</v>
      </c>
    </row>
    <row r="226" spans="1:5">
      <c r="A226" s="20" t="str">
        <v>00:00:00</v>
      </c>
      <c r="B226" s="19">
        <v>0</v>
      </c>
      <c r="C226" s="21">
        <v>0</v>
      </c>
      <c r="D226" s="20" t="str">
        <v>未匹配</v>
      </c>
      <c r="E226" s="20">
        <v>0</v>
      </c>
    </row>
    <row r="227" spans="1:5">
      <c r="A227" s="20" t="str">
        <v>00:00:00</v>
      </c>
      <c r="B227" s="19">
        <v>0</v>
      </c>
      <c r="C227" s="21">
        <v>0</v>
      </c>
      <c r="D227" s="20" t="str">
        <v>未匹配</v>
      </c>
      <c r="E227" s="20">
        <v>0</v>
      </c>
    </row>
    <row r="228" spans="1:5">
      <c r="A228" s="20" t="str">
        <v>00:00:00</v>
      </c>
      <c r="B228" s="19">
        <v>0</v>
      </c>
      <c r="C228" s="21">
        <v>0</v>
      </c>
      <c r="D228" s="20" t="str">
        <v>未匹配</v>
      </c>
      <c r="E228" s="20">
        <v>0</v>
      </c>
    </row>
    <row r="229" spans="1:5">
      <c r="A229" s="20" t="str">
        <v>00:00:00</v>
      </c>
      <c r="B229" s="19">
        <v>0</v>
      </c>
      <c r="C229" s="21">
        <v>0</v>
      </c>
      <c r="D229" s="20" t="str">
        <v>未匹配</v>
      </c>
      <c r="E229" s="20">
        <v>0</v>
      </c>
    </row>
    <row r="230" spans="1:5">
      <c r="A230" s="20" t="str">
        <v>00:00:00</v>
      </c>
      <c r="B230" s="19">
        <v>0</v>
      </c>
      <c r="C230" s="21">
        <v>0</v>
      </c>
      <c r="D230" s="20" t="str">
        <v>未匹配</v>
      </c>
      <c r="E230" s="20">
        <v>0</v>
      </c>
    </row>
    <row r="231" spans="1:5">
      <c r="A231" s="20" t="str">
        <v>00:00:00</v>
      </c>
      <c r="B231" s="19">
        <v>0</v>
      </c>
      <c r="C231" s="21">
        <v>0</v>
      </c>
      <c r="D231" s="20" t="str">
        <v>未匹配</v>
      </c>
      <c r="E231" s="20">
        <v>0</v>
      </c>
    </row>
    <row r="232" spans="1:5">
      <c r="A232" s="20" t="str">
        <v>00:00:00</v>
      </c>
      <c r="B232" s="19">
        <v>0</v>
      </c>
      <c r="C232" s="21">
        <v>0</v>
      </c>
      <c r="D232" s="20" t="str">
        <v>未匹配</v>
      </c>
      <c r="E232" s="20">
        <v>0</v>
      </c>
    </row>
    <row r="233" spans="1:5">
      <c r="A233" s="20" t="str">
        <v>00:00:00</v>
      </c>
      <c r="B233" s="19">
        <v>0</v>
      </c>
      <c r="C233" s="21">
        <v>0</v>
      </c>
      <c r="D233" s="20" t="str">
        <v>未匹配</v>
      </c>
      <c r="E233" s="20">
        <v>0</v>
      </c>
    </row>
    <row r="234" spans="1:5">
      <c r="A234" s="20" t="str">
        <v>00:00:00</v>
      </c>
      <c r="B234" s="19">
        <v>0</v>
      </c>
      <c r="C234" s="21">
        <v>0</v>
      </c>
      <c r="D234" s="20" t="str">
        <v>未匹配</v>
      </c>
      <c r="E234" s="20">
        <v>0</v>
      </c>
    </row>
    <row r="235" spans="1:5">
      <c r="A235" s="20" t="str">
        <v>00:00:00</v>
      </c>
      <c r="B235" s="19">
        <v>0</v>
      </c>
      <c r="C235" s="21">
        <v>0</v>
      </c>
      <c r="D235" s="20" t="str">
        <v>未匹配</v>
      </c>
      <c r="E235" s="20">
        <v>0</v>
      </c>
    </row>
    <row r="236" spans="1:5">
      <c r="A236" s="20" t="str">
        <v>00:00:00</v>
      </c>
      <c r="B236" s="19">
        <v>0</v>
      </c>
      <c r="C236" s="21">
        <v>0</v>
      </c>
      <c r="D236" s="20" t="str">
        <v>未匹配</v>
      </c>
      <c r="E236" s="20">
        <v>0</v>
      </c>
    </row>
    <row r="237" spans="1:5">
      <c r="A237" s="20" t="str">
        <v>00:00:00</v>
      </c>
      <c r="B237" s="19">
        <v>0</v>
      </c>
      <c r="C237" s="21">
        <v>0</v>
      </c>
      <c r="D237" s="20" t="str">
        <v>未匹配</v>
      </c>
      <c r="E237" s="20">
        <v>0</v>
      </c>
    </row>
    <row r="238" spans="1:5">
      <c r="A238" s="20" t="str">
        <v>00:00:00</v>
      </c>
      <c r="B238" s="19">
        <v>0</v>
      </c>
      <c r="C238" s="21">
        <v>0</v>
      </c>
      <c r="D238" s="20" t="str">
        <v>未匹配</v>
      </c>
      <c r="E238" s="20">
        <v>0</v>
      </c>
    </row>
    <row r="239" spans="1:5">
      <c r="A239" s="20" t="str">
        <v>00:00:00</v>
      </c>
      <c r="B239" s="19">
        <v>0</v>
      </c>
      <c r="C239" s="21">
        <v>0</v>
      </c>
      <c r="D239" s="20" t="str">
        <v>未匹配</v>
      </c>
      <c r="E239" s="20">
        <v>0</v>
      </c>
    </row>
    <row r="240" spans="1:5">
      <c r="A240" s="20" t="str">
        <v>00:00:00</v>
      </c>
      <c r="B240" s="19">
        <v>0</v>
      </c>
      <c r="C240" s="21">
        <v>0</v>
      </c>
      <c r="D240" s="20" t="str">
        <v>未匹配</v>
      </c>
      <c r="E240" s="20">
        <v>0</v>
      </c>
    </row>
    <row r="241" spans="1:5">
      <c r="A241" s="20" t="str">
        <v>00:00:00</v>
      </c>
      <c r="B241" s="19">
        <v>0</v>
      </c>
      <c r="C241" s="21">
        <v>0</v>
      </c>
      <c r="D241" s="20" t="str">
        <v>未匹配</v>
      </c>
      <c r="E241" s="20">
        <v>0</v>
      </c>
    </row>
    <row r="242" spans="1:5">
      <c r="A242" s="20" t="str">
        <v>00:00:00</v>
      </c>
      <c r="B242" s="19">
        <v>0</v>
      </c>
      <c r="C242" s="21">
        <v>0</v>
      </c>
      <c r="D242" s="20" t="str">
        <v>未匹配</v>
      </c>
      <c r="E242" s="20">
        <v>0</v>
      </c>
    </row>
    <row r="243" spans="1:5">
      <c r="A243" s="20" t="str">
        <v>00:00:00</v>
      </c>
      <c r="B243" s="19">
        <v>0</v>
      </c>
      <c r="C243" s="21">
        <v>0</v>
      </c>
      <c r="D243" s="20" t="str">
        <v>未匹配</v>
      </c>
      <c r="E243" s="20">
        <v>0</v>
      </c>
    </row>
    <row r="244" spans="1:5">
      <c r="A244" s="20" t="str">
        <v>00:00:00</v>
      </c>
      <c r="B244" s="19">
        <v>0</v>
      </c>
      <c r="C244" s="21">
        <v>0</v>
      </c>
      <c r="D244" s="20" t="str">
        <v>未匹配</v>
      </c>
      <c r="E244" s="20">
        <v>0</v>
      </c>
    </row>
    <row r="245" spans="1:5">
      <c r="A245" s="20" t="str">
        <v>00:00:00</v>
      </c>
      <c r="B245" s="19">
        <v>0</v>
      </c>
      <c r="C245" s="21">
        <v>0</v>
      </c>
      <c r="D245" s="20" t="str">
        <v>未匹配</v>
      </c>
      <c r="E245" s="20">
        <v>0</v>
      </c>
    </row>
    <row r="246" spans="1:5">
      <c r="A246" s="20" t="str">
        <v>00:00:00</v>
      </c>
      <c r="B246" s="19">
        <v>0</v>
      </c>
      <c r="C246" s="21">
        <v>0</v>
      </c>
      <c r="D246" s="20" t="str">
        <v>未匹配</v>
      </c>
      <c r="E246" s="20">
        <v>0</v>
      </c>
    </row>
    <row r="247" spans="1:5">
      <c r="A247" s="20" t="str">
        <v>00:00:00</v>
      </c>
      <c r="B247" s="19">
        <v>0</v>
      </c>
      <c r="C247" s="21">
        <v>0</v>
      </c>
      <c r="D247" s="20" t="str">
        <v>未匹配</v>
      </c>
      <c r="E247" s="20">
        <v>0</v>
      </c>
    </row>
    <row r="248" spans="1:5">
      <c r="A248" s="20" t="str">
        <v>00:00:00</v>
      </c>
      <c r="B248" s="19">
        <v>0</v>
      </c>
      <c r="C248" s="21">
        <v>0</v>
      </c>
      <c r="D248" s="20" t="str">
        <v>未匹配</v>
      </c>
      <c r="E248" s="20">
        <v>0</v>
      </c>
    </row>
    <row r="249" spans="1:5">
      <c r="A249" s="20" t="str">
        <v>00:00:00</v>
      </c>
      <c r="B249" s="19">
        <v>0</v>
      </c>
      <c r="C249" s="21">
        <v>0</v>
      </c>
      <c r="D249" s="20" t="str">
        <v>未匹配</v>
      </c>
      <c r="E249" s="20">
        <v>0</v>
      </c>
    </row>
    <row r="250" spans="1:5">
      <c r="A250" s="20" t="str">
        <v>00:00:00</v>
      </c>
      <c r="B250" s="19">
        <v>0</v>
      </c>
      <c r="C250" s="21">
        <v>0</v>
      </c>
      <c r="D250" s="20" t="str">
        <v>未匹配</v>
      </c>
      <c r="E250" s="20">
        <v>0</v>
      </c>
    </row>
    <row r="251" spans="1:5">
      <c r="A251" s="20" t="str">
        <v>00:00:00</v>
      </c>
      <c r="B251" s="19">
        <v>0</v>
      </c>
      <c r="C251" s="21">
        <v>0</v>
      </c>
      <c r="D251" s="20" t="str">
        <v>未匹配</v>
      </c>
      <c r="E251" s="20">
        <v>0</v>
      </c>
    </row>
    <row r="252" spans="1:5">
      <c r="A252" s="20" t="str">
        <v>00:00:00</v>
      </c>
      <c r="B252" s="19">
        <v>0</v>
      </c>
      <c r="C252" s="21">
        <v>0</v>
      </c>
      <c r="D252" s="20" t="str">
        <v>未匹配</v>
      </c>
      <c r="E252" s="20">
        <v>0</v>
      </c>
    </row>
    <row r="253" spans="1:5">
      <c r="A253" s="20" t="str">
        <v>00:00:00</v>
      </c>
      <c r="B253" s="19">
        <v>0</v>
      </c>
      <c r="C253" s="21">
        <v>0</v>
      </c>
      <c r="D253" s="20" t="str">
        <v>未匹配</v>
      </c>
      <c r="E253" s="20">
        <v>0</v>
      </c>
    </row>
    <row r="254" spans="1:5">
      <c r="A254" s="20" t="str">
        <v>00:00:00</v>
      </c>
      <c r="B254" s="19">
        <v>0</v>
      </c>
      <c r="C254" s="21">
        <v>0</v>
      </c>
      <c r="D254" s="20" t="str">
        <v>未匹配</v>
      </c>
      <c r="E254" s="20">
        <v>0</v>
      </c>
    </row>
    <row r="255" spans="1:5">
      <c r="A255" s="20" t="str">
        <v>00:00:00</v>
      </c>
      <c r="B255" s="19">
        <v>0</v>
      </c>
      <c r="C255" s="21">
        <v>0</v>
      </c>
      <c r="D255" s="20" t="str">
        <v>未匹配</v>
      </c>
      <c r="E255" s="20">
        <v>0</v>
      </c>
    </row>
    <row r="256" spans="1:5">
      <c r="A256" s="20" t="str">
        <v>00:00:00</v>
      </c>
      <c r="B256" s="19">
        <v>0</v>
      </c>
      <c r="C256" s="21">
        <v>0</v>
      </c>
      <c r="D256" s="20" t="str">
        <v>未匹配</v>
      </c>
      <c r="E256" s="20">
        <v>0</v>
      </c>
    </row>
    <row r="257" spans="1:5">
      <c r="A257" s="20" t="str">
        <v>00:00:00</v>
      </c>
      <c r="B257" s="19">
        <v>0</v>
      </c>
      <c r="C257" s="21">
        <v>0</v>
      </c>
      <c r="D257" s="20" t="str">
        <v>未匹配</v>
      </c>
      <c r="E257" s="20">
        <v>0</v>
      </c>
    </row>
    <row r="258" spans="1:5">
      <c r="A258" s="20" t="str">
        <v>00:00:00</v>
      </c>
      <c r="B258" s="19">
        <v>0</v>
      </c>
      <c r="C258" s="21">
        <v>0</v>
      </c>
      <c r="D258" s="20" t="str">
        <v>未匹配</v>
      </c>
      <c r="E258" s="20">
        <v>0</v>
      </c>
    </row>
    <row r="259" spans="1:5">
      <c r="A259" s="20" t="str">
        <v>00:00:00</v>
      </c>
      <c r="B259" s="19">
        <v>0</v>
      </c>
      <c r="C259" s="21">
        <v>0</v>
      </c>
      <c r="D259" s="20" t="str">
        <v>未匹配</v>
      </c>
      <c r="E259" s="20">
        <v>0</v>
      </c>
    </row>
    <row r="260" spans="1:5">
      <c r="A260" s="20" t="str">
        <v>00:00:00</v>
      </c>
      <c r="B260" s="19">
        <v>0</v>
      </c>
      <c r="C260" s="21">
        <v>0</v>
      </c>
      <c r="D260" s="20" t="str">
        <v>未匹配</v>
      </c>
      <c r="E260" s="20">
        <v>0</v>
      </c>
    </row>
    <row r="261" spans="1:5">
      <c r="A261" s="20" t="str">
        <v>00:00:00</v>
      </c>
      <c r="B261" s="19">
        <v>0</v>
      </c>
      <c r="C261" s="21">
        <v>0</v>
      </c>
      <c r="D261" s="20" t="str">
        <v>未匹配</v>
      </c>
      <c r="E261" s="20">
        <v>0</v>
      </c>
    </row>
    <row r="262" spans="1:5">
      <c r="A262" s="20" t="str">
        <v>00:00:00</v>
      </c>
      <c r="B262" s="19">
        <v>0</v>
      </c>
      <c r="C262" s="21">
        <v>0</v>
      </c>
      <c r="D262" s="20" t="str">
        <v>未匹配</v>
      </c>
      <c r="E262" s="20">
        <v>0</v>
      </c>
    </row>
    <row r="263" spans="1:5">
      <c r="A263" s="20" t="str">
        <v>00:00:00</v>
      </c>
      <c r="B263" s="19">
        <v>0</v>
      </c>
      <c r="C263" s="21">
        <v>0</v>
      </c>
      <c r="D263" s="20" t="str">
        <v>未匹配</v>
      </c>
      <c r="E263" s="20">
        <v>0</v>
      </c>
    </row>
    <row r="264" spans="1:5">
      <c r="A264" s="20" t="str">
        <v>00:00:00</v>
      </c>
      <c r="B264" s="19">
        <v>0</v>
      </c>
      <c r="C264" s="21">
        <v>0</v>
      </c>
      <c r="D264" s="20" t="str">
        <v>未匹配</v>
      </c>
      <c r="E264" s="20">
        <v>0</v>
      </c>
    </row>
    <row r="265" spans="1:5">
      <c r="A265" s="20" t="str">
        <v>00:00:00</v>
      </c>
      <c r="B265" s="19">
        <v>0</v>
      </c>
      <c r="C265" s="21">
        <v>0</v>
      </c>
      <c r="D265" s="20" t="str">
        <v>未匹配</v>
      </c>
      <c r="E265" s="20">
        <v>0</v>
      </c>
    </row>
    <row r="266" spans="1:5">
      <c r="A266" s="20" t="str">
        <v>00:00:00</v>
      </c>
      <c r="B266" s="19">
        <v>0</v>
      </c>
      <c r="C266" s="21">
        <v>0</v>
      </c>
      <c r="D266" s="20" t="str">
        <v>未匹配</v>
      </c>
      <c r="E266" s="20">
        <v>0</v>
      </c>
    </row>
    <row r="267" spans="1:5">
      <c r="A267" s="20" t="str">
        <v>00:00:00</v>
      </c>
      <c r="B267" s="19">
        <v>0</v>
      </c>
      <c r="C267" s="21">
        <v>0</v>
      </c>
      <c r="D267" s="20" t="str">
        <v>未匹配</v>
      </c>
      <c r="E267" s="20">
        <v>0</v>
      </c>
    </row>
    <row r="268" spans="1:5">
      <c r="A268" s="20" t="str">
        <v>00:00:00</v>
      </c>
      <c r="B268" s="19">
        <v>0</v>
      </c>
      <c r="C268" s="21">
        <v>0</v>
      </c>
      <c r="D268" s="20" t="str">
        <v>未匹配</v>
      </c>
      <c r="E268" s="20">
        <v>0</v>
      </c>
    </row>
    <row r="269" spans="1:5">
      <c r="A269" s="20" t="str">
        <v>00:00:00</v>
      </c>
      <c r="B269" s="19">
        <v>0</v>
      </c>
      <c r="C269" s="21">
        <v>0</v>
      </c>
      <c r="D269" s="20" t="str">
        <v>未匹配</v>
      </c>
      <c r="E269" s="20">
        <v>0</v>
      </c>
    </row>
    <row r="270" spans="1:5">
      <c r="A270" s="20" t="str">
        <v>00:00:00</v>
      </c>
      <c r="B270" s="19">
        <v>0</v>
      </c>
      <c r="C270" s="21">
        <v>0</v>
      </c>
      <c r="D270" s="20" t="str">
        <v>未匹配</v>
      </c>
      <c r="E270" s="20">
        <v>0</v>
      </c>
    </row>
    <row r="271" spans="1:5">
      <c r="A271" s="20" t="str">
        <v>00:00:00</v>
      </c>
      <c r="B271" s="19">
        <v>0</v>
      </c>
      <c r="C271" s="21">
        <v>0</v>
      </c>
      <c r="D271" s="20" t="str">
        <v>未匹配</v>
      </c>
      <c r="E271" s="20">
        <v>0</v>
      </c>
    </row>
    <row r="272" spans="1:5">
      <c r="A272" s="20" t="str">
        <v>00:00:00</v>
      </c>
      <c r="B272" s="19">
        <v>0</v>
      </c>
      <c r="C272" s="21">
        <v>0</v>
      </c>
      <c r="D272" s="20" t="str">
        <v>未匹配</v>
      </c>
      <c r="E272" s="20">
        <v>0</v>
      </c>
    </row>
    <row r="273" spans="1:5">
      <c r="A273" s="20" t="str">
        <v>00:00:00</v>
      </c>
      <c r="B273" s="19">
        <v>0</v>
      </c>
      <c r="C273" s="21">
        <v>0</v>
      </c>
      <c r="D273" s="20" t="str">
        <v>未匹配</v>
      </c>
      <c r="E273" s="20">
        <v>0</v>
      </c>
    </row>
    <row r="274" spans="1:5">
      <c r="A274" s="20" t="str">
        <v>00:00:00</v>
      </c>
      <c r="B274" s="19">
        <v>0</v>
      </c>
      <c r="C274" s="21">
        <v>0</v>
      </c>
      <c r="D274" s="20" t="str">
        <v>未匹配</v>
      </c>
      <c r="E274" s="20">
        <v>0</v>
      </c>
    </row>
    <row r="275" spans="1:5">
      <c r="A275" s="20" t="str">
        <v>00:00:00</v>
      </c>
      <c r="B275" s="19">
        <v>0</v>
      </c>
      <c r="C275" s="21">
        <v>0</v>
      </c>
      <c r="D275" s="20" t="str">
        <v>未匹配</v>
      </c>
      <c r="E275" s="20">
        <v>0</v>
      </c>
    </row>
    <row r="276" spans="1:5">
      <c r="A276" s="20" t="str">
        <v>00:00:00</v>
      </c>
      <c r="B276" s="19">
        <v>0</v>
      </c>
      <c r="C276" s="21">
        <v>0</v>
      </c>
      <c r="D276" s="20" t="str">
        <v>未匹配</v>
      </c>
      <c r="E276" s="20">
        <v>0</v>
      </c>
    </row>
    <row r="277" spans="1:5">
      <c r="A277" s="20" t="str">
        <v>00:00:00</v>
      </c>
      <c r="B277" s="19">
        <v>0</v>
      </c>
      <c r="C277" s="21">
        <v>0</v>
      </c>
      <c r="D277" s="20" t="str">
        <v>未匹配</v>
      </c>
      <c r="E277" s="20">
        <v>0</v>
      </c>
    </row>
    <row r="278" spans="1:5">
      <c r="A278" s="20" t="str">
        <v>00:00:00</v>
      </c>
      <c r="B278" s="19">
        <v>0</v>
      </c>
      <c r="C278" s="21">
        <v>0</v>
      </c>
      <c r="D278" s="20" t="str">
        <v>未匹配</v>
      </c>
      <c r="E278" s="20">
        <v>0</v>
      </c>
    </row>
    <row r="279" spans="1:5">
      <c r="A279" s="20" t="str">
        <v>00:00:00</v>
      </c>
      <c r="B279" s="19">
        <v>0</v>
      </c>
      <c r="C279" s="21">
        <v>0</v>
      </c>
      <c r="D279" s="20" t="str">
        <v>未匹配</v>
      </c>
      <c r="E279" s="20">
        <v>0</v>
      </c>
    </row>
    <row r="280" spans="1:5">
      <c r="A280" s="20" t="str">
        <v>00:00:00</v>
      </c>
      <c r="B280" s="19">
        <v>0</v>
      </c>
      <c r="C280" s="21">
        <v>0</v>
      </c>
      <c r="D280" s="20" t="str">
        <v>未匹配</v>
      </c>
      <c r="E280" s="20">
        <v>0</v>
      </c>
    </row>
    <row r="281" spans="1:5">
      <c r="A281" s="20" t="str">
        <v>00:00:00</v>
      </c>
      <c r="B281" s="19">
        <v>0</v>
      </c>
      <c r="C281" s="21">
        <v>0</v>
      </c>
      <c r="D281" s="20" t="str">
        <v>未匹配</v>
      </c>
      <c r="E281" s="20">
        <v>0</v>
      </c>
    </row>
    <row r="282" spans="1:5">
      <c r="A282" s="20" t="str">
        <v>00:00:00</v>
      </c>
      <c r="B282" s="19">
        <v>0</v>
      </c>
      <c r="C282" s="21">
        <v>0</v>
      </c>
      <c r="D282" s="20" t="str">
        <v>未匹配</v>
      </c>
      <c r="E282" s="20">
        <v>0</v>
      </c>
    </row>
    <row r="283" spans="1:5">
      <c r="A283" s="20" t="str">
        <v>00:00:00</v>
      </c>
      <c r="B283" s="19">
        <v>0</v>
      </c>
      <c r="C283" s="21">
        <v>0</v>
      </c>
      <c r="D283" s="20" t="str">
        <v>未匹配</v>
      </c>
      <c r="E283" s="20">
        <v>0</v>
      </c>
    </row>
    <row r="284" spans="1:5">
      <c r="A284" s="20" t="str">
        <v>00:00:00</v>
      </c>
      <c r="B284" s="19">
        <v>0</v>
      </c>
      <c r="C284" s="21">
        <v>0</v>
      </c>
      <c r="D284" s="20" t="str">
        <v>未匹配</v>
      </c>
      <c r="E284" s="20">
        <v>0</v>
      </c>
    </row>
    <row r="285" spans="1:5">
      <c r="A285" s="20" t="str">
        <v>00:00:00</v>
      </c>
      <c r="B285" s="19">
        <v>0</v>
      </c>
      <c r="C285" s="21">
        <v>0</v>
      </c>
      <c r="D285" s="20" t="str">
        <v>未匹配</v>
      </c>
      <c r="E285" s="20">
        <v>0</v>
      </c>
    </row>
    <row r="286" spans="1:5">
      <c r="A286" s="20" t="str">
        <v>00:00:00</v>
      </c>
      <c r="B286" s="19">
        <v>0</v>
      </c>
      <c r="C286" s="21">
        <v>0</v>
      </c>
      <c r="D286" s="20" t="str">
        <v>未匹配</v>
      </c>
      <c r="E286" s="20">
        <v>0</v>
      </c>
    </row>
    <row r="287" spans="1:5">
      <c r="A287" s="20" t="str">
        <v>00:00:00</v>
      </c>
      <c r="B287" s="19">
        <v>0</v>
      </c>
      <c r="C287" s="21">
        <v>0</v>
      </c>
      <c r="D287" s="20" t="str">
        <v>未匹配</v>
      </c>
      <c r="E287" s="20">
        <v>0</v>
      </c>
    </row>
    <row r="288" spans="1:5">
      <c r="A288" s="20" t="str">
        <v>00:00:00</v>
      </c>
      <c r="B288" s="19">
        <v>0</v>
      </c>
      <c r="C288" s="21">
        <v>0</v>
      </c>
      <c r="D288" s="20" t="str">
        <v>未匹配</v>
      </c>
      <c r="E288" s="20">
        <v>0</v>
      </c>
    </row>
    <row r="289" spans="1:5">
      <c r="A289" s="20" t="str">
        <v>00:00:00</v>
      </c>
      <c r="B289" s="19">
        <v>0</v>
      </c>
      <c r="C289" s="21">
        <v>0</v>
      </c>
      <c r="D289" s="20" t="str">
        <v>未匹配</v>
      </c>
      <c r="E289" s="20">
        <v>0</v>
      </c>
    </row>
    <row r="290" spans="1:5">
      <c r="A290" s="20" t="str">
        <v>00:00:00</v>
      </c>
      <c r="B290" s="19">
        <v>0</v>
      </c>
      <c r="C290" s="21">
        <v>0</v>
      </c>
      <c r="D290" s="20" t="str">
        <v>未匹配</v>
      </c>
      <c r="E290" s="20">
        <v>0</v>
      </c>
    </row>
    <row r="291" spans="1:5">
      <c r="A291" s="20" t="str">
        <v>00:00:00</v>
      </c>
      <c r="B291" s="19">
        <v>0</v>
      </c>
      <c r="C291" s="21">
        <v>0</v>
      </c>
      <c r="D291" s="20" t="str">
        <v>未匹配</v>
      </c>
      <c r="E291" s="20">
        <v>0</v>
      </c>
    </row>
    <row r="292" spans="1:5">
      <c r="A292" s="20" t="str">
        <v>00:00:00</v>
      </c>
      <c r="B292" s="19">
        <v>0</v>
      </c>
      <c r="C292" s="21">
        <v>0</v>
      </c>
      <c r="D292" s="20" t="str">
        <v>未匹配</v>
      </c>
      <c r="E292" s="20">
        <v>0</v>
      </c>
    </row>
    <row r="293" spans="1:5">
      <c r="A293" s="20" t="str">
        <v>00:00:00</v>
      </c>
      <c r="B293" s="19">
        <v>0</v>
      </c>
      <c r="C293" s="21">
        <v>0</v>
      </c>
      <c r="D293" s="20" t="str">
        <v>未匹配</v>
      </c>
      <c r="E293" s="20">
        <v>0</v>
      </c>
    </row>
    <row r="294" spans="1:5">
      <c r="A294" s="20" t="str">
        <v>00:00:00</v>
      </c>
      <c r="B294" s="19">
        <v>0</v>
      </c>
      <c r="C294" s="21">
        <v>0</v>
      </c>
      <c r="D294" s="20" t="str">
        <v>未匹配</v>
      </c>
      <c r="E294" s="20">
        <v>0</v>
      </c>
    </row>
    <row r="295" spans="1:5">
      <c r="A295" s="20" t="str">
        <v>00:00:00</v>
      </c>
      <c r="B295" s="19">
        <v>0</v>
      </c>
      <c r="C295" s="21">
        <v>0</v>
      </c>
      <c r="D295" s="20" t="str">
        <v>未匹配</v>
      </c>
      <c r="E295" s="20">
        <v>0</v>
      </c>
    </row>
    <row r="296" spans="1:5">
      <c r="A296" s="20" t="str">
        <v>00:00:00</v>
      </c>
      <c r="B296" s="19">
        <v>0</v>
      </c>
      <c r="C296" s="21">
        <v>0</v>
      </c>
      <c r="D296" s="20" t="str">
        <v>未匹配</v>
      </c>
      <c r="E296" s="20">
        <v>0</v>
      </c>
    </row>
    <row r="297" spans="1:5">
      <c r="A297" s="20" t="str">
        <v>00:00:00</v>
      </c>
      <c r="B297" s="19">
        <v>0</v>
      </c>
      <c r="C297" s="21">
        <v>0</v>
      </c>
      <c r="D297" s="20" t="str">
        <v>未匹配</v>
      </c>
      <c r="E297" s="20">
        <v>0</v>
      </c>
    </row>
    <row r="298" spans="1:5">
      <c r="A298" s="20" t="str">
        <v>00:00:00</v>
      </c>
      <c r="B298" s="19">
        <v>0</v>
      </c>
      <c r="C298" s="21">
        <v>0</v>
      </c>
      <c r="D298" s="20" t="str">
        <v>未匹配</v>
      </c>
      <c r="E298" s="20">
        <v>0</v>
      </c>
    </row>
    <row r="299" spans="1:5">
      <c r="A299" s="20" t="str">
        <v>00:00:00</v>
      </c>
      <c r="B299" s="19">
        <v>0</v>
      </c>
      <c r="C299" s="21">
        <v>0</v>
      </c>
      <c r="D299" s="20" t="str">
        <v>未匹配</v>
      </c>
      <c r="E299" s="20">
        <v>0</v>
      </c>
    </row>
    <row r="300" spans="1:5">
      <c r="A300" s="20" t="str">
        <v>00:00:00</v>
      </c>
      <c r="B300" s="19">
        <v>0</v>
      </c>
      <c r="C300" s="21">
        <v>0</v>
      </c>
      <c r="D300" s="20" t="str">
        <v>未匹配</v>
      </c>
      <c r="E300" s="20">
        <v>0</v>
      </c>
    </row>
    <row r="301" spans="1:5">
      <c r="A301" s="20" t="str">
        <v>00:00:00</v>
      </c>
      <c r="B301" s="19">
        <v>0</v>
      </c>
      <c r="C301" s="21">
        <v>0</v>
      </c>
      <c r="D301" s="20" t="str">
        <v>未匹配</v>
      </c>
      <c r="E301" s="20">
        <v>0</v>
      </c>
    </row>
    <row r="302" spans="1:5">
      <c r="A302" s="20" t="str">
        <v>00:00:00</v>
      </c>
      <c r="B302" s="19">
        <v>0</v>
      </c>
      <c r="C302" s="21">
        <v>0</v>
      </c>
      <c r="D302" s="20" t="str">
        <v>未匹配</v>
      </c>
      <c r="E302" s="20">
        <v>0</v>
      </c>
    </row>
    <row r="303" spans="1:5">
      <c r="A303" s="20" t="str">
        <v>00:00:00</v>
      </c>
      <c r="B303" s="19">
        <v>0</v>
      </c>
      <c r="C303" s="21">
        <v>0</v>
      </c>
      <c r="D303" s="20" t="str">
        <v>未匹配</v>
      </c>
      <c r="E303" s="20">
        <v>0</v>
      </c>
    </row>
    <row r="304" spans="1:5">
      <c r="A304" s="20" t="str">
        <v>00:00:00</v>
      </c>
      <c r="B304" s="19">
        <v>0</v>
      </c>
      <c r="C304" s="21">
        <v>0</v>
      </c>
      <c r="D304" s="20" t="str">
        <v>未匹配</v>
      </c>
      <c r="E304" s="20">
        <v>0</v>
      </c>
    </row>
    <row r="305" spans="1:5">
      <c r="A305" s="20" t="str">
        <v>00:00:00</v>
      </c>
      <c r="B305" s="19">
        <v>0</v>
      </c>
      <c r="C305" s="21">
        <v>0</v>
      </c>
      <c r="D305" s="20" t="str">
        <v>未匹配</v>
      </c>
      <c r="E305" s="20">
        <v>0</v>
      </c>
    </row>
    <row r="306" spans="1:5">
      <c r="A306" s="20" t="str">
        <v>00:00:00</v>
      </c>
      <c r="B306" s="19">
        <v>0</v>
      </c>
      <c r="C306" s="21">
        <v>0</v>
      </c>
      <c r="D306" s="20" t="str">
        <v>未匹配</v>
      </c>
      <c r="E306" s="20">
        <v>0</v>
      </c>
    </row>
    <row r="307" spans="1:5">
      <c r="A307" s="20" t="str">
        <v>00:00:00</v>
      </c>
      <c r="B307" s="19">
        <v>0</v>
      </c>
      <c r="C307" s="21">
        <v>0</v>
      </c>
      <c r="D307" s="20" t="str">
        <v>未匹配</v>
      </c>
      <c r="E307" s="20">
        <v>0</v>
      </c>
    </row>
    <row r="308" spans="1:5">
      <c r="A308" s="20" t="str">
        <v>00:00:00</v>
      </c>
      <c r="B308" s="19">
        <v>0</v>
      </c>
      <c r="C308" s="21">
        <v>0</v>
      </c>
      <c r="D308" s="20" t="str">
        <v>未匹配</v>
      </c>
      <c r="E308" s="20">
        <v>0</v>
      </c>
    </row>
    <row r="309" spans="1:5">
      <c r="A309" s="20" t="str">
        <v>00:00:00</v>
      </c>
      <c r="B309" s="19">
        <v>0</v>
      </c>
      <c r="C309" s="21">
        <v>0</v>
      </c>
      <c r="D309" s="20" t="str">
        <v>未匹配</v>
      </c>
      <c r="E309" s="20">
        <v>0</v>
      </c>
    </row>
    <row r="310" spans="1:5">
      <c r="A310" s="20" t="str">
        <v>00:00:00</v>
      </c>
      <c r="B310" s="19">
        <v>0</v>
      </c>
      <c r="C310" s="21">
        <v>0</v>
      </c>
      <c r="D310" s="20" t="str">
        <v>未匹配</v>
      </c>
      <c r="E310" s="20">
        <v>0</v>
      </c>
    </row>
    <row r="311" spans="1:5">
      <c r="A311" s="20" t="str">
        <v>00:00:00</v>
      </c>
      <c r="B311" s="19">
        <v>0</v>
      </c>
      <c r="C311" s="21">
        <v>0</v>
      </c>
      <c r="D311" s="20" t="str">
        <v>未匹配</v>
      </c>
      <c r="E311" s="20">
        <v>0</v>
      </c>
    </row>
    <row r="312" spans="1:5">
      <c r="A312" s="20" t="str">
        <v>00:00:00</v>
      </c>
      <c r="B312" s="19">
        <v>0</v>
      </c>
      <c r="C312" s="21">
        <v>0</v>
      </c>
      <c r="D312" s="20" t="str">
        <v>未匹配</v>
      </c>
      <c r="E312" s="20">
        <v>0</v>
      </c>
    </row>
    <row r="313" spans="1:5">
      <c r="A313" s="20" t="str">
        <v>00:00:00</v>
      </c>
      <c r="B313" s="19">
        <v>0</v>
      </c>
      <c r="C313" s="21">
        <v>0</v>
      </c>
      <c r="D313" s="20" t="str">
        <v>未匹配</v>
      </c>
      <c r="E313" s="20">
        <v>0</v>
      </c>
    </row>
    <row r="314" spans="1:5">
      <c r="A314" s="20" t="str">
        <v>00:00:00</v>
      </c>
      <c r="B314" s="19">
        <v>0</v>
      </c>
      <c r="C314" s="21">
        <v>0</v>
      </c>
      <c r="D314" s="20" t="str">
        <v>未匹配</v>
      </c>
      <c r="E314" s="20">
        <v>0</v>
      </c>
    </row>
    <row r="315" spans="1:5">
      <c r="A315" s="20" t="str">
        <v>00:00:00</v>
      </c>
      <c r="B315" s="19">
        <v>0</v>
      </c>
      <c r="C315" s="21">
        <v>0</v>
      </c>
      <c r="D315" s="20" t="str">
        <v>未匹配</v>
      </c>
      <c r="E315" s="20">
        <v>0</v>
      </c>
    </row>
    <row r="316" spans="1:5">
      <c r="A316" s="20" t="str">
        <v>00:00:00</v>
      </c>
      <c r="B316" s="19">
        <v>0</v>
      </c>
      <c r="C316" s="21">
        <v>0</v>
      </c>
      <c r="D316" s="20" t="str">
        <v>未匹配</v>
      </c>
      <c r="E316" s="20">
        <v>0</v>
      </c>
    </row>
    <row r="317" spans="1:5">
      <c r="A317" s="20" t="str">
        <v>00:00:00</v>
      </c>
      <c r="B317" s="19">
        <v>0</v>
      </c>
      <c r="C317" s="21">
        <v>0</v>
      </c>
      <c r="D317" s="20" t="str">
        <v>未匹配</v>
      </c>
      <c r="E317" s="20">
        <v>0</v>
      </c>
    </row>
    <row r="318" spans="1:5">
      <c r="A318" s="20" t="str">
        <v>00:00:00</v>
      </c>
      <c r="B318" s="19">
        <v>0</v>
      </c>
      <c r="C318" s="21">
        <v>0</v>
      </c>
      <c r="D318" s="20" t="str">
        <v>未匹配</v>
      </c>
      <c r="E318" s="20">
        <v>0</v>
      </c>
    </row>
    <row r="319" spans="1:5">
      <c r="A319" s="20" t="str">
        <v>00:00:00</v>
      </c>
      <c r="B319" s="19">
        <v>0</v>
      </c>
      <c r="C319" s="21">
        <v>0</v>
      </c>
      <c r="D319" s="20" t="str">
        <v>未匹配</v>
      </c>
      <c r="E319" s="20">
        <v>0</v>
      </c>
    </row>
    <row r="320" spans="1:5">
      <c r="A320" s="20" t="str">
        <v>00:00:00</v>
      </c>
      <c r="B320" s="19">
        <v>0</v>
      </c>
      <c r="C320" s="21">
        <v>0</v>
      </c>
      <c r="D320" s="20" t="str">
        <v>未匹配</v>
      </c>
      <c r="E320" s="20">
        <v>0</v>
      </c>
    </row>
    <row r="321" spans="1:5">
      <c r="A321" s="20" t="str">
        <v>00:00:00</v>
      </c>
      <c r="B321" s="19">
        <v>0</v>
      </c>
      <c r="C321" s="21">
        <v>0</v>
      </c>
      <c r="D321" s="20" t="str">
        <v>未匹配</v>
      </c>
      <c r="E321" s="20">
        <v>0</v>
      </c>
    </row>
    <row r="322" spans="1:5">
      <c r="A322" s="20" t="str">
        <v>00:00:00</v>
      </c>
      <c r="B322" s="19">
        <v>0</v>
      </c>
      <c r="C322" s="21">
        <v>0</v>
      </c>
      <c r="D322" s="20" t="str">
        <v>未匹配</v>
      </c>
      <c r="E322" s="20">
        <v>0</v>
      </c>
    </row>
    <row r="323" spans="1:5">
      <c r="A323" s="20" t="str">
        <v>00:00:00</v>
      </c>
      <c r="B323" s="19">
        <v>0</v>
      </c>
      <c r="C323" s="21">
        <v>0</v>
      </c>
      <c r="D323" s="20" t="str">
        <v>未匹配</v>
      </c>
      <c r="E323" s="20">
        <v>0</v>
      </c>
    </row>
    <row r="324" spans="1:5">
      <c r="A324" s="20" t="str">
        <v>00:00:00</v>
      </c>
      <c r="B324" s="19">
        <v>0</v>
      </c>
      <c r="C324" s="21">
        <v>0</v>
      </c>
      <c r="D324" s="20" t="str">
        <v>未匹配</v>
      </c>
      <c r="E324" s="20">
        <v>0</v>
      </c>
    </row>
    <row r="325" spans="1:5">
      <c r="A325" s="20" t="str">
        <v>00:00:00</v>
      </c>
      <c r="B325" s="19">
        <v>0</v>
      </c>
      <c r="C325" s="21">
        <v>0</v>
      </c>
      <c r="D325" s="20" t="str">
        <v>未匹配</v>
      </c>
      <c r="E325" s="20">
        <v>0</v>
      </c>
    </row>
    <row r="326" spans="1:5">
      <c r="A326" s="20" t="str">
        <v>00:00:00</v>
      </c>
      <c r="B326" s="19">
        <v>0</v>
      </c>
      <c r="C326" s="21">
        <v>0</v>
      </c>
      <c r="D326" s="20" t="str">
        <v>未匹配</v>
      </c>
      <c r="E326" s="20">
        <v>0</v>
      </c>
    </row>
    <row r="327" spans="1:5">
      <c r="A327" s="20" t="str">
        <v>00:00:00</v>
      </c>
      <c r="B327" s="19">
        <v>0</v>
      </c>
      <c r="C327" s="21">
        <v>0</v>
      </c>
      <c r="D327" s="20" t="str">
        <v>未匹配</v>
      </c>
      <c r="E327" s="20">
        <v>0</v>
      </c>
    </row>
    <row r="328" spans="1:5">
      <c r="A328" s="20" t="str">
        <v>00:00:00</v>
      </c>
      <c r="B328" s="19">
        <v>0</v>
      </c>
      <c r="C328" s="21">
        <v>0</v>
      </c>
      <c r="D328" s="20" t="str">
        <v>未匹配</v>
      </c>
      <c r="E328" s="20">
        <v>0</v>
      </c>
    </row>
    <row r="329" spans="1:5">
      <c r="A329" s="20" t="str">
        <v>00:00:00</v>
      </c>
      <c r="B329" s="19">
        <v>0</v>
      </c>
      <c r="C329" s="21">
        <v>0</v>
      </c>
      <c r="D329" s="20" t="str">
        <v>未匹配</v>
      </c>
      <c r="E329" s="20">
        <v>0</v>
      </c>
    </row>
    <row r="330" spans="1:5">
      <c r="A330" s="20" t="str">
        <v>00:00:00</v>
      </c>
      <c r="B330" s="19">
        <v>0</v>
      </c>
      <c r="C330" s="21">
        <v>0</v>
      </c>
      <c r="D330" s="20" t="str">
        <v>未匹配</v>
      </c>
      <c r="E330" s="20">
        <v>0</v>
      </c>
    </row>
    <row r="331" spans="1:5">
      <c r="A331" s="20" t="str">
        <v>00:00:00</v>
      </c>
      <c r="B331" s="19">
        <v>0</v>
      </c>
      <c r="C331" s="21">
        <v>0</v>
      </c>
      <c r="D331" s="20" t="str">
        <v>未匹配</v>
      </c>
      <c r="E331" s="20">
        <v>0</v>
      </c>
    </row>
    <row r="332" spans="1:5">
      <c r="A332" s="20" t="str">
        <v>00:00:00</v>
      </c>
      <c r="B332" s="19">
        <v>0</v>
      </c>
      <c r="C332" s="21">
        <v>0</v>
      </c>
      <c r="D332" s="20" t="str">
        <v>未匹配</v>
      </c>
      <c r="E332" s="20">
        <v>0</v>
      </c>
    </row>
    <row r="333" spans="1:5">
      <c r="A333" s="20" t="str">
        <v>00:00:00</v>
      </c>
      <c r="B333" s="19">
        <v>0</v>
      </c>
      <c r="C333" s="21">
        <v>0</v>
      </c>
      <c r="D333" s="20" t="str">
        <v>未匹配</v>
      </c>
      <c r="E333" s="20">
        <v>0</v>
      </c>
    </row>
    <row r="334" spans="1:5">
      <c r="A334" s="20" t="str">
        <v>00:00:00</v>
      </c>
      <c r="B334" s="19">
        <v>0</v>
      </c>
      <c r="C334" s="21">
        <v>0</v>
      </c>
      <c r="D334" s="20" t="str">
        <v>未匹配</v>
      </c>
      <c r="E334" s="20">
        <v>0</v>
      </c>
    </row>
    <row r="335" spans="1:5">
      <c r="A335" s="20" t="str">
        <v>00:00:00</v>
      </c>
      <c r="B335" s="19">
        <v>0</v>
      </c>
      <c r="C335" s="21">
        <v>0</v>
      </c>
      <c r="D335" s="20" t="str">
        <v>未匹配</v>
      </c>
      <c r="E335" s="20">
        <v>0</v>
      </c>
    </row>
    <row r="336" spans="1:5">
      <c r="A336" s="20" t="str">
        <v>00:00:00</v>
      </c>
      <c r="B336" s="19">
        <v>0</v>
      </c>
      <c r="C336" s="21">
        <v>0</v>
      </c>
      <c r="D336" s="20" t="str">
        <v>未匹配</v>
      </c>
      <c r="E336" s="20">
        <v>0</v>
      </c>
    </row>
    <row r="337" spans="1:5">
      <c r="A337" s="20" t="str">
        <v>00:00:00</v>
      </c>
      <c r="B337" s="19">
        <v>0</v>
      </c>
      <c r="C337" s="21">
        <v>0</v>
      </c>
      <c r="D337" s="20" t="str">
        <v>未匹配</v>
      </c>
      <c r="E337" s="20">
        <v>0</v>
      </c>
    </row>
    <row r="338" spans="1:5">
      <c r="A338" s="20" t="str">
        <v>00:00:00</v>
      </c>
      <c r="B338" s="19">
        <v>0</v>
      </c>
      <c r="C338" s="21">
        <v>0</v>
      </c>
      <c r="D338" s="20" t="str">
        <v>未匹配</v>
      </c>
      <c r="E338" s="20">
        <v>0</v>
      </c>
    </row>
    <row r="339" spans="1:5">
      <c r="A339" s="20" t="str">
        <v>00:00:00</v>
      </c>
      <c r="B339" s="19">
        <v>0</v>
      </c>
      <c r="C339" s="21">
        <v>0</v>
      </c>
      <c r="D339" s="20" t="str">
        <v>未匹配</v>
      </c>
      <c r="E339" s="20">
        <v>0</v>
      </c>
    </row>
    <row r="340" spans="1:5">
      <c r="A340" s="20" t="str">
        <v>00:00:00</v>
      </c>
      <c r="B340" s="19">
        <v>0</v>
      </c>
      <c r="C340" s="21">
        <v>0</v>
      </c>
      <c r="D340" s="20" t="str">
        <v>未匹配</v>
      </c>
      <c r="E340" s="20">
        <v>0</v>
      </c>
    </row>
    <row r="341" spans="1:5">
      <c r="A341" s="20" t="str">
        <v>00:00:00</v>
      </c>
      <c r="B341" s="19">
        <v>0</v>
      </c>
      <c r="C341" s="21">
        <v>0</v>
      </c>
      <c r="D341" s="20" t="str">
        <v>未匹配</v>
      </c>
      <c r="E341" s="20">
        <v>0</v>
      </c>
    </row>
    <row r="342" spans="1:5">
      <c r="A342" s="20" t="str">
        <v>00:00:00</v>
      </c>
      <c r="B342" s="19">
        <v>0</v>
      </c>
      <c r="C342" s="21">
        <v>0</v>
      </c>
      <c r="D342" s="20" t="str">
        <v>未匹配</v>
      </c>
      <c r="E342" s="20">
        <v>0</v>
      </c>
    </row>
    <row r="343" spans="1:5">
      <c r="A343" s="20" t="str">
        <v>00:00:00</v>
      </c>
      <c r="B343" s="19">
        <v>0</v>
      </c>
      <c r="C343" s="21">
        <v>0</v>
      </c>
      <c r="D343" s="20" t="str">
        <v>未匹配</v>
      </c>
      <c r="E343" s="20">
        <v>0</v>
      </c>
    </row>
    <row r="344" spans="1:5">
      <c r="A344" s="20" t="str">
        <v>00:00:00</v>
      </c>
      <c r="B344" s="19">
        <v>0</v>
      </c>
      <c r="C344" s="21">
        <v>0</v>
      </c>
      <c r="D344" s="20" t="str">
        <v>未匹配</v>
      </c>
      <c r="E344" s="20">
        <v>0</v>
      </c>
    </row>
    <row r="345" spans="1:5">
      <c r="A345" s="20" t="str">
        <v>00:00:00</v>
      </c>
      <c r="B345" s="19">
        <v>0</v>
      </c>
      <c r="C345" s="21">
        <v>0</v>
      </c>
      <c r="D345" s="20" t="str">
        <v>未匹配</v>
      </c>
      <c r="E345" s="20">
        <v>0</v>
      </c>
    </row>
    <row r="346" spans="1:5">
      <c r="A346" s="20" t="str">
        <v>00:00:00</v>
      </c>
      <c r="B346" s="19">
        <v>0</v>
      </c>
      <c r="C346" s="21">
        <v>0</v>
      </c>
      <c r="D346" s="20" t="str">
        <v>未匹配</v>
      </c>
      <c r="E346" s="20">
        <v>0</v>
      </c>
    </row>
    <row r="347" spans="1:5">
      <c r="A347" s="20" t="str">
        <v>00:00:00</v>
      </c>
      <c r="B347" s="19">
        <v>0</v>
      </c>
      <c r="C347" s="21">
        <v>0</v>
      </c>
      <c r="D347" s="20" t="str">
        <v>未匹配</v>
      </c>
      <c r="E347" s="20">
        <v>0</v>
      </c>
    </row>
    <row r="348" spans="1:5">
      <c r="A348" s="20" t="str">
        <v>00:00:00</v>
      </c>
      <c r="B348" s="19">
        <v>0</v>
      </c>
      <c r="C348" s="21">
        <v>0</v>
      </c>
      <c r="D348" s="20" t="str">
        <v>未匹配</v>
      </c>
      <c r="E348" s="20">
        <v>0</v>
      </c>
    </row>
    <row r="349" spans="1:5">
      <c r="A349" s="20" t="str">
        <v>00:00:00</v>
      </c>
      <c r="B349" s="19">
        <v>0</v>
      </c>
      <c r="C349" s="21">
        <v>0</v>
      </c>
      <c r="D349" s="20" t="str">
        <v>未匹配</v>
      </c>
      <c r="E349" s="20">
        <v>0</v>
      </c>
    </row>
    <row r="350" spans="1:5">
      <c r="A350" s="20" t="str">
        <v>00:00:00</v>
      </c>
      <c r="B350" s="19">
        <v>0</v>
      </c>
      <c r="C350" s="21">
        <v>0</v>
      </c>
      <c r="D350" s="20" t="str">
        <v>未匹配</v>
      </c>
      <c r="E350" s="20">
        <v>0</v>
      </c>
    </row>
    <row r="351" spans="1:5">
      <c r="A351" s="20" t="str">
        <v>00:00:00</v>
      </c>
      <c r="B351" s="19">
        <v>0</v>
      </c>
      <c r="C351" s="21">
        <v>0</v>
      </c>
      <c r="D351" s="20" t="str">
        <v>未匹配</v>
      </c>
      <c r="E351" s="20">
        <v>0</v>
      </c>
    </row>
    <row r="352" spans="1:5">
      <c r="A352" s="20" t="str">
        <v>00:00:00</v>
      </c>
      <c r="B352" s="19">
        <v>0</v>
      </c>
      <c r="C352" s="21">
        <v>0</v>
      </c>
      <c r="D352" s="20" t="str">
        <v>未匹配</v>
      </c>
      <c r="E352" s="20">
        <v>0</v>
      </c>
    </row>
    <row r="353" spans="1:5">
      <c r="A353" s="20" t="str">
        <v>00:00:00</v>
      </c>
      <c r="B353" s="19">
        <v>0</v>
      </c>
      <c r="C353" s="21">
        <v>0</v>
      </c>
      <c r="D353" s="20" t="str">
        <v>未匹配</v>
      </c>
      <c r="E353" s="20">
        <v>0</v>
      </c>
    </row>
    <row r="354" spans="1:5">
      <c r="A354" s="20" t="str">
        <v>00:00:00</v>
      </c>
      <c r="B354" s="19">
        <v>0</v>
      </c>
      <c r="C354" s="21">
        <v>0</v>
      </c>
      <c r="D354" s="20" t="str">
        <v>未匹配</v>
      </c>
      <c r="E354" s="20">
        <v>0</v>
      </c>
    </row>
    <row r="355" spans="1:5">
      <c r="A355" s="20" t="str">
        <v>00:00:00</v>
      </c>
      <c r="B355" s="19">
        <v>0</v>
      </c>
      <c r="C355" s="21">
        <v>0</v>
      </c>
      <c r="D355" s="20" t="str">
        <v>未匹配</v>
      </c>
      <c r="E355" s="20">
        <v>0</v>
      </c>
    </row>
    <row r="356" spans="1:5">
      <c r="A356" s="20" t="str">
        <v>00:00:00</v>
      </c>
      <c r="B356" s="19">
        <v>0</v>
      </c>
      <c r="C356" s="21">
        <v>0</v>
      </c>
      <c r="D356" s="20" t="str">
        <v>未匹配</v>
      </c>
      <c r="E356" s="20">
        <v>0</v>
      </c>
    </row>
    <row r="357" spans="1:5">
      <c r="A357" s="20" t="str">
        <v>00:00:00</v>
      </c>
      <c r="B357" s="19">
        <v>0</v>
      </c>
      <c r="C357" s="21">
        <v>0</v>
      </c>
      <c r="D357" s="20" t="str">
        <v>未匹配</v>
      </c>
      <c r="E357" s="20">
        <v>0</v>
      </c>
    </row>
    <row r="358" spans="1:5">
      <c r="A358" s="20" t="str">
        <v>00:00:00</v>
      </c>
      <c r="B358" s="19">
        <v>0</v>
      </c>
      <c r="C358" s="21">
        <v>0</v>
      </c>
      <c r="D358" s="20" t="str">
        <v>未匹配</v>
      </c>
      <c r="E358" s="20">
        <v>0</v>
      </c>
    </row>
    <row r="359" spans="1:5">
      <c r="A359" s="20" t="str">
        <v>00:00:00</v>
      </c>
      <c r="B359" s="19">
        <v>0</v>
      </c>
      <c r="C359" s="21">
        <v>0</v>
      </c>
      <c r="D359" s="20" t="str">
        <v>未匹配</v>
      </c>
      <c r="E359" s="20">
        <v>0</v>
      </c>
    </row>
    <row r="360" spans="1:5">
      <c r="A360" s="20" t="str">
        <v>00:00:00</v>
      </c>
      <c r="B360" s="19">
        <v>0</v>
      </c>
      <c r="C360" s="21">
        <v>0</v>
      </c>
      <c r="D360" s="20" t="str">
        <v>未匹配</v>
      </c>
      <c r="E360" s="20">
        <v>0</v>
      </c>
    </row>
    <row r="361" spans="1:5">
      <c r="A361" s="20" t="str">
        <v>00:00:00</v>
      </c>
      <c r="B361" s="19">
        <v>0</v>
      </c>
      <c r="C361" s="21">
        <v>0</v>
      </c>
      <c r="D361" s="20" t="str">
        <v>未匹配</v>
      </c>
      <c r="E361" s="20">
        <v>0</v>
      </c>
    </row>
    <row r="362" spans="1:5">
      <c r="A362" s="20" t="str">
        <v>00:00:00</v>
      </c>
      <c r="B362" s="19">
        <v>0</v>
      </c>
      <c r="C362" s="21">
        <v>0</v>
      </c>
      <c r="D362" s="20" t="str">
        <v>未匹配</v>
      </c>
      <c r="E362" s="20">
        <v>0</v>
      </c>
    </row>
    <row r="363" spans="1:5">
      <c r="A363" s="20" t="str">
        <v>00:00:00</v>
      </c>
      <c r="B363" s="19">
        <v>0</v>
      </c>
      <c r="C363" s="21">
        <v>0</v>
      </c>
      <c r="D363" s="20" t="str">
        <v>未匹配</v>
      </c>
      <c r="E363" s="20">
        <v>0</v>
      </c>
    </row>
    <row r="364" spans="1:5">
      <c r="A364" s="20" t="str">
        <v>00:00:00</v>
      </c>
      <c r="B364" s="19">
        <v>0</v>
      </c>
      <c r="C364" s="21">
        <v>0</v>
      </c>
      <c r="D364" s="20" t="str">
        <v>未匹配</v>
      </c>
      <c r="E364" s="20">
        <v>0</v>
      </c>
    </row>
    <row r="365" spans="1:5">
      <c r="A365" s="20" t="str">
        <v>00:00:00</v>
      </c>
      <c r="B365" s="19">
        <v>0</v>
      </c>
      <c r="C365" s="21">
        <v>0</v>
      </c>
      <c r="D365" s="20" t="str">
        <v>未匹配</v>
      </c>
      <c r="E365" s="20">
        <v>0</v>
      </c>
    </row>
    <row r="366" spans="1:5">
      <c r="A366" s="20" t="str">
        <v>00:00:00</v>
      </c>
      <c r="B366" s="19">
        <v>0</v>
      </c>
      <c r="C366" s="21">
        <v>0</v>
      </c>
      <c r="D366" s="20" t="str">
        <v>未匹配</v>
      </c>
      <c r="E366" s="20">
        <v>0</v>
      </c>
    </row>
    <row r="367" spans="1:5">
      <c r="A367" s="20" t="str">
        <v>00:00:00</v>
      </c>
      <c r="B367" s="19">
        <v>0</v>
      </c>
      <c r="C367" s="21">
        <v>0</v>
      </c>
      <c r="D367" s="20" t="str">
        <v>未匹配</v>
      </c>
      <c r="E367" s="20">
        <v>0</v>
      </c>
    </row>
    <row r="368" spans="1:5">
      <c r="A368" s="20" t="str">
        <v>00:00:00</v>
      </c>
      <c r="B368" s="19">
        <v>0</v>
      </c>
      <c r="C368" s="21">
        <v>0</v>
      </c>
      <c r="D368" s="20" t="str">
        <v>未匹配</v>
      </c>
      <c r="E368" s="20">
        <v>0</v>
      </c>
    </row>
    <row r="369" spans="1:5">
      <c r="A369" s="20" t="str">
        <v>00:00:00</v>
      </c>
      <c r="B369" s="19">
        <v>0</v>
      </c>
      <c r="C369" s="21">
        <v>0</v>
      </c>
      <c r="D369" s="20" t="str">
        <v>未匹配</v>
      </c>
      <c r="E369" s="20">
        <v>0</v>
      </c>
    </row>
    <row r="370" spans="1:5">
      <c r="A370" s="20" t="str">
        <v>00:00:00</v>
      </c>
      <c r="B370" s="19">
        <v>0</v>
      </c>
      <c r="C370" s="21">
        <v>0</v>
      </c>
      <c r="D370" s="20" t="str">
        <v>未匹配</v>
      </c>
      <c r="E370" s="20">
        <v>0</v>
      </c>
    </row>
    <row r="371" spans="1:5">
      <c r="A371" s="20" t="str">
        <v>00:00:00</v>
      </c>
      <c r="B371" s="19">
        <v>0</v>
      </c>
      <c r="C371" s="21">
        <v>0</v>
      </c>
      <c r="D371" s="20" t="str">
        <v>未匹配</v>
      </c>
      <c r="E371" s="20">
        <v>0</v>
      </c>
    </row>
    <row r="372" spans="1:5">
      <c r="A372" s="20" t="str">
        <v>00:00:00</v>
      </c>
      <c r="B372" s="19">
        <v>0</v>
      </c>
      <c r="C372" s="21">
        <v>0</v>
      </c>
      <c r="D372" s="20" t="str">
        <v>未匹配</v>
      </c>
      <c r="E372" s="20">
        <v>0</v>
      </c>
    </row>
    <row r="373" spans="1:5">
      <c r="A373" s="20" t="str">
        <v>00:00:00</v>
      </c>
      <c r="B373" s="19">
        <v>0</v>
      </c>
      <c r="C373" s="21">
        <v>0</v>
      </c>
      <c r="D373" s="20" t="str">
        <v>未匹配</v>
      </c>
      <c r="E373" s="20">
        <v>0</v>
      </c>
    </row>
    <row r="374" spans="1:5">
      <c r="A374" s="20" t="str">
        <v>00:00:00</v>
      </c>
      <c r="B374" s="19">
        <v>0</v>
      </c>
      <c r="C374" s="21">
        <v>0</v>
      </c>
      <c r="D374" s="20" t="str">
        <v>未匹配</v>
      </c>
      <c r="E374" s="20">
        <v>0</v>
      </c>
    </row>
    <row r="375" spans="1:5">
      <c r="A375" s="20" t="str">
        <v>00:00:00</v>
      </c>
      <c r="B375" s="19">
        <v>0</v>
      </c>
      <c r="C375" s="21">
        <v>0</v>
      </c>
      <c r="D375" s="20" t="str">
        <v>未匹配</v>
      </c>
      <c r="E375" s="20">
        <v>0</v>
      </c>
    </row>
    <row r="376" spans="1:5">
      <c r="A376" s="20" t="str">
        <v>00:00:00</v>
      </c>
      <c r="B376" s="19">
        <v>0</v>
      </c>
      <c r="C376" s="21">
        <v>0</v>
      </c>
      <c r="D376" s="20" t="str">
        <v>未匹配</v>
      </c>
      <c r="E376" s="20">
        <v>0</v>
      </c>
    </row>
    <row r="377" spans="1:5">
      <c r="A377" s="20" t="str">
        <v>00:00:00</v>
      </c>
      <c r="B377" s="19">
        <v>0</v>
      </c>
      <c r="C377" s="21">
        <v>0</v>
      </c>
      <c r="D377" s="20" t="str">
        <v>未匹配</v>
      </c>
      <c r="E377" s="20">
        <v>0</v>
      </c>
    </row>
    <row r="378" spans="1:5">
      <c r="A378" s="20" t="str">
        <v>00:00:00</v>
      </c>
      <c r="B378" s="19">
        <v>0</v>
      </c>
      <c r="C378" s="21">
        <v>0</v>
      </c>
      <c r="D378" s="20" t="str">
        <v>未匹配</v>
      </c>
      <c r="E378" s="20">
        <v>0</v>
      </c>
    </row>
    <row r="379" spans="1:5">
      <c r="A379" s="20" t="str">
        <v>00:00:00</v>
      </c>
      <c r="B379" s="19">
        <v>0</v>
      </c>
      <c r="C379" s="21">
        <v>0</v>
      </c>
      <c r="D379" s="20" t="str">
        <v>未匹配</v>
      </c>
      <c r="E379" s="20">
        <v>0</v>
      </c>
    </row>
    <row r="380" spans="1:5">
      <c r="A380" s="20" t="str">
        <v>00:00:00</v>
      </c>
      <c r="B380" s="19">
        <v>0</v>
      </c>
      <c r="C380" s="21">
        <v>0</v>
      </c>
      <c r="D380" s="20" t="str">
        <v>未匹配</v>
      </c>
      <c r="E380" s="20">
        <v>0</v>
      </c>
    </row>
    <row r="381" spans="1:5">
      <c r="A381" s="20" t="str">
        <v>00:00:00</v>
      </c>
      <c r="B381" s="19">
        <v>0</v>
      </c>
      <c r="C381" s="21">
        <v>0</v>
      </c>
      <c r="D381" s="20" t="str">
        <v>未匹配</v>
      </c>
      <c r="E381" s="20">
        <v>0</v>
      </c>
    </row>
    <row r="382" spans="1:5">
      <c r="A382" s="20" t="str">
        <v>00:00:00</v>
      </c>
      <c r="B382" s="19">
        <v>0</v>
      </c>
      <c r="C382" s="21">
        <v>0</v>
      </c>
      <c r="D382" s="20" t="str">
        <v>未匹配</v>
      </c>
      <c r="E382" s="20">
        <v>0</v>
      </c>
    </row>
    <row r="383" spans="1:5">
      <c r="A383" s="20" t="str">
        <v>00:00:00</v>
      </c>
      <c r="B383" s="19">
        <v>0</v>
      </c>
      <c r="C383" s="21">
        <v>0</v>
      </c>
      <c r="D383" s="20" t="str">
        <v>未匹配</v>
      </c>
      <c r="E383" s="20">
        <v>0</v>
      </c>
    </row>
    <row r="384" spans="1:5">
      <c r="A384" s="20" t="str">
        <v>00:00:00</v>
      </c>
      <c r="B384" s="19">
        <v>0</v>
      </c>
      <c r="C384" s="21">
        <v>0</v>
      </c>
      <c r="D384" s="20" t="str">
        <v>未匹配</v>
      </c>
      <c r="E384" s="20">
        <v>0</v>
      </c>
    </row>
    <row r="385" spans="1:5">
      <c r="A385" s="20" t="str">
        <v>00:00:00</v>
      </c>
      <c r="B385" s="19">
        <v>0</v>
      </c>
      <c r="C385" s="21">
        <v>0</v>
      </c>
      <c r="D385" s="20" t="str">
        <v>未匹配</v>
      </c>
      <c r="E385" s="20">
        <v>0</v>
      </c>
    </row>
    <row r="386" spans="1:5">
      <c r="A386" s="20" t="str">
        <v>00:00:00</v>
      </c>
      <c r="B386" s="19">
        <v>0</v>
      </c>
      <c r="C386" s="21">
        <v>0</v>
      </c>
      <c r="D386" s="20" t="str">
        <v>未匹配</v>
      </c>
      <c r="E386" s="20">
        <v>0</v>
      </c>
    </row>
    <row r="387" spans="1:5">
      <c r="A387" s="20" t="str">
        <v>00:00:00</v>
      </c>
      <c r="B387" s="19">
        <v>0</v>
      </c>
      <c r="C387" s="21">
        <v>0</v>
      </c>
      <c r="D387" s="20" t="str">
        <v>未匹配</v>
      </c>
      <c r="E387" s="20">
        <v>0</v>
      </c>
    </row>
    <row r="388" spans="1:5">
      <c r="A388" s="20" t="str">
        <v>00:00:00</v>
      </c>
      <c r="B388" s="19">
        <v>0</v>
      </c>
      <c r="C388" s="21">
        <v>0</v>
      </c>
      <c r="D388" s="20" t="str">
        <v>未匹配</v>
      </c>
      <c r="E388" s="20">
        <v>0</v>
      </c>
    </row>
    <row r="389" spans="1:5">
      <c r="A389" s="20" t="str">
        <v>00:00:00</v>
      </c>
      <c r="B389" s="19">
        <v>0</v>
      </c>
      <c r="C389" s="21">
        <v>0</v>
      </c>
      <c r="D389" s="20" t="str">
        <v>未匹配</v>
      </c>
      <c r="E389" s="20">
        <v>0</v>
      </c>
    </row>
    <row r="390" spans="1:5">
      <c r="A390" s="20" t="str">
        <v>00:00:00</v>
      </c>
      <c r="B390" s="19">
        <v>0</v>
      </c>
      <c r="C390" s="21">
        <v>0</v>
      </c>
      <c r="D390" s="20" t="str">
        <v>未匹配</v>
      </c>
      <c r="E390" s="20">
        <v>0</v>
      </c>
    </row>
    <row r="391" spans="1:5">
      <c r="A391" s="20" t="str">
        <v>00:00:00</v>
      </c>
      <c r="B391" s="19">
        <v>0</v>
      </c>
      <c r="C391" s="21">
        <v>0</v>
      </c>
      <c r="D391" s="20" t="str">
        <v>未匹配</v>
      </c>
      <c r="E391" s="20">
        <v>0</v>
      </c>
    </row>
    <row r="392" spans="1:5">
      <c r="A392" s="20" t="str">
        <v>00:00:00</v>
      </c>
      <c r="B392" s="19">
        <v>0</v>
      </c>
      <c r="C392" s="21">
        <v>0</v>
      </c>
      <c r="D392" s="20" t="str">
        <v>未匹配</v>
      </c>
      <c r="E392" s="20">
        <v>0</v>
      </c>
    </row>
    <row r="393" spans="1:5">
      <c r="A393" s="20" t="str">
        <v>00:00:00</v>
      </c>
      <c r="B393" s="19">
        <v>0</v>
      </c>
      <c r="C393" s="21">
        <v>0</v>
      </c>
      <c r="D393" s="20" t="str">
        <v>未匹配</v>
      </c>
      <c r="E393" s="20">
        <v>0</v>
      </c>
    </row>
    <row r="394" spans="1:5">
      <c r="A394" s="20" t="str">
        <v>00:00:00</v>
      </c>
      <c r="B394" s="19">
        <v>0</v>
      </c>
      <c r="C394" s="21">
        <v>0</v>
      </c>
      <c r="D394" s="20" t="str">
        <v>未匹配</v>
      </c>
      <c r="E394" s="20">
        <v>0</v>
      </c>
    </row>
    <row r="395" spans="1:5">
      <c r="A395" s="20" t="str">
        <v>00:00:00</v>
      </c>
      <c r="B395" s="19">
        <v>0</v>
      </c>
      <c r="C395" s="21">
        <v>0</v>
      </c>
      <c r="D395" s="20" t="str">
        <v>未匹配</v>
      </c>
      <c r="E395" s="20">
        <v>0</v>
      </c>
    </row>
    <row r="396" spans="1:5">
      <c r="A396" s="20" t="str">
        <v>00:00:00</v>
      </c>
      <c r="B396" s="19">
        <v>0</v>
      </c>
      <c r="C396" s="21">
        <v>0</v>
      </c>
      <c r="D396" s="20" t="str">
        <v>未匹配</v>
      </c>
      <c r="E396" s="20">
        <v>0</v>
      </c>
    </row>
    <row r="397" spans="1:5">
      <c r="A397" s="20" t="str">
        <v>00:00:00</v>
      </c>
      <c r="B397" s="19">
        <v>0</v>
      </c>
      <c r="C397" s="21">
        <v>0</v>
      </c>
      <c r="D397" s="20" t="str">
        <v>未匹配</v>
      </c>
      <c r="E397" s="20">
        <v>0</v>
      </c>
    </row>
    <row r="398" spans="1:5">
      <c r="A398" s="20" t="str">
        <v>00:00:00</v>
      </c>
      <c r="B398" s="19">
        <v>0</v>
      </c>
      <c r="C398" s="21">
        <v>0</v>
      </c>
      <c r="D398" s="20" t="str">
        <v>未匹配</v>
      </c>
      <c r="E398" s="20">
        <v>0</v>
      </c>
    </row>
    <row r="399" spans="1:5">
      <c r="A399" s="20" t="str">
        <v>00:00:00</v>
      </c>
      <c r="B399" s="19">
        <v>0</v>
      </c>
      <c r="C399" s="21">
        <v>0</v>
      </c>
      <c r="D399" s="20" t="str">
        <v>未匹配</v>
      </c>
      <c r="E399" s="20">
        <v>0</v>
      </c>
    </row>
    <row r="400" spans="1:5">
      <c r="A400" s="20" t="str">
        <v>00:00:00</v>
      </c>
      <c r="B400" s="19">
        <v>0</v>
      </c>
      <c r="C400" s="21">
        <v>0</v>
      </c>
      <c r="D400" s="20" t="str">
        <v>未匹配</v>
      </c>
      <c r="E400" s="20">
        <v>0</v>
      </c>
    </row>
    <row r="401" spans="1:5">
      <c r="A401" s="20" t="str">
        <v>00:00:00</v>
      </c>
      <c r="B401" s="19">
        <v>0</v>
      </c>
      <c r="C401" s="21">
        <v>0</v>
      </c>
      <c r="D401" s="20" t="str">
        <v>未匹配</v>
      </c>
      <c r="E401" s="20">
        <v>0</v>
      </c>
    </row>
    <row r="402" spans="1:5">
      <c r="A402" s="20" t="str">
        <v>00:00:00</v>
      </c>
      <c r="B402" s="19">
        <v>0</v>
      </c>
      <c r="C402" s="21">
        <v>0</v>
      </c>
      <c r="D402" s="20" t="str">
        <v>未匹配</v>
      </c>
      <c r="E402" s="20">
        <v>0</v>
      </c>
    </row>
    <row r="403" spans="1:5">
      <c r="A403" s="20" t="str">
        <v>00:00:00</v>
      </c>
      <c r="B403" s="19">
        <v>0</v>
      </c>
      <c r="C403" s="21">
        <v>0</v>
      </c>
      <c r="D403" s="20" t="str">
        <v>未匹配</v>
      </c>
      <c r="E403" s="20">
        <v>0</v>
      </c>
    </row>
    <row r="404" spans="1:5">
      <c r="A404" s="20" t="str">
        <v>00:00:00</v>
      </c>
      <c r="B404" s="19">
        <v>0</v>
      </c>
      <c r="C404" s="21">
        <v>0</v>
      </c>
      <c r="D404" s="20" t="str">
        <v>未匹配</v>
      </c>
      <c r="E404" s="20">
        <v>0</v>
      </c>
    </row>
    <row r="405" spans="1:5">
      <c r="A405" s="20" t="str">
        <v>00:00:00</v>
      </c>
      <c r="B405" s="19">
        <v>0</v>
      </c>
      <c r="C405" s="21">
        <v>0</v>
      </c>
      <c r="D405" s="20" t="str">
        <v>未匹配</v>
      </c>
      <c r="E405" s="20">
        <v>0</v>
      </c>
    </row>
    <row r="406" spans="1:5">
      <c r="A406" s="20" t="str">
        <v>00:00:00</v>
      </c>
      <c r="B406" s="19">
        <v>0</v>
      </c>
      <c r="C406" s="21">
        <v>0</v>
      </c>
      <c r="D406" s="20" t="str">
        <v>未匹配</v>
      </c>
      <c r="E406" s="20">
        <v>0</v>
      </c>
    </row>
    <row r="407" spans="1:5">
      <c r="A407" s="20" t="str">
        <v>00:00:00</v>
      </c>
      <c r="B407" s="19">
        <v>0</v>
      </c>
      <c r="C407" s="21">
        <v>0</v>
      </c>
      <c r="D407" s="20" t="str">
        <v>未匹配</v>
      </c>
      <c r="E407" s="20">
        <v>0</v>
      </c>
    </row>
    <row r="408" spans="1:5">
      <c r="A408" s="20" t="str">
        <v>00:00:00</v>
      </c>
      <c r="B408" s="19">
        <v>0</v>
      </c>
      <c r="C408" s="21">
        <v>0</v>
      </c>
      <c r="D408" s="20" t="str">
        <v>未匹配</v>
      </c>
      <c r="E408" s="20">
        <v>0</v>
      </c>
    </row>
    <row r="409" spans="1:5">
      <c r="A409" s="20" t="str">
        <v>00:00:00</v>
      </c>
      <c r="B409" s="19">
        <v>0</v>
      </c>
      <c r="C409" s="21">
        <v>0</v>
      </c>
      <c r="D409" s="20" t="str">
        <v>未匹配</v>
      </c>
      <c r="E409" s="20">
        <v>0</v>
      </c>
    </row>
    <row r="410" spans="1:5">
      <c r="A410" s="20" t="str">
        <v>00:00:00</v>
      </c>
      <c r="B410" s="19">
        <v>0</v>
      </c>
      <c r="C410" s="21">
        <v>0</v>
      </c>
      <c r="D410" s="20" t="str">
        <v>未匹配</v>
      </c>
      <c r="E410" s="20">
        <v>0</v>
      </c>
    </row>
    <row r="411" spans="1:5">
      <c r="A411" s="20" t="str">
        <v>00:00:00</v>
      </c>
      <c r="B411" s="19">
        <v>0</v>
      </c>
      <c r="C411" s="21">
        <v>0</v>
      </c>
      <c r="D411" s="20" t="str">
        <v>未匹配</v>
      </c>
      <c r="E411" s="20">
        <v>0</v>
      </c>
    </row>
    <row r="412" spans="1:5">
      <c r="A412" s="20" t="str">
        <v>00:00:00</v>
      </c>
      <c r="B412" s="19">
        <v>0</v>
      </c>
      <c r="C412" s="21">
        <v>0</v>
      </c>
      <c r="D412" s="20" t="str">
        <v>未匹配</v>
      </c>
      <c r="E412" s="20">
        <v>0</v>
      </c>
    </row>
    <row r="413" spans="1:5">
      <c r="A413" s="20" t="str">
        <v>00:00:00</v>
      </c>
      <c r="B413" s="19">
        <v>0</v>
      </c>
      <c r="C413" s="21">
        <v>0</v>
      </c>
      <c r="D413" s="20" t="str">
        <v>未匹配</v>
      </c>
      <c r="E413" s="20">
        <v>0</v>
      </c>
    </row>
    <row r="414" spans="1:5">
      <c r="A414" s="20" t="str">
        <v>00:00:00</v>
      </c>
      <c r="B414" s="19">
        <v>0</v>
      </c>
      <c r="C414" s="21">
        <v>0</v>
      </c>
      <c r="D414" s="20" t="str">
        <v>未匹配</v>
      </c>
      <c r="E414" s="20">
        <v>0</v>
      </c>
    </row>
    <row r="415" spans="1:5">
      <c r="A415" s="20" t="str">
        <v>00:00:00</v>
      </c>
      <c r="B415" s="19">
        <v>0</v>
      </c>
      <c r="C415" s="21">
        <v>0</v>
      </c>
      <c r="D415" s="20" t="str">
        <v>未匹配</v>
      </c>
      <c r="E415" s="20">
        <v>0</v>
      </c>
    </row>
    <row r="416" spans="1:5">
      <c r="A416" s="20" t="str">
        <v>00:00:00</v>
      </c>
      <c r="B416" s="19">
        <v>0</v>
      </c>
      <c r="C416" s="21">
        <v>0</v>
      </c>
      <c r="D416" s="20" t="str">
        <v>未匹配</v>
      </c>
      <c r="E416" s="20">
        <v>0</v>
      </c>
    </row>
    <row r="417" spans="1:5">
      <c r="A417" s="20" t="str">
        <v>00:00:00</v>
      </c>
      <c r="B417" s="19">
        <v>0</v>
      </c>
      <c r="C417" s="21">
        <v>0</v>
      </c>
      <c r="D417" s="20" t="str">
        <v>未匹配</v>
      </c>
      <c r="E417" s="20">
        <v>0</v>
      </c>
    </row>
    <row r="418" spans="1:5">
      <c r="A418" s="20" t="str">
        <v>00:00:00</v>
      </c>
      <c r="B418" s="19">
        <v>0</v>
      </c>
      <c r="C418" s="21">
        <v>0</v>
      </c>
      <c r="D418" s="20" t="str">
        <v>未匹配</v>
      </c>
      <c r="E418" s="20">
        <v>0</v>
      </c>
    </row>
    <row r="419" spans="1:5">
      <c r="A419" s="20" t="str">
        <v>00:00:00</v>
      </c>
      <c r="B419" s="19">
        <v>0</v>
      </c>
      <c r="C419" s="21">
        <v>0</v>
      </c>
      <c r="D419" s="20" t="str">
        <v>未匹配</v>
      </c>
      <c r="E419" s="20">
        <v>0</v>
      </c>
    </row>
    <row r="420" spans="1:5">
      <c r="A420" s="20" t="str">
        <v>00:00:00</v>
      </c>
      <c r="B420" s="19">
        <v>0</v>
      </c>
      <c r="C420" s="21">
        <v>0</v>
      </c>
      <c r="D420" s="20" t="str">
        <v>未匹配</v>
      </c>
      <c r="E420" s="20">
        <v>0</v>
      </c>
    </row>
    <row r="421" spans="1:5">
      <c r="A421" s="20" t="str">
        <v>00:00:00</v>
      </c>
      <c r="B421" s="19">
        <v>0</v>
      </c>
      <c r="C421" s="21">
        <v>0</v>
      </c>
      <c r="D421" s="20" t="str">
        <v>未匹配</v>
      </c>
      <c r="E421" s="20">
        <v>0</v>
      </c>
    </row>
    <row r="422" spans="1:5">
      <c r="A422" s="20" t="str">
        <v>00:00:00</v>
      </c>
      <c r="B422" s="19">
        <v>0</v>
      </c>
      <c r="C422" s="21">
        <v>0</v>
      </c>
      <c r="D422" s="20" t="str">
        <v>未匹配</v>
      </c>
      <c r="E422" s="20">
        <v>0</v>
      </c>
    </row>
    <row r="423" spans="1:5">
      <c r="A423" s="20" t="str">
        <v>00:00:00</v>
      </c>
      <c r="B423" s="19">
        <v>0</v>
      </c>
      <c r="C423" s="21">
        <v>0</v>
      </c>
      <c r="D423" s="20" t="str">
        <v>未匹配</v>
      </c>
      <c r="E423" s="20">
        <v>0</v>
      </c>
    </row>
    <row r="424" spans="1:5">
      <c r="A424" s="20" t="str">
        <v>00:00:00</v>
      </c>
      <c r="B424" s="19">
        <v>0</v>
      </c>
      <c r="C424" s="21">
        <v>0</v>
      </c>
      <c r="D424" s="20" t="str">
        <v>未匹配</v>
      </c>
      <c r="E424" s="20">
        <v>0</v>
      </c>
    </row>
    <row r="425" spans="1:5">
      <c r="A425" s="20" t="str">
        <v>00:00:00</v>
      </c>
      <c r="B425" s="19">
        <v>0</v>
      </c>
      <c r="C425" s="21">
        <v>0</v>
      </c>
      <c r="D425" s="20" t="str">
        <v>未匹配</v>
      </c>
      <c r="E425" s="20">
        <v>0</v>
      </c>
    </row>
    <row r="426" spans="1:5">
      <c r="A426" s="20" t="str">
        <v>00:00:00</v>
      </c>
      <c r="B426" s="19">
        <v>0</v>
      </c>
      <c r="C426" s="21">
        <v>0</v>
      </c>
      <c r="D426" s="20" t="str">
        <v>未匹配</v>
      </c>
      <c r="E426" s="20">
        <v>0</v>
      </c>
    </row>
    <row r="427" spans="1:5">
      <c r="A427" s="20" t="str">
        <v>00:00:00</v>
      </c>
      <c r="B427" s="19">
        <v>0</v>
      </c>
      <c r="C427" s="21">
        <v>0</v>
      </c>
      <c r="D427" s="20" t="str">
        <v>未匹配</v>
      </c>
      <c r="E427" s="20">
        <v>0</v>
      </c>
    </row>
    <row r="428" spans="1:5">
      <c r="A428" s="20" t="str">
        <v>00:00:00</v>
      </c>
      <c r="B428" s="19">
        <v>0</v>
      </c>
      <c r="C428" s="21">
        <v>0</v>
      </c>
      <c r="D428" s="20" t="str">
        <v>未匹配</v>
      </c>
      <c r="E428" s="20">
        <v>0</v>
      </c>
    </row>
    <row r="429" spans="1:5">
      <c r="A429" s="20" t="str">
        <v>00:00:00</v>
      </c>
      <c r="B429" s="19">
        <v>0</v>
      </c>
      <c r="C429" s="21">
        <v>0</v>
      </c>
      <c r="D429" s="20" t="str">
        <v>未匹配</v>
      </c>
      <c r="E429" s="20">
        <v>0</v>
      </c>
    </row>
    <row r="430" spans="1:5">
      <c r="A430" s="20" t="str">
        <v>00:00:00</v>
      </c>
      <c r="B430" s="19">
        <v>0</v>
      </c>
      <c r="C430" s="21">
        <v>0</v>
      </c>
      <c r="D430" s="20" t="str">
        <v>未匹配</v>
      </c>
      <c r="E430" s="20">
        <v>0</v>
      </c>
    </row>
    <row r="431" spans="1:5">
      <c r="A431" s="20" t="str">
        <v>00:00:00</v>
      </c>
      <c r="B431" s="19">
        <v>0</v>
      </c>
      <c r="C431" s="21">
        <v>0</v>
      </c>
      <c r="D431" s="20" t="str">
        <v>未匹配</v>
      </c>
      <c r="E431" s="20">
        <v>0</v>
      </c>
    </row>
    <row r="432" spans="1:5">
      <c r="A432" s="20" t="str">
        <v>00:00:00</v>
      </c>
      <c r="B432" s="19">
        <v>0</v>
      </c>
      <c r="C432" s="21">
        <v>0</v>
      </c>
      <c r="D432" s="20" t="str">
        <v>未匹配</v>
      </c>
      <c r="E432" s="20">
        <v>0</v>
      </c>
    </row>
    <row r="433" spans="1:5">
      <c r="A433" s="20" t="str">
        <v>00:00:00</v>
      </c>
      <c r="B433" s="19">
        <v>0</v>
      </c>
      <c r="C433" s="21">
        <v>0</v>
      </c>
      <c r="D433" s="20" t="str">
        <v>未匹配</v>
      </c>
      <c r="E433" s="20">
        <v>0</v>
      </c>
    </row>
    <row r="434" spans="1:5">
      <c r="A434" s="20" t="str">
        <v>00:00:00</v>
      </c>
      <c r="B434" s="19">
        <v>0</v>
      </c>
      <c r="C434" s="21">
        <v>0</v>
      </c>
      <c r="D434" s="20" t="str">
        <v>未匹配</v>
      </c>
      <c r="E434" s="20">
        <v>0</v>
      </c>
    </row>
    <row r="435" spans="1:5">
      <c r="A435" s="20" t="str">
        <v>00:00:00</v>
      </c>
      <c r="B435" s="19">
        <v>0</v>
      </c>
      <c r="C435" s="21">
        <v>0</v>
      </c>
      <c r="D435" s="20" t="str">
        <v>未匹配</v>
      </c>
      <c r="E435" s="20">
        <v>0</v>
      </c>
    </row>
    <row r="436" spans="1:5">
      <c r="A436" s="20" t="str">
        <v>00:00:00</v>
      </c>
      <c r="B436" s="19">
        <v>0</v>
      </c>
      <c r="C436" s="21">
        <v>0</v>
      </c>
      <c r="D436" s="20" t="str">
        <v>未匹配</v>
      </c>
      <c r="E436" s="20">
        <v>0</v>
      </c>
    </row>
    <row r="437" spans="1:5">
      <c r="A437" s="20" t="str">
        <v>00:00:00</v>
      </c>
      <c r="B437" s="19">
        <v>0</v>
      </c>
      <c r="C437" s="21">
        <v>0</v>
      </c>
      <c r="D437" s="20" t="str">
        <v>未匹配</v>
      </c>
      <c r="E437" s="20">
        <v>0</v>
      </c>
    </row>
    <row r="438" spans="1:5">
      <c r="A438" s="20" t="str">
        <v>00:00:00</v>
      </c>
      <c r="B438" s="19">
        <v>0</v>
      </c>
      <c r="C438" s="21">
        <v>0</v>
      </c>
      <c r="D438" s="20" t="str">
        <v>未匹配</v>
      </c>
      <c r="E438" s="20">
        <v>0</v>
      </c>
    </row>
    <row r="439" spans="1:5">
      <c r="A439" s="20" t="str">
        <v>00:00:00</v>
      </c>
      <c r="B439" s="19">
        <v>0</v>
      </c>
      <c r="C439" s="21">
        <v>0</v>
      </c>
      <c r="D439" s="20" t="str">
        <v>未匹配</v>
      </c>
      <c r="E439" s="20">
        <v>0</v>
      </c>
    </row>
    <row r="440" spans="1:5">
      <c r="A440" s="20" t="str">
        <v>00:00:00</v>
      </c>
      <c r="B440" s="19">
        <v>0</v>
      </c>
      <c r="C440" s="21">
        <v>0</v>
      </c>
      <c r="D440" s="20" t="str">
        <v>未匹配</v>
      </c>
      <c r="E440" s="20">
        <v>0</v>
      </c>
    </row>
    <row r="441" spans="1:5">
      <c r="A441" s="20" t="str">
        <v>00:00:00</v>
      </c>
      <c r="B441" s="19">
        <v>0</v>
      </c>
      <c r="C441" s="21">
        <v>0</v>
      </c>
      <c r="D441" s="20" t="str">
        <v>未匹配</v>
      </c>
      <c r="E441" s="20">
        <v>0</v>
      </c>
    </row>
    <row r="442" spans="1:5">
      <c r="A442" s="20" t="str">
        <v>00:00:00</v>
      </c>
      <c r="B442" s="19">
        <v>0</v>
      </c>
      <c r="C442" s="21">
        <v>0</v>
      </c>
      <c r="D442" s="20" t="str">
        <v>未匹配</v>
      </c>
      <c r="E442" s="20">
        <v>0</v>
      </c>
    </row>
    <row r="443" spans="1:5">
      <c r="A443" s="20" t="str">
        <v>00:00:00</v>
      </c>
      <c r="B443" s="19">
        <v>0</v>
      </c>
      <c r="C443" s="21">
        <v>0</v>
      </c>
      <c r="D443" s="20" t="str">
        <v>未匹配</v>
      </c>
      <c r="E443" s="20">
        <v>0</v>
      </c>
    </row>
    <row r="444" spans="1:5">
      <c r="A444" s="20" t="str">
        <v>00:00:00</v>
      </c>
      <c r="B444" s="19">
        <v>0</v>
      </c>
      <c r="C444" s="21">
        <v>0</v>
      </c>
      <c r="D444" s="20" t="str">
        <v>未匹配</v>
      </c>
      <c r="E444" s="20">
        <v>0</v>
      </c>
    </row>
    <row r="445" spans="1:5">
      <c r="A445" s="20" t="str">
        <v>00:00:00</v>
      </c>
      <c r="B445" s="19">
        <v>0</v>
      </c>
      <c r="C445" s="21">
        <v>0</v>
      </c>
      <c r="D445" s="20" t="str">
        <v>未匹配</v>
      </c>
      <c r="E445" s="20">
        <v>0</v>
      </c>
    </row>
    <row r="446" spans="1:5">
      <c r="A446" s="20" t="str">
        <v>00:00:00</v>
      </c>
      <c r="B446" s="19">
        <v>0</v>
      </c>
      <c r="C446" s="21">
        <v>0</v>
      </c>
      <c r="D446" s="20" t="str">
        <v>未匹配</v>
      </c>
      <c r="E446" s="20">
        <v>0</v>
      </c>
    </row>
    <row r="447" spans="1:5">
      <c r="A447" s="20" t="str">
        <v>00:00:00</v>
      </c>
      <c r="B447" s="19">
        <v>0</v>
      </c>
      <c r="C447" s="21">
        <v>0</v>
      </c>
      <c r="D447" s="20" t="str">
        <v>未匹配</v>
      </c>
      <c r="E447" s="20">
        <v>0</v>
      </c>
    </row>
    <row r="448" spans="1:5">
      <c r="A448" s="20" t="str">
        <v>00:00:00</v>
      </c>
      <c r="B448" s="19">
        <v>0</v>
      </c>
      <c r="C448" s="21">
        <v>0</v>
      </c>
      <c r="D448" s="20" t="str">
        <v>未匹配</v>
      </c>
      <c r="E448" s="20">
        <v>0</v>
      </c>
    </row>
    <row r="449" spans="1:5">
      <c r="A449" s="20" t="str">
        <v>00:00:00</v>
      </c>
      <c r="B449" s="19">
        <v>0</v>
      </c>
      <c r="C449" s="21">
        <v>0</v>
      </c>
      <c r="D449" s="20" t="str">
        <v>未匹配</v>
      </c>
      <c r="E449" s="20">
        <v>0</v>
      </c>
    </row>
    <row r="450" spans="1:5">
      <c r="A450" s="20" t="str">
        <v>00:00:00</v>
      </c>
      <c r="B450" s="19">
        <v>0</v>
      </c>
      <c r="C450" s="21">
        <v>0</v>
      </c>
      <c r="D450" s="20" t="str">
        <v>未匹配</v>
      </c>
      <c r="E450" s="20">
        <v>0</v>
      </c>
    </row>
    <row r="451" spans="1:5">
      <c r="A451" s="20" t="str">
        <v>00:00:00</v>
      </c>
      <c r="B451" s="19">
        <v>0</v>
      </c>
      <c r="C451" s="21">
        <v>0</v>
      </c>
      <c r="D451" s="20" t="str">
        <v>未匹配</v>
      </c>
      <c r="E451" s="20">
        <v>0</v>
      </c>
    </row>
    <row r="452" spans="1:5">
      <c r="A452" s="20" t="str">
        <v>00:00:00</v>
      </c>
      <c r="B452" s="19">
        <v>0</v>
      </c>
      <c r="C452" s="21">
        <v>0</v>
      </c>
      <c r="D452" s="20" t="str">
        <v>未匹配</v>
      </c>
      <c r="E452" s="20">
        <v>0</v>
      </c>
    </row>
    <row r="453" spans="1:5">
      <c r="A453" s="20" t="str">
        <v>00:00:00</v>
      </c>
      <c r="B453" s="19">
        <v>0</v>
      </c>
      <c r="C453" s="21">
        <v>0</v>
      </c>
      <c r="D453" s="20" t="str">
        <v>未匹配</v>
      </c>
      <c r="E453" s="20">
        <v>0</v>
      </c>
    </row>
    <row r="454" spans="1:5">
      <c r="A454" s="20" t="str">
        <v>00:00:00</v>
      </c>
      <c r="B454" s="19">
        <v>0</v>
      </c>
      <c r="C454" s="21">
        <v>0</v>
      </c>
      <c r="D454" s="20" t="str">
        <v>未匹配</v>
      </c>
      <c r="E454" s="20">
        <v>0</v>
      </c>
    </row>
    <row r="455" spans="1:5">
      <c r="A455" s="20" t="str">
        <v>00:00:00</v>
      </c>
      <c r="B455" s="19">
        <v>0</v>
      </c>
      <c r="C455" s="21">
        <v>0</v>
      </c>
      <c r="D455" s="20" t="str">
        <v>未匹配</v>
      </c>
      <c r="E455" s="20">
        <v>0</v>
      </c>
    </row>
    <row r="456" spans="1:5">
      <c r="A456" s="20" t="str">
        <v>00:00:00</v>
      </c>
      <c r="B456" s="19">
        <v>0</v>
      </c>
      <c r="C456" s="21">
        <v>0</v>
      </c>
      <c r="D456" s="20" t="str">
        <v>未匹配</v>
      </c>
      <c r="E456" s="20">
        <v>0</v>
      </c>
    </row>
    <row r="457" spans="1:5">
      <c r="A457" s="20" t="str">
        <v>00:00:00</v>
      </c>
      <c r="B457" s="19">
        <v>0</v>
      </c>
      <c r="C457" s="21">
        <v>0</v>
      </c>
      <c r="D457" s="20" t="str">
        <v>未匹配</v>
      </c>
      <c r="E457" s="20">
        <v>0</v>
      </c>
    </row>
    <row r="458" spans="1:5">
      <c r="A458" s="20" t="str">
        <v>00:00:00</v>
      </c>
      <c r="B458" s="19">
        <v>0</v>
      </c>
      <c r="C458" s="21">
        <v>0</v>
      </c>
      <c r="D458" s="20" t="str">
        <v>未匹配</v>
      </c>
      <c r="E458" s="20">
        <v>0</v>
      </c>
    </row>
    <row r="459" spans="1:5">
      <c r="A459" s="20" t="str">
        <v>00:00:00</v>
      </c>
      <c r="B459" s="19">
        <v>0</v>
      </c>
      <c r="C459" s="21">
        <v>0</v>
      </c>
      <c r="D459" s="20" t="str">
        <v>未匹配</v>
      </c>
      <c r="E459" s="20">
        <v>0</v>
      </c>
    </row>
    <row r="460" spans="1:5">
      <c r="A460" s="20" t="str">
        <v>00:00:00</v>
      </c>
      <c r="B460" s="19">
        <v>0</v>
      </c>
      <c r="C460" s="21">
        <v>0</v>
      </c>
      <c r="D460" s="20" t="str">
        <v>未匹配</v>
      </c>
      <c r="E460" s="20">
        <v>0</v>
      </c>
    </row>
    <row r="461" spans="1:5">
      <c r="A461" s="20" t="str">
        <v>00:00:00</v>
      </c>
      <c r="B461" s="19">
        <v>0</v>
      </c>
      <c r="C461" s="21">
        <v>0</v>
      </c>
      <c r="D461" s="20" t="str">
        <v>未匹配</v>
      </c>
      <c r="E461" s="20">
        <v>0</v>
      </c>
    </row>
    <row r="462" spans="1:5">
      <c r="A462" s="20" t="str">
        <v>00:00:00</v>
      </c>
      <c r="B462" s="19">
        <v>0</v>
      </c>
      <c r="C462" s="21">
        <v>0</v>
      </c>
      <c r="D462" s="20" t="str">
        <v>未匹配</v>
      </c>
      <c r="E462" s="20">
        <v>0</v>
      </c>
    </row>
    <row r="463" spans="1:5">
      <c r="A463" s="20" t="str">
        <v>00:00:00</v>
      </c>
      <c r="B463" s="19">
        <v>0</v>
      </c>
      <c r="C463" s="21">
        <v>0</v>
      </c>
      <c r="D463" s="20" t="str">
        <v>未匹配</v>
      </c>
      <c r="E463" s="20">
        <v>0</v>
      </c>
    </row>
    <row r="464" spans="1:5">
      <c r="A464" s="20" t="str">
        <v>00:00:00</v>
      </c>
      <c r="B464" s="19">
        <v>0</v>
      </c>
      <c r="C464" s="21">
        <v>0</v>
      </c>
      <c r="D464" s="20" t="str">
        <v>未匹配</v>
      </c>
      <c r="E464" s="20">
        <v>0</v>
      </c>
    </row>
    <row r="465" spans="1:5">
      <c r="A465" s="20" t="str">
        <v>00:00:00</v>
      </c>
      <c r="B465" s="19">
        <v>0</v>
      </c>
      <c r="C465" s="21">
        <v>0</v>
      </c>
      <c r="D465" s="20" t="str">
        <v>未匹配</v>
      </c>
      <c r="E465" s="20">
        <v>0</v>
      </c>
    </row>
    <row r="466" spans="1:5">
      <c r="A466" s="20" t="str">
        <v>00:00:00</v>
      </c>
      <c r="B466" s="19">
        <v>0</v>
      </c>
      <c r="C466" s="21">
        <v>0</v>
      </c>
      <c r="D466" s="20" t="str">
        <v>未匹配</v>
      </c>
      <c r="E466" s="20">
        <v>0</v>
      </c>
    </row>
    <row r="467" spans="1:5">
      <c r="A467" s="20" t="str">
        <v>00:00:00</v>
      </c>
      <c r="B467" s="19">
        <v>0</v>
      </c>
      <c r="C467" s="21">
        <v>0</v>
      </c>
      <c r="D467" s="20" t="str">
        <v>未匹配</v>
      </c>
      <c r="E467" s="20">
        <v>0</v>
      </c>
    </row>
    <row r="468" spans="1:5">
      <c r="A468" s="20" t="str">
        <v>00:00:00</v>
      </c>
      <c r="B468" s="19">
        <v>0</v>
      </c>
      <c r="C468" s="21">
        <v>0</v>
      </c>
      <c r="D468" s="20" t="str">
        <v>未匹配</v>
      </c>
      <c r="E468" s="20">
        <v>0</v>
      </c>
    </row>
    <row r="469" spans="1:5">
      <c r="A469" s="20" t="str">
        <v>00:00:00</v>
      </c>
      <c r="B469" s="19">
        <v>0</v>
      </c>
      <c r="C469" s="21">
        <v>0</v>
      </c>
      <c r="D469" s="20" t="str">
        <v>未匹配</v>
      </c>
      <c r="E469" s="20">
        <v>0</v>
      </c>
    </row>
    <row r="470" spans="1:5">
      <c r="A470" s="20" t="str">
        <v>00:00:00</v>
      </c>
      <c r="B470" s="19">
        <v>0</v>
      </c>
      <c r="C470" s="21">
        <v>0</v>
      </c>
      <c r="D470" s="20" t="str">
        <v>未匹配</v>
      </c>
      <c r="E470" s="20">
        <v>0</v>
      </c>
    </row>
    <row r="471" spans="1:5">
      <c r="A471" s="20" t="str">
        <v>00:00:00</v>
      </c>
      <c r="B471" s="19">
        <v>0</v>
      </c>
      <c r="C471" s="21">
        <v>0</v>
      </c>
      <c r="D471" s="20" t="str">
        <v>未匹配</v>
      </c>
      <c r="E471" s="20">
        <v>0</v>
      </c>
    </row>
    <row r="472" spans="1:5">
      <c r="A472" s="20" t="str">
        <v>00:00:00</v>
      </c>
      <c r="B472" s="19">
        <v>0</v>
      </c>
      <c r="C472" s="21">
        <v>0</v>
      </c>
      <c r="D472" s="20" t="str">
        <v>未匹配</v>
      </c>
      <c r="E472" s="20">
        <v>0</v>
      </c>
    </row>
    <row r="473" spans="1:5">
      <c r="A473" s="20" t="str">
        <v>00:00:00</v>
      </c>
      <c r="B473" s="19">
        <v>0</v>
      </c>
      <c r="C473" s="21">
        <v>0</v>
      </c>
      <c r="D473" s="20" t="str">
        <v>未匹配</v>
      </c>
      <c r="E473" s="20">
        <v>0</v>
      </c>
    </row>
    <row r="474" spans="1:5">
      <c r="A474" s="20" t="str">
        <v>00:00:00</v>
      </c>
      <c r="B474" s="19">
        <v>0</v>
      </c>
      <c r="C474" s="21">
        <v>0</v>
      </c>
      <c r="D474" s="20" t="str">
        <v>未匹配</v>
      </c>
      <c r="E474" s="20">
        <v>0</v>
      </c>
    </row>
    <row r="475" spans="1:5">
      <c r="A475" s="20" t="str">
        <v>00:00:00</v>
      </c>
      <c r="B475" s="19">
        <v>0</v>
      </c>
      <c r="C475" s="21">
        <v>0</v>
      </c>
      <c r="D475" s="20" t="str">
        <v>未匹配</v>
      </c>
      <c r="E475" s="20">
        <v>0</v>
      </c>
    </row>
    <row r="476" spans="1:5">
      <c r="A476" s="20" t="str">
        <v>00:00:00</v>
      </c>
      <c r="B476" s="19">
        <v>0</v>
      </c>
      <c r="C476" s="21">
        <v>0</v>
      </c>
      <c r="D476" s="20" t="str">
        <v>未匹配</v>
      </c>
      <c r="E476" s="20">
        <v>0</v>
      </c>
    </row>
    <row r="477" spans="1:5">
      <c r="A477" s="20" t="str">
        <v>00:00:00</v>
      </c>
      <c r="B477" s="19">
        <v>0</v>
      </c>
      <c r="C477" s="21">
        <v>0</v>
      </c>
      <c r="D477" s="20" t="str">
        <v>未匹配</v>
      </c>
      <c r="E477" s="20">
        <v>0</v>
      </c>
    </row>
    <row r="478" spans="1:5">
      <c r="A478" s="20" t="str">
        <v>00:00:00</v>
      </c>
      <c r="B478" s="19">
        <v>0</v>
      </c>
      <c r="C478" s="21">
        <v>0</v>
      </c>
      <c r="D478" s="20" t="str">
        <v>未匹配</v>
      </c>
      <c r="E478" s="20">
        <v>0</v>
      </c>
    </row>
    <row r="479" spans="1:5">
      <c r="A479" s="20" t="str">
        <v>00:00:00</v>
      </c>
      <c r="B479" s="19">
        <v>0</v>
      </c>
      <c r="C479" s="21">
        <v>0</v>
      </c>
      <c r="D479" s="20" t="str">
        <v>未匹配</v>
      </c>
      <c r="E479" s="20">
        <v>0</v>
      </c>
    </row>
    <row r="480" spans="1:5">
      <c r="A480" s="20" t="str">
        <v>00:00:00</v>
      </c>
      <c r="B480" s="19">
        <v>0</v>
      </c>
      <c r="C480" s="21">
        <v>0</v>
      </c>
      <c r="D480" s="20" t="str">
        <v>未匹配</v>
      </c>
      <c r="E480" s="20">
        <v>0</v>
      </c>
    </row>
    <row r="481" spans="1:5">
      <c r="A481" s="20" t="str">
        <v>00:00:00</v>
      </c>
      <c r="B481" s="19">
        <v>0</v>
      </c>
      <c r="C481" s="21">
        <v>0</v>
      </c>
      <c r="D481" s="20" t="str">
        <v>未匹配</v>
      </c>
      <c r="E481" s="20">
        <v>0</v>
      </c>
    </row>
    <row r="482" spans="1:5">
      <c r="A482" s="20" t="str">
        <v>00:00:00</v>
      </c>
      <c r="B482" s="19">
        <v>0</v>
      </c>
      <c r="C482" s="21">
        <v>0</v>
      </c>
      <c r="D482" s="20" t="str">
        <v>未匹配</v>
      </c>
      <c r="E482" s="20">
        <v>0</v>
      </c>
    </row>
    <row r="483" spans="1:5">
      <c r="A483" s="20" t="str">
        <v>00:00:00</v>
      </c>
      <c r="B483" s="19">
        <v>0</v>
      </c>
      <c r="C483" s="21">
        <v>0</v>
      </c>
      <c r="D483" s="20" t="str">
        <v>未匹配</v>
      </c>
      <c r="E483" s="20">
        <v>0</v>
      </c>
    </row>
    <row r="484" spans="1:5">
      <c r="A484" s="20" t="str">
        <v>00:00:00</v>
      </c>
      <c r="B484" s="19">
        <v>0</v>
      </c>
      <c r="C484" s="21">
        <v>0</v>
      </c>
      <c r="D484" s="20" t="str">
        <v>未匹配</v>
      </c>
      <c r="E484" s="20">
        <v>0</v>
      </c>
    </row>
    <row r="485" spans="1:5">
      <c r="A485" s="20" t="str">
        <v>00:00:00</v>
      </c>
      <c r="B485" s="19">
        <v>0</v>
      </c>
      <c r="C485" s="21">
        <v>0</v>
      </c>
      <c r="D485" s="20" t="str">
        <v>未匹配</v>
      </c>
      <c r="E485" s="20">
        <v>0</v>
      </c>
    </row>
    <row r="486" spans="1:5">
      <c r="A486" s="20" t="str">
        <v>00:00:00</v>
      </c>
      <c r="B486" s="19">
        <v>0</v>
      </c>
      <c r="C486" s="21">
        <v>0</v>
      </c>
      <c r="D486" s="20" t="str">
        <v>未匹配</v>
      </c>
      <c r="E486" s="20">
        <v>0</v>
      </c>
    </row>
    <row r="487" spans="1:5">
      <c r="A487" s="20" t="str">
        <v>00:00:00</v>
      </c>
      <c r="B487" s="19">
        <v>0</v>
      </c>
      <c r="C487" s="21">
        <v>0</v>
      </c>
      <c r="D487" s="20" t="str">
        <v>未匹配</v>
      </c>
      <c r="E487" s="20">
        <v>0</v>
      </c>
    </row>
    <row r="488" spans="1:5">
      <c r="A488" s="20" t="str">
        <v>00:00:00</v>
      </c>
      <c r="B488" s="19">
        <v>0</v>
      </c>
      <c r="C488" s="21">
        <v>0</v>
      </c>
      <c r="D488" s="20" t="str">
        <v>未匹配</v>
      </c>
      <c r="E488" s="20">
        <v>0</v>
      </c>
    </row>
    <row r="489" spans="1:5">
      <c r="A489" s="20" t="str">
        <v>00:00:00</v>
      </c>
      <c r="B489" s="19">
        <v>0</v>
      </c>
      <c r="C489" s="21">
        <v>0</v>
      </c>
      <c r="D489" s="20" t="str">
        <v>未匹配</v>
      </c>
      <c r="E489" s="20">
        <v>0</v>
      </c>
    </row>
    <row r="490" spans="1:5">
      <c r="A490" s="20" t="str">
        <v>00:00:00</v>
      </c>
      <c r="B490" s="19">
        <v>0</v>
      </c>
      <c r="C490" s="21">
        <v>0</v>
      </c>
      <c r="D490" s="20" t="str">
        <v>未匹配</v>
      </c>
      <c r="E490" s="20">
        <v>0</v>
      </c>
    </row>
    <row r="491" spans="1:5">
      <c r="A491" s="20" t="str">
        <v>00:00:00</v>
      </c>
      <c r="B491" s="19">
        <v>0</v>
      </c>
      <c r="C491" s="21">
        <v>0</v>
      </c>
      <c r="D491" s="20" t="str">
        <v>未匹配</v>
      </c>
      <c r="E491" s="20">
        <v>0</v>
      </c>
    </row>
    <row r="492" spans="1:5">
      <c r="A492" s="20" t="str">
        <v>00:00:00</v>
      </c>
      <c r="B492" s="19">
        <v>0</v>
      </c>
      <c r="C492" s="21">
        <v>0</v>
      </c>
      <c r="D492" s="20" t="str">
        <v>未匹配</v>
      </c>
      <c r="E492" s="20">
        <v>0</v>
      </c>
    </row>
    <row r="493" spans="1:5">
      <c r="A493" s="20" t="str">
        <v>00:00:00</v>
      </c>
      <c r="B493" s="19">
        <v>0</v>
      </c>
      <c r="C493" s="21">
        <v>0</v>
      </c>
      <c r="D493" s="20" t="str">
        <v>未匹配</v>
      </c>
      <c r="E493" s="20">
        <v>0</v>
      </c>
    </row>
    <row r="494" spans="1:5">
      <c r="A494" s="20" t="str">
        <v>00:00:00</v>
      </c>
      <c r="B494" s="19">
        <v>0</v>
      </c>
      <c r="C494" s="21">
        <v>0</v>
      </c>
      <c r="D494" s="20" t="str">
        <v>未匹配</v>
      </c>
      <c r="E494" s="20">
        <v>0</v>
      </c>
    </row>
    <row r="495" spans="1:5">
      <c r="A495" s="20" t="str">
        <v>00:00:00</v>
      </c>
      <c r="B495" s="19">
        <v>0</v>
      </c>
      <c r="C495" s="21">
        <v>0</v>
      </c>
      <c r="D495" s="20" t="str">
        <v>未匹配</v>
      </c>
      <c r="E495" s="20">
        <v>0</v>
      </c>
    </row>
    <row r="496" spans="1:5">
      <c r="A496" s="20" t="str">
        <v>00:00:00</v>
      </c>
      <c r="B496" s="19">
        <v>0</v>
      </c>
      <c r="C496" s="21">
        <v>0</v>
      </c>
      <c r="D496" s="20" t="str">
        <v>未匹配</v>
      </c>
      <c r="E496" s="20">
        <v>0</v>
      </c>
    </row>
    <row r="497" spans="1:5">
      <c r="A497" s="20" t="str">
        <v>00:00:00</v>
      </c>
      <c r="B497" s="19">
        <v>0</v>
      </c>
      <c r="C497" s="21">
        <v>0</v>
      </c>
      <c r="D497" s="20" t="str">
        <v>未匹配</v>
      </c>
      <c r="E497" s="20">
        <v>0</v>
      </c>
    </row>
    <row r="498" spans="1:5">
      <c r="A498" s="20" t="str">
        <v>00:00:00</v>
      </c>
      <c r="B498" s="19">
        <v>0</v>
      </c>
      <c r="C498" s="21">
        <v>0</v>
      </c>
      <c r="D498" s="20" t="str">
        <v>未匹配</v>
      </c>
      <c r="E498" s="20">
        <v>0</v>
      </c>
    </row>
    <row r="499" spans="1:5">
      <c r="A499" s="20" t="str">
        <v>00:00:00</v>
      </c>
      <c r="B499" s="19">
        <v>0</v>
      </c>
      <c r="C499" s="21">
        <v>0</v>
      </c>
      <c r="D499" s="20" t="str">
        <v>未匹配</v>
      </c>
      <c r="E499" s="20">
        <v>0</v>
      </c>
    </row>
    <row r="500" spans="1:5">
      <c r="A500" s="20" t="str">
        <v>00:00:00</v>
      </c>
      <c r="B500" s="19">
        <v>0</v>
      </c>
      <c r="C500" s="21">
        <v>0</v>
      </c>
      <c r="D500" s="20" t="str">
        <v>未匹配</v>
      </c>
      <c r="E500" s="20">
        <v>0</v>
      </c>
    </row>
    <row r="501" spans="1:5">
      <c r="A501" s="20" t="str">
        <v>00:00:00</v>
      </c>
      <c r="B501" s="19">
        <v>0</v>
      </c>
      <c r="C501" s="21">
        <v>0</v>
      </c>
      <c r="D501" s="20" t="str">
        <v>未匹配</v>
      </c>
      <c r="E501" s="20">
        <v>0</v>
      </c>
    </row>
    <row r="502" spans="1:5">
      <c r="A502" s="20" t="str">
        <v>00:00:00</v>
      </c>
      <c r="B502" s="19">
        <v>0</v>
      </c>
      <c r="C502" s="21">
        <v>0</v>
      </c>
      <c r="D502" s="20" t="str">
        <v>未匹配</v>
      </c>
      <c r="E502" s="20">
        <v>0</v>
      </c>
    </row>
    <row r="503" spans="1:5">
      <c r="A503" s="20" t="str">
        <v>00:00:00</v>
      </c>
      <c r="B503" s="19">
        <v>0</v>
      </c>
      <c r="C503" s="21">
        <v>0</v>
      </c>
      <c r="D503" s="20" t="str">
        <v>未匹配</v>
      </c>
      <c r="E503" s="20">
        <v>0</v>
      </c>
    </row>
    <row r="504" spans="1:5">
      <c r="A504" s="20" t="str">
        <v>00:00:00</v>
      </c>
      <c r="B504" s="19">
        <v>0</v>
      </c>
      <c r="C504" s="21">
        <v>0</v>
      </c>
      <c r="D504" s="20" t="str">
        <v>未匹配</v>
      </c>
      <c r="E504" s="20">
        <v>0</v>
      </c>
    </row>
    <row r="505" spans="1:5">
      <c r="A505" s="20" t="str">
        <v>00:00:00</v>
      </c>
      <c r="B505" s="19">
        <v>0</v>
      </c>
      <c r="C505" s="21">
        <v>0</v>
      </c>
      <c r="D505" s="20" t="str">
        <v>未匹配</v>
      </c>
      <c r="E505" s="20">
        <v>0</v>
      </c>
    </row>
    <row r="506" spans="1:5">
      <c r="A506" s="20" t="str">
        <v>00:00:00</v>
      </c>
      <c r="B506" s="19">
        <v>0</v>
      </c>
      <c r="C506" s="21">
        <v>0</v>
      </c>
      <c r="D506" s="20" t="str">
        <v>未匹配</v>
      </c>
      <c r="E506" s="20">
        <v>0</v>
      </c>
    </row>
    <row r="507" spans="1:5">
      <c r="A507" s="20" t="str">
        <v>00:00:00</v>
      </c>
      <c r="B507" s="19">
        <v>0</v>
      </c>
      <c r="C507" s="21">
        <v>0</v>
      </c>
      <c r="D507" s="20" t="str">
        <v>未匹配</v>
      </c>
      <c r="E507" s="20">
        <v>0</v>
      </c>
    </row>
    <row r="508" spans="1:5">
      <c r="A508" s="20" t="str">
        <v>00:00:00</v>
      </c>
      <c r="B508" s="19">
        <v>0</v>
      </c>
      <c r="C508" s="21">
        <v>0</v>
      </c>
      <c r="D508" s="20" t="str">
        <v>未匹配</v>
      </c>
      <c r="E508" s="20">
        <v>0</v>
      </c>
    </row>
    <row r="509" spans="1:5">
      <c r="A509" s="20" t="str">
        <v>00:00:00</v>
      </c>
      <c r="B509" s="19">
        <v>0</v>
      </c>
      <c r="C509" s="21">
        <v>0</v>
      </c>
      <c r="D509" s="20" t="str">
        <v>未匹配</v>
      </c>
      <c r="E509" s="20">
        <v>0</v>
      </c>
    </row>
    <row r="510" spans="1:5">
      <c r="A510" s="20" t="str">
        <v>00:00:00</v>
      </c>
      <c r="B510" s="19">
        <v>0</v>
      </c>
      <c r="C510" s="21">
        <v>0</v>
      </c>
      <c r="D510" s="20" t="str">
        <v>未匹配</v>
      </c>
      <c r="E510" s="20">
        <v>0</v>
      </c>
    </row>
    <row r="511" spans="1:5">
      <c r="A511" s="20" t="str">
        <v>00:00:00</v>
      </c>
      <c r="B511" s="19">
        <v>0</v>
      </c>
      <c r="C511" s="21">
        <v>0</v>
      </c>
      <c r="D511" s="20" t="str">
        <v>未匹配</v>
      </c>
      <c r="E511" s="20">
        <v>0</v>
      </c>
    </row>
    <row r="512" spans="1:5">
      <c r="A512" s="20" t="str">
        <v>00:00:00</v>
      </c>
      <c r="B512" s="19">
        <v>0</v>
      </c>
      <c r="C512" s="21">
        <v>0</v>
      </c>
      <c r="D512" s="20" t="str">
        <v>未匹配</v>
      </c>
      <c r="E512" s="20">
        <v>0</v>
      </c>
    </row>
    <row r="513" spans="1:5">
      <c r="A513" s="20" t="str">
        <v>00:00:00</v>
      </c>
      <c r="B513" s="19">
        <v>0</v>
      </c>
      <c r="C513" s="21">
        <v>0</v>
      </c>
      <c r="D513" s="20" t="str">
        <v>未匹配</v>
      </c>
      <c r="E513" s="20">
        <v>0</v>
      </c>
    </row>
    <row r="514" spans="1:5">
      <c r="A514" s="20" t="str">
        <v>00:00:00</v>
      </c>
      <c r="B514" s="19">
        <v>0</v>
      </c>
      <c r="C514" s="21">
        <v>0</v>
      </c>
      <c r="D514" s="20" t="str">
        <v>未匹配</v>
      </c>
      <c r="E514" s="20">
        <v>0</v>
      </c>
    </row>
    <row r="515" spans="1:5">
      <c r="A515" s="20" t="str">
        <v>00:00:00</v>
      </c>
      <c r="B515" s="19">
        <v>0</v>
      </c>
      <c r="C515" s="21">
        <v>0</v>
      </c>
      <c r="D515" s="20" t="str">
        <v>未匹配</v>
      </c>
      <c r="E515" s="20">
        <v>0</v>
      </c>
    </row>
    <row r="516" spans="1:5">
      <c r="A516" s="20" t="str">
        <v>00:00:00</v>
      </c>
      <c r="B516" s="19">
        <v>0</v>
      </c>
      <c r="C516" s="21">
        <v>0</v>
      </c>
      <c r="D516" s="20" t="str">
        <v>未匹配</v>
      </c>
      <c r="E516" s="20">
        <v>0</v>
      </c>
    </row>
    <row r="517" spans="1:5">
      <c r="A517" s="20" t="str">
        <v>00:00:00</v>
      </c>
      <c r="B517" s="19">
        <v>0</v>
      </c>
      <c r="C517" s="21">
        <v>0</v>
      </c>
      <c r="D517" s="20" t="str">
        <v>未匹配</v>
      </c>
      <c r="E517" s="20">
        <v>0</v>
      </c>
    </row>
    <row r="518" spans="1:5">
      <c r="A518" s="20" t="str">
        <v>00:00:00</v>
      </c>
      <c r="B518" s="19">
        <v>0</v>
      </c>
      <c r="C518" s="21">
        <v>0</v>
      </c>
      <c r="D518" s="20" t="str">
        <v>未匹配</v>
      </c>
      <c r="E518" s="20">
        <v>0</v>
      </c>
    </row>
    <row r="519" spans="1:5">
      <c r="A519" s="20" t="str">
        <v>00:00:00</v>
      </c>
      <c r="B519" s="19">
        <v>0</v>
      </c>
      <c r="C519" s="21">
        <v>0</v>
      </c>
      <c r="D519" s="20" t="str">
        <v>未匹配</v>
      </c>
      <c r="E519" s="20">
        <v>0</v>
      </c>
    </row>
    <row r="520" spans="1:5">
      <c r="A520" s="20" t="str">
        <v>00:00:00</v>
      </c>
      <c r="B520" s="19">
        <v>0</v>
      </c>
      <c r="C520" s="21">
        <v>0</v>
      </c>
      <c r="D520" s="20" t="str">
        <v>未匹配</v>
      </c>
      <c r="E520" s="20">
        <v>0</v>
      </c>
    </row>
    <row r="521" spans="1:5">
      <c r="A521" s="20" t="str">
        <v>00:00:00</v>
      </c>
      <c r="B521" s="19">
        <v>0</v>
      </c>
      <c r="C521" s="21">
        <v>0</v>
      </c>
      <c r="D521" s="20" t="str">
        <v>未匹配</v>
      </c>
      <c r="E521" s="20">
        <v>0</v>
      </c>
    </row>
    <row r="522" spans="1:5">
      <c r="A522" s="20" t="str">
        <v>00:00:00</v>
      </c>
      <c r="B522" s="19">
        <v>0</v>
      </c>
      <c r="C522" s="21">
        <v>0</v>
      </c>
      <c r="D522" s="20" t="str">
        <v>未匹配</v>
      </c>
      <c r="E522" s="20">
        <v>0</v>
      </c>
    </row>
    <row r="523" spans="1:5">
      <c r="A523" s="20" t="str">
        <v>00:00:00</v>
      </c>
      <c r="B523" s="19">
        <v>0</v>
      </c>
      <c r="C523" s="21">
        <v>0</v>
      </c>
      <c r="D523" s="20" t="str">
        <v>未匹配</v>
      </c>
      <c r="E523" s="20">
        <v>0</v>
      </c>
    </row>
    <row r="524" spans="1:5">
      <c r="A524" s="20" t="str">
        <v>00:00:00</v>
      </c>
      <c r="B524" s="19">
        <v>0</v>
      </c>
      <c r="C524" s="21">
        <v>0</v>
      </c>
      <c r="D524" s="20" t="str">
        <v>未匹配</v>
      </c>
      <c r="E524" s="20">
        <v>0</v>
      </c>
    </row>
    <row r="525" spans="1:5">
      <c r="A525" s="20" t="str">
        <v>00:00:00</v>
      </c>
      <c r="B525" s="19">
        <v>0</v>
      </c>
      <c r="C525" s="21">
        <v>0</v>
      </c>
      <c r="D525" s="20" t="str">
        <v>未匹配</v>
      </c>
      <c r="E525" s="20">
        <v>0</v>
      </c>
    </row>
    <row r="526" spans="1:5">
      <c r="A526" s="20" t="str">
        <v>00:00:00</v>
      </c>
      <c r="B526" s="19">
        <v>0</v>
      </c>
      <c r="C526" s="21">
        <v>0</v>
      </c>
      <c r="D526" s="20" t="str">
        <v>未匹配</v>
      </c>
      <c r="E526" s="20">
        <v>0</v>
      </c>
    </row>
    <row r="527" spans="1:5">
      <c r="A527" s="20" t="str">
        <v>00:00:00</v>
      </c>
      <c r="B527" s="19">
        <v>0</v>
      </c>
      <c r="C527" s="21">
        <v>0</v>
      </c>
      <c r="D527" s="20" t="str">
        <v>未匹配</v>
      </c>
      <c r="E527" s="20">
        <v>0</v>
      </c>
    </row>
    <row r="528" spans="1:5">
      <c r="A528" s="20" t="str">
        <v>00:00:00</v>
      </c>
      <c r="B528" s="19">
        <v>0</v>
      </c>
      <c r="C528" s="21">
        <v>0</v>
      </c>
      <c r="D528" s="20" t="str">
        <v>未匹配</v>
      </c>
      <c r="E528" s="20">
        <v>0</v>
      </c>
    </row>
    <row r="529" spans="1:5">
      <c r="A529" s="20" t="str">
        <v>00:00:00</v>
      </c>
      <c r="B529" s="19">
        <v>0</v>
      </c>
      <c r="C529" s="21">
        <v>0</v>
      </c>
      <c r="D529" s="20" t="str">
        <v>未匹配</v>
      </c>
      <c r="E529" s="20">
        <v>0</v>
      </c>
    </row>
    <row r="530" spans="1:5">
      <c r="A530" s="20" t="str">
        <v>00:00:00</v>
      </c>
      <c r="B530" s="19">
        <v>0</v>
      </c>
      <c r="C530" s="21">
        <v>0</v>
      </c>
      <c r="D530" s="20" t="str">
        <v>未匹配</v>
      </c>
      <c r="E530" s="20">
        <v>0</v>
      </c>
    </row>
    <row r="531" spans="1:5">
      <c r="A531" s="20" t="str">
        <v>00:00:00</v>
      </c>
      <c r="B531" s="19">
        <v>0</v>
      </c>
      <c r="C531" s="21">
        <v>0</v>
      </c>
      <c r="D531" s="20" t="str">
        <v>未匹配</v>
      </c>
      <c r="E531" s="20">
        <v>0</v>
      </c>
    </row>
    <row r="532" spans="1:5">
      <c r="A532" s="20" t="str">
        <v>00:00:00</v>
      </c>
      <c r="B532" s="19">
        <v>0</v>
      </c>
      <c r="C532" s="21">
        <v>0</v>
      </c>
      <c r="D532" s="20" t="str">
        <v>未匹配</v>
      </c>
      <c r="E532" s="20">
        <v>0</v>
      </c>
    </row>
    <row r="533" spans="1:5">
      <c r="A533" s="20" t="str">
        <v>00:00:00</v>
      </c>
      <c r="B533" s="19">
        <v>0</v>
      </c>
      <c r="C533" s="21">
        <v>0</v>
      </c>
      <c r="D533" s="20" t="str">
        <v>未匹配</v>
      </c>
      <c r="E533" s="20">
        <v>0</v>
      </c>
    </row>
    <row r="534" spans="1:5">
      <c r="A534" s="20" t="str">
        <v>00:00:00</v>
      </c>
      <c r="B534" s="19">
        <v>0</v>
      </c>
      <c r="C534" s="21">
        <v>0</v>
      </c>
      <c r="D534" s="20" t="str">
        <v>未匹配</v>
      </c>
      <c r="E534" s="20">
        <v>0</v>
      </c>
    </row>
    <row r="535" spans="1:5">
      <c r="A535" s="20" t="str">
        <v>00:00:00</v>
      </c>
      <c r="B535" s="19">
        <v>0</v>
      </c>
      <c r="C535" s="21">
        <v>0</v>
      </c>
      <c r="D535" s="20" t="str">
        <v>未匹配</v>
      </c>
      <c r="E535" s="20">
        <v>0</v>
      </c>
    </row>
    <row r="536" spans="1:5">
      <c r="A536" s="20" t="str">
        <v>00:00:00</v>
      </c>
      <c r="B536" s="19">
        <v>0</v>
      </c>
      <c r="C536" s="21">
        <v>0</v>
      </c>
      <c r="D536" s="20" t="str">
        <v>未匹配</v>
      </c>
      <c r="E536" s="20">
        <v>0</v>
      </c>
    </row>
    <row r="537" spans="1:5">
      <c r="A537" s="20" t="str">
        <v>00:00:00</v>
      </c>
      <c r="B537" s="19">
        <v>0</v>
      </c>
      <c r="C537" s="21">
        <v>0</v>
      </c>
      <c r="D537" s="20" t="str">
        <v>未匹配</v>
      </c>
      <c r="E537" s="20">
        <v>0</v>
      </c>
    </row>
    <row r="538" spans="1:5">
      <c r="A538" s="20" t="str">
        <v>00:00:00</v>
      </c>
      <c r="B538" s="19">
        <v>0</v>
      </c>
      <c r="C538" s="21">
        <v>0</v>
      </c>
      <c r="D538" s="20" t="str">
        <v>未匹配</v>
      </c>
      <c r="E538" s="20">
        <v>0</v>
      </c>
    </row>
    <row r="539" spans="1:5">
      <c r="A539" s="20" t="str">
        <v>00:00:00</v>
      </c>
      <c r="B539" s="19">
        <v>0</v>
      </c>
      <c r="C539" s="21">
        <v>0</v>
      </c>
      <c r="D539" s="20" t="str">
        <v>未匹配</v>
      </c>
      <c r="E539" s="20">
        <v>0</v>
      </c>
    </row>
    <row r="540" spans="1:5">
      <c r="A540" s="20" t="str">
        <v>00:00:00</v>
      </c>
      <c r="B540" s="19">
        <v>0</v>
      </c>
      <c r="C540" s="21">
        <v>0</v>
      </c>
      <c r="D540" s="20" t="str">
        <v>未匹配</v>
      </c>
      <c r="E540" s="20">
        <v>0</v>
      </c>
    </row>
    <row r="541" spans="1:5">
      <c r="A541" s="20" t="str">
        <v>00:00:00</v>
      </c>
      <c r="B541" s="19">
        <v>0</v>
      </c>
      <c r="C541" s="21">
        <v>0</v>
      </c>
      <c r="D541" s="20" t="str">
        <v>未匹配</v>
      </c>
      <c r="E541" s="20">
        <v>0</v>
      </c>
    </row>
    <row r="542" spans="1:5">
      <c r="A542" s="20" t="str">
        <v>00:00:00</v>
      </c>
      <c r="B542" s="19">
        <v>0</v>
      </c>
      <c r="C542" s="21">
        <v>0</v>
      </c>
      <c r="D542" s="20" t="str">
        <v>未匹配</v>
      </c>
      <c r="E542" s="20">
        <v>0</v>
      </c>
    </row>
    <row r="543" spans="1:5">
      <c r="A543" s="20" t="str">
        <v>00:00:00</v>
      </c>
      <c r="B543" s="19">
        <v>0</v>
      </c>
      <c r="C543" s="21">
        <v>0</v>
      </c>
      <c r="D543" s="20" t="str">
        <v>未匹配</v>
      </c>
      <c r="E543" s="20">
        <v>0</v>
      </c>
    </row>
    <row r="544" spans="1:5">
      <c r="A544" s="20" t="str">
        <v>00:00:00</v>
      </c>
      <c r="B544" s="19">
        <v>0</v>
      </c>
      <c r="C544" s="21">
        <v>0</v>
      </c>
      <c r="D544" s="20" t="str">
        <v>未匹配</v>
      </c>
      <c r="E544" s="20">
        <v>0</v>
      </c>
    </row>
    <row r="545" spans="1:5">
      <c r="A545" s="20" t="str">
        <v>00:00:00</v>
      </c>
      <c r="B545" s="19">
        <v>0</v>
      </c>
      <c r="C545" s="21">
        <v>0</v>
      </c>
      <c r="D545" s="20" t="str">
        <v>未匹配</v>
      </c>
      <c r="E545" s="20">
        <v>0</v>
      </c>
    </row>
    <row r="546" spans="1:5">
      <c r="A546" s="20" t="str">
        <v>00:00:00</v>
      </c>
      <c r="B546" s="19">
        <v>0</v>
      </c>
      <c r="C546" s="21">
        <v>0</v>
      </c>
      <c r="D546" s="20" t="str">
        <v>未匹配</v>
      </c>
      <c r="E546" s="20">
        <v>0</v>
      </c>
    </row>
    <row r="547" spans="1:5">
      <c r="A547" s="20" t="str">
        <v>00:00:00</v>
      </c>
      <c r="B547" s="19">
        <v>0</v>
      </c>
      <c r="C547" s="21">
        <v>0</v>
      </c>
      <c r="D547" s="20" t="str">
        <v>未匹配</v>
      </c>
      <c r="E547" s="20">
        <v>0</v>
      </c>
    </row>
    <row r="548" spans="1:5">
      <c r="A548" s="20" t="str">
        <v>00:00:00</v>
      </c>
      <c r="B548" s="19">
        <v>0</v>
      </c>
      <c r="C548" s="21">
        <v>0</v>
      </c>
      <c r="D548" s="20" t="str">
        <v>未匹配</v>
      </c>
      <c r="E548" s="20">
        <v>0</v>
      </c>
    </row>
    <row r="549" spans="1:5">
      <c r="A549" s="20" t="str">
        <v>00:00:00</v>
      </c>
      <c r="B549" s="19">
        <v>0</v>
      </c>
      <c r="C549" s="21">
        <v>0</v>
      </c>
      <c r="D549" s="20" t="str">
        <v>未匹配</v>
      </c>
      <c r="E549" s="20">
        <v>0</v>
      </c>
    </row>
    <row r="550" spans="1:5">
      <c r="A550" s="20" t="str">
        <v>00:00:00</v>
      </c>
      <c r="B550" s="19">
        <v>0</v>
      </c>
      <c r="C550" s="21">
        <v>0</v>
      </c>
      <c r="D550" s="20" t="str">
        <v>未匹配</v>
      </c>
      <c r="E550" s="20">
        <v>0</v>
      </c>
    </row>
    <row r="551" spans="1:5">
      <c r="A551" s="20" t="str">
        <v>00:00:00</v>
      </c>
      <c r="B551" s="19">
        <v>0</v>
      </c>
      <c r="C551" s="21">
        <v>0</v>
      </c>
      <c r="D551" s="20" t="str">
        <v>未匹配</v>
      </c>
      <c r="E551" s="20">
        <v>0</v>
      </c>
    </row>
    <row r="552" spans="1:5">
      <c r="A552" s="20" t="str">
        <v>00:00:00</v>
      </c>
      <c r="B552" s="19">
        <v>0</v>
      </c>
      <c r="C552" s="21">
        <v>0</v>
      </c>
      <c r="D552" s="20" t="str">
        <v>未匹配</v>
      </c>
      <c r="E552" s="20">
        <v>0</v>
      </c>
    </row>
    <row r="553" spans="1:5">
      <c r="A553" s="20" t="str">
        <v>00:00:00</v>
      </c>
      <c r="B553" s="19">
        <v>0</v>
      </c>
      <c r="C553" s="21">
        <v>0</v>
      </c>
      <c r="D553" s="20" t="str">
        <v>未匹配</v>
      </c>
      <c r="E553" s="20">
        <v>0</v>
      </c>
    </row>
    <row r="554" spans="1:5">
      <c r="A554" s="20" t="str">
        <v>00:00:00</v>
      </c>
      <c r="B554" s="19">
        <v>0</v>
      </c>
      <c r="C554" s="21">
        <v>0</v>
      </c>
      <c r="D554" s="20" t="str">
        <v>未匹配</v>
      </c>
      <c r="E554" s="20">
        <v>0</v>
      </c>
    </row>
    <row r="555" spans="1:5">
      <c r="A555" s="20" t="str">
        <v>00:00:00</v>
      </c>
      <c r="B555" s="19">
        <v>0</v>
      </c>
      <c r="C555" s="21">
        <v>0</v>
      </c>
      <c r="D555" s="20" t="str">
        <v>未匹配</v>
      </c>
      <c r="E555" s="20">
        <v>0</v>
      </c>
    </row>
    <row r="556" spans="1:5">
      <c r="A556" s="20" t="str">
        <v>00:00:00</v>
      </c>
      <c r="B556" s="19">
        <v>0</v>
      </c>
      <c r="C556" s="21">
        <v>0</v>
      </c>
      <c r="D556" s="20" t="str">
        <v>未匹配</v>
      </c>
      <c r="E556" s="20">
        <v>0</v>
      </c>
    </row>
    <row r="557" spans="1:5">
      <c r="A557" s="20" t="str">
        <v>00:00:00</v>
      </c>
      <c r="B557" s="19">
        <v>0</v>
      </c>
      <c r="C557" s="21">
        <v>0</v>
      </c>
      <c r="D557" s="20" t="str">
        <v>未匹配</v>
      </c>
      <c r="E557" s="20">
        <v>0</v>
      </c>
    </row>
    <row r="558" spans="1:5">
      <c r="A558" s="20" t="str">
        <v>00:00:00</v>
      </c>
      <c r="B558" s="19">
        <v>0</v>
      </c>
      <c r="C558" s="21">
        <v>0</v>
      </c>
      <c r="D558" s="20" t="str">
        <v>未匹配</v>
      </c>
      <c r="E558" s="20">
        <v>0</v>
      </c>
    </row>
    <row r="559" spans="1:5">
      <c r="A559" s="20" t="str">
        <v>00:00:00</v>
      </c>
      <c r="B559" s="19">
        <v>0</v>
      </c>
      <c r="C559" s="21">
        <v>0</v>
      </c>
      <c r="D559" s="20" t="str">
        <v>未匹配</v>
      </c>
      <c r="E559" s="20">
        <v>0</v>
      </c>
    </row>
    <row r="560" spans="1:5">
      <c r="A560" s="20" t="str">
        <v>00:00:00</v>
      </c>
      <c r="B560" s="19">
        <v>0</v>
      </c>
      <c r="C560" s="21">
        <v>0</v>
      </c>
      <c r="D560" s="20" t="str">
        <v>未匹配</v>
      </c>
      <c r="E560" s="20">
        <v>0</v>
      </c>
    </row>
    <row r="561" spans="1:5">
      <c r="A561" s="20" t="str">
        <v>00:00:00</v>
      </c>
      <c r="B561" s="19">
        <v>0</v>
      </c>
      <c r="C561" s="21">
        <v>0</v>
      </c>
      <c r="D561" s="20" t="str">
        <v>未匹配</v>
      </c>
      <c r="E561" s="20">
        <v>0</v>
      </c>
    </row>
    <row r="562" spans="1:5">
      <c r="A562" s="20" t="str">
        <v>00:00:00</v>
      </c>
      <c r="B562" s="19">
        <v>0</v>
      </c>
      <c r="C562" s="21">
        <v>0</v>
      </c>
      <c r="D562" s="20" t="str">
        <v>未匹配</v>
      </c>
      <c r="E562" s="20">
        <v>0</v>
      </c>
    </row>
    <row r="563" spans="1:5">
      <c r="A563" s="20" t="str">
        <v>00:00:00</v>
      </c>
      <c r="B563" s="19">
        <v>0</v>
      </c>
      <c r="C563" s="21">
        <v>0</v>
      </c>
      <c r="D563" s="20" t="str">
        <v>未匹配</v>
      </c>
      <c r="E563" s="20">
        <v>0</v>
      </c>
    </row>
    <row r="564" spans="1:5">
      <c r="A564" s="20" t="str">
        <v>00:00:00</v>
      </c>
      <c r="B564" s="19">
        <v>0</v>
      </c>
      <c r="C564" s="21">
        <v>0</v>
      </c>
      <c r="D564" s="20" t="str">
        <v>未匹配</v>
      </c>
      <c r="E564" s="20">
        <v>0</v>
      </c>
    </row>
    <row r="565" spans="1:5">
      <c r="A565" s="20" t="str">
        <v>00:00:00</v>
      </c>
      <c r="B565" s="19">
        <v>0</v>
      </c>
      <c r="C565" s="21">
        <v>0</v>
      </c>
      <c r="D565" s="20" t="str">
        <v>未匹配</v>
      </c>
      <c r="E565" s="20">
        <v>0</v>
      </c>
    </row>
    <row r="566" spans="1:5">
      <c r="A566" s="20" t="str">
        <v>00:00:00</v>
      </c>
      <c r="B566" s="19">
        <v>0</v>
      </c>
      <c r="C566" s="21">
        <v>0</v>
      </c>
      <c r="D566" s="20" t="str">
        <v>未匹配</v>
      </c>
      <c r="E566" s="20">
        <v>0</v>
      </c>
    </row>
    <row r="567" spans="1:5">
      <c r="A567" s="20" t="str">
        <v>00:00:00</v>
      </c>
      <c r="B567" s="19">
        <v>0</v>
      </c>
      <c r="C567" s="21">
        <v>0</v>
      </c>
      <c r="D567" s="20" t="str">
        <v>未匹配</v>
      </c>
      <c r="E567" s="20">
        <v>0</v>
      </c>
    </row>
    <row r="568" spans="1:5">
      <c r="A568" s="20" t="str">
        <v>00:00:00</v>
      </c>
      <c r="B568" s="19">
        <v>0</v>
      </c>
      <c r="C568" s="21">
        <v>0</v>
      </c>
      <c r="D568" s="20" t="str">
        <v>未匹配</v>
      </c>
      <c r="E568" s="20">
        <v>0</v>
      </c>
    </row>
    <row r="569" spans="1:5">
      <c r="A569" s="20" t="str">
        <v>00:00:00</v>
      </c>
      <c r="B569" s="19">
        <v>0</v>
      </c>
      <c r="C569" s="21">
        <v>0</v>
      </c>
      <c r="D569" s="20" t="str">
        <v>未匹配</v>
      </c>
      <c r="E569" s="20">
        <v>0</v>
      </c>
    </row>
    <row r="570" spans="1:5">
      <c r="A570" s="20" t="str">
        <v>00:00:00</v>
      </c>
      <c r="B570" s="19">
        <v>0</v>
      </c>
      <c r="C570" s="21">
        <v>0</v>
      </c>
      <c r="D570" s="20" t="str">
        <v>未匹配</v>
      </c>
      <c r="E570" s="20">
        <v>0</v>
      </c>
    </row>
    <row r="571" spans="1:5">
      <c r="A571" s="20" t="str">
        <v>00:00:00</v>
      </c>
      <c r="B571" s="19">
        <v>0</v>
      </c>
      <c r="C571" s="21">
        <v>0</v>
      </c>
      <c r="D571" s="20" t="str">
        <v>未匹配</v>
      </c>
      <c r="E571" s="20">
        <v>0</v>
      </c>
    </row>
    <row r="572" spans="1:5">
      <c r="A572" s="20" t="str">
        <v>00:00:00</v>
      </c>
      <c r="B572" s="19">
        <v>0</v>
      </c>
      <c r="C572" s="21">
        <v>0</v>
      </c>
      <c r="D572" s="20" t="str">
        <v>未匹配</v>
      </c>
      <c r="E572" s="20">
        <v>0</v>
      </c>
    </row>
    <row r="573" spans="1:5">
      <c r="A573" s="20" t="str">
        <v>00:00:00</v>
      </c>
      <c r="B573" s="19">
        <v>0</v>
      </c>
      <c r="C573" s="21">
        <v>0</v>
      </c>
      <c r="D573" s="20" t="str">
        <v>未匹配</v>
      </c>
      <c r="E573" s="20">
        <v>0</v>
      </c>
    </row>
    <row r="574" spans="1:5">
      <c r="A574" s="20" t="str">
        <v>00:00:00</v>
      </c>
      <c r="B574" s="19">
        <v>0</v>
      </c>
      <c r="C574" s="21">
        <v>0</v>
      </c>
      <c r="D574" s="20" t="str">
        <v>未匹配</v>
      </c>
      <c r="E574" s="20">
        <v>0</v>
      </c>
    </row>
    <row r="575" spans="1:5">
      <c r="A575" s="20" t="str">
        <v>00:00:00</v>
      </c>
      <c r="B575" s="19">
        <v>0</v>
      </c>
      <c r="C575" s="21">
        <v>0</v>
      </c>
      <c r="D575" s="20" t="str">
        <v>未匹配</v>
      </c>
      <c r="E575" s="20">
        <v>0</v>
      </c>
    </row>
    <row r="576" spans="1:5">
      <c r="A576" s="20" t="str">
        <v>00:00:00</v>
      </c>
      <c r="B576" s="19">
        <v>0</v>
      </c>
      <c r="C576" s="21">
        <v>0</v>
      </c>
      <c r="D576" s="20" t="str">
        <v>未匹配</v>
      </c>
      <c r="E576" s="20">
        <v>0</v>
      </c>
    </row>
    <row r="577" spans="1:5">
      <c r="A577" s="20" t="str">
        <v>00:00:00</v>
      </c>
      <c r="B577" s="19">
        <v>0</v>
      </c>
      <c r="C577" s="21">
        <v>0</v>
      </c>
      <c r="D577" s="20" t="str">
        <v>未匹配</v>
      </c>
      <c r="E577" s="20">
        <v>0</v>
      </c>
    </row>
    <row r="578" spans="1:5">
      <c r="A578" s="20" t="str">
        <v>00:00:00</v>
      </c>
      <c r="B578" s="19">
        <v>0</v>
      </c>
      <c r="C578" s="21">
        <v>0</v>
      </c>
      <c r="D578" s="20" t="str">
        <v>未匹配</v>
      </c>
      <c r="E578" s="20">
        <v>0</v>
      </c>
    </row>
    <row r="579" spans="1:5">
      <c r="A579" s="20" t="str">
        <v>00:00:00</v>
      </c>
      <c r="B579" s="19">
        <v>0</v>
      </c>
      <c r="C579" s="21">
        <v>0</v>
      </c>
      <c r="D579" s="20" t="str">
        <v>未匹配</v>
      </c>
      <c r="E579" s="20">
        <v>0</v>
      </c>
    </row>
    <row r="580" spans="1:5">
      <c r="A580" s="20" t="str">
        <v>00:00:00</v>
      </c>
      <c r="B580" s="19">
        <v>0</v>
      </c>
      <c r="C580" s="21">
        <v>0</v>
      </c>
      <c r="D580" s="20" t="str">
        <v>未匹配</v>
      </c>
      <c r="E580" s="20">
        <v>0</v>
      </c>
    </row>
    <row r="581" spans="1:5">
      <c r="A581" s="20" t="str">
        <v>00:00:00</v>
      </c>
      <c r="B581" s="19">
        <v>0</v>
      </c>
      <c r="C581" s="21">
        <v>0</v>
      </c>
      <c r="D581" s="20" t="str">
        <v>未匹配</v>
      </c>
      <c r="E581" s="20">
        <v>0</v>
      </c>
    </row>
    <row r="582" spans="1:5">
      <c r="A582" s="20" t="str">
        <v>00:00:00</v>
      </c>
      <c r="B582" s="19">
        <v>0</v>
      </c>
      <c r="C582" s="21">
        <v>0</v>
      </c>
      <c r="D582" s="20" t="str">
        <v>未匹配</v>
      </c>
      <c r="E582" s="20">
        <v>0</v>
      </c>
    </row>
    <row r="583" spans="1:5">
      <c r="A583" s="20" t="str">
        <v>00:00:00</v>
      </c>
      <c r="B583" s="19">
        <v>0</v>
      </c>
      <c r="C583" s="21">
        <v>0</v>
      </c>
      <c r="D583" s="20" t="str">
        <v>未匹配</v>
      </c>
      <c r="E583" s="20">
        <v>0</v>
      </c>
    </row>
    <row r="584" spans="1:5">
      <c r="A584" s="20" t="str">
        <v>00:00:00</v>
      </c>
      <c r="B584" s="19">
        <v>0</v>
      </c>
      <c r="C584" s="21">
        <v>0</v>
      </c>
      <c r="D584" s="20" t="str">
        <v>未匹配</v>
      </c>
      <c r="E584" s="20">
        <v>0</v>
      </c>
    </row>
    <row r="585" spans="1:5">
      <c r="A585" s="20" t="str">
        <v>00:00:00</v>
      </c>
      <c r="B585" s="19">
        <v>0</v>
      </c>
      <c r="C585" s="21">
        <v>0</v>
      </c>
      <c r="D585" s="20" t="str">
        <v>未匹配</v>
      </c>
      <c r="E585" s="20">
        <v>0</v>
      </c>
    </row>
    <row r="586" spans="1:5">
      <c r="A586" s="20" t="str">
        <v>00:00:00</v>
      </c>
      <c r="B586" s="19">
        <v>0</v>
      </c>
      <c r="C586" s="21">
        <v>0</v>
      </c>
      <c r="D586" s="20" t="str">
        <v>未匹配</v>
      </c>
      <c r="E586" s="20">
        <v>0</v>
      </c>
    </row>
    <row r="587" spans="1:5">
      <c r="A587" s="20" t="str">
        <v>00:00:00</v>
      </c>
      <c r="B587" s="19">
        <v>0</v>
      </c>
      <c r="C587" s="21">
        <v>0</v>
      </c>
      <c r="D587" s="20" t="str">
        <v>未匹配</v>
      </c>
      <c r="E587" s="20">
        <v>0</v>
      </c>
    </row>
    <row r="588" spans="1:5">
      <c r="A588" s="20" t="str">
        <v>00:00:00</v>
      </c>
      <c r="B588" s="19">
        <v>0</v>
      </c>
      <c r="C588" s="21">
        <v>0</v>
      </c>
      <c r="D588" s="20" t="str">
        <v>未匹配</v>
      </c>
      <c r="E588" s="20">
        <v>0</v>
      </c>
    </row>
    <row r="589" spans="1:5">
      <c r="A589" s="20" t="str">
        <v>00:00:00</v>
      </c>
      <c r="B589" s="19">
        <v>0</v>
      </c>
      <c r="C589" s="21">
        <v>0</v>
      </c>
      <c r="D589" s="20" t="str">
        <v>未匹配</v>
      </c>
      <c r="E589" s="20">
        <v>0</v>
      </c>
    </row>
    <row r="590" spans="1:5">
      <c r="A590" s="20" t="str">
        <v>00:00:00</v>
      </c>
      <c r="B590" s="19">
        <v>0</v>
      </c>
      <c r="C590" s="21">
        <v>0</v>
      </c>
      <c r="D590" s="20" t="str">
        <v>未匹配</v>
      </c>
      <c r="E590" s="20">
        <v>0</v>
      </c>
    </row>
    <row r="591" spans="1:5">
      <c r="A591" s="20" t="str">
        <v>00:00:00</v>
      </c>
      <c r="B591" s="19">
        <v>0</v>
      </c>
      <c r="C591" s="21">
        <v>0</v>
      </c>
      <c r="D591" s="20" t="str">
        <v>未匹配</v>
      </c>
      <c r="E591" s="20">
        <v>0</v>
      </c>
    </row>
    <row r="592" spans="1:5">
      <c r="A592" s="20" t="str">
        <v>00:00:00</v>
      </c>
      <c r="B592" s="19">
        <v>0</v>
      </c>
      <c r="C592" s="21">
        <v>0</v>
      </c>
      <c r="D592" s="20" t="str">
        <v>未匹配</v>
      </c>
      <c r="E592" s="20">
        <v>0</v>
      </c>
    </row>
    <row r="593" spans="1:5">
      <c r="A593" s="20" t="str">
        <v>00:00:00</v>
      </c>
      <c r="B593" s="19">
        <v>0</v>
      </c>
      <c r="C593" s="21">
        <v>0</v>
      </c>
      <c r="D593" s="20" t="str">
        <v>未匹配</v>
      </c>
      <c r="E593" s="20">
        <v>0</v>
      </c>
    </row>
    <row r="594" spans="1:5">
      <c r="A594" s="20" t="str">
        <v>00:00:00</v>
      </c>
      <c r="B594" s="19">
        <v>0</v>
      </c>
      <c r="C594" s="21">
        <v>0</v>
      </c>
      <c r="D594" s="20" t="str">
        <v>未匹配</v>
      </c>
      <c r="E594" s="20">
        <v>0</v>
      </c>
    </row>
    <row r="595" spans="1:5">
      <c r="A595" s="20" t="str">
        <v>00:00:00</v>
      </c>
      <c r="B595" s="19">
        <v>0</v>
      </c>
      <c r="C595" s="21">
        <v>0</v>
      </c>
      <c r="D595" s="20" t="str">
        <v>未匹配</v>
      </c>
      <c r="E595" s="20">
        <v>0</v>
      </c>
    </row>
    <row r="596" spans="1:5">
      <c r="A596" s="20" t="str">
        <v>00:00:00</v>
      </c>
      <c r="B596" s="19">
        <v>0</v>
      </c>
      <c r="C596" s="21">
        <v>0</v>
      </c>
      <c r="D596" s="20" t="str">
        <v>未匹配</v>
      </c>
      <c r="E596" s="20">
        <v>0</v>
      </c>
    </row>
    <row r="597" spans="1:5">
      <c r="A597" s="20" t="str">
        <v>00:00:00</v>
      </c>
      <c r="B597" s="19">
        <v>0</v>
      </c>
      <c r="C597" s="21">
        <v>0</v>
      </c>
      <c r="D597" s="20" t="str">
        <v>未匹配</v>
      </c>
      <c r="E597" s="20">
        <v>0</v>
      </c>
    </row>
    <row r="598" spans="1:5">
      <c r="A598" s="20" t="str">
        <v>00:00:00</v>
      </c>
      <c r="B598" s="19">
        <v>0</v>
      </c>
      <c r="C598" s="21">
        <v>0</v>
      </c>
      <c r="D598" s="20" t="str">
        <v>未匹配</v>
      </c>
      <c r="E598" s="20">
        <v>0</v>
      </c>
    </row>
    <row r="599" spans="1:5">
      <c r="A599" s="20" t="str">
        <v>00:00:00</v>
      </c>
      <c r="B599" s="19">
        <v>0</v>
      </c>
      <c r="C599" s="21">
        <v>0</v>
      </c>
      <c r="D599" s="20" t="str">
        <v>未匹配</v>
      </c>
      <c r="E599" s="20">
        <v>0</v>
      </c>
    </row>
    <row r="600" spans="1:5">
      <c r="A600" s="20" t="str">
        <v>00:00:00</v>
      </c>
      <c r="B600" s="19">
        <v>0</v>
      </c>
      <c r="C600" s="21">
        <v>0</v>
      </c>
      <c r="D600" s="20" t="str">
        <v>未匹配</v>
      </c>
      <c r="E600" s="20">
        <v>0</v>
      </c>
    </row>
    <row r="601" spans="1:5">
      <c r="A601" s="20" t="str">
        <v>00:00:00</v>
      </c>
      <c r="B601" s="19">
        <v>0</v>
      </c>
      <c r="C601" s="21">
        <v>0</v>
      </c>
      <c r="D601" s="20" t="str">
        <v>未匹配</v>
      </c>
      <c r="E601" s="20">
        <v>0</v>
      </c>
    </row>
    <row r="602" spans="1:5">
      <c r="A602" s="20" t="str">
        <v>00:00:00</v>
      </c>
      <c r="B602" s="19">
        <v>0</v>
      </c>
      <c r="C602" s="21">
        <v>0</v>
      </c>
      <c r="D602" s="20" t="str">
        <v>未匹配</v>
      </c>
      <c r="E602" s="20">
        <v>0</v>
      </c>
    </row>
    <row r="603" spans="1:5">
      <c r="A603" s="20" t="str">
        <v>00:00:00</v>
      </c>
      <c r="B603" s="19">
        <v>0</v>
      </c>
      <c r="C603" s="21">
        <v>0</v>
      </c>
      <c r="D603" s="20" t="str">
        <v>未匹配</v>
      </c>
      <c r="E603" s="20">
        <v>0</v>
      </c>
    </row>
    <row r="604" spans="1:5">
      <c r="A604" s="20" t="str">
        <v>00:00:00</v>
      </c>
      <c r="B604" s="19">
        <v>0</v>
      </c>
      <c r="C604" s="21">
        <v>0</v>
      </c>
      <c r="D604" s="20" t="str">
        <v>未匹配</v>
      </c>
      <c r="E604" s="20">
        <v>0</v>
      </c>
    </row>
    <row r="605" spans="1:5">
      <c r="A605" s="20" t="str">
        <v>00:00:00</v>
      </c>
      <c r="B605" s="19">
        <v>0</v>
      </c>
      <c r="C605" s="21">
        <v>0</v>
      </c>
      <c r="D605" s="20" t="str">
        <v>未匹配</v>
      </c>
      <c r="E605" s="20">
        <v>0</v>
      </c>
    </row>
    <row r="606" spans="1:5">
      <c r="A606" s="20" t="str">
        <v>00:00:00</v>
      </c>
      <c r="B606" s="19">
        <v>0</v>
      </c>
      <c r="C606" s="21">
        <v>0</v>
      </c>
      <c r="D606" s="20" t="str">
        <v>未匹配</v>
      </c>
      <c r="E606" s="20">
        <v>0</v>
      </c>
    </row>
    <row r="607" spans="1:5">
      <c r="A607" s="20" t="str">
        <v>00:00:00</v>
      </c>
      <c r="B607" s="19">
        <v>0</v>
      </c>
      <c r="C607" s="21">
        <v>0</v>
      </c>
      <c r="D607" s="20" t="str">
        <v>未匹配</v>
      </c>
      <c r="E607" s="20">
        <v>0</v>
      </c>
    </row>
    <row r="608" spans="1:5">
      <c r="A608" s="20" t="str">
        <v>00:00:00</v>
      </c>
      <c r="B608" s="19">
        <v>0</v>
      </c>
      <c r="C608" s="21">
        <v>0</v>
      </c>
      <c r="D608" s="20" t="str">
        <v>未匹配</v>
      </c>
      <c r="E608" s="20">
        <v>0</v>
      </c>
    </row>
    <row r="609" spans="1:5">
      <c r="A609" s="20" t="str">
        <v>00:00:00</v>
      </c>
      <c r="B609" s="19">
        <v>0</v>
      </c>
      <c r="C609" s="21">
        <v>0</v>
      </c>
      <c r="D609" s="20" t="str">
        <v>未匹配</v>
      </c>
      <c r="E609" s="20">
        <v>0</v>
      </c>
    </row>
    <row r="610" spans="1:5">
      <c r="A610" s="20" t="str">
        <v>00:00:00</v>
      </c>
      <c r="B610" s="19">
        <v>0</v>
      </c>
      <c r="C610" s="21">
        <v>0</v>
      </c>
      <c r="D610" s="20" t="str">
        <v>未匹配</v>
      </c>
      <c r="E610" s="20">
        <v>0</v>
      </c>
    </row>
    <row r="611" spans="1:5">
      <c r="A611" s="20" t="str">
        <v>00:00:00</v>
      </c>
      <c r="B611" s="19">
        <v>0</v>
      </c>
      <c r="C611" s="21">
        <v>0</v>
      </c>
      <c r="D611" s="20" t="str">
        <v>未匹配</v>
      </c>
      <c r="E611" s="20">
        <v>0</v>
      </c>
    </row>
    <row r="612" spans="1:5">
      <c r="A612" s="20" t="str">
        <v>00:00:00</v>
      </c>
      <c r="B612" s="19">
        <v>0</v>
      </c>
      <c r="C612" s="21">
        <v>0</v>
      </c>
      <c r="D612" s="20" t="str">
        <v>未匹配</v>
      </c>
      <c r="E612" s="20">
        <v>0</v>
      </c>
    </row>
    <row r="613" spans="1:5">
      <c r="A613" s="20" t="str">
        <v>00:00:00</v>
      </c>
      <c r="B613" s="19">
        <v>0</v>
      </c>
      <c r="C613" s="21">
        <v>0</v>
      </c>
      <c r="D613" s="20" t="str">
        <v>未匹配</v>
      </c>
      <c r="E613" s="20">
        <v>0</v>
      </c>
    </row>
    <row r="614" spans="1:5">
      <c r="A614" s="20" t="str">
        <v>00:00:00</v>
      </c>
      <c r="B614" s="19">
        <v>0</v>
      </c>
      <c r="C614" s="21">
        <v>0</v>
      </c>
      <c r="D614" s="20" t="str">
        <v>未匹配</v>
      </c>
      <c r="E614" s="20">
        <v>0</v>
      </c>
    </row>
    <row r="615" spans="1:5">
      <c r="A615" s="20" t="str">
        <v>00:00:00</v>
      </c>
      <c r="B615" s="19">
        <v>0</v>
      </c>
      <c r="C615" s="21">
        <v>0</v>
      </c>
      <c r="D615" s="20" t="str">
        <v>未匹配</v>
      </c>
      <c r="E615" s="20">
        <v>0</v>
      </c>
    </row>
    <row r="616" spans="1:5">
      <c r="A616" s="20" t="str">
        <v>00:00:00</v>
      </c>
      <c r="B616" s="19">
        <v>0</v>
      </c>
      <c r="C616" s="21">
        <v>0</v>
      </c>
      <c r="D616" s="20" t="str">
        <v>未匹配</v>
      </c>
      <c r="E616" s="20">
        <v>0</v>
      </c>
    </row>
    <row r="617" spans="1:5">
      <c r="A617" s="20" t="str">
        <v>00:00:00</v>
      </c>
      <c r="B617" s="19">
        <v>0</v>
      </c>
      <c r="C617" s="21">
        <v>0</v>
      </c>
      <c r="D617" s="20" t="str">
        <v>未匹配</v>
      </c>
      <c r="E617" s="20">
        <v>0</v>
      </c>
    </row>
    <row r="618" spans="1:5">
      <c r="A618" s="20" t="str">
        <v>00:00:00</v>
      </c>
      <c r="B618" s="19">
        <v>0</v>
      </c>
      <c r="C618" s="21">
        <v>0</v>
      </c>
      <c r="D618" s="20" t="str">
        <v>未匹配</v>
      </c>
      <c r="E618" s="20">
        <v>0</v>
      </c>
    </row>
    <row r="619" spans="1:5">
      <c r="A619" s="20" t="str">
        <v>00:00:00</v>
      </c>
      <c r="B619" s="19">
        <v>0</v>
      </c>
      <c r="C619" s="21">
        <v>0</v>
      </c>
      <c r="D619" s="20" t="str">
        <v>未匹配</v>
      </c>
      <c r="E619" s="20">
        <v>0</v>
      </c>
    </row>
    <row r="620" spans="1:5">
      <c r="A620" s="20" t="str">
        <v>00:00:00</v>
      </c>
      <c r="B620" s="19">
        <v>0</v>
      </c>
      <c r="C620" s="21">
        <v>0</v>
      </c>
      <c r="D620" s="20" t="str">
        <v>未匹配</v>
      </c>
      <c r="E620" s="20">
        <v>0</v>
      </c>
    </row>
    <row r="621" spans="1:5">
      <c r="A621" s="20" t="str">
        <v>00:00:00</v>
      </c>
      <c r="B621" s="19">
        <v>0</v>
      </c>
      <c r="C621" s="21">
        <v>0</v>
      </c>
      <c r="D621" s="20" t="str">
        <v>未匹配</v>
      </c>
      <c r="E621" s="20">
        <v>0</v>
      </c>
    </row>
    <row r="622" spans="1:5">
      <c r="A622" s="20" t="str">
        <v>00:00:00</v>
      </c>
      <c r="B622" s="19">
        <v>0</v>
      </c>
      <c r="C622" s="21">
        <v>0</v>
      </c>
      <c r="D622" s="20" t="str">
        <v>未匹配</v>
      </c>
      <c r="E622" s="20">
        <v>0</v>
      </c>
    </row>
    <row r="623" spans="1:5">
      <c r="A623" s="20" t="str">
        <v>00:00:00</v>
      </c>
      <c r="B623" s="19">
        <v>0</v>
      </c>
      <c r="C623" s="21">
        <v>0</v>
      </c>
      <c r="D623" s="20" t="str">
        <v>未匹配</v>
      </c>
      <c r="E623" s="20">
        <v>0</v>
      </c>
    </row>
    <row r="624" spans="1:5">
      <c r="A624" s="20" t="str">
        <v>00:00:00</v>
      </c>
      <c r="B624" s="19">
        <v>0</v>
      </c>
      <c r="C624" s="21">
        <v>0</v>
      </c>
      <c r="D624" s="20" t="str">
        <v>未匹配</v>
      </c>
      <c r="E624" s="20">
        <v>0</v>
      </c>
    </row>
    <row r="625" spans="1:5">
      <c r="A625" s="20" t="str">
        <v>00:00:00</v>
      </c>
      <c r="B625" s="19">
        <v>0</v>
      </c>
      <c r="C625" s="21">
        <v>0</v>
      </c>
      <c r="D625" s="20" t="str">
        <v>未匹配</v>
      </c>
      <c r="E625" s="20">
        <v>0</v>
      </c>
    </row>
    <row r="626" spans="1:5">
      <c r="A626" s="20" t="str">
        <v>00:00:00</v>
      </c>
      <c r="B626" s="19">
        <v>0</v>
      </c>
      <c r="C626" s="21">
        <v>0</v>
      </c>
      <c r="D626" s="20" t="str">
        <v>未匹配</v>
      </c>
      <c r="E626" s="20">
        <v>0</v>
      </c>
    </row>
    <row r="627" spans="1:5">
      <c r="A627" s="20" t="str">
        <v>00:00:00</v>
      </c>
      <c r="B627" s="19">
        <v>0</v>
      </c>
      <c r="C627" s="21">
        <v>0</v>
      </c>
      <c r="D627" s="20" t="str">
        <v>未匹配</v>
      </c>
      <c r="E627" s="20">
        <v>0</v>
      </c>
    </row>
    <row r="628" spans="1:5">
      <c r="A628" s="20" t="str">
        <v>00:00:00</v>
      </c>
      <c r="B628" s="19">
        <v>0</v>
      </c>
      <c r="C628" s="21">
        <v>0</v>
      </c>
      <c r="D628" s="20" t="str">
        <v>未匹配</v>
      </c>
      <c r="E628" s="20">
        <v>0</v>
      </c>
    </row>
    <row r="629" spans="1:5">
      <c r="A629" s="20" t="str">
        <v>00:00:00</v>
      </c>
      <c r="B629" s="19">
        <v>0</v>
      </c>
      <c r="C629" s="21">
        <v>0</v>
      </c>
      <c r="D629" s="20" t="str">
        <v>未匹配</v>
      </c>
      <c r="E629" s="20">
        <v>0</v>
      </c>
    </row>
    <row r="630" spans="1:5">
      <c r="A630" s="20" t="str">
        <v>00:00:00</v>
      </c>
      <c r="B630" s="19">
        <v>0</v>
      </c>
      <c r="C630" s="21">
        <v>0</v>
      </c>
      <c r="D630" s="20" t="str">
        <v>未匹配</v>
      </c>
      <c r="E630" s="20">
        <v>0</v>
      </c>
    </row>
    <row r="631" spans="1:5">
      <c r="A631" s="20" t="str">
        <v>00:00:00</v>
      </c>
      <c r="B631" s="19">
        <v>0</v>
      </c>
      <c r="C631" s="21">
        <v>0</v>
      </c>
      <c r="D631" s="20" t="str">
        <v>未匹配</v>
      </c>
      <c r="E631" s="20">
        <v>0</v>
      </c>
    </row>
    <row r="632" spans="1:5">
      <c r="A632" s="20" t="str">
        <v>00:00:00</v>
      </c>
      <c r="B632" s="19">
        <v>0</v>
      </c>
      <c r="C632" s="21">
        <v>0</v>
      </c>
      <c r="D632" s="20" t="str">
        <v>未匹配</v>
      </c>
      <c r="E632" s="20">
        <v>0</v>
      </c>
    </row>
    <row r="633" spans="1:5">
      <c r="A633" s="20" t="str">
        <v>00:00:00</v>
      </c>
      <c r="B633" s="19">
        <v>0</v>
      </c>
      <c r="C633" s="21">
        <v>0</v>
      </c>
      <c r="D633" s="20" t="str">
        <v>未匹配</v>
      </c>
      <c r="E633" s="20">
        <v>0</v>
      </c>
    </row>
    <row r="634" spans="1:5">
      <c r="A634" s="20" t="str">
        <v>00:00:00</v>
      </c>
      <c r="B634" s="19">
        <v>0</v>
      </c>
      <c r="C634" s="21">
        <v>0</v>
      </c>
      <c r="D634" s="20" t="str">
        <v>未匹配</v>
      </c>
      <c r="E634" s="20">
        <v>0</v>
      </c>
    </row>
    <row r="635" spans="1:5">
      <c r="A635" s="20" t="str">
        <v>00:00:00</v>
      </c>
      <c r="B635" s="19">
        <v>0</v>
      </c>
      <c r="C635" s="21">
        <v>0</v>
      </c>
      <c r="D635" s="20" t="str">
        <v>未匹配</v>
      </c>
      <c r="E635" s="20">
        <v>0</v>
      </c>
    </row>
    <row r="636" spans="1:5">
      <c r="A636" s="20" t="str">
        <v>00:00:00</v>
      </c>
      <c r="B636" s="19">
        <v>0</v>
      </c>
      <c r="C636" s="21">
        <v>0</v>
      </c>
      <c r="D636" s="20" t="str">
        <v>未匹配</v>
      </c>
      <c r="E636" s="20">
        <v>0</v>
      </c>
    </row>
    <row r="637" spans="1:5">
      <c r="A637" s="20" t="str">
        <v>00:00:00</v>
      </c>
      <c r="B637" s="19">
        <v>0</v>
      </c>
      <c r="C637" s="21">
        <v>0</v>
      </c>
      <c r="D637" s="20" t="str">
        <v>未匹配</v>
      </c>
      <c r="E637" s="20">
        <v>0</v>
      </c>
    </row>
    <row r="638" spans="1:5">
      <c r="A638" s="20" t="str">
        <v>00:00:00</v>
      </c>
      <c r="B638" s="19">
        <v>0</v>
      </c>
      <c r="C638" s="21">
        <v>0</v>
      </c>
      <c r="D638" s="20" t="str">
        <v>未匹配</v>
      </c>
      <c r="E638" s="20">
        <v>0</v>
      </c>
    </row>
    <row r="639" spans="1:5">
      <c r="A639" s="20" t="str">
        <v>00:00:00</v>
      </c>
      <c r="B639" s="19">
        <v>0</v>
      </c>
      <c r="C639" s="21">
        <v>0</v>
      </c>
      <c r="D639" s="20" t="str">
        <v>未匹配</v>
      </c>
      <c r="E639" s="20">
        <v>0</v>
      </c>
    </row>
    <row r="640" spans="1:5">
      <c r="A640" s="20" t="str">
        <v>00:00:00</v>
      </c>
      <c r="B640" s="19">
        <v>0</v>
      </c>
      <c r="C640" s="21">
        <v>0</v>
      </c>
      <c r="D640" s="20" t="str">
        <v>未匹配</v>
      </c>
      <c r="E640" s="20">
        <v>0</v>
      </c>
    </row>
    <row r="641" spans="1:5">
      <c r="A641" s="20" t="str">
        <v>00:00:00</v>
      </c>
      <c r="B641" s="19">
        <v>0</v>
      </c>
      <c r="C641" s="21">
        <v>0</v>
      </c>
      <c r="D641" s="20" t="str">
        <v>未匹配</v>
      </c>
      <c r="E641" s="20">
        <v>0</v>
      </c>
    </row>
    <row r="642" spans="1:5">
      <c r="A642" s="20" t="str">
        <v>00:00:00</v>
      </c>
      <c r="B642" s="19">
        <v>0</v>
      </c>
      <c r="C642" s="21">
        <v>0</v>
      </c>
      <c r="D642" s="20" t="str">
        <v>未匹配</v>
      </c>
      <c r="E642" s="20">
        <v>0</v>
      </c>
    </row>
    <row r="643" spans="1:5">
      <c r="A643" s="20" t="str">
        <v>00:00:00</v>
      </c>
      <c r="B643" s="19">
        <v>0</v>
      </c>
      <c r="C643" s="21">
        <v>0</v>
      </c>
      <c r="D643" s="20" t="str">
        <v>未匹配</v>
      </c>
      <c r="E643" s="20">
        <v>0</v>
      </c>
    </row>
    <row r="644" spans="1:5">
      <c r="A644" s="20" t="str">
        <v>00:00:00</v>
      </c>
      <c r="B644" s="19">
        <v>0</v>
      </c>
      <c r="C644" s="21">
        <v>0</v>
      </c>
      <c r="D644" s="20" t="str">
        <v>未匹配</v>
      </c>
      <c r="E644" s="20">
        <v>0</v>
      </c>
    </row>
    <row r="645" spans="1:5">
      <c r="A645" s="20" t="str">
        <v>00:00:00</v>
      </c>
      <c r="B645" s="19">
        <v>0</v>
      </c>
      <c r="C645" s="21">
        <v>0</v>
      </c>
      <c r="D645" s="20" t="str">
        <v>未匹配</v>
      </c>
      <c r="E645" s="20">
        <v>0</v>
      </c>
    </row>
    <row r="646" spans="1:5">
      <c r="A646" s="20" t="str">
        <v>00:00:00</v>
      </c>
      <c r="B646" s="19">
        <v>0</v>
      </c>
      <c r="C646" s="21">
        <v>0</v>
      </c>
      <c r="D646" s="20" t="str">
        <v>未匹配</v>
      </c>
      <c r="E646" s="20">
        <v>0</v>
      </c>
    </row>
    <row r="647" spans="1:5">
      <c r="A647" s="20" t="str">
        <v>00:00:00</v>
      </c>
      <c r="B647" s="19">
        <v>0</v>
      </c>
      <c r="C647" s="21">
        <v>0</v>
      </c>
      <c r="D647" s="20" t="str">
        <v>未匹配</v>
      </c>
      <c r="E647" s="20">
        <v>0</v>
      </c>
    </row>
    <row r="648" spans="1:5">
      <c r="A648" s="20" t="str">
        <v>00:00:00</v>
      </c>
      <c r="B648" s="19">
        <v>0</v>
      </c>
      <c r="C648" s="21">
        <v>0</v>
      </c>
      <c r="D648" s="20" t="str">
        <v>未匹配</v>
      </c>
      <c r="E648" s="20">
        <v>0</v>
      </c>
    </row>
    <row r="649" spans="1:5">
      <c r="A649" s="20" t="str">
        <v>00:00:00</v>
      </c>
      <c r="B649" s="19">
        <v>0</v>
      </c>
      <c r="C649" s="21">
        <v>0</v>
      </c>
      <c r="D649" s="20" t="str">
        <v>未匹配</v>
      </c>
      <c r="E649" s="20">
        <v>0</v>
      </c>
    </row>
    <row r="650" spans="1:5">
      <c r="A650" s="20" t="str">
        <v>00:00:00</v>
      </c>
      <c r="B650" s="19">
        <v>0</v>
      </c>
      <c r="C650" s="21">
        <v>0</v>
      </c>
      <c r="D650" s="20" t="str">
        <v>未匹配</v>
      </c>
      <c r="E650" s="20">
        <v>0</v>
      </c>
    </row>
    <row r="651" spans="1:5">
      <c r="A651" s="20" t="str">
        <v>00:00:00</v>
      </c>
      <c r="B651" s="19">
        <v>0</v>
      </c>
      <c r="C651" s="21">
        <v>0</v>
      </c>
      <c r="D651" s="20" t="str">
        <v>未匹配</v>
      </c>
      <c r="E651" s="20">
        <v>0</v>
      </c>
    </row>
    <row r="652" spans="1:5">
      <c r="A652" s="20" t="str">
        <v>00:00:00</v>
      </c>
      <c r="B652" s="19">
        <v>0</v>
      </c>
      <c r="C652" s="21">
        <v>0</v>
      </c>
      <c r="D652" s="20" t="str">
        <v>未匹配</v>
      </c>
      <c r="E652" s="20">
        <v>0</v>
      </c>
    </row>
    <row r="653" spans="1:5">
      <c r="A653" s="20" t="str">
        <v>00:00:00</v>
      </c>
      <c r="B653" s="19">
        <v>0</v>
      </c>
      <c r="C653" s="21">
        <v>0</v>
      </c>
      <c r="D653" s="20" t="str">
        <v>未匹配</v>
      </c>
      <c r="E653" s="20">
        <v>0</v>
      </c>
    </row>
    <row r="654" spans="1:5">
      <c r="A654" s="20" t="str">
        <v>00:00:00</v>
      </c>
      <c r="B654" s="19">
        <v>0</v>
      </c>
      <c r="C654" s="21">
        <v>0</v>
      </c>
      <c r="D654" s="20" t="str">
        <v>未匹配</v>
      </c>
      <c r="E654" s="20">
        <v>0</v>
      </c>
    </row>
    <row r="655" spans="1:5">
      <c r="A655" s="20" t="str">
        <v>00:00:00</v>
      </c>
      <c r="B655" s="19">
        <v>0</v>
      </c>
      <c r="C655" s="21">
        <v>0</v>
      </c>
      <c r="D655" s="20" t="str">
        <v>未匹配</v>
      </c>
      <c r="E655" s="20">
        <v>0</v>
      </c>
    </row>
    <row r="656" spans="1:5">
      <c r="A656" s="20" t="str">
        <v>00:00:00</v>
      </c>
      <c r="B656" s="19">
        <v>0</v>
      </c>
      <c r="C656" s="21">
        <v>0</v>
      </c>
      <c r="D656" s="20" t="str">
        <v>未匹配</v>
      </c>
      <c r="E656" s="20">
        <v>0</v>
      </c>
    </row>
    <row r="657" spans="1:5">
      <c r="A657" s="20" t="str">
        <v>00:00:00</v>
      </c>
      <c r="B657" s="19">
        <v>0</v>
      </c>
      <c r="C657" s="21">
        <v>0</v>
      </c>
      <c r="D657" s="20" t="str">
        <v>未匹配</v>
      </c>
      <c r="E657" s="20">
        <v>0</v>
      </c>
    </row>
    <row r="658" spans="1:5">
      <c r="A658" s="20" t="str">
        <v>00:00:00</v>
      </c>
      <c r="B658" s="19">
        <v>0</v>
      </c>
      <c r="C658" s="21">
        <v>0</v>
      </c>
      <c r="D658" s="20" t="str">
        <v>未匹配</v>
      </c>
      <c r="E658" s="20">
        <v>0</v>
      </c>
    </row>
    <row r="659" spans="1:5">
      <c r="A659" s="20" t="str">
        <v>00:00:00</v>
      </c>
      <c r="B659" s="19">
        <v>0</v>
      </c>
      <c r="C659" s="21">
        <v>0</v>
      </c>
      <c r="D659" s="20" t="str">
        <v>未匹配</v>
      </c>
      <c r="E659" s="20">
        <v>0</v>
      </c>
    </row>
    <row r="660" spans="1:5">
      <c r="A660" s="20" t="str">
        <v>00:00:00</v>
      </c>
      <c r="B660" s="19">
        <v>0</v>
      </c>
      <c r="C660" s="21">
        <v>0</v>
      </c>
      <c r="D660" s="20" t="str">
        <v>未匹配</v>
      </c>
      <c r="E660" s="20">
        <v>0</v>
      </c>
    </row>
    <row r="661" spans="1:5">
      <c r="A661" s="20" t="str">
        <v>00:00:00</v>
      </c>
      <c r="B661" s="19">
        <v>0</v>
      </c>
      <c r="C661" s="21">
        <v>0</v>
      </c>
      <c r="D661" s="20" t="str">
        <v>未匹配</v>
      </c>
      <c r="E661" s="20">
        <v>0</v>
      </c>
    </row>
    <row r="662" spans="1:5">
      <c r="A662" s="20" t="str">
        <v>00:00:00</v>
      </c>
      <c r="B662" s="19">
        <v>0</v>
      </c>
      <c r="C662" s="21">
        <v>0</v>
      </c>
      <c r="D662" s="20" t="str">
        <v>未匹配</v>
      </c>
      <c r="E662" s="20">
        <v>0</v>
      </c>
    </row>
    <row r="663" spans="1:5">
      <c r="A663" s="20" t="str">
        <v>00:00:00</v>
      </c>
      <c r="B663" s="19">
        <v>0</v>
      </c>
      <c r="C663" s="21">
        <v>0</v>
      </c>
      <c r="D663" s="20" t="str">
        <v>未匹配</v>
      </c>
      <c r="E663" s="20">
        <v>0</v>
      </c>
    </row>
    <row r="664" spans="1:5">
      <c r="A664" s="20" t="str">
        <v>00:00:00</v>
      </c>
      <c r="B664" s="19">
        <v>0</v>
      </c>
      <c r="C664" s="21">
        <v>0</v>
      </c>
      <c r="D664" s="20" t="str">
        <v>未匹配</v>
      </c>
      <c r="E664" s="20">
        <v>0</v>
      </c>
    </row>
    <row r="665" spans="1:5">
      <c r="A665" s="20" t="str">
        <v>00:00:00</v>
      </c>
      <c r="B665" s="19">
        <v>0</v>
      </c>
      <c r="C665" s="21">
        <v>0</v>
      </c>
      <c r="D665" s="20" t="str">
        <v>未匹配</v>
      </c>
      <c r="E665" s="20">
        <v>0</v>
      </c>
    </row>
    <row r="666" spans="1:5">
      <c r="A666" s="20" t="str">
        <v>00:00:00</v>
      </c>
      <c r="B666" s="19">
        <v>0</v>
      </c>
      <c r="C666" s="21">
        <v>0</v>
      </c>
      <c r="D666" s="20" t="str">
        <v>未匹配</v>
      </c>
      <c r="E666" s="20">
        <v>0</v>
      </c>
    </row>
    <row r="667" spans="1:5">
      <c r="A667" s="20" t="str">
        <v>00:00:00</v>
      </c>
      <c r="B667" s="19">
        <v>0</v>
      </c>
      <c r="C667" s="21">
        <v>0</v>
      </c>
      <c r="D667" s="20" t="str">
        <v>未匹配</v>
      </c>
      <c r="E667" s="20">
        <v>0</v>
      </c>
    </row>
    <row r="668" spans="1:5">
      <c r="A668" s="20" t="str">
        <v>00:00:00</v>
      </c>
      <c r="B668" s="19">
        <v>0</v>
      </c>
      <c r="C668" s="21">
        <v>0</v>
      </c>
      <c r="D668" s="20" t="str">
        <v>未匹配</v>
      </c>
      <c r="E668" s="20">
        <v>0</v>
      </c>
    </row>
    <row r="669" spans="1:5">
      <c r="A669" s="20" t="str">
        <v>00:00:00</v>
      </c>
      <c r="B669" s="19">
        <v>0</v>
      </c>
      <c r="C669" s="21">
        <v>0</v>
      </c>
      <c r="D669" s="20" t="str">
        <v>未匹配</v>
      </c>
      <c r="E669" s="20">
        <v>0</v>
      </c>
    </row>
    <row r="670" spans="1:5">
      <c r="A670" s="20" t="str">
        <v>00:00:00</v>
      </c>
      <c r="B670" s="19">
        <v>0</v>
      </c>
      <c r="C670" s="21">
        <v>0</v>
      </c>
      <c r="D670" s="20" t="str">
        <v>未匹配</v>
      </c>
      <c r="E670" s="20">
        <v>0</v>
      </c>
    </row>
    <row r="671" spans="1:5">
      <c r="A671" s="20" t="str">
        <v>00:00:00</v>
      </c>
      <c r="B671" s="19">
        <v>0</v>
      </c>
      <c r="C671" s="21">
        <v>0</v>
      </c>
      <c r="D671" s="20" t="str">
        <v>未匹配</v>
      </c>
      <c r="E671" s="20">
        <v>0</v>
      </c>
    </row>
    <row r="672" spans="1:5">
      <c r="A672" s="20" t="str">
        <v>00:00:00</v>
      </c>
      <c r="B672" s="19">
        <v>0</v>
      </c>
      <c r="C672" s="21">
        <v>0</v>
      </c>
      <c r="D672" s="20" t="str">
        <v>未匹配</v>
      </c>
      <c r="E672" s="20">
        <v>0</v>
      </c>
    </row>
    <row r="673" spans="1:5">
      <c r="A673" s="20" t="str">
        <v>00:00:00</v>
      </c>
      <c r="B673" s="19">
        <v>0</v>
      </c>
      <c r="C673" s="21">
        <v>0</v>
      </c>
      <c r="D673" s="20" t="str">
        <v>未匹配</v>
      </c>
      <c r="E673" s="20">
        <v>0</v>
      </c>
    </row>
    <row r="674" spans="1:5">
      <c r="A674" s="20" t="str">
        <v>00:00:00</v>
      </c>
      <c r="B674" s="19">
        <v>0</v>
      </c>
      <c r="C674" s="21">
        <v>0</v>
      </c>
      <c r="D674" s="20" t="str">
        <v>未匹配</v>
      </c>
      <c r="E674" s="20">
        <v>0</v>
      </c>
    </row>
    <row r="675" spans="1:5">
      <c r="A675" s="20" t="str">
        <v>00:00:00</v>
      </c>
      <c r="B675" s="19">
        <v>0</v>
      </c>
      <c r="C675" s="21">
        <v>0</v>
      </c>
      <c r="D675" s="20" t="str">
        <v>未匹配</v>
      </c>
      <c r="E675" s="20">
        <v>0</v>
      </c>
    </row>
    <row r="676" spans="1:5">
      <c r="A676" s="20" t="str">
        <v>00:00:00</v>
      </c>
      <c r="B676" s="19">
        <v>0</v>
      </c>
      <c r="C676" s="21">
        <v>0</v>
      </c>
      <c r="D676" s="20" t="str">
        <v>未匹配</v>
      </c>
      <c r="E676" s="20">
        <v>0</v>
      </c>
    </row>
    <row r="677" spans="1:5">
      <c r="A677" s="20" t="str">
        <v>00:00:00</v>
      </c>
      <c r="B677" s="19">
        <v>0</v>
      </c>
      <c r="C677" s="21">
        <v>0</v>
      </c>
      <c r="D677" s="20" t="str">
        <v>未匹配</v>
      </c>
      <c r="E677" s="20">
        <v>0</v>
      </c>
    </row>
    <row r="678" spans="1:5">
      <c r="A678" s="20" t="str">
        <v>00:00:00</v>
      </c>
      <c r="B678" s="19">
        <v>0</v>
      </c>
      <c r="C678" s="21">
        <v>0</v>
      </c>
      <c r="D678" s="20" t="str">
        <v>未匹配</v>
      </c>
      <c r="E678" s="20">
        <v>0</v>
      </c>
    </row>
    <row r="679" spans="1:5">
      <c r="A679" s="20" t="str">
        <v>00:00:00</v>
      </c>
      <c r="B679" s="19">
        <v>0</v>
      </c>
      <c r="C679" s="21">
        <v>0</v>
      </c>
      <c r="D679" s="20" t="str">
        <v>未匹配</v>
      </c>
      <c r="E679" s="20">
        <v>0</v>
      </c>
    </row>
    <row r="680" spans="1:5">
      <c r="A680" s="20" t="str">
        <v>00:00:00</v>
      </c>
      <c r="B680" s="19">
        <v>0</v>
      </c>
      <c r="C680" s="21">
        <v>0</v>
      </c>
      <c r="D680" s="20" t="str">
        <v>未匹配</v>
      </c>
      <c r="E680" s="20">
        <v>0</v>
      </c>
    </row>
    <row r="681" spans="1:5">
      <c r="A681" s="20" t="str">
        <v>00:00:00</v>
      </c>
      <c r="B681" s="19">
        <v>0</v>
      </c>
      <c r="C681" s="21">
        <v>0</v>
      </c>
      <c r="D681" s="20" t="str">
        <v>未匹配</v>
      </c>
      <c r="E681" s="20">
        <v>0</v>
      </c>
    </row>
    <row r="682" spans="1:5">
      <c r="A682" s="20" t="str">
        <v>00:00:00</v>
      </c>
      <c r="B682" s="19">
        <v>0</v>
      </c>
      <c r="C682" s="21">
        <v>0</v>
      </c>
      <c r="D682" s="20" t="str">
        <v>未匹配</v>
      </c>
      <c r="E682" s="20">
        <v>0</v>
      </c>
    </row>
    <row r="683" spans="1:5">
      <c r="A683" s="20" t="str">
        <v>00:00:00</v>
      </c>
      <c r="B683" s="19">
        <v>0</v>
      </c>
      <c r="C683" s="21">
        <v>0</v>
      </c>
      <c r="D683" s="20" t="str">
        <v>未匹配</v>
      </c>
      <c r="E683" s="20">
        <v>0</v>
      </c>
    </row>
    <row r="684" spans="1:5">
      <c r="A684" s="20" t="str">
        <v>00:00:00</v>
      </c>
      <c r="B684" s="19">
        <v>0</v>
      </c>
      <c r="C684" s="21">
        <v>0</v>
      </c>
      <c r="D684" s="20" t="str">
        <v>未匹配</v>
      </c>
      <c r="E684" s="20">
        <v>0</v>
      </c>
    </row>
    <row r="685" spans="1:5">
      <c r="A685" s="20" t="str">
        <v>00:00:00</v>
      </c>
      <c r="B685" s="19">
        <v>0</v>
      </c>
      <c r="C685" s="21">
        <v>0</v>
      </c>
      <c r="D685" s="20" t="str">
        <v>未匹配</v>
      </c>
      <c r="E685" s="20">
        <v>0</v>
      </c>
    </row>
    <row r="686" spans="1:5">
      <c r="A686" s="20" t="str">
        <v>00:00:00</v>
      </c>
      <c r="B686" s="19">
        <v>0</v>
      </c>
      <c r="C686" s="21">
        <v>0</v>
      </c>
      <c r="D686" s="20" t="str">
        <v>未匹配</v>
      </c>
      <c r="E686" s="20">
        <v>0</v>
      </c>
    </row>
    <row r="687" spans="1:5">
      <c r="A687" s="20" t="str">
        <v>00:00:00</v>
      </c>
      <c r="B687" s="19">
        <v>0</v>
      </c>
      <c r="C687" s="21">
        <v>0</v>
      </c>
      <c r="D687" s="20" t="str">
        <v>未匹配</v>
      </c>
      <c r="E687" s="20">
        <v>0</v>
      </c>
    </row>
    <row r="688" spans="1:5">
      <c r="A688" s="20" t="str">
        <v>00:00:00</v>
      </c>
      <c r="B688" s="19">
        <v>0</v>
      </c>
      <c r="C688" s="21">
        <v>0</v>
      </c>
      <c r="D688" s="20" t="str">
        <v>未匹配</v>
      </c>
      <c r="E688" s="20">
        <v>0</v>
      </c>
    </row>
    <row r="689" spans="1:5">
      <c r="A689" s="20" t="str">
        <v>00:00:00</v>
      </c>
      <c r="B689" s="19">
        <v>0</v>
      </c>
      <c r="C689" s="21">
        <v>0</v>
      </c>
      <c r="D689" s="20" t="str">
        <v>未匹配</v>
      </c>
      <c r="E689" s="20">
        <v>0</v>
      </c>
    </row>
    <row r="690" spans="1:5">
      <c r="A690" s="20" t="str">
        <v>00:00:00</v>
      </c>
      <c r="B690" s="19">
        <v>0</v>
      </c>
      <c r="C690" s="21">
        <v>0</v>
      </c>
      <c r="D690" s="20" t="str">
        <v>未匹配</v>
      </c>
      <c r="E690" s="20">
        <v>0</v>
      </c>
    </row>
    <row r="691" spans="1:5">
      <c r="A691" s="20" t="str">
        <v>00:00:00</v>
      </c>
      <c r="B691" s="19">
        <v>0</v>
      </c>
      <c r="C691" s="21">
        <v>0</v>
      </c>
      <c r="D691" s="20" t="str">
        <v>未匹配</v>
      </c>
      <c r="E691" s="20">
        <v>0</v>
      </c>
    </row>
    <row r="692" spans="1:5">
      <c r="A692" s="20" t="str">
        <v>00:00:00</v>
      </c>
      <c r="B692" s="19">
        <v>0</v>
      </c>
      <c r="C692" s="21">
        <v>0</v>
      </c>
      <c r="D692" s="20" t="str">
        <v>未匹配</v>
      </c>
      <c r="E692" s="20">
        <v>0</v>
      </c>
    </row>
    <row r="693" spans="1:5">
      <c r="A693" s="20" t="str">
        <v>00:00:00</v>
      </c>
      <c r="B693" s="19">
        <v>0</v>
      </c>
      <c r="C693" s="21">
        <v>0</v>
      </c>
      <c r="D693" s="20" t="str">
        <v>未匹配</v>
      </c>
      <c r="E693" s="20">
        <v>0</v>
      </c>
    </row>
    <row r="694" spans="1:5">
      <c r="A694" s="20" t="str">
        <v>00:00:00</v>
      </c>
      <c r="B694" s="19">
        <v>0</v>
      </c>
      <c r="C694" s="21">
        <v>0</v>
      </c>
      <c r="D694" s="20" t="str">
        <v>未匹配</v>
      </c>
      <c r="E694" s="20">
        <v>0</v>
      </c>
    </row>
    <row r="695" spans="1:5">
      <c r="A695" s="20" t="str">
        <v>00:00:00</v>
      </c>
      <c r="B695" s="19">
        <v>0</v>
      </c>
      <c r="C695" s="21">
        <v>0</v>
      </c>
      <c r="D695" s="20" t="str">
        <v>未匹配</v>
      </c>
      <c r="E695" s="20">
        <v>0</v>
      </c>
    </row>
    <row r="696" spans="1:5">
      <c r="A696" s="20" t="str">
        <v>00:00:00</v>
      </c>
      <c r="B696" s="19">
        <v>0</v>
      </c>
      <c r="C696" s="21">
        <v>0</v>
      </c>
      <c r="D696" s="20" t="str">
        <v>未匹配</v>
      </c>
      <c r="E696" s="20">
        <v>0</v>
      </c>
    </row>
    <row r="697" spans="1:5">
      <c r="A697" s="20" t="str">
        <v>00:00:00</v>
      </c>
      <c r="B697" s="19">
        <v>0</v>
      </c>
      <c r="C697" s="21">
        <v>0</v>
      </c>
      <c r="D697" s="20" t="str">
        <v>未匹配</v>
      </c>
      <c r="E697" s="20">
        <v>0</v>
      </c>
    </row>
    <row r="698" spans="1:5">
      <c r="A698" s="20" t="str">
        <v>00:00:00</v>
      </c>
      <c r="B698" s="19">
        <v>0</v>
      </c>
      <c r="C698" s="21">
        <v>0</v>
      </c>
      <c r="D698" s="20" t="str">
        <v>未匹配</v>
      </c>
      <c r="E698" s="20">
        <v>0</v>
      </c>
    </row>
    <row r="699" spans="1:5">
      <c r="A699" s="20" t="str">
        <v>00:00:00</v>
      </c>
      <c r="B699" s="19">
        <v>0</v>
      </c>
      <c r="C699" s="21">
        <v>0</v>
      </c>
      <c r="D699" s="20" t="str">
        <v>未匹配</v>
      </c>
      <c r="E699" s="20">
        <v>0</v>
      </c>
    </row>
    <row r="700" spans="1:5">
      <c r="A700" s="20" t="str">
        <v>00:00:00</v>
      </c>
      <c r="B700" s="19">
        <v>0</v>
      </c>
      <c r="C700" s="21">
        <v>0</v>
      </c>
      <c r="D700" s="20" t="str">
        <v>未匹配</v>
      </c>
      <c r="E700" s="20">
        <v>0</v>
      </c>
    </row>
    <row r="701" spans="1:5">
      <c r="A701" s="20" t="str">
        <v>00:00:00</v>
      </c>
      <c r="B701" s="19">
        <v>0</v>
      </c>
      <c r="C701" s="21">
        <v>0</v>
      </c>
      <c r="D701" s="20" t="str">
        <v>未匹配</v>
      </c>
      <c r="E701" s="20">
        <v>0</v>
      </c>
    </row>
    <row r="702" spans="1:5">
      <c r="A702" s="20" t="str">
        <v>00:00:00</v>
      </c>
      <c r="B702" s="19">
        <v>0</v>
      </c>
      <c r="C702" s="21">
        <v>0</v>
      </c>
      <c r="D702" s="20" t="str">
        <v>未匹配</v>
      </c>
      <c r="E702" s="20">
        <v>0</v>
      </c>
    </row>
    <row r="703" spans="1:5">
      <c r="A703" s="20" t="str">
        <v>00:00:00</v>
      </c>
      <c r="B703" s="19">
        <v>0</v>
      </c>
      <c r="C703" s="21">
        <v>0</v>
      </c>
      <c r="D703" s="20" t="str">
        <v>未匹配</v>
      </c>
      <c r="E703" s="20">
        <v>0</v>
      </c>
    </row>
    <row r="704" spans="1:5">
      <c r="A704" s="20" t="str">
        <v>00:00:00</v>
      </c>
      <c r="B704" s="19">
        <v>0</v>
      </c>
      <c r="C704" s="21">
        <v>0</v>
      </c>
      <c r="D704" s="20" t="str">
        <v>未匹配</v>
      </c>
      <c r="E704" s="20">
        <v>0</v>
      </c>
    </row>
    <row r="705" spans="1:5">
      <c r="A705" s="20" t="str">
        <v>00:00:00</v>
      </c>
      <c r="B705" s="19">
        <v>0</v>
      </c>
      <c r="C705" s="21">
        <v>0</v>
      </c>
      <c r="D705" s="20" t="str">
        <v>未匹配</v>
      </c>
      <c r="E705" s="20">
        <v>0</v>
      </c>
    </row>
    <row r="706" spans="1:5">
      <c r="A706" s="20" t="str">
        <v>00:00:00</v>
      </c>
      <c r="B706" s="19">
        <v>0</v>
      </c>
      <c r="C706" s="21">
        <v>0</v>
      </c>
      <c r="D706" s="20" t="str">
        <v>未匹配</v>
      </c>
      <c r="E706" s="20">
        <v>0</v>
      </c>
    </row>
    <row r="707" spans="1:5">
      <c r="A707" s="20" t="str">
        <v>00:00:00</v>
      </c>
      <c r="B707" s="19">
        <v>0</v>
      </c>
      <c r="C707" s="21">
        <v>0</v>
      </c>
      <c r="D707" s="20" t="str">
        <v>未匹配</v>
      </c>
      <c r="E707" s="20">
        <v>0</v>
      </c>
    </row>
    <row r="708" spans="1:5">
      <c r="A708" s="20" t="str">
        <v>00:00:00</v>
      </c>
      <c r="B708" s="19">
        <v>0</v>
      </c>
      <c r="C708" s="21">
        <v>0</v>
      </c>
      <c r="D708" s="20" t="str">
        <v>未匹配</v>
      </c>
      <c r="E708" s="20">
        <v>0</v>
      </c>
    </row>
    <row r="709" spans="1:5">
      <c r="A709" s="20" t="str">
        <v>00:00:00</v>
      </c>
      <c r="B709" s="19">
        <v>0</v>
      </c>
      <c r="C709" s="21">
        <v>0</v>
      </c>
      <c r="D709" s="20" t="str">
        <v>未匹配</v>
      </c>
      <c r="E709" s="20">
        <v>0</v>
      </c>
    </row>
    <row r="710" spans="1:5">
      <c r="A710" s="20" t="str">
        <v>00:00:00</v>
      </c>
      <c r="B710" s="19">
        <v>0</v>
      </c>
      <c r="C710" s="21">
        <v>0</v>
      </c>
      <c r="D710" s="20" t="str">
        <v>未匹配</v>
      </c>
      <c r="E710" s="20">
        <v>0</v>
      </c>
    </row>
    <row r="711" spans="1:5">
      <c r="A711" s="20" t="str">
        <v>00:00:00</v>
      </c>
      <c r="B711" s="19">
        <v>0</v>
      </c>
      <c r="C711" s="21">
        <v>0</v>
      </c>
      <c r="D711" s="20" t="str">
        <v>未匹配</v>
      </c>
      <c r="E711" s="20">
        <v>0</v>
      </c>
    </row>
    <row r="712" spans="1:5">
      <c r="A712" s="20" t="str">
        <v>00:00:00</v>
      </c>
      <c r="B712" s="19">
        <v>0</v>
      </c>
      <c r="C712" s="21">
        <v>0</v>
      </c>
      <c r="D712" s="20" t="str">
        <v>未匹配</v>
      </c>
      <c r="E712" s="20">
        <v>0</v>
      </c>
    </row>
    <row r="713" spans="1:5">
      <c r="A713" s="20" t="str">
        <v>00:00:00</v>
      </c>
      <c r="B713" s="19">
        <v>0</v>
      </c>
      <c r="C713" s="21">
        <v>0</v>
      </c>
      <c r="D713" s="20" t="str">
        <v>未匹配</v>
      </c>
      <c r="E713" s="20">
        <v>0</v>
      </c>
    </row>
    <row r="714" spans="1:5">
      <c r="A714" s="20" t="str">
        <v>00:00:00</v>
      </c>
      <c r="B714" s="19">
        <v>0</v>
      </c>
      <c r="C714" s="21">
        <v>0</v>
      </c>
      <c r="D714" s="20" t="str">
        <v>未匹配</v>
      </c>
      <c r="E714" s="20">
        <v>0</v>
      </c>
    </row>
    <row r="715" spans="1:5">
      <c r="A715" s="20" t="str">
        <v>00:00:00</v>
      </c>
      <c r="B715" s="19">
        <v>0</v>
      </c>
      <c r="C715" s="21">
        <v>0</v>
      </c>
      <c r="D715" s="20" t="str">
        <v>未匹配</v>
      </c>
      <c r="E715" s="20">
        <v>0</v>
      </c>
    </row>
    <row r="716" spans="1:5">
      <c r="A716" s="20" t="str">
        <v>00:00:00</v>
      </c>
      <c r="B716" s="19">
        <v>0</v>
      </c>
      <c r="C716" s="21">
        <v>0</v>
      </c>
      <c r="D716" s="20" t="str">
        <v>未匹配</v>
      </c>
      <c r="E716" s="20">
        <v>0</v>
      </c>
    </row>
    <row r="717" spans="1:5">
      <c r="A717" s="20" t="str">
        <v>00:00:00</v>
      </c>
      <c r="B717" s="19">
        <v>0</v>
      </c>
      <c r="C717" s="21">
        <v>0</v>
      </c>
      <c r="D717" s="20" t="str">
        <v>未匹配</v>
      </c>
      <c r="E717" s="20">
        <v>0</v>
      </c>
    </row>
    <row r="718" spans="1:5">
      <c r="A718" s="20" t="str">
        <v>00:00:00</v>
      </c>
      <c r="B718" s="19">
        <v>0</v>
      </c>
      <c r="C718" s="21">
        <v>0</v>
      </c>
      <c r="D718" s="20" t="str">
        <v>未匹配</v>
      </c>
      <c r="E718" s="20">
        <v>0</v>
      </c>
    </row>
    <row r="719" spans="1:5">
      <c r="A719" s="20" t="str">
        <v>00:00:00</v>
      </c>
      <c r="B719" s="19">
        <v>0</v>
      </c>
      <c r="C719" s="21">
        <v>0</v>
      </c>
      <c r="D719" s="20" t="str">
        <v>未匹配</v>
      </c>
      <c r="E719" s="20">
        <v>0</v>
      </c>
    </row>
    <row r="720" spans="1:5">
      <c r="A720" s="20" t="str">
        <v>00:00:00</v>
      </c>
      <c r="B720" s="19">
        <v>0</v>
      </c>
      <c r="C720" s="21">
        <v>0</v>
      </c>
      <c r="D720" s="20" t="str">
        <v>未匹配</v>
      </c>
      <c r="E720" s="20">
        <v>0</v>
      </c>
    </row>
    <row r="721" spans="1:5">
      <c r="A721" s="20" t="str">
        <v>00:00:00</v>
      </c>
      <c r="B721" s="19">
        <v>0</v>
      </c>
      <c r="C721" s="21">
        <v>0</v>
      </c>
      <c r="D721" s="20" t="str">
        <v>未匹配</v>
      </c>
      <c r="E721" s="20">
        <v>0</v>
      </c>
    </row>
    <row r="722" spans="1:5">
      <c r="A722" s="20" t="str">
        <v>00:00:00</v>
      </c>
      <c r="B722" s="19">
        <v>0</v>
      </c>
      <c r="C722" s="21">
        <v>0</v>
      </c>
      <c r="D722" s="20" t="str">
        <v>未匹配</v>
      </c>
      <c r="E722" s="20">
        <v>0</v>
      </c>
    </row>
    <row r="723" spans="1:5">
      <c r="A723" s="20" t="str">
        <v>00:00:00</v>
      </c>
      <c r="B723" s="19">
        <v>0</v>
      </c>
      <c r="C723" s="21">
        <v>0</v>
      </c>
      <c r="D723" s="20" t="str">
        <v>未匹配</v>
      </c>
      <c r="E723" s="20">
        <v>0</v>
      </c>
    </row>
    <row r="724" spans="1:5">
      <c r="A724" s="20" t="str">
        <v>00:00:00</v>
      </c>
      <c r="B724" s="19">
        <v>0</v>
      </c>
      <c r="C724" s="21">
        <v>0</v>
      </c>
      <c r="D724" s="20" t="str">
        <v>未匹配</v>
      </c>
      <c r="E724" s="20">
        <v>0</v>
      </c>
    </row>
    <row r="725" spans="1:5">
      <c r="A725" s="20" t="str">
        <v>00:00:00</v>
      </c>
      <c r="B725" s="19">
        <v>0</v>
      </c>
      <c r="C725" s="21">
        <v>0</v>
      </c>
      <c r="D725" s="20" t="str">
        <v>未匹配</v>
      </c>
      <c r="E725" s="20">
        <v>0</v>
      </c>
    </row>
    <row r="726" spans="1:5">
      <c r="A726" s="20" t="str">
        <v>00:00:00</v>
      </c>
      <c r="B726" s="19">
        <v>0</v>
      </c>
      <c r="C726" s="21">
        <v>0</v>
      </c>
      <c r="D726" s="20" t="str">
        <v>未匹配</v>
      </c>
      <c r="E726" s="20">
        <v>0</v>
      </c>
    </row>
    <row r="727" spans="1:5">
      <c r="A727" s="20" t="str">
        <v>00:00:00</v>
      </c>
      <c r="B727" s="19">
        <v>0</v>
      </c>
      <c r="C727" s="21">
        <v>0</v>
      </c>
      <c r="D727" s="20" t="str">
        <v>未匹配</v>
      </c>
      <c r="E727" s="20">
        <v>0</v>
      </c>
    </row>
    <row r="728" spans="1:5">
      <c r="A728" s="20" t="str">
        <v>00:00:00</v>
      </c>
      <c r="B728" s="19">
        <v>0</v>
      </c>
      <c r="C728" s="21">
        <v>0</v>
      </c>
      <c r="D728" s="20" t="str">
        <v>未匹配</v>
      </c>
      <c r="E728" s="20">
        <v>0</v>
      </c>
    </row>
    <row r="729" spans="1:5">
      <c r="A729" s="20" t="str">
        <v>00:00:00</v>
      </c>
      <c r="B729" s="19">
        <v>0</v>
      </c>
      <c r="C729" s="21">
        <v>0</v>
      </c>
      <c r="D729" s="20" t="str">
        <v>未匹配</v>
      </c>
      <c r="E729" s="20">
        <v>0</v>
      </c>
    </row>
    <row r="730" spans="1:5">
      <c r="A730" s="20" t="str">
        <v>00:00:00</v>
      </c>
      <c r="B730" s="19">
        <v>0</v>
      </c>
      <c r="C730" s="21">
        <v>0</v>
      </c>
      <c r="D730" s="20" t="str">
        <v>未匹配</v>
      </c>
      <c r="E730" s="20">
        <v>0</v>
      </c>
    </row>
    <row r="731" spans="1:5">
      <c r="A731" s="20" t="str">
        <v>00:00:00</v>
      </c>
      <c r="B731" s="19">
        <v>0</v>
      </c>
      <c r="C731" s="21">
        <v>0</v>
      </c>
      <c r="D731" s="20" t="str">
        <v>未匹配</v>
      </c>
      <c r="E731" s="20">
        <v>0</v>
      </c>
    </row>
    <row r="732" spans="1:5">
      <c r="A732" s="20" t="str">
        <v>00:00:00</v>
      </c>
      <c r="B732" s="19">
        <v>0</v>
      </c>
      <c r="C732" s="21">
        <v>0</v>
      </c>
      <c r="D732" s="20" t="str">
        <v>未匹配</v>
      </c>
      <c r="E732" s="20">
        <v>0</v>
      </c>
    </row>
    <row r="733" spans="1:5">
      <c r="A733" s="20" t="str">
        <v>00:00:00</v>
      </c>
      <c r="B733" s="19">
        <v>0</v>
      </c>
      <c r="C733" s="21">
        <v>0</v>
      </c>
      <c r="D733" s="20" t="str">
        <v>未匹配</v>
      </c>
      <c r="E733" s="20">
        <v>0</v>
      </c>
    </row>
    <row r="734" spans="1:5">
      <c r="A734" s="20" t="str">
        <v>00:00:00</v>
      </c>
      <c r="B734" s="19">
        <v>0</v>
      </c>
      <c r="C734" s="21">
        <v>0</v>
      </c>
      <c r="D734" s="20" t="str">
        <v>未匹配</v>
      </c>
      <c r="E734" s="20">
        <v>0</v>
      </c>
    </row>
    <row r="735" spans="1:5">
      <c r="A735" s="20" t="str">
        <v>00:00:00</v>
      </c>
      <c r="B735" s="19">
        <v>0</v>
      </c>
      <c r="C735" s="21">
        <v>0</v>
      </c>
      <c r="D735" s="20" t="str">
        <v>未匹配</v>
      </c>
      <c r="E735" s="20">
        <v>0</v>
      </c>
    </row>
    <row r="736" spans="1:5">
      <c r="A736" s="20" t="str">
        <v>00:00:00</v>
      </c>
      <c r="B736" s="19">
        <v>0</v>
      </c>
      <c r="C736" s="21">
        <v>0</v>
      </c>
      <c r="D736" s="20" t="str">
        <v>未匹配</v>
      </c>
      <c r="E736" s="20">
        <v>0</v>
      </c>
    </row>
    <row r="737" spans="1:5">
      <c r="A737" s="20" t="str">
        <v>00:00:00</v>
      </c>
      <c r="B737" s="19">
        <v>0</v>
      </c>
      <c r="C737" s="21">
        <v>0</v>
      </c>
      <c r="D737" s="20" t="str">
        <v>未匹配</v>
      </c>
      <c r="E737" s="20">
        <v>0</v>
      </c>
    </row>
    <row r="738" spans="1:5">
      <c r="A738" s="20" t="str">
        <v>00:00:00</v>
      </c>
      <c r="B738" s="19">
        <v>0</v>
      </c>
      <c r="C738" s="21">
        <v>0</v>
      </c>
      <c r="D738" s="20" t="str">
        <v>未匹配</v>
      </c>
      <c r="E738" s="20">
        <v>0</v>
      </c>
    </row>
    <row r="739" spans="1:5">
      <c r="A739" s="20" t="str">
        <v>00:00:00</v>
      </c>
      <c r="B739" s="19">
        <v>0</v>
      </c>
      <c r="C739" s="21">
        <v>0</v>
      </c>
      <c r="D739" s="20" t="str">
        <v>未匹配</v>
      </c>
      <c r="E739" s="20">
        <v>0</v>
      </c>
    </row>
    <row r="740" spans="1:5">
      <c r="A740" s="20" t="str">
        <v>00:00:00</v>
      </c>
      <c r="B740" s="19">
        <v>0</v>
      </c>
      <c r="C740" s="21">
        <v>0</v>
      </c>
      <c r="D740" s="20" t="str">
        <v>未匹配</v>
      </c>
      <c r="E740" s="20">
        <v>0</v>
      </c>
    </row>
    <row r="741" spans="1:5">
      <c r="A741" s="20" t="str">
        <v>00:00:00</v>
      </c>
      <c r="B741" s="19">
        <v>0</v>
      </c>
      <c r="C741" s="21">
        <v>0</v>
      </c>
      <c r="D741" s="20" t="str">
        <v>未匹配</v>
      </c>
      <c r="E741" s="20">
        <v>0</v>
      </c>
    </row>
    <row r="742" spans="1:5">
      <c r="A742" s="20" t="str">
        <v>00:00:00</v>
      </c>
      <c r="B742" s="19">
        <v>0</v>
      </c>
      <c r="C742" s="21">
        <v>0</v>
      </c>
      <c r="D742" s="20" t="str">
        <v>未匹配</v>
      </c>
      <c r="E742" s="20">
        <v>0</v>
      </c>
    </row>
    <row r="743" spans="1:5">
      <c r="A743" s="20" t="str">
        <v>00:00:00</v>
      </c>
      <c r="B743" s="19">
        <v>0</v>
      </c>
      <c r="C743" s="21">
        <v>0</v>
      </c>
      <c r="D743" s="20" t="str">
        <v>未匹配</v>
      </c>
      <c r="E743" s="20">
        <v>0</v>
      </c>
    </row>
    <row r="744" spans="1:5">
      <c r="A744" s="20" t="str">
        <v>00:00:00</v>
      </c>
      <c r="B744" s="19">
        <v>0</v>
      </c>
      <c r="C744" s="21">
        <v>0</v>
      </c>
      <c r="D744" s="20" t="str">
        <v>未匹配</v>
      </c>
      <c r="E744" s="20">
        <v>0</v>
      </c>
    </row>
    <row r="745" spans="1:5">
      <c r="A745" s="20" t="str">
        <v>00:00:00</v>
      </c>
      <c r="B745" s="19">
        <v>0</v>
      </c>
      <c r="C745" s="21">
        <v>0</v>
      </c>
      <c r="D745" s="20" t="str">
        <v>未匹配</v>
      </c>
      <c r="E745" s="20">
        <v>0</v>
      </c>
    </row>
    <row r="746" spans="1:5">
      <c r="A746" s="20" t="str">
        <v>00:00:00</v>
      </c>
      <c r="B746" s="19">
        <v>0</v>
      </c>
      <c r="C746" s="21">
        <v>0</v>
      </c>
      <c r="D746" s="20" t="str">
        <v>未匹配</v>
      </c>
      <c r="E746" s="20">
        <v>0</v>
      </c>
    </row>
    <row r="747" spans="1:5">
      <c r="A747" s="20" t="str">
        <v>00:00:00</v>
      </c>
      <c r="B747" s="19">
        <v>0</v>
      </c>
      <c r="C747" s="21">
        <v>0</v>
      </c>
      <c r="D747" s="20" t="str">
        <v>未匹配</v>
      </c>
      <c r="E747" s="20">
        <v>0</v>
      </c>
    </row>
    <row r="748" spans="1:5">
      <c r="A748" s="20" t="str">
        <v>00:00:00</v>
      </c>
      <c r="B748" s="19">
        <v>0</v>
      </c>
      <c r="C748" s="21">
        <v>0</v>
      </c>
      <c r="D748" s="20" t="str">
        <v>未匹配</v>
      </c>
      <c r="E748" s="20">
        <v>0</v>
      </c>
    </row>
    <row r="749" spans="1:5">
      <c r="A749" s="20" t="str">
        <v>00:00:00</v>
      </c>
      <c r="B749" s="19">
        <v>0</v>
      </c>
      <c r="C749" s="21">
        <v>0</v>
      </c>
      <c r="D749" s="20" t="str">
        <v>未匹配</v>
      </c>
      <c r="E749" s="20">
        <v>0</v>
      </c>
    </row>
    <row r="750" spans="1:5">
      <c r="A750" s="20" t="str">
        <v>00:00:00</v>
      </c>
      <c r="B750" s="19">
        <v>0</v>
      </c>
      <c r="C750" s="21">
        <v>0</v>
      </c>
      <c r="D750" s="20" t="str">
        <v>未匹配</v>
      </c>
      <c r="E750" s="20">
        <v>0</v>
      </c>
    </row>
    <row r="751" spans="1:5">
      <c r="A751" s="20" t="str">
        <v>00:00:00</v>
      </c>
      <c r="B751" s="19">
        <v>0</v>
      </c>
      <c r="C751" s="21">
        <v>0</v>
      </c>
      <c r="D751" s="20" t="str">
        <v>未匹配</v>
      </c>
      <c r="E751" s="20">
        <v>0</v>
      </c>
    </row>
    <row r="752" spans="1:5">
      <c r="A752" s="20" t="str">
        <v>00:00:00</v>
      </c>
      <c r="B752" s="19">
        <v>0</v>
      </c>
      <c r="C752" s="21">
        <v>0</v>
      </c>
      <c r="D752" s="20" t="str">
        <v>未匹配</v>
      </c>
      <c r="E752" s="20">
        <v>0</v>
      </c>
    </row>
    <row r="753" spans="1:5">
      <c r="A753" s="20" t="str">
        <v>00:00:00</v>
      </c>
      <c r="B753" s="19">
        <v>0</v>
      </c>
      <c r="C753" s="21">
        <v>0</v>
      </c>
      <c r="D753" s="20" t="str">
        <v>未匹配</v>
      </c>
      <c r="E753" s="20">
        <v>0</v>
      </c>
    </row>
    <row r="754" spans="1:5">
      <c r="A754" s="20" t="str">
        <v>00:00:00</v>
      </c>
      <c r="B754" s="19">
        <v>0</v>
      </c>
      <c r="C754" s="21">
        <v>0</v>
      </c>
      <c r="D754" s="20" t="str">
        <v>未匹配</v>
      </c>
      <c r="E754" s="20">
        <v>0</v>
      </c>
    </row>
    <row r="755" spans="1:5">
      <c r="A755" s="20" t="str">
        <v>00:00:00</v>
      </c>
      <c r="B755" s="19">
        <v>0</v>
      </c>
      <c r="C755" s="21">
        <v>0</v>
      </c>
      <c r="D755" s="20" t="str">
        <v>未匹配</v>
      </c>
      <c r="E755" s="20">
        <v>0</v>
      </c>
    </row>
    <row r="756" spans="1:5">
      <c r="A756" s="20" t="str">
        <v>00:00:00</v>
      </c>
      <c r="B756" s="19">
        <v>0</v>
      </c>
      <c r="C756" s="21">
        <v>0</v>
      </c>
      <c r="D756" s="20" t="str">
        <v>未匹配</v>
      </c>
      <c r="E756" s="20">
        <v>0</v>
      </c>
    </row>
    <row r="757" spans="1:5">
      <c r="A757" s="20" t="str">
        <v>00:00:00</v>
      </c>
      <c r="B757" s="19">
        <v>0</v>
      </c>
      <c r="C757" s="21">
        <v>0</v>
      </c>
      <c r="D757" s="20" t="str">
        <v>未匹配</v>
      </c>
      <c r="E757" s="20">
        <v>0</v>
      </c>
    </row>
    <row r="758" spans="1:5">
      <c r="A758" s="20" t="str">
        <v>00:00:00</v>
      </c>
      <c r="B758" s="19">
        <v>0</v>
      </c>
      <c r="C758" s="21">
        <v>0</v>
      </c>
      <c r="D758" s="20" t="str">
        <v>未匹配</v>
      </c>
      <c r="E758" s="20">
        <v>0</v>
      </c>
    </row>
    <row r="759" spans="1:5">
      <c r="A759" s="20" t="str">
        <v>00:00:00</v>
      </c>
      <c r="B759" s="19">
        <v>0</v>
      </c>
      <c r="C759" s="21">
        <v>0</v>
      </c>
      <c r="D759" s="20" t="str">
        <v>未匹配</v>
      </c>
      <c r="E759" s="20">
        <v>0</v>
      </c>
    </row>
    <row r="760" spans="1:5">
      <c r="A760" s="20" t="str">
        <v>00:00:00</v>
      </c>
      <c r="B760" s="19">
        <v>0</v>
      </c>
      <c r="C760" s="21">
        <v>0</v>
      </c>
      <c r="D760" s="20" t="str">
        <v>未匹配</v>
      </c>
      <c r="E760" s="20">
        <v>0</v>
      </c>
    </row>
    <row r="761" spans="1:5">
      <c r="A761" s="20" t="str">
        <v>00:00:00</v>
      </c>
      <c r="B761" s="19">
        <v>0</v>
      </c>
      <c r="C761" s="21">
        <v>0</v>
      </c>
      <c r="D761" s="20" t="str">
        <v>未匹配</v>
      </c>
      <c r="E761" s="20">
        <v>0</v>
      </c>
    </row>
    <row r="762" spans="1:5">
      <c r="A762" s="20" t="str">
        <v>00:00:00</v>
      </c>
      <c r="B762" s="19">
        <v>0</v>
      </c>
      <c r="C762" s="21">
        <v>0</v>
      </c>
      <c r="D762" s="20" t="str">
        <v>未匹配</v>
      </c>
      <c r="E762" s="20">
        <v>0</v>
      </c>
    </row>
    <row r="763" spans="1:5">
      <c r="A763" s="20" t="str">
        <v>00:00:00</v>
      </c>
      <c r="B763" s="19">
        <v>0</v>
      </c>
      <c r="C763" s="21">
        <v>0</v>
      </c>
      <c r="D763" s="20" t="str">
        <v>未匹配</v>
      </c>
      <c r="E763" s="20">
        <v>0</v>
      </c>
    </row>
    <row r="764" spans="1:5">
      <c r="A764" s="20" t="str">
        <v>00:00:00</v>
      </c>
      <c r="B764" s="19">
        <v>0</v>
      </c>
      <c r="C764" s="21">
        <v>0</v>
      </c>
      <c r="D764" s="20" t="str">
        <v>未匹配</v>
      </c>
      <c r="E764" s="20">
        <v>0</v>
      </c>
    </row>
    <row r="765" spans="1:5">
      <c r="A765" s="20" t="str">
        <v>00:00:00</v>
      </c>
      <c r="B765" s="19">
        <v>0</v>
      </c>
      <c r="C765" s="21">
        <v>0</v>
      </c>
      <c r="D765" s="20" t="str">
        <v>未匹配</v>
      </c>
      <c r="E765" s="20">
        <v>0</v>
      </c>
    </row>
    <row r="766" spans="1:5">
      <c r="A766" s="20" t="str">
        <v>00:00:00</v>
      </c>
      <c r="B766" s="19">
        <v>0</v>
      </c>
      <c r="C766" s="21">
        <v>0</v>
      </c>
      <c r="D766" s="20" t="str">
        <v>未匹配</v>
      </c>
      <c r="E766" s="20">
        <v>0</v>
      </c>
    </row>
    <row r="767" spans="1:5">
      <c r="A767" s="20" t="str">
        <v>00:00:00</v>
      </c>
      <c r="B767" s="19">
        <v>0</v>
      </c>
      <c r="C767" s="21">
        <v>0</v>
      </c>
      <c r="D767" s="20" t="str">
        <v>未匹配</v>
      </c>
      <c r="E767" s="20">
        <v>0</v>
      </c>
    </row>
    <row r="768" spans="1:5">
      <c r="A768" s="20" t="str">
        <v>00:00:00</v>
      </c>
      <c r="B768" s="19">
        <v>0</v>
      </c>
      <c r="C768" s="21">
        <v>0</v>
      </c>
      <c r="D768" s="20" t="str">
        <v>未匹配</v>
      </c>
      <c r="E768" s="20">
        <v>0</v>
      </c>
    </row>
    <row r="769" spans="1:5">
      <c r="A769" s="20" t="str">
        <v>00:00:00</v>
      </c>
      <c r="B769" s="19">
        <v>0</v>
      </c>
      <c r="C769" s="21">
        <v>0</v>
      </c>
      <c r="D769" s="20" t="str">
        <v>未匹配</v>
      </c>
      <c r="E769" s="20">
        <v>0</v>
      </c>
    </row>
    <row r="770" spans="1:5">
      <c r="A770" s="20" t="str">
        <v>00:00:00</v>
      </c>
      <c r="B770" s="19">
        <v>0</v>
      </c>
      <c r="C770" s="21">
        <v>0</v>
      </c>
      <c r="D770" s="20" t="str">
        <v>未匹配</v>
      </c>
      <c r="E770" s="20">
        <v>0</v>
      </c>
    </row>
    <row r="771" spans="1:5">
      <c r="A771" s="20" t="str">
        <v>00:00:00</v>
      </c>
      <c r="B771" s="19">
        <v>0</v>
      </c>
      <c r="C771" s="21">
        <v>0</v>
      </c>
      <c r="D771" s="20" t="str">
        <v>未匹配</v>
      </c>
      <c r="E771" s="20">
        <v>0</v>
      </c>
    </row>
    <row r="772" spans="1:5">
      <c r="A772" s="20" t="str">
        <v>00:00:00</v>
      </c>
      <c r="B772" s="19">
        <v>0</v>
      </c>
      <c r="C772" s="21">
        <v>0</v>
      </c>
      <c r="D772" s="20" t="str">
        <v>未匹配</v>
      </c>
      <c r="E772" s="20">
        <v>0</v>
      </c>
    </row>
    <row r="773" spans="1:5">
      <c r="A773" s="20" t="str">
        <v>00:00:00</v>
      </c>
      <c r="B773" s="19">
        <v>0</v>
      </c>
      <c r="C773" s="21">
        <v>0</v>
      </c>
      <c r="D773" s="20" t="str">
        <v>未匹配</v>
      </c>
      <c r="E773" s="20">
        <v>0</v>
      </c>
    </row>
    <row r="774" spans="1:5">
      <c r="A774" s="20" t="str">
        <v>00:00:00</v>
      </c>
      <c r="B774" s="19">
        <v>0</v>
      </c>
      <c r="C774" s="21">
        <v>0</v>
      </c>
      <c r="D774" s="20" t="str">
        <v>未匹配</v>
      </c>
      <c r="E774" s="20">
        <v>0</v>
      </c>
    </row>
    <row r="775" spans="1:5">
      <c r="A775" s="20" t="str">
        <v>00:00:00</v>
      </c>
      <c r="B775" s="19">
        <v>0</v>
      </c>
      <c r="C775" s="21">
        <v>0</v>
      </c>
      <c r="D775" s="20" t="str">
        <v>未匹配</v>
      </c>
      <c r="E775" s="20">
        <v>0</v>
      </c>
    </row>
    <row r="776" spans="1:5">
      <c r="A776" s="20" t="str">
        <v>00:00:00</v>
      </c>
      <c r="B776" s="19">
        <v>0</v>
      </c>
      <c r="C776" s="21">
        <v>0</v>
      </c>
      <c r="D776" s="20" t="str">
        <v>未匹配</v>
      </c>
      <c r="E776" s="20">
        <v>0</v>
      </c>
    </row>
    <row r="777" spans="1:5">
      <c r="A777" s="20" t="str">
        <v>00:00:00</v>
      </c>
      <c r="B777" s="19">
        <v>0</v>
      </c>
      <c r="C777" s="21">
        <v>0</v>
      </c>
      <c r="D777" s="20" t="str">
        <v>未匹配</v>
      </c>
      <c r="E777" s="20">
        <v>0</v>
      </c>
    </row>
    <row r="778" spans="1:5">
      <c r="A778" s="20" t="str">
        <v>00:00:00</v>
      </c>
      <c r="B778" s="19">
        <v>0</v>
      </c>
      <c r="C778" s="21">
        <v>0</v>
      </c>
      <c r="D778" s="20" t="str">
        <v>未匹配</v>
      </c>
      <c r="E778" s="20">
        <v>0</v>
      </c>
    </row>
    <row r="779" spans="1:5">
      <c r="A779" s="20" t="str">
        <v>00:00:00</v>
      </c>
      <c r="B779" s="19">
        <v>0</v>
      </c>
      <c r="C779" s="21">
        <v>0</v>
      </c>
      <c r="D779" s="20" t="str">
        <v>未匹配</v>
      </c>
      <c r="E779" s="20">
        <v>0</v>
      </c>
    </row>
    <row r="780" spans="1:5">
      <c r="A780" s="20" t="str">
        <v>00:00:00</v>
      </c>
      <c r="B780" s="19">
        <v>0</v>
      </c>
      <c r="C780" s="21">
        <v>0</v>
      </c>
      <c r="D780" s="20" t="str">
        <v>未匹配</v>
      </c>
      <c r="E780" s="20">
        <v>0</v>
      </c>
    </row>
    <row r="781" spans="1:5">
      <c r="A781" s="20" t="str">
        <v>00:00:00</v>
      </c>
      <c r="B781" s="19">
        <v>0</v>
      </c>
      <c r="C781" s="21">
        <v>0</v>
      </c>
      <c r="D781" s="20" t="str">
        <v>未匹配</v>
      </c>
      <c r="E781" s="20">
        <v>0</v>
      </c>
    </row>
    <row r="782" spans="1:5">
      <c r="A782" s="20" t="str">
        <v>00:00:00</v>
      </c>
      <c r="B782" s="19">
        <v>0</v>
      </c>
      <c r="C782" s="21">
        <v>0</v>
      </c>
      <c r="D782" s="20" t="str">
        <v>未匹配</v>
      </c>
      <c r="E782" s="20">
        <v>0</v>
      </c>
    </row>
    <row r="783" spans="1:5">
      <c r="A783" s="20" t="str">
        <v>00:00:00</v>
      </c>
      <c r="B783" s="19">
        <v>0</v>
      </c>
      <c r="C783" s="21">
        <v>0</v>
      </c>
      <c r="D783" s="20" t="str">
        <v>未匹配</v>
      </c>
      <c r="E783" s="20">
        <v>0</v>
      </c>
    </row>
    <row r="784" spans="1:5">
      <c r="A784" s="20" t="str">
        <v>00:00:00</v>
      </c>
      <c r="B784" s="19">
        <v>0</v>
      </c>
      <c r="C784" s="21">
        <v>0</v>
      </c>
      <c r="D784" s="20" t="str">
        <v>未匹配</v>
      </c>
      <c r="E784" s="20">
        <v>0</v>
      </c>
    </row>
    <row r="785" spans="1:5">
      <c r="A785" s="20" t="str">
        <v>00:00:00</v>
      </c>
      <c r="B785" s="19">
        <v>0</v>
      </c>
      <c r="C785" s="21">
        <v>0</v>
      </c>
      <c r="D785" s="20" t="str">
        <v>未匹配</v>
      </c>
      <c r="E785" s="20">
        <v>0</v>
      </c>
    </row>
    <row r="786" spans="1:5">
      <c r="A786" s="20" t="str">
        <v>00:00:00</v>
      </c>
      <c r="B786" s="19">
        <v>0</v>
      </c>
      <c r="C786" s="21">
        <v>0</v>
      </c>
      <c r="D786" s="20" t="str">
        <v>未匹配</v>
      </c>
      <c r="E786" s="20">
        <v>0</v>
      </c>
    </row>
    <row r="787" spans="1:5">
      <c r="A787" s="20" t="str">
        <v>00:00:00</v>
      </c>
      <c r="B787" s="19">
        <v>0</v>
      </c>
      <c r="C787" s="21">
        <v>0</v>
      </c>
      <c r="D787" s="20" t="str">
        <v>未匹配</v>
      </c>
      <c r="E787" s="20">
        <v>0</v>
      </c>
    </row>
    <row r="788" spans="1:5">
      <c r="A788" s="20" t="str">
        <v>00:00:00</v>
      </c>
      <c r="B788" s="19">
        <v>0</v>
      </c>
      <c r="C788" s="21">
        <v>0</v>
      </c>
      <c r="D788" s="20" t="str">
        <v>未匹配</v>
      </c>
      <c r="E788" s="20">
        <v>0</v>
      </c>
    </row>
    <row r="789" spans="1:5">
      <c r="A789" s="20" t="str">
        <v>00:00:00</v>
      </c>
      <c r="B789" s="19">
        <v>0</v>
      </c>
      <c r="C789" s="21">
        <v>0</v>
      </c>
      <c r="D789" s="20" t="str">
        <v>未匹配</v>
      </c>
      <c r="E789" s="20">
        <v>0</v>
      </c>
    </row>
    <row r="790" spans="1:5">
      <c r="A790" s="20" t="str">
        <v>00:00:00</v>
      </c>
      <c r="B790" s="19">
        <v>0</v>
      </c>
      <c r="C790" s="21">
        <v>0</v>
      </c>
      <c r="D790" s="20" t="str">
        <v>未匹配</v>
      </c>
      <c r="E790" s="20">
        <v>0</v>
      </c>
    </row>
    <row r="791" spans="1:5">
      <c r="A791" s="20" t="str">
        <v>00:00:00</v>
      </c>
      <c r="B791" s="19">
        <v>0</v>
      </c>
      <c r="C791" s="21">
        <v>0</v>
      </c>
      <c r="D791" s="20" t="str">
        <v>未匹配</v>
      </c>
      <c r="E791" s="20">
        <v>0</v>
      </c>
    </row>
    <row r="792" spans="1:5">
      <c r="A792" s="20" t="str">
        <v>00:00:00</v>
      </c>
      <c r="B792" s="19">
        <v>0</v>
      </c>
      <c r="C792" s="21">
        <v>0</v>
      </c>
      <c r="D792" s="20" t="str">
        <v>未匹配</v>
      </c>
      <c r="E792" s="20">
        <v>0</v>
      </c>
    </row>
    <row r="793" spans="1:5">
      <c r="A793" s="20" t="str">
        <v>00:00:00</v>
      </c>
      <c r="B793" s="19">
        <v>0</v>
      </c>
      <c r="C793" s="21">
        <v>0</v>
      </c>
      <c r="D793" s="20" t="str">
        <v>未匹配</v>
      </c>
      <c r="E793" s="20">
        <v>0</v>
      </c>
    </row>
    <row r="794" spans="1:5">
      <c r="A794" s="20" t="str">
        <v>00:00:00</v>
      </c>
      <c r="B794" s="19">
        <v>0</v>
      </c>
      <c r="C794" s="21">
        <v>0</v>
      </c>
      <c r="D794" s="20" t="str">
        <v>未匹配</v>
      </c>
      <c r="E794" s="20">
        <v>0</v>
      </c>
    </row>
    <row r="795" spans="1:5">
      <c r="A795" s="20" t="str">
        <v>00:00:00</v>
      </c>
      <c r="B795" s="19">
        <v>0</v>
      </c>
      <c r="C795" s="21">
        <v>0</v>
      </c>
      <c r="D795" s="20" t="str">
        <v>未匹配</v>
      </c>
      <c r="E795" s="20">
        <v>0</v>
      </c>
    </row>
    <row r="796" spans="1:5">
      <c r="A796" s="20" t="str">
        <v>00:00:00</v>
      </c>
      <c r="B796" s="19">
        <v>0</v>
      </c>
      <c r="C796" s="21">
        <v>0</v>
      </c>
      <c r="D796" s="20" t="str">
        <v>未匹配</v>
      </c>
      <c r="E796" s="20">
        <v>0</v>
      </c>
    </row>
    <row r="797" spans="1:5">
      <c r="A797" s="20" t="str">
        <v>00:00:00</v>
      </c>
      <c r="B797" s="19">
        <v>0</v>
      </c>
      <c r="C797" s="21">
        <v>0</v>
      </c>
      <c r="D797" s="20" t="str">
        <v>未匹配</v>
      </c>
      <c r="E797" s="20">
        <v>0</v>
      </c>
    </row>
    <row r="798" spans="1:5">
      <c r="A798" s="20" t="str">
        <v>00:00:00</v>
      </c>
      <c r="B798" s="19">
        <v>0</v>
      </c>
      <c r="C798" s="21">
        <v>0</v>
      </c>
      <c r="D798" s="20" t="str">
        <v>未匹配</v>
      </c>
      <c r="E798" s="20">
        <v>0</v>
      </c>
    </row>
    <row r="799" spans="1:5">
      <c r="A799" s="20" t="str">
        <v>00:00:00</v>
      </c>
      <c r="B799" s="19">
        <v>0</v>
      </c>
      <c r="C799" s="21">
        <v>0</v>
      </c>
      <c r="D799" s="20" t="str">
        <v>未匹配</v>
      </c>
      <c r="E799" s="20">
        <v>0</v>
      </c>
    </row>
    <row r="800" spans="1:5">
      <c r="A800" s="20" t="str">
        <v>00:00:00</v>
      </c>
      <c r="B800" s="19">
        <v>0</v>
      </c>
      <c r="C800" s="21">
        <v>0</v>
      </c>
      <c r="D800" s="20" t="str">
        <v>未匹配</v>
      </c>
      <c r="E800" s="20">
        <v>0</v>
      </c>
    </row>
    <row r="801" spans="1:5">
      <c r="A801" s="20" t="str">
        <v>00:00:00</v>
      </c>
      <c r="B801" s="19">
        <v>0</v>
      </c>
      <c r="C801" s="21">
        <v>0</v>
      </c>
      <c r="D801" s="20" t="str">
        <v>未匹配</v>
      </c>
      <c r="E801" s="20">
        <v>0</v>
      </c>
    </row>
    <row r="802" spans="1:5">
      <c r="A802" s="20" t="str">
        <v>00:00:00</v>
      </c>
      <c r="B802" s="19">
        <v>0</v>
      </c>
      <c r="C802" s="21">
        <v>0</v>
      </c>
      <c r="D802" s="20" t="str">
        <v>未匹配</v>
      </c>
      <c r="E802" s="20">
        <v>0</v>
      </c>
    </row>
    <row r="803" spans="1:5">
      <c r="A803" s="20" t="str">
        <v>00:00:00</v>
      </c>
      <c r="B803" s="19">
        <v>0</v>
      </c>
      <c r="C803" s="21">
        <v>0</v>
      </c>
      <c r="D803" s="20" t="str">
        <v>未匹配</v>
      </c>
      <c r="E803" s="20">
        <v>0</v>
      </c>
    </row>
    <row r="804" spans="1:5">
      <c r="A804" s="20" t="str">
        <v>00:00:00</v>
      </c>
      <c r="B804" s="19">
        <v>0</v>
      </c>
      <c r="C804" s="21">
        <v>0</v>
      </c>
      <c r="D804" s="20" t="str">
        <v>未匹配</v>
      </c>
      <c r="E804" s="20">
        <v>0</v>
      </c>
    </row>
    <row r="805" spans="1:5">
      <c r="A805" s="20" t="str">
        <v>00:00:00</v>
      </c>
      <c r="B805" s="19">
        <v>0</v>
      </c>
      <c r="C805" s="21">
        <v>0</v>
      </c>
      <c r="D805" s="20" t="str">
        <v>未匹配</v>
      </c>
      <c r="E805" s="20">
        <v>0</v>
      </c>
    </row>
    <row r="806" spans="1:5">
      <c r="A806" s="20" t="str">
        <v>00:00:00</v>
      </c>
      <c r="B806" s="19">
        <v>0</v>
      </c>
      <c r="C806" s="21">
        <v>0</v>
      </c>
      <c r="D806" s="20" t="str">
        <v>未匹配</v>
      </c>
      <c r="E806" s="20">
        <v>0</v>
      </c>
    </row>
    <row r="807" spans="1:5">
      <c r="A807" s="20" t="str">
        <v>00:00:00</v>
      </c>
      <c r="B807" s="19">
        <v>0</v>
      </c>
      <c r="C807" s="21">
        <v>0</v>
      </c>
      <c r="D807" s="20" t="str">
        <v>未匹配</v>
      </c>
      <c r="E807" s="20">
        <v>0</v>
      </c>
    </row>
    <row r="808" spans="1:5">
      <c r="A808" s="20" t="str">
        <v>00:00:00</v>
      </c>
      <c r="B808" s="19">
        <v>0</v>
      </c>
      <c r="C808" s="21">
        <v>0</v>
      </c>
      <c r="D808" s="20" t="str">
        <v>未匹配</v>
      </c>
      <c r="E808" s="20">
        <v>0</v>
      </c>
    </row>
    <row r="809" spans="1:5">
      <c r="A809" s="20" t="str">
        <v>00:00:00</v>
      </c>
      <c r="B809" s="19">
        <v>0</v>
      </c>
      <c r="C809" s="21">
        <v>0</v>
      </c>
      <c r="D809" s="20" t="str">
        <v>未匹配</v>
      </c>
      <c r="E809" s="20">
        <v>0</v>
      </c>
    </row>
    <row r="810" spans="1:5">
      <c r="A810" s="20" t="str">
        <v>00:00:00</v>
      </c>
      <c r="B810" s="19">
        <v>0</v>
      </c>
      <c r="C810" s="21">
        <v>0</v>
      </c>
      <c r="D810" s="20" t="str">
        <v>未匹配</v>
      </c>
      <c r="E810" s="20">
        <v>0</v>
      </c>
    </row>
    <row r="811" spans="1:5">
      <c r="A811" s="20" t="str">
        <v>00:00:00</v>
      </c>
      <c r="B811" s="19">
        <v>0</v>
      </c>
      <c r="C811" s="21">
        <v>0</v>
      </c>
      <c r="D811" s="20" t="str">
        <v>未匹配</v>
      </c>
      <c r="E811" s="20">
        <v>0</v>
      </c>
    </row>
    <row r="812" spans="1:5">
      <c r="A812" s="20" t="str">
        <v>00:00:00</v>
      </c>
      <c r="B812" s="19">
        <v>0</v>
      </c>
      <c r="C812" s="21">
        <v>0</v>
      </c>
      <c r="D812" s="20" t="str">
        <v>未匹配</v>
      </c>
      <c r="E812" s="20">
        <v>0</v>
      </c>
    </row>
    <row r="813" spans="1:5">
      <c r="A813" s="20" t="str">
        <v>00:00:00</v>
      </c>
      <c r="B813" s="19">
        <v>0</v>
      </c>
      <c r="C813" s="21">
        <v>0</v>
      </c>
      <c r="D813" s="20" t="str">
        <v>未匹配</v>
      </c>
      <c r="E813" s="20">
        <v>0</v>
      </c>
    </row>
    <row r="814" spans="1:5">
      <c r="A814" s="20" t="str">
        <v>00:00:00</v>
      </c>
      <c r="B814" s="19">
        <v>0</v>
      </c>
      <c r="C814" s="21">
        <v>0</v>
      </c>
      <c r="D814" s="20" t="str">
        <v>未匹配</v>
      </c>
      <c r="E814" s="20">
        <v>0</v>
      </c>
    </row>
    <row r="815" spans="1:5">
      <c r="A815" s="20" t="str">
        <v>00:00:00</v>
      </c>
      <c r="B815" s="19">
        <v>0</v>
      </c>
      <c r="C815" s="21">
        <v>0</v>
      </c>
      <c r="D815" s="20" t="str">
        <v>未匹配</v>
      </c>
      <c r="E815" s="20">
        <v>0</v>
      </c>
    </row>
    <row r="816" spans="1:5">
      <c r="A816" s="20" t="str">
        <v>00:00:00</v>
      </c>
      <c r="B816" s="19">
        <v>0</v>
      </c>
      <c r="C816" s="21">
        <v>0</v>
      </c>
      <c r="D816" s="20" t="str">
        <v>未匹配</v>
      </c>
      <c r="E816" s="20">
        <v>0</v>
      </c>
    </row>
    <row r="817" spans="1:5">
      <c r="A817" s="20" t="str">
        <v>00:00:00</v>
      </c>
      <c r="B817" s="19">
        <v>0</v>
      </c>
      <c r="C817" s="21">
        <v>0</v>
      </c>
      <c r="D817" s="20" t="str">
        <v>未匹配</v>
      </c>
      <c r="E817" s="20">
        <v>0</v>
      </c>
    </row>
    <row r="818" spans="1:5">
      <c r="A818" s="20" t="str">
        <v>00:00:00</v>
      </c>
      <c r="B818" s="19">
        <v>0</v>
      </c>
      <c r="C818" s="21">
        <v>0</v>
      </c>
      <c r="D818" s="20" t="str">
        <v>未匹配</v>
      </c>
      <c r="E818" s="20">
        <v>0</v>
      </c>
    </row>
    <row r="819" spans="1:5">
      <c r="A819" s="20" t="str">
        <v>00:00:00</v>
      </c>
      <c r="B819" s="19">
        <v>0</v>
      </c>
      <c r="C819" s="21">
        <v>0</v>
      </c>
      <c r="D819" s="20" t="str">
        <v>未匹配</v>
      </c>
      <c r="E819" s="20">
        <v>0</v>
      </c>
    </row>
    <row r="820" spans="1:5">
      <c r="A820" s="20" t="str">
        <v>00:00:00</v>
      </c>
      <c r="B820" s="19">
        <v>0</v>
      </c>
      <c r="C820" s="21">
        <v>0</v>
      </c>
      <c r="D820" s="20" t="str">
        <v>未匹配</v>
      </c>
      <c r="E820" s="20">
        <v>0</v>
      </c>
    </row>
    <row r="821" spans="1:5">
      <c r="A821" s="20" t="str">
        <v>00:00:00</v>
      </c>
      <c r="B821" s="19">
        <v>0</v>
      </c>
      <c r="C821" s="21">
        <v>0</v>
      </c>
      <c r="D821" s="20" t="str">
        <v>未匹配</v>
      </c>
      <c r="E821" s="20">
        <v>0</v>
      </c>
    </row>
    <row r="822" spans="1:5">
      <c r="A822" s="20" t="str">
        <v>00:00:00</v>
      </c>
      <c r="B822" s="19">
        <v>0</v>
      </c>
      <c r="C822" s="21">
        <v>0</v>
      </c>
      <c r="D822" s="20" t="str">
        <v>未匹配</v>
      </c>
      <c r="E822" s="20">
        <v>0</v>
      </c>
    </row>
    <row r="823" spans="1:5">
      <c r="A823" s="20" t="str">
        <v>00:00:00</v>
      </c>
      <c r="B823" s="19">
        <v>0</v>
      </c>
      <c r="C823" s="21">
        <v>0</v>
      </c>
      <c r="D823" s="20" t="str">
        <v>未匹配</v>
      </c>
      <c r="E823" s="20">
        <v>0</v>
      </c>
    </row>
    <row r="824" spans="1:5">
      <c r="A824" s="20" t="str">
        <v>00:00:00</v>
      </c>
      <c r="B824" s="19">
        <v>0</v>
      </c>
      <c r="C824" s="21">
        <v>0</v>
      </c>
      <c r="D824" s="20" t="str">
        <v>未匹配</v>
      </c>
      <c r="E824" s="20">
        <v>0</v>
      </c>
    </row>
    <row r="825" spans="1:5">
      <c r="A825" s="20" t="str">
        <v>00:00:00</v>
      </c>
      <c r="B825" s="19">
        <v>0</v>
      </c>
      <c r="C825" s="21">
        <v>0</v>
      </c>
      <c r="D825" s="20" t="str">
        <v>未匹配</v>
      </c>
      <c r="E825" s="20">
        <v>0</v>
      </c>
    </row>
    <row r="826" spans="1:5">
      <c r="A826" s="20" t="str">
        <v>00:00:00</v>
      </c>
      <c r="B826" s="19">
        <v>0</v>
      </c>
      <c r="C826" s="21">
        <v>0</v>
      </c>
      <c r="D826" s="20" t="str">
        <v>未匹配</v>
      </c>
      <c r="E826" s="20">
        <v>0</v>
      </c>
    </row>
    <row r="827" spans="1:5">
      <c r="A827" s="20" t="str">
        <v>00:00:00</v>
      </c>
      <c r="B827" s="19">
        <v>0</v>
      </c>
      <c r="C827" s="21">
        <v>0</v>
      </c>
      <c r="D827" s="20" t="str">
        <v>未匹配</v>
      </c>
      <c r="E827" s="20">
        <v>0</v>
      </c>
    </row>
    <row r="828" spans="1:5">
      <c r="A828" s="20" t="str">
        <v>00:00:00</v>
      </c>
      <c r="B828" s="19">
        <v>0</v>
      </c>
      <c r="C828" s="21">
        <v>0</v>
      </c>
      <c r="D828" s="20" t="str">
        <v>未匹配</v>
      </c>
      <c r="E828" s="20">
        <v>0</v>
      </c>
    </row>
    <row r="829" spans="1:5">
      <c r="A829" s="20" t="str">
        <v>00:00:00</v>
      </c>
      <c r="B829" s="19">
        <v>0</v>
      </c>
      <c r="C829" s="21">
        <v>0</v>
      </c>
      <c r="D829" s="20" t="str">
        <v>未匹配</v>
      </c>
      <c r="E829" s="20">
        <v>0</v>
      </c>
    </row>
    <row r="830" spans="1:5">
      <c r="A830" s="20" t="str">
        <v>00:00:00</v>
      </c>
      <c r="B830" s="19">
        <v>0</v>
      </c>
      <c r="C830" s="21">
        <v>0</v>
      </c>
      <c r="D830" s="20" t="str">
        <v>未匹配</v>
      </c>
      <c r="E830" s="20">
        <v>0</v>
      </c>
    </row>
    <row r="831" spans="1:5">
      <c r="A831" s="20" t="str">
        <v>00:00:00</v>
      </c>
      <c r="B831" s="19">
        <v>0</v>
      </c>
      <c r="C831" s="21">
        <v>0</v>
      </c>
      <c r="D831" s="20" t="str">
        <v>未匹配</v>
      </c>
      <c r="E831" s="20">
        <v>0</v>
      </c>
    </row>
    <row r="832" spans="1:5">
      <c r="A832" s="20" t="str">
        <v>00:00:00</v>
      </c>
      <c r="B832" s="19">
        <v>0</v>
      </c>
      <c r="C832" s="21">
        <v>0</v>
      </c>
      <c r="D832" s="20" t="str">
        <v>未匹配</v>
      </c>
      <c r="E832" s="20">
        <v>0</v>
      </c>
    </row>
    <row r="833" spans="1:5">
      <c r="A833" s="20" t="str">
        <v>00:00:00</v>
      </c>
      <c r="B833" s="19">
        <v>0</v>
      </c>
      <c r="C833" s="21">
        <v>0</v>
      </c>
      <c r="D833" s="20" t="str">
        <v>未匹配</v>
      </c>
      <c r="E833" s="20">
        <v>0</v>
      </c>
    </row>
    <row r="834" spans="1:5">
      <c r="A834" s="20" t="str">
        <v>00:00:00</v>
      </c>
      <c r="B834" s="19">
        <v>0</v>
      </c>
      <c r="C834" s="21">
        <v>0</v>
      </c>
      <c r="D834" s="20" t="str">
        <v>未匹配</v>
      </c>
      <c r="E834" s="20">
        <v>0</v>
      </c>
    </row>
    <row r="835" spans="1:5">
      <c r="A835" s="20" t="str">
        <v>00:00:00</v>
      </c>
      <c r="B835" s="19">
        <v>0</v>
      </c>
      <c r="C835" s="21">
        <v>0</v>
      </c>
      <c r="D835" s="20" t="str">
        <v>未匹配</v>
      </c>
      <c r="E835" s="20">
        <v>0</v>
      </c>
    </row>
    <row r="836" spans="1:5">
      <c r="A836" s="20" t="str">
        <v>00:00:00</v>
      </c>
      <c r="B836" s="19">
        <v>0</v>
      </c>
      <c r="C836" s="21">
        <v>0</v>
      </c>
      <c r="D836" s="20" t="str">
        <v>未匹配</v>
      </c>
      <c r="E836" s="20">
        <v>0</v>
      </c>
    </row>
    <row r="837" spans="1:5">
      <c r="A837" s="20" t="str">
        <v>00:00:00</v>
      </c>
      <c r="B837" s="19">
        <v>0</v>
      </c>
      <c r="C837" s="21">
        <v>0</v>
      </c>
      <c r="D837" s="20" t="str">
        <v>未匹配</v>
      </c>
      <c r="E837" s="20">
        <v>0</v>
      </c>
    </row>
    <row r="838" spans="1:5">
      <c r="A838" s="20" t="str">
        <v>00:00:00</v>
      </c>
      <c r="B838" s="19">
        <v>0</v>
      </c>
      <c r="C838" s="21">
        <v>0</v>
      </c>
      <c r="D838" s="20" t="str">
        <v>未匹配</v>
      </c>
      <c r="E838" s="20">
        <v>0</v>
      </c>
    </row>
    <row r="839" spans="1:5">
      <c r="A839" s="20" t="str">
        <v>00:00:00</v>
      </c>
      <c r="B839" s="19">
        <v>0</v>
      </c>
      <c r="C839" s="21">
        <v>0</v>
      </c>
      <c r="D839" s="20" t="str">
        <v>未匹配</v>
      </c>
      <c r="E839" s="20">
        <v>0</v>
      </c>
    </row>
    <row r="840" spans="1:5">
      <c r="A840" s="20" t="str">
        <v>00:00:00</v>
      </c>
      <c r="B840" s="19">
        <v>0</v>
      </c>
      <c r="C840" s="21">
        <v>0</v>
      </c>
      <c r="D840" s="20" t="str">
        <v>未匹配</v>
      </c>
      <c r="E840" s="20">
        <v>0</v>
      </c>
    </row>
    <row r="841" spans="1:5">
      <c r="A841" s="20" t="str">
        <v>00:00:00</v>
      </c>
      <c r="B841" s="19">
        <v>0</v>
      </c>
      <c r="C841" s="21">
        <v>0</v>
      </c>
      <c r="D841" s="20" t="str">
        <v>未匹配</v>
      </c>
      <c r="E841" s="20">
        <v>0</v>
      </c>
    </row>
    <row r="842" spans="1:5">
      <c r="A842" s="20" t="str">
        <v>00:00:00</v>
      </c>
      <c r="B842" s="19">
        <v>0</v>
      </c>
      <c r="C842" s="21">
        <v>0</v>
      </c>
      <c r="D842" s="20" t="str">
        <v>未匹配</v>
      </c>
      <c r="E842" s="20">
        <v>0</v>
      </c>
    </row>
    <row r="843" spans="1:5">
      <c r="A843" s="20" t="str">
        <v>00:00:00</v>
      </c>
      <c r="B843" s="19">
        <v>0</v>
      </c>
      <c r="C843" s="21">
        <v>0</v>
      </c>
      <c r="D843" s="20" t="str">
        <v>未匹配</v>
      </c>
      <c r="E843" s="20">
        <v>0</v>
      </c>
    </row>
    <row r="844" spans="1:5">
      <c r="A844" s="20" t="str">
        <v>00:00:00</v>
      </c>
      <c r="B844" s="19">
        <v>0</v>
      </c>
      <c r="C844" s="21">
        <v>0</v>
      </c>
      <c r="D844" s="20" t="str">
        <v>未匹配</v>
      </c>
      <c r="E844" s="20">
        <v>0</v>
      </c>
    </row>
    <row r="845" spans="1:5">
      <c r="A845" s="20" t="str">
        <v>00:00:00</v>
      </c>
      <c r="B845" s="19">
        <v>0</v>
      </c>
      <c r="C845" s="21">
        <v>0</v>
      </c>
      <c r="D845" s="20" t="str">
        <v>未匹配</v>
      </c>
      <c r="E845" s="20">
        <v>0</v>
      </c>
    </row>
    <row r="846" spans="1:5">
      <c r="A846" s="20" t="str">
        <v>00:00:00</v>
      </c>
      <c r="B846" s="19">
        <v>0</v>
      </c>
      <c r="C846" s="21">
        <v>0</v>
      </c>
      <c r="D846" s="20" t="str">
        <v>未匹配</v>
      </c>
      <c r="E846" s="20">
        <v>0</v>
      </c>
    </row>
    <row r="847" spans="1:5">
      <c r="A847" s="20" t="str">
        <v>00:00:00</v>
      </c>
      <c r="B847" s="19">
        <v>0</v>
      </c>
      <c r="C847" s="21">
        <v>0</v>
      </c>
      <c r="D847" s="20" t="str">
        <v>未匹配</v>
      </c>
      <c r="E847" s="20">
        <v>0</v>
      </c>
    </row>
    <row r="848" spans="1:5">
      <c r="A848" s="20" t="str">
        <v>00:00:00</v>
      </c>
      <c r="B848" s="19">
        <v>0</v>
      </c>
      <c r="C848" s="21">
        <v>0</v>
      </c>
      <c r="D848" s="20" t="str">
        <v>未匹配</v>
      </c>
      <c r="E848" s="20">
        <v>0</v>
      </c>
    </row>
    <row r="849" spans="1:5">
      <c r="A849" s="20" t="str">
        <v>00:00:00</v>
      </c>
      <c r="B849" s="19">
        <v>0</v>
      </c>
      <c r="C849" s="21">
        <v>0</v>
      </c>
      <c r="D849" s="20" t="str">
        <v>未匹配</v>
      </c>
      <c r="E849" s="20">
        <v>0</v>
      </c>
    </row>
    <row r="850" spans="1:5">
      <c r="A850" s="20" t="str">
        <v>00:00:00</v>
      </c>
      <c r="B850" s="19">
        <v>0</v>
      </c>
      <c r="C850" s="21">
        <v>0</v>
      </c>
      <c r="D850" s="20" t="str">
        <v>未匹配</v>
      </c>
      <c r="E850" s="20">
        <v>0</v>
      </c>
    </row>
    <row r="851" spans="1:5">
      <c r="A851" s="20" t="str">
        <v>00:00:00</v>
      </c>
      <c r="B851" s="19">
        <v>0</v>
      </c>
      <c r="C851" s="21">
        <v>0</v>
      </c>
      <c r="D851" s="20" t="str">
        <v>未匹配</v>
      </c>
      <c r="E851" s="20">
        <v>0</v>
      </c>
    </row>
    <row r="852" spans="1:5">
      <c r="A852" s="20" t="str">
        <v>00:00:00</v>
      </c>
      <c r="B852" s="19">
        <v>0</v>
      </c>
      <c r="C852" s="21">
        <v>0</v>
      </c>
      <c r="D852" s="20" t="str">
        <v>未匹配</v>
      </c>
      <c r="E852" s="20">
        <v>0</v>
      </c>
    </row>
    <row r="853" spans="1:5">
      <c r="A853" s="20" t="str">
        <v>00:00:00</v>
      </c>
      <c r="B853" s="19">
        <v>0</v>
      </c>
      <c r="C853" s="21">
        <v>0</v>
      </c>
      <c r="D853" s="20" t="str">
        <v>未匹配</v>
      </c>
      <c r="E853" s="20">
        <v>0</v>
      </c>
    </row>
    <row r="854" spans="1:5">
      <c r="A854" s="20" t="str">
        <v>00:00:00</v>
      </c>
      <c r="B854" s="19">
        <v>0</v>
      </c>
      <c r="C854" s="21">
        <v>0</v>
      </c>
      <c r="D854" s="20" t="str">
        <v>未匹配</v>
      </c>
      <c r="E854" s="20">
        <v>0</v>
      </c>
    </row>
    <row r="855" spans="1:5">
      <c r="A855" s="20" t="str">
        <v>00:00:00</v>
      </c>
      <c r="B855" s="19">
        <v>0</v>
      </c>
      <c r="C855" s="21">
        <v>0</v>
      </c>
      <c r="D855" s="20" t="str">
        <v>未匹配</v>
      </c>
      <c r="E855" s="20">
        <v>0</v>
      </c>
    </row>
    <row r="856" spans="1:5">
      <c r="A856" s="20" t="str">
        <v>00:00:00</v>
      </c>
      <c r="B856" s="19">
        <v>0</v>
      </c>
      <c r="C856" s="21">
        <v>0</v>
      </c>
      <c r="D856" s="20" t="str">
        <v>未匹配</v>
      </c>
      <c r="E856" s="20">
        <v>0</v>
      </c>
    </row>
    <row r="857" spans="1:5">
      <c r="A857" s="20" t="str">
        <v>00:00:00</v>
      </c>
      <c r="B857" s="19">
        <v>0</v>
      </c>
      <c r="C857" s="21">
        <v>0</v>
      </c>
      <c r="D857" s="20" t="str">
        <v>未匹配</v>
      </c>
      <c r="E857" s="20">
        <v>0</v>
      </c>
    </row>
    <row r="858" spans="1:5">
      <c r="A858" s="20" t="str">
        <v>00:00:00</v>
      </c>
      <c r="B858" s="19">
        <v>0</v>
      </c>
      <c r="C858" s="21">
        <v>0</v>
      </c>
      <c r="D858" s="20" t="str">
        <v>未匹配</v>
      </c>
      <c r="E858" s="20">
        <v>0</v>
      </c>
    </row>
    <row r="859" spans="1:5">
      <c r="A859" s="20" t="str">
        <v>00:00:00</v>
      </c>
      <c r="B859" s="19">
        <v>0</v>
      </c>
      <c r="C859" s="21">
        <v>0</v>
      </c>
      <c r="D859" s="20" t="str">
        <v>未匹配</v>
      </c>
      <c r="E859" s="20">
        <v>0</v>
      </c>
    </row>
    <row r="860" spans="1:5">
      <c r="A860" s="20" t="str">
        <v>00:00:00</v>
      </c>
      <c r="B860" s="19">
        <v>0</v>
      </c>
      <c r="C860" s="21">
        <v>0</v>
      </c>
      <c r="D860" s="20" t="str">
        <v>未匹配</v>
      </c>
      <c r="E860" s="20">
        <v>0</v>
      </c>
    </row>
    <row r="861" spans="1:5">
      <c r="A861" s="20" t="str">
        <v>00:00:00</v>
      </c>
      <c r="B861" s="19">
        <v>0</v>
      </c>
      <c r="C861" s="21">
        <v>0</v>
      </c>
      <c r="D861" s="20" t="str">
        <v>未匹配</v>
      </c>
      <c r="E861" s="20">
        <v>0</v>
      </c>
    </row>
    <row r="862" spans="1:5">
      <c r="A862" s="20" t="str">
        <v>00:00:00</v>
      </c>
      <c r="B862" s="19">
        <v>0</v>
      </c>
      <c r="C862" s="21">
        <v>0</v>
      </c>
      <c r="D862" s="20" t="str">
        <v>未匹配</v>
      </c>
      <c r="E862" s="20">
        <v>0</v>
      </c>
    </row>
    <row r="863" spans="1:5">
      <c r="A863" s="20" t="str">
        <v>00:00:00</v>
      </c>
      <c r="B863" s="19">
        <v>0</v>
      </c>
      <c r="C863" s="21">
        <v>0</v>
      </c>
      <c r="D863" s="20" t="str">
        <v>未匹配</v>
      </c>
      <c r="E863" s="20">
        <v>0</v>
      </c>
    </row>
    <row r="864" spans="1:5">
      <c r="A864" s="20" t="str">
        <v>00:00:00</v>
      </c>
      <c r="B864" s="19">
        <v>0</v>
      </c>
      <c r="C864" s="21">
        <v>0</v>
      </c>
      <c r="D864" s="20" t="str">
        <v>未匹配</v>
      </c>
      <c r="E864" s="20">
        <v>0</v>
      </c>
    </row>
    <row r="865" spans="1:5">
      <c r="A865" s="20" t="str">
        <v>00:00:00</v>
      </c>
      <c r="B865" s="19">
        <v>0</v>
      </c>
      <c r="C865" s="21">
        <v>0</v>
      </c>
      <c r="D865" s="20" t="str">
        <v>未匹配</v>
      </c>
      <c r="E865" s="20">
        <v>0</v>
      </c>
    </row>
    <row r="866" spans="1:5">
      <c r="A866" s="20" t="str">
        <v>00:00:00</v>
      </c>
      <c r="B866" s="19">
        <v>0</v>
      </c>
      <c r="C866" s="21">
        <v>0</v>
      </c>
      <c r="D866" s="20" t="str">
        <v>未匹配</v>
      </c>
      <c r="E866" s="20">
        <v>0</v>
      </c>
    </row>
    <row r="867" spans="1:5">
      <c r="A867" s="20" t="str">
        <v>00:00:00</v>
      </c>
      <c r="B867" s="19">
        <v>0</v>
      </c>
      <c r="C867" s="21">
        <v>0</v>
      </c>
      <c r="D867" s="20" t="str">
        <v>未匹配</v>
      </c>
      <c r="E867" s="20">
        <v>0</v>
      </c>
    </row>
    <row r="868" spans="1:5">
      <c r="A868" s="20" t="str">
        <v>00:00:00</v>
      </c>
      <c r="B868" s="19">
        <v>0</v>
      </c>
      <c r="C868" s="21">
        <v>0</v>
      </c>
      <c r="D868" s="20" t="str">
        <v>未匹配</v>
      </c>
      <c r="E868" s="20">
        <v>0</v>
      </c>
    </row>
    <row r="869" spans="1:5">
      <c r="A869" s="20" t="str">
        <v>00:00:00</v>
      </c>
      <c r="B869" s="19">
        <v>0</v>
      </c>
      <c r="C869" s="21">
        <v>0</v>
      </c>
      <c r="D869" s="20" t="str">
        <v>未匹配</v>
      </c>
      <c r="E869" s="20">
        <v>0</v>
      </c>
    </row>
    <row r="870" spans="1:5">
      <c r="A870" s="20" t="str">
        <v>00:00:00</v>
      </c>
      <c r="B870" s="19">
        <v>0</v>
      </c>
      <c r="C870" s="21">
        <v>0</v>
      </c>
      <c r="D870" s="20" t="str">
        <v>未匹配</v>
      </c>
      <c r="E870" s="20">
        <v>0</v>
      </c>
    </row>
    <row r="871" spans="1:5">
      <c r="A871" s="20" t="str">
        <v>00:00:00</v>
      </c>
      <c r="B871" s="19">
        <v>0</v>
      </c>
      <c r="C871" s="21">
        <v>0</v>
      </c>
      <c r="D871" s="20" t="str">
        <v>未匹配</v>
      </c>
      <c r="E871" s="20">
        <v>0</v>
      </c>
    </row>
    <row r="872" spans="1:5">
      <c r="A872" s="20" t="str">
        <v>00:00:00</v>
      </c>
      <c r="B872" s="19">
        <v>0</v>
      </c>
      <c r="C872" s="21">
        <v>0</v>
      </c>
      <c r="D872" s="20" t="str">
        <v>未匹配</v>
      </c>
      <c r="E872" s="20">
        <v>0</v>
      </c>
    </row>
    <row r="873" spans="1:5">
      <c r="A873" s="20" t="str">
        <v>00:00:00</v>
      </c>
      <c r="B873" s="19">
        <v>0</v>
      </c>
      <c r="C873" s="21">
        <v>0</v>
      </c>
      <c r="D873" s="20" t="str">
        <v>未匹配</v>
      </c>
      <c r="E873" s="20">
        <v>0</v>
      </c>
    </row>
    <row r="874" spans="1:5">
      <c r="A874" s="20" t="str">
        <v>00:00:00</v>
      </c>
      <c r="B874" s="19">
        <v>0</v>
      </c>
      <c r="C874" s="21">
        <v>0</v>
      </c>
      <c r="D874" s="20" t="str">
        <v>未匹配</v>
      </c>
      <c r="E874" s="20">
        <v>0</v>
      </c>
    </row>
    <row r="875" spans="1:5">
      <c r="A875" s="20" t="str">
        <v>00:00:00</v>
      </c>
      <c r="B875" s="19">
        <v>0</v>
      </c>
      <c r="C875" s="21">
        <v>0</v>
      </c>
      <c r="D875" s="20" t="str">
        <v>未匹配</v>
      </c>
      <c r="E875" s="20">
        <v>0</v>
      </c>
    </row>
    <row r="876" spans="1:5">
      <c r="A876" s="20" t="str">
        <v>00:00:00</v>
      </c>
      <c r="B876" s="19">
        <v>0</v>
      </c>
      <c r="C876" s="21">
        <v>0</v>
      </c>
      <c r="D876" s="20" t="str">
        <v>未匹配</v>
      </c>
      <c r="E876" s="20">
        <v>0</v>
      </c>
    </row>
    <row r="877" spans="1:5">
      <c r="A877" s="20" t="str">
        <v>00:00:00</v>
      </c>
      <c r="B877" s="19">
        <v>0</v>
      </c>
      <c r="C877" s="21">
        <v>0</v>
      </c>
      <c r="D877" s="20" t="str">
        <v>未匹配</v>
      </c>
      <c r="E877" s="20">
        <v>0</v>
      </c>
    </row>
    <row r="878" spans="1:5">
      <c r="A878" s="20" t="str">
        <v>00:00:00</v>
      </c>
      <c r="B878" s="19">
        <v>0</v>
      </c>
      <c r="C878" s="21">
        <v>0</v>
      </c>
      <c r="D878" s="20" t="str">
        <v>未匹配</v>
      </c>
      <c r="E878" s="20">
        <v>0</v>
      </c>
    </row>
    <row r="879" spans="1:5">
      <c r="A879" s="20" t="str">
        <v>00:00:00</v>
      </c>
      <c r="B879" s="19">
        <v>0</v>
      </c>
      <c r="C879" s="21">
        <v>0</v>
      </c>
      <c r="D879" s="20" t="str">
        <v>未匹配</v>
      </c>
      <c r="E879" s="20">
        <v>0</v>
      </c>
    </row>
    <row r="880" spans="1:5">
      <c r="A880" s="20" t="str">
        <v>00:00:00</v>
      </c>
      <c r="B880" s="19">
        <v>0</v>
      </c>
      <c r="C880" s="21">
        <v>0</v>
      </c>
      <c r="D880" s="20" t="str">
        <v>未匹配</v>
      </c>
      <c r="E880" s="20">
        <v>0</v>
      </c>
    </row>
    <row r="881" spans="1:5">
      <c r="A881" s="20" t="str">
        <v>00:00:00</v>
      </c>
      <c r="B881" s="19">
        <v>0</v>
      </c>
      <c r="C881" s="21">
        <v>0</v>
      </c>
      <c r="D881" s="20" t="str">
        <v>未匹配</v>
      </c>
      <c r="E881" s="20">
        <v>0</v>
      </c>
    </row>
    <row r="882" spans="1:5">
      <c r="A882" s="20" t="str">
        <v>00:00:00</v>
      </c>
      <c r="B882" s="19">
        <v>0</v>
      </c>
      <c r="C882" s="21">
        <v>0</v>
      </c>
      <c r="D882" s="20" t="str">
        <v>未匹配</v>
      </c>
      <c r="E882" s="20">
        <v>0</v>
      </c>
    </row>
    <row r="883" spans="1:5">
      <c r="A883" s="20" t="str">
        <v>00:00:00</v>
      </c>
      <c r="B883" s="19">
        <v>0</v>
      </c>
      <c r="C883" s="21">
        <v>0</v>
      </c>
      <c r="D883" s="20" t="str">
        <v>未匹配</v>
      </c>
      <c r="E883" s="20">
        <v>0</v>
      </c>
    </row>
    <row r="884" spans="1:5">
      <c r="A884" s="20" t="str">
        <v>00:00:00</v>
      </c>
      <c r="B884" s="19">
        <v>0</v>
      </c>
      <c r="C884" s="21">
        <v>0</v>
      </c>
      <c r="D884" s="20" t="str">
        <v>未匹配</v>
      </c>
      <c r="E884" s="20">
        <v>0</v>
      </c>
    </row>
    <row r="885" spans="1:5">
      <c r="A885" s="20" t="str">
        <v>00:00:00</v>
      </c>
      <c r="B885" s="19">
        <v>0</v>
      </c>
      <c r="C885" s="21">
        <v>0</v>
      </c>
      <c r="D885" s="20" t="str">
        <v>未匹配</v>
      </c>
      <c r="E885" s="20">
        <v>0</v>
      </c>
    </row>
    <row r="886" spans="1:5">
      <c r="A886" s="20" t="str">
        <v>00:00:00</v>
      </c>
      <c r="B886" s="19">
        <v>0</v>
      </c>
      <c r="C886" s="21">
        <v>0</v>
      </c>
      <c r="D886" s="20" t="str">
        <v>未匹配</v>
      </c>
      <c r="E886" s="20">
        <v>0</v>
      </c>
    </row>
    <row r="887" spans="1:5">
      <c r="A887" s="20" t="str">
        <v>00:00:00</v>
      </c>
      <c r="B887" s="19">
        <v>0</v>
      </c>
      <c r="C887" s="21">
        <v>0</v>
      </c>
      <c r="D887" s="20" t="str">
        <v>未匹配</v>
      </c>
      <c r="E887" s="20">
        <v>0</v>
      </c>
    </row>
    <row r="888" spans="1:5">
      <c r="A888" s="20" t="str">
        <v>00:00:00</v>
      </c>
      <c r="B888" s="19">
        <v>0</v>
      </c>
      <c r="C888" s="21">
        <v>0</v>
      </c>
      <c r="D888" s="20" t="str">
        <v>未匹配</v>
      </c>
      <c r="E888" s="20">
        <v>0</v>
      </c>
    </row>
    <row r="889" spans="1:5">
      <c r="A889" s="20" t="str">
        <v>00:00:00</v>
      </c>
      <c r="B889" s="19">
        <v>0</v>
      </c>
      <c r="C889" s="21">
        <v>0</v>
      </c>
      <c r="D889" s="20" t="str">
        <v>未匹配</v>
      </c>
      <c r="E889" s="20">
        <v>0</v>
      </c>
    </row>
    <row r="890" spans="1:5">
      <c r="A890" s="20" t="str">
        <v>00:00:00</v>
      </c>
      <c r="B890" s="19">
        <v>0</v>
      </c>
      <c r="C890" s="21">
        <v>0</v>
      </c>
      <c r="D890" s="20" t="str">
        <v>未匹配</v>
      </c>
      <c r="E890" s="20">
        <v>0</v>
      </c>
    </row>
    <row r="891" spans="1:5">
      <c r="A891" s="20" t="str">
        <v>00:00:00</v>
      </c>
      <c r="B891" s="19">
        <v>0</v>
      </c>
      <c r="C891" s="21">
        <v>0</v>
      </c>
      <c r="D891" s="20" t="str">
        <v>未匹配</v>
      </c>
      <c r="E891" s="20">
        <v>0</v>
      </c>
    </row>
    <row r="892" spans="1:5">
      <c r="A892" s="20" t="str">
        <v>00:00:00</v>
      </c>
      <c r="B892" s="19">
        <v>0</v>
      </c>
      <c r="C892" s="21">
        <v>0</v>
      </c>
      <c r="D892" s="20" t="str">
        <v>未匹配</v>
      </c>
      <c r="E892" s="20">
        <v>0</v>
      </c>
    </row>
    <row r="893" spans="1:5">
      <c r="A893" s="20" t="str">
        <v>00:00:00</v>
      </c>
      <c r="B893" s="19">
        <v>0</v>
      </c>
      <c r="C893" s="21">
        <v>0</v>
      </c>
      <c r="D893" s="20" t="str">
        <v>未匹配</v>
      </c>
      <c r="E893" s="20">
        <v>0</v>
      </c>
    </row>
    <row r="894" spans="1:5">
      <c r="A894" s="20" t="str">
        <v>00:00:00</v>
      </c>
      <c r="B894" s="19">
        <v>0</v>
      </c>
      <c r="C894" s="21">
        <v>0</v>
      </c>
      <c r="D894" s="20" t="str">
        <v>未匹配</v>
      </c>
      <c r="E894" s="20">
        <v>0</v>
      </c>
    </row>
    <row r="895" spans="1:5">
      <c r="A895" s="20" t="str">
        <v>00:00:00</v>
      </c>
      <c r="B895" s="19">
        <v>0</v>
      </c>
      <c r="C895" s="21">
        <v>0</v>
      </c>
      <c r="D895" s="20" t="str">
        <v>未匹配</v>
      </c>
      <c r="E895" s="20">
        <v>0</v>
      </c>
    </row>
    <row r="896" spans="1:5">
      <c r="A896" s="20" t="str">
        <v>00:00:00</v>
      </c>
      <c r="B896" s="19">
        <v>0</v>
      </c>
      <c r="C896" s="21">
        <v>0</v>
      </c>
      <c r="D896" s="20" t="str">
        <v>未匹配</v>
      </c>
      <c r="E896" s="20">
        <v>0</v>
      </c>
    </row>
    <row r="897" spans="1:5">
      <c r="A897" s="20" t="str">
        <v>00:00:00</v>
      </c>
      <c r="B897" s="19">
        <v>0</v>
      </c>
      <c r="C897" s="21">
        <v>0</v>
      </c>
      <c r="D897" s="20" t="str">
        <v>未匹配</v>
      </c>
      <c r="E897" s="20">
        <v>0</v>
      </c>
    </row>
    <row r="898" spans="1:5">
      <c r="A898" s="20" t="str">
        <v>00:00:00</v>
      </c>
      <c r="B898" s="19">
        <v>0</v>
      </c>
      <c r="C898" s="21">
        <v>0</v>
      </c>
      <c r="D898" s="20" t="str">
        <v>未匹配</v>
      </c>
      <c r="E898" s="20">
        <v>0</v>
      </c>
    </row>
    <row r="899" spans="1:5">
      <c r="A899" s="20" t="str">
        <v>00:00:00</v>
      </c>
      <c r="B899" s="19">
        <v>0</v>
      </c>
      <c r="C899" s="21">
        <v>0</v>
      </c>
      <c r="D899" s="20" t="str">
        <v>未匹配</v>
      </c>
      <c r="E899" s="20">
        <v>0</v>
      </c>
    </row>
    <row r="900" spans="1:5">
      <c r="A900" s="20" t="str">
        <v>00:00:00</v>
      </c>
      <c r="B900" s="19">
        <v>0</v>
      </c>
      <c r="C900" s="21">
        <v>0</v>
      </c>
      <c r="D900" s="20" t="str">
        <v>未匹配</v>
      </c>
      <c r="E900" s="20">
        <v>0</v>
      </c>
    </row>
    <row r="901" spans="1:5">
      <c r="A901" s="20" t="str">
        <v>00:00:00</v>
      </c>
      <c r="B901" s="19">
        <v>0</v>
      </c>
      <c r="C901" s="21">
        <v>0</v>
      </c>
      <c r="D901" s="20" t="str">
        <v>未匹配</v>
      </c>
      <c r="E901" s="20">
        <v>0</v>
      </c>
    </row>
    <row r="902" spans="1:5">
      <c r="A902" s="20" t="str">
        <v>00:00:00</v>
      </c>
      <c r="B902" s="19">
        <v>0</v>
      </c>
      <c r="C902" s="21">
        <v>0</v>
      </c>
      <c r="D902" s="20" t="str">
        <v>未匹配</v>
      </c>
      <c r="E902" s="20">
        <v>0</v>
      </c>
    </row>
    <row r="903" spans="1:5">
      <c r="A903" s="20" t="str">
        <v>00:00:00</v>
      </c>
      <c r="B903" s="19">
        <v>0</v>
      </c>
      <c r="C903" s="21">
        <v>0</v>
      </c>
      <c r="D903" s="20" t="str">
        <v>未匹配</v>
      </c>
      <c r="E903" s="20">
        <v>0</v>
      </c>
    </row>
    <row r="904" spans="1:5">
      <c r="A904" s="20" t="str">
        <v>00:00:00</v>
      </c>
      <c r="B904" s="19">
        <v>0</v>
      </c>
      <c r="C904" s="21">
        <v>0</v>
      </c>
      <c r="D904" s="20" t="str">
        <v>未匹配</v>
      </c>
      <c r="E904" s="20">
        <v>0</v>
      </c>
    </row>
    <row r="905" spans="1:5">
      <c r="A905" s="20" t="str">
        <v>00:00:00</v>
      </c>
      <c r="B905" s="19">
        <v>0</v>
      </c>
      <c r="C905" s="21">
        <v>0</v>
      </c>
      <c r="D905" s="20" t="str">
        <v>未匹配</v>
      </c>
      <c r="E905" s="20">
        <v>0</v>
      </c>
    </row>
    <row r="906" spans="1:5">
      <c r="A906" s="20" t="str">
        <v>00:00:00</v>
      </c>
      <c r="B906" s="19">
        <v>0</v>
      </c>
      <c r="C906" s="21">
        <v>0</v>
      </c>
      <c r="D906" s="20" t="str">
        <v>未匹配</v>
      </c>
      <c r="E906" s="20">
        <v>0</v>
      </c>
    </row>
    <row r="907" spans="1:5">
      <c r="A907" s="20" t="str">
        <v>00:00:00</v>
      </c>
      <c r="B907" s="19">
        <v>0</v>
      </c>
      <c r="C907" s="21">
        <v>0</v>
      </c>
      <c r="D907" s="20" t="str">
        <v>未匹配</v>
      </c>
      <c r="E907" s="20">
        <v>0</v>
      </c>
    </row>
    <row r="908" spans="1:5">
      <c r="A908" s="20" t="str">
        <v>00:00:00</v>
      </c>
      <c r="B908" s="19">
        <v>0</v>
      </c>
      <c r="C908" s="21">
        <v>0</v>
      </c>
      <c r="D908" s="20" t="str">
        <v>未匹配</v>
      </c>
      <c r="E908" s="20">
        <v>0</v>
      </c>
    </row>
    <row r="909" spans="1:5">
      <c r="A909" s="20" t="str">
        <v>00:00:00</v>
      </c>
      <c r="B909" s="19">
        <v>0</v>
      </c>
      <c r="C909" s="21">
        <v>0</v>
      </c>
      <c r="D909" s="20" t="str">
        <v>未匹配</v>
      </c>
      <c r="E909" s="20">
        <v>0</v>
      </c>
    </row>
    <row r="910" spans="1:5">
      <c r="A910" s="20" t="str">
        <v>00:00:00</v>
      </c>
      <c r="B910" s="19">
        <v>0</v>
      </c>
      <c r="C910" s="21">
        <v>0</v>
      </c>
      <c r="D910" s="20" t="str">
        <v>未匹配</v>
      </c>
      <c r="E910" s="20">
        <v>0</v>
      </c>
    </row>
    <row r="911" spans="1:5">
      <c r="A911" s="20" t="str">
        <v>00:00:00</v>
      </c>
      <c r="B911" s="19">
        <v>0</v>
      </c>
      <c r="C911" s="21">
        <v>0</v>
      </c>
      <c r="D911" s="20" t="str">
        <v>未匹配</v>
      </c>
      <c r="E911" s="20">
        <v>0</v>
      </c>
    </row>
    <row r="912" spans="1:5">
      <c r="A912" s="20" t="str">
        <v>00:00:00</v>
      </c>
      <c r="B912" s="19">
        <v>0</v>
      </c>
      <c r="C912" s="21">
        <v>0</v>
      </c>
      <c r="D912" s="20" t="str">
        <v>未匹配</v>
      </c>
      <c r="E912" s="20">
        <v>0</v>
      </c>
    </row>
    <row r="913" spans="1:5">
      <c r="A913" s="20" t="str">
        <v>00:00:00</v>
      </c>
      <c r="B913" s="19">
        <v>0</v>
      </c>
      <c r="C913" s="21">
        <v>0</v>
      </c>
      <c r="D913" s="20" t="str">
        <v>未匹配</v>
      </c>
      <c r="E913" s="20">
        <v>0</v>
      </c>
    </row>
    <row r="914" spans="1:5">
      <c r="A914" s="20" t="str">
        <v>00:00:00</v>
      </c>
      <c r="B914" s="19">
        <v>0</v>
      </c>
      <c r="C914" s="21">
        <v>0</v>
      </c>
      <c r="D914" s="20" t="str">
        <v>未匹配</v>
      </c>
      <c r="E914" s="20">
        <v>0</v>
      </c>
    </row>
    <row r="915" spans="1:5">
      <c r="A915" s="20" t="str">
        <v>00:00:00</v>
      </c>
      <c r="B915" s="19">
        <v>0</v>
      </c>
      <c r="C915" s="21">
        <v>0</v>
      </c>
      <c r="D915" s="20" t="str">
        <v>未匹配</v>
      </c>
      <c r="E915" s="20">
        <v>0</v>
      </c>
    </row>
    <row r="916" spans="1:5">
      <c r="A916" s="20" t="str">
        <v>00:00:00</v>
      </c>
      <c r="B916" s="19">
        <v>0</v>
      </c>
      <c r="C916" s="21">
        <v>0</v>
      </c>
      <c r="D916" s="20" t="str">
        <v>未匹配</v>
      </c>
      <c r="E916" s="20">
        <v>0</v>
      </c>
    </row>
    <row r="917" spans="1:5">
      <c r="A917" s="20" t="str">
        <v>00:00:00</v>
      </c>
      <c r="B917" s="19">
        <v>0</v>
      </c>
      <c r="C917" s="21">
        <v>0</v>
      </c>
      <c r="D917" s="20" t="str">
        <v>未匹配</v>
      </c>
      <c r="E917" s="20">
        <v>0</v>
      </c>
    </row>
    <row r="918" spans="1:5">
      <c r="A918" s="20" t="str">
        <v>00:00:00</v>
      </c>
      <c r="B918" s="19">
        <v>0</v>
      </c>
      <c r="C918" s="21">
        <v>0</v>
      </c>
      <c r="D918" s="20" t="str">
        <v>未匹配</v>
      </c>
      <c r="E918" s="20">
        <v>0</v>
      </c>
    </row>
    <row r="919" spans="1:5">
      <c r="A919" s="20" t="str">
        <v>00:00:00</v>
      </c>
      <c r="B919" s="19">
        <v>0</v>
      </c>
      <c r="C919" s="21">
        <v>0</v>
      </c>
      <c r="D919" s="20" t="str">
        <v>未匹配</v>
      </c>
      <c r="E919" s="20">
        <v>0</v>
      </c>
    </row>
    <row r="920" spans="1:5">
      <c r="A920" s="20" t="str">
        <v>00:00:00</v>
      </c>
      <c r="B920" s="19">
        <v>0</v>
      </c>
      <c r="C920" s="21">
        <v>0</v>
      </c>
      <c r="D920" s="20" t="str">
        <v>未匹配</v>
      </c>
      <c r="E920" s="20">
        <v>0</v>
      </c>
    </row>
    <row r="921" spans="1:5">
      <c r="A921" s="20" t="str">
        <v>00:00:00</v>
      </c>
      <c r="B921" s="19">
        <v>0</v>
      </c>
      <c r="C921" s="21">
        <v>0</v>
      </c>
      <c r="D921" s="20" t="str">
        <v>未匹配</v>
      </c>
      <c r="E921" s="20">
        <v>0</v>
      </c>
    </row>
    <row r="922" spans="1:5">
      <c r="A922" s="20" t="str">
        <v>00:00:00</v>
      </c>
      <c r="B922" s="19">
        <v>0</v>
      </c>
      <c r="C922" s="21">
        <v>0</v>
      </c>
      <c r="D922" s="20" t="str">
        <v>未匹配</v>
      </c>
      <c r="E922" s="20">
        <v>0</v>
      </c>
    </row>
    <row r="923" spans="1:5">
      <c r="A923" s="20" t="str">
        <v>00:00:00</v>
      </c>
      <c r="B923" s="19">
        <v>0</v>
      </c>
      <c r="C923" s="21">
        <v>0</v>
      </c>
      <c r="D923" s="20" t="str">
        <v>未匹配</v>
      </c>
      <c r="E923" s="20">
        <v>0</v>
      </c>
    </row>
    <row r="924" spans="1:5">
      <c r="A924" s="20" t="str">
        <v>00:00:00</v>
      </c>
      <c r="B924" s="19">
        <v>0</v>
      </c>
      <c r="C924" s="21">
        <v>0</v>
      </c>
      <c r="D924" s="20" t="str">
        <v>未匹配</v>
      </c>
      <c r="E924" s="20">
        <v>0</v>
      </c>
    </row>
    <row r="925" spans="1:5">
      <c r="A925" s="20" t="str">
        <v>00:00:00</v>
      </c>
      <c r="B925" s="19">
        <v>0</v>
      </c>
      <c r="C925" s="21">
        <v>0</v>
      </c>
      <c r="D925" s="20" t="str">
        <v>未匹配</v>
      </c>
      <c r="E925" s="20">
        <v>0</v>
      </c>
    </row>
    <row r="926" spans="1:5">
      <c r="A926" s="20" t="str">
        <v>00:00:00</v>
      </c>
      <c r="B926" s="19">
        <v>0</v>
      </c>
      <c r="C926" s="21">
        <v>0</v>
      </c>
      <c r="D926" s="20" t="str">
        <v>未匹配</v>
      </c>
      <c r="E926" s="20">
        <v>0</v>
      </c>
    </row>
    <row r="927" spans="1:5">
      <c r="A927" s="20" t="str">
        <v>00:00:00</v>
      </c>
      <c r="B927" s="19">
        <v>0</v>
      </c>
      <c r="C927" s="21">
        <v>0</v>
      </c>
      <c r="D927" s="20" t="str">
        <v>未匹配</v>
      </c>
      <c r="E927" s="20">
        <v>0</v>
      </c>
    </row>
    <row r="928" spans="1:5">
      <c r="A928" s="20" t="str">
        <v>00:00:00</v>
      </c>
      <c r="B928" s="19">
        <v>0</v>
      </c>
      <c r="C928" s="21">
        <v>0</v>
      </c>
      <c r="D928" s="20" t="str">
        <v>未匹配</v>
      </c>
      <c r="E928" s="20">
        <v>0</v>
      </c>
    </row>
    <row r="929" spans="1:5">
      <c r="A929" s="20" t="str">
        <v>00:00:00</v>
      </c>
      <c r="B929" s="19">
        <v>0</v>
      </c>
      <c r="C929" s="21">
        <v>0</v>
      </c>
      <c r="D929" s="20" t="str">
        <v>未匹配</v>
      </c>
      <c r="E929" s="20">
        <v>0</v>
      </c>
    </row>
    <row r="930" spans="1:5">
      <c r="A930" s="20" t="str">
        <v>00:00:00</v>
      </c>
      <c r="B930" s="19">
        <v>0</v>
      </c>
      <c r="C930" s="21">
        <v>0</v>
      </c>
      <c r="D930" s="20" t="str">
        <v>未匹配</v>
      </c>
      <c r="E930" s="20">
        <v>0</v>
      </c>
    </row>
    <row r="931" spans="1:5">
      <c r="A931" s="20" t="str">
        <v>00:00:00</v>
      </c>
      <c r="B931" s="19">
        <v>0</v>
      </c>
      <c r="C931" s="21">
        <v>0</v>
      </c>
      <c r="D931" s="20" t="str">
        <v>未匹配</v>
      </c>
      <c r="E931" s="20">
        <v>0</v>
      </c>
    </row>
    <row r="932" spans="1:5">
      <c r="A932" s="20" t="str">
        <v>00:00:00</v>
      </c>
      <c r="B932" s="19">
        <v>0</v>
      </c>
      <c r="C932" s="21">
        <v>0</v>
      </c>
      <c r="D932" s="20" t="str">
        <v>未匹配</v>
      </c>
      <c r="E932" s="20">
        <v>0</v>
      </c>
    </row>
    <row r="933" spans="1:5">
      <c r="A933" s="20" t="str">
        <v>00:00:00</v>
      </c>
      <c r="B933" s="19">
        <v>0</v>
      </c>
      <c r="C933" s="21">
        <v>0</v>
      </c>
      <c r="D933" s="20" t="str">
        <v>未匹配</v>
      </c>
      <c r="E933" s="20">
        <v>0</v>
      </c>
    </row>
    <row r="934" spans="1:5">
      <c r="A934" s="20" t="str">
        <v>00:00:00</v>
      </c>
      <c r="B934" s="19">
        <v>0</v>
      </c>
      <c r="C934" s="21">
        <v>0</v>
      </c>
      <c r="D934" s="20" t="str">
        <v>未匹配</v>
      </c>
      <c r="E934" s="20">
        <v>0</v>
      </c>
    </row>
    <row r="935" spans="1:5">
      <c r="A935" s="20" t="str">
        <v>00:00:00</v>
      </c>
      <c r="B935" s="19">
        <v>0</v>
      </c>
      <c r="C935" s="21">
        <v>0</v>
      </c>
      <c r="D935" s="20" t="str">
        <v>未匹配</v>
      </c>
      <c r="E935" s="20">
        <v>0</v>
      </c>
    </row>
    <row r="936" spans="1:5">
      <c r="A936" s="20" t="str">
        <v>00:00:00</v>
      </c>
      <c r="B936" s="19">
        <v>0</v>
      </c>
      <c r="C936" s="21">
        <v>0</v>
      </c>
      <c r="D936" s="20" t="str">
        <v>未匹配</v>
      </c>
      <c r="E936" s="20">
        <v>0</v>
      </c>
    </row>
    <row r="937" spans="1:5">
      <c r="A937" s="20" t="str">
        <v>00:00:00</v>
      </c>
      <c r="B937" s="19">
        <v>0</v>
      </c>
      <c r="C937" s="21">
        <v>0</v>
      </c>
      <c r="D937" s="20" t="str">
        <v>未匹配</v>
      </c>
      <c r="E937" s="20">
        <v>0</v>
      </c>
    </row>
    <row r="938" spans="1:5">
      <c r="A938" s="20" t="str">
        <v>00:00:00</v>
      </c>
      <c r="B938" s="19">
        <v>0</v>
      </c>
      <c r="C938" s="21">
        <v>0</v>
      </c>
      <c r="D938" s="20" t="str">
        <v>未匹配</v>
      </c>
      <c r="E938" s="20">
        <v>0</v>
      </c>
    </row>
    <row r="939" spans="1:5">
      <c r="A939" s="20" t="str">
        <v>00:00:00</v>
      </c>
      <c r="B939" s="19">
        <v>0</v>
      </c>
      <c r="C939" s="21">
        <v>0</v>
      </c>
      <c r="D939" s="20" t="str">
        <v>未匹配</v>
      </c>
      <c r="E939" s="20">
        <v>0</v>
      </c>
    </row>
    <row r="940" spans="1:5">
      <c r="A940" s="20" t="str">
        <v>00:00:00</v>
      </c>
      <c r="B940" s="19">
        <v>0</v>
      </c>
      <c r="C940" s="21">
        <v>0</v>
      </c>
      <c r="D940" s="20" t="str">
        <v>未匹配</v>
      </c>
      <c r="E940" s="20">
        <v>0</v>
      </c>
    </row>
    <row r="941" spans="1:5">
      <c r="A941" s="20" t="str">
        <v>00:00:00</v>
      </c>
      <c r="B941" s="19">
        <v>0</v>
      </c>
      <c r="C941" s="21">
        <v>0</v>
      </c>
      <c r="D941" s="20" t="str">
        <v>未匹配</v>
      </c>
      <c r="E941" s="20">
        <v>0</v>
      </c>
    </row>
    <row r="942" spans="1:5">
      <c r="A942" s="20" t="str">
        <v>00:00:00</v>
      </c>
      <c r="B942" s="19">
        <v>0</v>
      </c>
      <c r="C942" s="21">
        <v>0</v>
      </c>
      <c r="D942" s="20" t="str">
        <v>未匹配</v>
      </c>
      <c r="E942" s="20">
        <v>0</v>
      </c>
    </row>
    <row r="943" spans="1:5">
      <c r="A943" s="20" t="str">
        <v>00:00:00</v>
      </c>
      <c r="B943" s="19">
        <v>0</v>
      </c>
      <c r="C943" s="21">
        <v>0</v>
      </c>
      <c r="D943" s="20" t="str">
        <v>未匹配</v>
      </c>
      <c r="E943" s="20">
        <v>0</v>
      </c>
    </row>
    <row r="944" spans="1:5">
      <c r="A944" s="20" t="str">
        <v>00:00:00</v>
      </c>
      <c r="B944" s="19">
        <v>0</v>
      </c>
      <c r="C944" s="21">
        <v>0</v>
      </c>
      <c r="D944" s="20" t="str">
        <v>未匹配</v>
      </c>
      <c r="E944" s="20">
        <v>0</v>
      </c>
    </row>
    <row r="945" spans="1:5">
      <c r="A945" s="20" t="str">
        <v>00:00:00</v>
      </c>
      <c r="B945" s="19">
        <v>0</v>
      </c>
      <c r="C945" s="21">
        <v>0</v>
      </c>
      <c r="D945" s="20" t="str">
        <v>未匹配</v>
      </c>
      <c r="E945" s="20">
        <v>0</v>
      </c>
    </row>
    <row r="946" spans="1:5">
      <c r="A946" s="20" t="str">
        <v>00:00:00</v>
      </c>
      <c r="B946" s="19">
        <v>0</v>
      </c>
      <c r="C946" s="21">
        <v>0</v>
      </c>
      <c r="D946" s="20" t="str">
        <v>未匹配</v>
      </c>
      <c r="E946" s="20">
        <v>0</v>
      </c>
    </row>
    <row r="947" spans="1:5">
      <c r="A947" s="20" t="str">
        <v>00:00:00</v>
      </c>
      <c r="B947" s="19">
        <v>0</v>
      </c>
      <c r="C947" s="21">
        <v>0</v>
      </c>
      <c r="D947" s="20" t="str">
        <v>未匹配</v>
      </c>
      <c r="E947" s="20">
        <v>0</v>
      </c>
    </row>
    <row r="948" spans="1:5">
      <c r="A948" s="20" t="str">
        <v>00:00:00</v>
      </c>
      <c r="B948" s="19">
        <v>0</v>
      </c>
      <c r="C948" s="21">
        <v>0</v>
      </c>
      <c r="D948" s="20" t="str">
        <v>未匹配</v>
      </c>
      <c r="E948" s="20">
        <v>0</v>
      </c>
    </row>
    <row r="949" spans="1:5">
      <c r="A949" s="20" t="str">
        <v>00:00:00</v>
      </c>
      <c r="B949" s="19">
        <v>0</v>
      </c>
      <c r="C949" s="21">
        <v>0</v>
      </c>
      <c r="D949" s="20" t="str">
        <v>未匹配</v>
      </c>
      <c r="E949" s="20">
        <v>0</v>
      </c>
    </row>
    <row r="950" spans="1:5">
      <c r="A950" s="20" t="str">
        <v>00:00:00</v>
      </c>
      <c r="B950" s="19">
        <v>0</v>
      </c>
      <c r="C950" s="21">
        <v>0</v>
      </c>
      <c r="D950" s="20" t="str">
        <v>未匹配</v>
      </c>
      <c r="E950" s="20">
        <v>0</v>
      </c>
    </row>
    <row r="951" spans="1:5">
      <c r="A951" s="20" t="str">
        <v>00:00:00</v>
      </c>
      <c r="B951" s="19">
        <v>0</v>
      </c>
      <c r="C951" s="21">
        <v>0</v>
      </c>
      <c r="D951" s="20" t="str">
        <v>未匹配</v>
      </c>
      <c r="E951" s="20">
        <v>0</v>
      </c>
    </row>
    <row r="952" spans="1:5">
      <c r="A952" s="20" t="str">
        <v>00:00:00</v>
      </c>
      <c r="B952" s="19">
        <v>0</v>
      </c>
      <c r="C952" s="21">
        <v>0</v>
      </c>
      <c r="D952" s="20" t="str">
        <v>未匹配</v>
      </c>
      <c r="E952" s="20">
        <v>0</v>
      </c>
    </row>
    <row r="953" spans="1:5">
      <c r="A953" s="20" t="str">
        <v>00:00:00</v>
      </c>
      <c r="B953" s="19">
        <v>0</v>
      </c>
      <c r="C953" s="21">
        <v>0</v>
      </c>
      <c r="D953" s="20" t="str">
        <v>未匹配</v>
      </c>
      <c r="E953" s="20">
        <v>0</v>
      </c>
    </row>
    <row r="954" spans="1:5">
      <c r="A954" s="20" t="str">
        <v>00:00:00</v>
      </c>
      <c r="B954" s="19">
        <v>0</v>
      </c>
      <c r="C954" s="21">
        <v>0</v>
      </c>
      <c r="D954" s="20" t="str">
        <v>未匹配</v>
      </c>
      <c r="E954" s="20">
        <v>0</v>
      </c>
    </row>
    <row r="955" spans="1:5">
      <c r="A955" s="20" t="str">
        <v>00:00:00</v>
      </c>
      <c r="B955" s="19">
        <v>0</v>
      </c>
      <c r="C955" s="21">
        <v>0</v>
      </c>
      <c r="D955" s="20" t="str">
        <v>未匹配</v>
      </c>
      <c r="E955" s="20">
        <v>0</v>
      </c>
    </row>
    <row r="956" spans="1:5">
      <c r="A956" s="20" t="str">
        <v>00:00:00</v>
      </c>
      <c r="B956" s="19">
        <v>0</v>
      </c>
      <c r="C956" s="21">
        <v>0</v>
      </c>
      <c r="D956" s="20" t="str">
        <v>未匹配</v>
      </c>
      <c r="E956" s="20">
        <v>0</v>
      </c>
    </row>
    <row r="957" spans="1:5">
      <c r="A957" s="20" t="str">
        <v>00:00:00</v>
      </c>
      <c r="B957" s="19">
        <v>0</v>
      </c>
      <c r="C957" s="21">
        <v>0</v>
      </c>
      <c r="D957" s="20" t="str">
        <v>未匹配</v>
      </c>
      <c r="E957" s="20">
        <v>0</v>
      </c>
    </row>
    <row r="958" spans="1:5">
      <c r="A958" s="20" t="str">
        <v>00:00:00</v>
      </c>
      <c r="B958" s="19">
        <v>0</v>
      </c>
      <c r="C958" s="21">
        <v>0</v>
      </c>
      <c r="D958" s="20" t="str">
        <v>未匹配</v>
      </c>
      <c r="E958" s="20">
        <v>0</v>
      </c>
    </row>
    <row r="959" spans="1:5">
      <c r="A959" s="20" t="str">
        <v>00:00:00</v>
      </c>
      <c r="B959" s="19">
        <v>0</v>
      </c>
      <c r="C959" s="21">
        <v>0</v>
      </c>
      <c r="D959" s="20" t="str">
        <v>未匹配</v>
      </c>
      <c r="E959" s="20">
        <v>0</v>
      </c>
    </row>
    <row r="960" spans="1:5">
      <c r="A960" s="20" t="str">
        <v>00:00:00</v>
      </c>
      <c r="B960" s="19">
        <v>0</v>
      </c>
      <c r="C960" s="21">
        <v>0</v>
      </c>
      <c r="D960" s="20" t="str">
        <v>未匹配</v>
      </c>
      <c r="E960" s="20">
        <v>0</v>
      </c>
    </row>
    <row r="961" spans="1:5">
      <c r="A961" s="20" t="str">
        <v>00:00:00</v>
      </c>
      <c r="B961" s="19">
        <v>0</v>
      </c>
      <c r="C961" s="21">
        <v>0</v>
      </c>
      <c r="D961" s="20" t="str">
        <v>未匹配</v>
      </c>
      <c r="E961" s="20">
        <v>0</v>
      </c>
    </row>
    <row r="962" spans="1:5">
      <c r="A962" s="20" t="str">
        <v>00:00:00</v>
      </c>
      <c r="B962" s="19">
        <v>0</v>
      </c>
      <c r="C962" s="21">
        <v>0</v>
      </c>
      <c r="D962" s="20" t="str">
        <v>未匹配</v>
      </c>
      <c r="E962" s="20">
        <v>0</v>
      </c>
    </row>
    <row r="963" spans="1:5">
      <c r="A963" s="20" t="str">
        <v>00:00:00</v>
      </c>
      <c r="B963" s="19">
        <v>0</v>
      </c>
      <c r="C963" s="21">
        <v>0</v>
      </c>
      <c r="D963" s="20" t="str">
        <v>未匹配</v>
      </c>
      <c r="E963" s="20">
        <v>0</v>
      </c>
    </row>
    <row r="964" spans="1:5">
      <c r="A964" s="20" t="str">
        <v>00:00:00</v>
      </c>
      <c r="B964" s="19">
        <v>0</v>
      </c>
      <c r="C964" s="21">
        <v>0</v>
      </c>
      <c r="D964" s="20" t="str">
        <v>未匹配</v>
      </c>
      <c r="E964" s="20">
        <v>0</v>
      </c>
    </row>
    <row r="965" spans="1:5">
      <c r="A965" s="20" t="str">
        <v>00:00:00</v>
      </c>
      <c r="B965" s="19">
        <v>0</v>
      </c>
      <c r="C965" s="21">
        <v>0</v>
      </c>
      <c r="D965" s="20" t="str">
        <v>未匹配</v>
      </c>
      <c r="E965" s="20">
        <v>0</v>
      </c>
    </row>
    <row r="966" spans="1:5">
      <c r="A966" s="20" t="str">
        <v>00:00:00</v>
      </c>
      <c r="B966" s="19">
        <v>0</v>
      </c>
      <c r="C966" s="21">
        <v>0</v>
      </c>
      <c r="D966" s="20" t="str">
        <v>未匹配</v>
      </c>
      <c r="E966" s="20">
        <v>0</v>
      </c>
    </row>
    <row r="967" spans="1:5">
      <c r="A967" s="20" t="str">
        <v>00:00:00</v>
      </c>
      <c r="B967" s="19">
        <v>0</v>
      </c>
      <c r="C967" s="21">
        <v>0</v>
      </c>
      <c r="D967" s="20" t="str">
        <v>未匹配</v>
      </c>
      <c r="E967" s="20">
        <v>0</v>
      </c>
    </row>
    <row r="968" spans="1:5">
      <c r="A968" s="20" t="str">
        <v>00:00:00</v>
      </c>
      <c r="B968" s="19">
        <v>0</v>
      </c>
      <c r="C968" s="21">
        <v>0</v>
      </c>
      <c r="D968" s="20" t="str">
        <v>未匹配</v>
      </c>
      <c r="E968" s="20">
        <v>0</v>
      </c>
    </row>
    <row r="969" spans="1:5">
      <c r="A969" s="20" t="str">
        <v>00:00:00</v>
      </c>
      <c r="B969" s="19">
        <v>0</v>
      </c>
      <c r="C969" s="21">
        <v>0</v>
      </c>
      <c r="D969" s="20" t="str">
        <v>未匹配</v>
      </c>
      <c r="E969" s="20">
        <v>0</v>
      </c>
    </row>
    <row r="970" spans="1:5">
      <c r="A970" s="20" t="str">
        <v>00:00:00</v>
      </c>
      <c r="B970" s="19">
        <v>0</v>
      </c>
      <c r="C970" s="21">
        <v>0</v>
      </c>
      <c r="D970" s="20" t="str">
        <v>未匹配</v>
      </c>
      <c r="E970" s="20">
        <v>0</v>
      </c>
    </row>
    <row r="971" spans="1:5">
      <c r="A971" s="20" t="str">
        <v>00:00:00</v>
      </c>
      <c r="B971" s="19">
        <v>0</v>
      </c>
      <c r="C971" s="21">
        <v>0</v>
      </c>
      <c r="D971" s="20" t="str">
        <v>未匹配</v>
      </c>
      <c r="E971" s="20">
        <v>0</v>
      </c>
    </row>
    <row r="972" spans="1:5">
      <c r="A972" s="20" t="str">
        <v>00:00:00</v>
      </c>
      <c r="B972" s="19">
        <v>0</v>
      </c>
      <c r="C972" s="21">
        <v>0</v>
      </c>
      <c r="D972" s="20" t="str">
        <v>未匹配</v>
      </c>
      <c r="E972" s="20">
        <v>0</v>
      </c>
    </row>
    <row r="973" spans="1:5">
      <c r="A973" s="20" t="str">
        <v>00:00:00</v>
      </c>
      <c r="B973" s="19">
        <v>0</v>
      </c>
      <c r="C973" s="21">
        <v>0</v>
      </c>
      <c r="D973" s="20" t="str">
        <v>未匹配</v>
      </c>
      <c r="E973" s="20">
        <v>0</v>
      </c>
    </row>
    <row r="974" spans="1:5">
      <c r="A974" s="20" t="str">
        <v>00:00:00</v>
      </c>
      <c r="B974" s="19">
        <v>0</v>
      </c>
      <c r="C974" s="21">
        <v>0</v>
      </c>
      <c r="D974" s="20" t="str">
        <v>未匹配</v>
      </c>
      <c r="E974" s="20">
        <v>0</v>
      </c>
    </row>
    <row r="975" spans="1:5">
      <c r="A975" s="20" t="str">
        <v>00:00:00</v>
      </c>
      <c r="B975" s="19">
        <v>0</v>
      </c>
      <c r="C975" s="21">
        <v>0</v>
      </c>
      <c r="D975" s="20" t="str">
        <v>未匹配</v>
      </c>
      <c r="E975" s="20">
        <v>0</v>
      </c>
    </row>
    <row r="976" spans="1:5">
      <c r="A976" s="20" t="str">
        <v>00:00:00</v>
      </c>
      <c r="B976" s="19">
        <v>0</v>
      </c>
      <c r="C976" s="21">
        <v>0</v>
      </c>
      <c r="D976" s="20" t="str">
        <v>未匹配</v>
      </c>
      <c r="E976" s="20">
        <v>0</v>
      </c>
    </row>
    <row r="977" spans="1:5">
      <c r="A977" s="20" t="str">
        <v>00:00:00</v>
      </c>
      <c r="B977" s="19">
        <v>0</v>
      </c>
      <c r="C977" s="21">
        <v>0</v>
      </c>
      <c r="D977" s="20" t="str">
        <v>未匹配</v>
      </c>
      <c r="E977" s="20">
        <v>0</v>
      </c>
    </row>
    <row r="978" spans="1:5">
      <c r="A978" s="20" t="str">
        <v>00:00:00</v>
      </c>
      <c r="B978" s="19">
        <v>0</v>
      </c>
      <c r="C978" s="21">
        <v>0</v>
      </c>
      <c r="D978" s="20" t="str">
        <v>未匹配</v>
      </c>
      <c r="E978" s="20">
        <v>0</v>
      </c>
    </row>
    <row r="979" spans="1:5">
      <c r="A979" s="20" t="str">
        <v>00:00:00</v>
      </c>
      <c r="B979" s="19">
        <v>0</v>
      </c>
      <c r="C979" s="21">
        <v>0</v>
      </c>
      <c r="D979" s="20" t="str">
        <v>未匹配</v>
      </c>
      <c r="E979" s="20">
        <v>0</v>
      </c>
    </row>
    <row r="980" spans="1:5">
      <c r="A980" s="20" t="str">
        <v>00:00:00</v>
      </c>
      <c r="B980" s="19">
        <v>0</v>
      </c>
      <c r="C980" s="21">
        <v>0</v>
      </c>
      <c r="D980" s="20" t="str">
        <v>未匹配</v>
      </c>
      <c r="E980" s="20">
        <v>0</v>
      </c>
    </row>
    <row r="981" spans="1:5">
      <c r="A981" s="20" t="str">
        <v>00:00:00</v>
      </c>
      <c r="B981" s="19">
        <v>0</v>
      </c>
      <c r="C981" s="21">
        <v>0</v>
      </c>
      <c r="D981" s="20" t="str">
        <v>未匹配</v>
      </c>
      <c r="E981" s="20">
        <v>0</v>
      </c>
    </row>
    <row r="982" spans="1:5">
      <c r="A982" s="20" t="str">
        <v>00:00:00</v>
      </c>
      <c r="B982" s="19">
        <v>0</v>
      </c>
      <c r="C982" s="21">
        <v>0</v>
      </c>
      <c r="D982" s="20" t="str">
        <v>未匹配</v>
      </c>
      <c r="E982" s="20">
        <v>0</v>
      </c>
    </row>
    <row r="983" spans="1:5">
      <c r="A983" s="20" t="str">
        <v>00:00:00</v>
      </c>
      <c r="B983" s="19">
        <v>0</v>
      </c>
      <c r="C983" s="21">
        <v>0</v>
      </c>
      <c r="D983" s="20" t="str">
        <v>未匹配</v>
      </c>
      <c r="E983" s="20">
        <v>0</v>
      </c>
    </row>
    <row r="984" spans="1:5">
      <c r="A984" s="20" t="str">
        <v>00:00:00</v>
      </c>
      <c r="B984" s="19">
        <v>0</v>
      </c>
      <c r="C984" s="21">
        <v>0</v>
      </c>
      <c r="D984" s="20" t="str">
        <v>未匹配</v>
      </c>
      <c r="E984" s="20">
        <v>0</v>
      </c>
    </row>
    <row r="985" spans="1:5">
      <c r="A985" s="20" t="str">
        <v>00:00:00</v>
      </c>
      <c r="B985" s="19">
        <v>0</v>
      </c>
      <c r="C985" s="21">
        <v>0</v>
      </c>
      <c r="D985" s="20" t="str">
        <v>未匹配</v>
      </c>
      <c r="E985" s="20">
        <v>0</v>
      </c>
    </row>
    <row r="986" spans="1:5">
      <c r="A986" s="20" t="str">
        <v>00:00:00</v>
      </c>
      <c r="B986" s="19">
        <v>0</v>
      </c>
      <c r="C986" s="21">
        <v>0</v>
      </c>
      <c r="D986" s="20" t="str">
        <v>未匹配</v>
      </c>
      <c r="E986" s="20">
        <v>0</v>
      </c>
    </row>
    <row r="987" spans="1:5">
      <c r="A987" s="20" t="str">
        <v>00:00:00</v>
      </c>
      <c r="B987" s="19">
        <v>0</v>
      </c>
      <c r="C987" s="21">
        <v>0</v>
      </c>
      <c r="D987" s="20" t="str">
        <v>未匹配</v>
      </c>
      <c r="E987" s="20">
        <v>0</v>
      </c>
    </row>
    <row r="988" spans="1:5">
      <c r="A988" s="20" t="str">
        <v>00:00:00</v>
      </c>
      <c r="B988" s="19">
        <v>0</v>
      </c>
      <c r="C988" s="21">
        <v>0</v>
      </c>
      <c r="D988" s="20" t="str">
        <v>未匹配</v>
      </c>
      <c r="E988" s="20">
        <v>0</v>
      </c>
    </row>
    <row r="989" spans="1:5">
      <c r="A989" s="20" t="str">
        <v>00:00:00</v>
      </c>
      <c r="B989" s="19">
        <v>0</v>
      </c>
      <c r="C989" s="21">
        <v>0</v>
      </c>
      <c r="D989" s="20" t="str">
        <v>未匹配</v>
      </c>
      <c r="E989" s="20">
        <v>0</v>
      </c>
    </row>
    <row r="990" spans="1:5">
      <c r="A990" s="20" t="str">
        <v>00:00:00</v>
      </c>
      <c r="B990" s="19">
        <v>0</v>
      </c>
      <c r="C990" s="21">
        <v>0</v>
      </c>
      <c r="D990" s="20" t="str">
        <v>未匹配</v>
      </c>
      <c r="E990" s="20">
        <v>0</v>
      </c>
    </row>
    <row r="991" spans="1:5">
      <c r="A991" s="20" t="str">
        <v>00:00:00</v>
      </c>
      <c r="B991" s="19">
        <v>0</v>
      </c>
      <c r="C991" s="21">
        <v>0</v>
      </c>
      <c r="D991" s="20" t="str">
        <v>未匹配</v>
      </c>
      <c r="E991" s="20">
        <v>0</v>
      </c>
    </row>
    <row r="992" spans="1:5">
      <c r="A992" s="20" t="str">
        <v>00:00:00</v>
      </c>
      <c r="B992" s="19">
        <v>0</v>
      </c>
      <c r="C992" s="21">
        <v>0</v>
      </c>
      <c r="D992" s="20" t="str">
        <v>未匹配</v>
      </c>
      <c r="E992" s="20">
        <v>0</v>
      </c>
    </row>
    <row r="993" spans="1:5">
      <c r="A993" s="20" t="str">
        <v>00:00:00</v>
      </c>
      <c r="B993" s="19">
        <v>0</v>
      </c>
      <c r="C993" s="21">
        <v>0</v>
      </c>
      <c r="D993" s="20" t="str">
        <v>未匹配</v>
      </c>
      <c r="E993" s="20">
        <v>0</v>
      </c>
    </row>
    <row r="994" spans="1:5">
      <c r="A994" s="20" t="str">
        <v>00:00:00</v>
      </c>
      <c r="B994" s="19">
        <v>0</v>
      </c>
      <c r="C994" s="21">
        <v>0</v>
      </c>
      <c r="D994" s="20" t="str">
        <v>未匹配</v>
      </c>
      <c r="E994" s="20">
        <v>0</v>
      </c>
    </row>
    <row r="995" spans="1:5">
      <c r="A995" s="20" t="str">
        <v>00:00:00</v>
      </c>
      <c r="B995" s="19">
        <v>0</v>
      </c>
      <c r="C995" s="21">
        <v>0</v>
      </c>
      <c r="D995" s="20" t="str">
        <v>未匹配</v>
      </c>
      <c r="E995" s="20">
        <v>0</v>
      </c>
    </row>
    <row r="996" spans="1:5">
      <c r="A996" s="20" t="str">
        <v>00:00:00</v>
      </c>
      <c r="B996" s="19">
        <v>0</v>
      </c>
      <c r="C996" s="21">
        <v>0</v>
      </c>
      <c r="D996" s="20" t="str">
        <v>未匹配</v>
      </c>
      <c r="E996" s="20">
        <v>0</v>
      </c>
    </row>
    <row r="997" spans="1:5">
      <c r="A997" s="20" t="str">
        <v>00:00:00</v>
      </c>
      <c r="B997" s="19">
        <v>0</v>
      </c>
      <c r="C997" s="21">
        <v>0</v>
      </c>
      <c r="D997" s="20" t="str">
        <v>未匹配</v>
      </c>
      <c r="E997" s="20">
        <v>0</v>
      </c>
    </row>
    <row r="998" spans="1:5">
      <c r="A998" s="20" t="str">
        <v>00:00:00</v>
      </c>
      <c r="B998" s="19">
        <v>0</v>
      </c>
      <c r="C998" s="21">
        <v>0</v>
      </c>
      <c r="D998" s="20" t="str">
        <v>未匹配</v>
      </c>
      <c r="E998" s="20">
        <v>0</v>
      </c>
    </row>
    <row r="999" spans="1:5">
      <c r="A999" s="20" t="str">
        <v>00:00:00</v>
      </c>
      <c r="B999" s="19">
        <v>0</v>
      </c>
      <c r="C999" s="21">
        <v>0</v>
      </c>
      <c r="D999" s="20" t="str">
        <v>未匹配</v>
      </c>
      <c r="E999" s="20">
        <v>0</v>
      </c>
    </row>
    <row r="1000" spans="1:5">
      <c r="A1000" s="20" t="str">
        <v>00:00:00</v>
      </c>
      <c r="B1000" s="19">
        <v>0</v>
      </c>
      <c r="C1000" s="21">
        <v>0</v>
      </c>
      <c r="D1000" s="20" t="str">
        <v>未匹配</v>
      </c>
      <c r="E1000" s="20">
        <v>0</v>
      </c>
    </row>
    <row r="1001" spans="1:5">
      <c r="A1001" s="20" t="str">
        <v>00:00:00</v>
      </c>
      <c r="B1001" s="19">
        <v>0</v>
      </c>
      <c r="C1001" s="21">
        <v>0</v>
      </c>
      <c r="D1001" s="20" t="str">
        <v>未匹配</v>
      </c>
      <c r="E1001" s="20">
        <v>0</v>
      </c>
    </row>
    <row r="1002" spans="1:5">
      <c r="A1002" s="20" t="str">
        <v>00:00:00</v>
      </c>
      <c r="B1002" s="19">
        <v>0</v>
      </c>
      <c r="C1002" s="21">
        <v>0</v>
      </c>
      <c r="D1002" s="20" t="str">
        <v>未匹配</v>
      </c>
      <c r="E1002" s="20">
        <v>0</v>
      </c>
    </row>
    <row r="1003" spans="1:5">
      <c r="A1003" s="20" t="str">
        <v>00:00:00</v>
      </c>
      <c r="B1003" s="19">
        <v>0</v>
      </c>
      <c r="C1003" s="21">
        <v>0</v>
      </c>
      <c r="D1003" s="20" t="str">
        <v>未匹配</v>
      </c>
      <c r="E1003" s="20">
        <v>0</v>
      </c>
    </row>
    <row r="1004" spans="1:5">
      <c r="A1004" s="20" t="str">
        <v>00:00:00</v>
      </c>
      <c r="B1004" s="19">
        <v>0</v>
      </c>
      <c r="C1004" s="21">
        <v>0</v>
      </c>
      <c r="D1004" s="20" t="str">
        <v>未匹配</v>
      </c>
      <c r="E1004" s="20">
        <v>0</v>
      </c>
    </row>
    <row r="1005" spans="1:5">
      <c r="A1005" s="20" t="str">
        <v>00:00:00</v>
      </c>
      <c r="B1005" s="19">
        <v>0</v>
      </c>
      <c r="C1005" s="21">
        <v>0</v>
      </c>
      <c r="D1005" s="20" t="str">
        <v>未匹配</v>
      </c>
      <c r="E1005" s="20">
        <v>0</v>
      </c>
    </row>
    <row r="1006" spans="1:5">
      <c r="A1006" s="20" t="str">
        <v>00:00:00</v>
      </c>
      <c r="B1006" s="19">
        <v>0</v>
      </c>
      <c r="C1006" s="21">
        <v>0</v>
      </c>
      <c r="D1006" s="20" t="str">
        <v>未匹配</v>
      </c>
      <c r="E1006" s="20">
        <v>0</v>
      </c>
    </row>
    <row r="1007" spans="1:5">
      <c r="A1007" s="20" t="str">
        <v>00:00:00</v>
      </c>
      <c r="B1007" s="19">
        <v>0</v>
      </c>
      <c r="C1007" s="21">
        <v>0</v>
      </c>
      <c r="D1007" s="20" t="str">
        <v>未匹配</v>
      </c>
      <c r="E1007" s="20">
        <v>0</v>
      </c>
    </row>
    <row r="1008" spans="1:5">
      <c r="A1008" s="20" t="str">
        <v>00:00:00</v>
      </c>
      <c r="B1008" s="19">
        <v>0</v>
      </c>
      <c r="C1008" s="21">
        <v>0</v>
      </c>
      <c r="D1008" s="20" t="str">
        <v>未匹配</v>
      </c>
      <c r="E1008" s="20">
        <v>0</v>
      </c>
    </row>
    <row r="1009" spans="1:5">
      <c r="A1009" s="20" t="str">
        <v>00:00:00</v>
      </c>
      <c r="B1009" s="19">
        <v>0</v>
      </c>
      <c r="C1009" s="21">
        <v>0</v>
      </c>
      <c r="D1009" s="20" t="str">
        <v>未匹配</v>
      </c>
      <c r="E1009" s="20">
        <v>0</v>
      </c>
    </row>
    <row r="1010" spans="1:5">
      <c r="A1010" s="20" t="str">
        <v>00:00:00</v>
      </c>
      <c r="B1010" s="19">
        <v>0</v>
      </c>
      <c r="C1010" s="21">
        <v>0</v>
      </c>
      <c r="D1010" s="20" t="str">
        <v>未匹配</v>
      </c>
      <c r="E1010" s="20">
        <v>0</v>
      </c>
    </row>
    <row r="1011" spans="1:5">
      <c r="A1011" s="20" t="str">
        <v>00:00:00</v>
      </c>
      <c r="B1011" s="19">
        <v>0</v>
      </c>
      <c r="C1011" s="21">
        <v>0</v>
      </c>
      <c r="D1011" s="20" t="str">
        <v>未匹配</v>
      </c>
      <c r="E1011" s="20">
        <v>0</v>
      </c>
    </row>
    <row r="1012" spans="1:5">
      <c r="A1012" s="20" t="str">
        <v>00:00:00</v>
      </c>
      <c r="B1012" s="19">
        <v>0</v>
      </c>
      <c r="C1012" s="21">
        <v>0</v>
      </c>
      <c r="D1012" s="20" t="str">
        <v>未匹配</v>
      </c>
      <c r="E1012" s="20">
        <v>0</v>
      </c>
    </row>
    <row r="1013" spans="1:5">
      <c r="A1013" s="20" t="str">
        <v>00:00:00</v>
      </c>
      <c r="B1013" s="19">
        <v>0</v>
      </c>
      <c r="C1013" s="21">
        <v>0</v>
      </c>
      <c r="D1013" s="20" t="str">
        <v>未匹配</v>
      </c>
      <c r="E1013" s="20">
        <v>0</v>
      </c>
    </row>
    <row r="1014" spans="1:5">
      <c r="A1014" s="20" t="str">
        <v>00:00:00</v>
      </c>
      <c r="B1014" s="19">
        <v>0</v>
      </c>
      <c r="C1014" s="21">
        <v>0</v>
      </c>
      <c r="D1014" s="20" t="str">
        <v>未匹配</v>
      </c>
      <c r="E1014" s="20">
        <v>0</v>
      </c>
    </row>
    <row r="1015" spans="1:5">
      <c r="A1015" s="20" t="str">
        <v>00:00:00</v>
      </c>
      <c r="B1015" s="19">
        <v>0</v>
      </c>
      <c r="C1015" s="21">
        <v>0</v>
      </c>
      <c r="D1015" s="20" t="str">
        <v>未匹配</v>
      </c>
      <c r="E1015" s="20">
        <v>0</v>
      </c>
    </row>
    <row r="1016" spans="1:5">
      <c r="A1016" s="20" t="str">
        <v>00:00:00</v>
      </c>
      <c r="B1016" s="19">
        <v>0</v>
      </c>
      <c r="C1016" s="21">
        <v>0</v>
      </c>
      <c r="D1016" s="20" t="str">
        <v>未匹配</v>
      </c>
      <c r="E1016" s="20">
        <v>0</v>
      </c>
    </row>
    <row r="1017" spans="1:5">
      <c r="A1017" s="20" t="str">
        <v>00:00:00</v>
      </c>
      <c r="B1017" s="19">
        <v>0</v>
      </c>
      <c r="C1017" s="21">
        <v>0</v>
      </c>
      <c r="D1017" s="20" t="str">
        <v>未匹配</v>
      </c>
      <c r="E1017" s="20">
        <v>0</v>
      </c>
    </row>
    <row r="1018" spans="1:5">
      <c r="A1018" s="20" t="str">
        <v>00:00:00</v>
      </c>
      <c r="B1018" s="19">
        <v>0</v>
      </c>
      <c r="C1018" s="21">
        <v>0</v>
      </c>
      <c r="D1018" s="20" t="str">
        <v>未匹配</v>
      </c>
      <c r="E1018" s="20">
        <v>0</v>
      </c>
    </row>
    <row r="1019" spans="1:5">
      <c r="A1019" s="20" t="str">
        <v>00:00:00</v>
      </c>
      <c r="B1019" s="19">
        <v>0</v>
      </c>
      <c r="C1019" s="21">
        <v>0</v>
      </c>
      <c r="D1019" s="20" t="str">
        <v>未匹配</v>
      </c>
      <c r="E1019" s="20">
        <v>0</v>
      </c>
    </row>
    <row r="1020" spans="1:5">
      <c r="A1020" s="20" t="str">
        <v>00:00:00</v>
      </c>
      <c r="B1020" s="19">
        <v>0</v>
      </c>
      <c r="C1020" s="21">
        <v>0</v>
      </c>
      <c r="D1020" s="20" t="str">
        <v>未匹配</v>
      </c>
      <c r="E1020" s="20">
        <v>0</v>
      </c>
    </row>
    <row r="1021" spans="1:5">
      <c r="A1021" s="20" t="str">
        <v>00:00:00</v>
      </c>
      <c r="B1021" s="19">
        <v>0</v>
      </c>
      <c r="C1021" s="21">
        <v>0</v>
      </c>
      <c r="D1021" s="20" t="str">
        <v>未匹配</v>
      </c>
      <c r="E1021" s="20">
        <v>0</v>
      </c>
    </row>
    <row r="1022" spans="1:5">
      <c r="A1022" s="20" t="str">
        <v>00:00:00</v>
      </c>
      <c r="B1022" s="19">
        <v>0</v>
      </c>
      <c r="C1022" s="21">
        <v>0</v>
      </c>
      <c r="D1022" s="20" t="str">
        <v>未匹配</v>
      </c>
      <c r="E1022" s="20">
        <v>0</v>
      </c>
    </row>
    <row r="1023" spans="1:5">
      <c r="A1023" s="20" t="str">
        <v>00:00:00</v>
      </c>
      <c r="B1023" s="19">
        <v>0</v>
      </c>
      <c r="C1023" s="21">
        <v>0</v>
      </c>
      <c r="D1023" s="20" t="str">
        <v>未匹配</v>
      </c>
      <c r="E1023" s="20">
        <v>0</v>
      </c>
    </row>
    <row r="1024" spans="1:5">
      <c r="A1024" s="20" t="str">
        <v>00:00:00</v>
      </c>
      <c r="B1024" s="19">
        <v>0</v>
      </c>
      <c r="C1024" s="21">
        <v>0</v>
      </c>
      <c r="D1024" s="20" t="str">
        <v>未匹配</v>
      </c>
      <c r="E1024" s="20">
        <v>0</v>
      </c>
    </row>
    <row r="1025" spans="1:5">
      <c r="A1025" s="20" t="str">
        <v>00:00:00</v>
      </c>
      <c r="B1025" s="19">
        <v>0</v>
      </c>
      <c r="C1025" s="21">
        <v>0</v>
      </c>
      <c r="D1025" s="20" t="str">
        <v>未匹配</v>
      </c>
      <c r="E1025" s="20">
        <v>0</v>
      </c>
    </row>
    <row r="1026" spans="1:5">
      <c r="A1026" s="20" t="str">
        <v>00:00:00</v>
      </c>
      <c r="B1026" s="19">
        <v>0</v>
      </c>
      <c r="C1026" s="21">
        <v>0</v>
      </c>
      <c r="D1026" s="20" t="str">
        <v>未匹配</v>
      </c>
      <c r="E1026" s="20">
        <v>0</v>
      </c>
    </row>
    <row r="1027" spans="1:5">
      <c r="A1027" s="20" t="str">
        <v>00:00:00</v>
      </c>
      <c r="B1027" s="19">
        <v>0</v>
      </c>
      <c r="C1027" s="21">
        <v>0</v>
      </c>
      <c r="D1027" s="20" t="str">
        <v>未匹配</v>
      </c>
      <c r="E1027" s="20">
        <v>0</v>
      </c>
    </row>
    <row r="1028" spans="1:5">
      <c r="A1028" s="20" t="str">
        <v>00:00:00</v>
      </c>
      <c r="B1028" s="19">
        <v>0</v>
      </c>
      <c r="C1028" s="21">
        <v>0</v>
      </c>
      <c r="D1028" s="20" t="str">
        <v>未匹配</v>
      </c>
      <c r="E1028" s="20">
        <v>0</v>
      </c>
    </row>
    <row r="1029" spans="1:5">
      <c r="A1029" s="20" t="str">
        <v>00:00:00</v>
      </c>
      <c r="B1029" s="19">
        <v>0</v>
      </c>
      <c r="C1029" s="21">
        <v>0</v>
      </c>
      <c r="D1029" s="20" t="str">
        <v>未匹配</v>
      </c>
      <c r="E1029" s="20">
        <v>0</v>
      </c>
    </row>
    <row r="1030" spans="1:5">
      <c r="A1030" s="20" t="str">
        <v>00:00:00</v>
      </c>
      <c r="B1030" s="19">
        <v>0</v>
      </c>
      <c r="C1030" s="21">
        <v>0</v>
      </c>
      <c r="D1030" s="20" t="str">
        <v>未匹配</v>
      </c>
      <c r="E1030" s="20">
        <v>0</v>
      </c>
    </row>
    <row r="1031" spans="1:5">
      <c r="A1031" s="20" t="str">
        <v>00:00:00</v>
      </c>
      <c r="B1031" s="19">
        <v>0</v>
      </c>
      <c r="C1031" s="21">
        <v>0</v>
      </c>
      <c r="D1031" s="20" t="str">
        <v>未匹配</v>
      </c>
      <c r="E1031" s="20">
        <v>0</v>
      </c>
    </row>
    <row r="1032" spans="1:5">
      <c r="A1032" s="20" t="str">
        <v>00:00:00</v>
      </c>
      <c r="B1032" s="19">
        <v>0</v>
      </c>
      <c r="C1032" s="21">
        <v>0</v>
      </c>
      <c r="D1032" s="20" t="str">
        <v>未匹配</v>
      </c>
      <c r="E1032" s="20">
        <v>0</v>
      </c>
    </row>
    <row r="1033" spans="1:5">
      <c r="A1033" s="20" t="str">
        <v>00:00:00</v>
      </c>
      <c r="B1033" s="19">
        <v>0</v>
      </c>
      <c r="C1033" s="21">
        <v>0</v>
      </c>
      <c r="D1033" s="20" t="str">
        <v>未匹配</v>
      </c>
      <c r="E1033" s="20">
        <v>0</v>
      </c>
    </row>
    <row r="1034" spans="1:5">
      <c r="A1034" s="20" t="str">
        <v>00:00:00</v>
      </c>
      <c r="B1034" s="19">
        <v>0</v>
      </c>
      <c r="C1034" s="21">
        <v>0</v>
      </c>
      <c r="D1034" s="20" t="str">
        <v>未匹配</v>
      </c>
      <c r="E1034" s="20">
        <v>0</v>
      </c>
    </row>
    <row r="1035" spans="1:5">
      <c r="A1035" s="20" t="str">
        <v>00:00:00</v>
      </c>
      <c r="B1035" s="19">
        <v>0</v>
      </c>
      <c r="C1035" s="21">
        <v>0</v>
      </c>
      <c r="D1035" s="20" t="str">
        <v>未匹配</v>
      </c>
      <c r="E1035" s="20">
        <v>0</v>
      </c>
    </row>
    <row r="1036" spans="1:5">
      <c r="A1036" s="20" t="str">
        <v>00:00:00</v>
      </c>
      <c r="B1036" s="19">
        <v>0</v>
      </c>
      <c r="C1036" s="21">
        <v>0</v>
      </c>
      <c r="D1036" s="20" t="str">
        <v>未匹配</v>
      </c>
      <c r="E1036" s="20">
        <v>0</v>
      </c>
    </row>
    <row r="1037" spans="1:5">
      <c r="A1037" s="20" t="str">
        <v>00:00:00</v>
      </c>
      <c r="B1037" s="19">
        <v>0</v>
      </c>
      <c r="C1037" s="21">
        <v>0</v>
      </c>
      <c r="D1037" s="20" t="str">
        <v>未匹配</v>
      </c>
      <c r="E1037" s="20">
        <v>0</v>
      </c>
    </row>
    <row r="1038" spans="1:5">
      <c r="A1038" s="20" t="str">
        <v>00:00:00</v>
      </c>
      <c r="B1038" s="19">
        <v>0</v>
      </c>
      <c r="C1038" s="21">
        <v>0</v>
      </c>
      <c r="D1038" s="20" t="str">
        <v>未匹配</v>
      </c>
      <c r="E1038" s="20">
        <v>0</v>
      </c>
    </row>
    <row r="1039" spans="1:5">
      <c r="A1039" s="20" t="str">
        <v>00:00:00</v>
      </c>
      <c r="B1039" s="19">
        <v>0</v>
      </c>
      <c r="C1039" s="21">
        <v>0</v>
      </c>
      <c r="D1039" s="20" t="str">
        <v>未匹配</v>
      </c>
      <c r="E1039" s="20">
        <v>0</v>
      </c>
    </row>
    <row r="1040" spans="1:5">
      <c r="A1040" s="20" t="str">
        <v>00:00:00</v>
      </c>
      <c r="B1040" s="19">
        <v>0</v>
      </c>
      <c r="C1040" s="21">
        <v>0</v>
      </c>
      <c r="D1040" s="20" t="str">
        <v>未匹配</v>
      </c>
      <c r="E1040" s="20">
        <v>0</v>
      </c>
    </row>
    <row r="1041" spans="1:5">
      <c r="A1041" s="20" t="str">
        <v>00:00:00</v>
      </c>
      <c r="B1041" s="19">
        <v>0</v>
      </c>
      <c r="C1041" s="21">
        <v>0</v>
      </c>
      <c r="D1041" s="20" t="str">
        <v>未匹配</v>
      </c>
      <c r="E1041" s="20">
        <v>0</v>
      </c>
    </row>
    <row r="1042" spans="1:5">
      <c r="A1042" s="20" t="str">
        <v>00:00:00</v>
      </c>
      <c r="B1042" s="19">
        <v>0</v>
      </c>
      <c r="C1042" s="21">
        <v>0</v>
      </c>
      <c r="D1042" s="20" t="str">
        <v>未匹配</v>
      </c>
      <c r="E1042" s="20">
        <v>0</v>
      </c>
    </row>
    <row r="1043" spans="1:5">
      <c r="A1043" s="20" t="str">
        <v>00:00:00</v>
      </c>
      <c r="B1043" s="19">
        <v>0</v>
      </c>
      <c r="C1043" s="21">
        <v>0</v>
      </c>
      <c r="D1043" s="20" t="str">
        <v>未匹配</v>
      </c>
      <c r="E1043" s="20">
        <v>0</v>
      </c>
    </row>
    <row r="1044" spans="1:5">
      <c r="A1044" s="20" t="str">
        <v>00:00:00</v>
      </c>
      <c r="B1044" s="19">
        <v>0</v>
      </c>
      <c r="C1044" s="21">
        <v>0</v>
      </c>
      <c r="D1044" s="20" t="str">
        <v>未匹配</v>
      </c>
      <c r="E1044" s="20">
        <v>0</v>
      </c>
    </row>
    <row r="1045" spans="1:5">
      <c r="A1045" s="20" t="str">
        <v>00:00:00</v>
      </c>
      <c r="B1045" s="19">
        <v>0</v>
      </c>
      <c r="C1045" s="21">
        <v>0</v>
      </c>
      <c r="D1045" s="20" t="str">
        <v>未匹配</v>
      </c>
      <c r="E1045" s="20">
        <v>0</v>
      </c>
    </row>
    <row r="1046" spans="1:5">
      <c r="A1046" s="20" t="str">
        <v>00:00:00</v>
      </c>
      <c r="B1046" s="19">
        <v>0</v>
      </c>
      <c r="C1046" s="21">
        <v>0</v>
      </c>
      <c r="D1046" s="20" t="str">
        <v>未匹配</v>
      </c>
      <c r="E1046" s="20">
        <v>0</v>
      </c>
    </row>
    <row r="1047" spans="1:5">
      <c r="A1047" s="20" t="str">
        <v>00:00:00</v>
      </c>
      <c r="B1047" s="19">
        <v>0</v>
      </c>
      <c r="C1047" s="21">
        <v>0</v>
      </c>
      <c r="D1047" s="20" t="str">
        <v>未匹配</v>
      </c>
      <c r="E1047" s="20">
        <v>0</v>
      </c>
    </row>
    <row r="1048" spans="1:5">
      <c r="A1048" s="20" t="str">
        <v>00:00:00</v>
      </c>
      <c r="B1048" s="19">
        <v>0</v>
      </c>
      <c r="C1048" s="21">
        <v>0</v>
      </c>
      <c r="D1048" s="20" t="str">
        <v>未匹配</v>
      </c>
      <c r="E1048" s="20">
        <v>0</v>
      </c>
    </row>
    <row r="1049" spans="1:5">
      <c r="A1049" s="20" t="str">
        <v>00:00:00</v>
      </c>
      <c r="B1049" s="19">
        <v>0</v>
      </c>
      <c r="C1049" s="21">
        <v>0</v>
      </c>
      <c r="D1049" s="20" t="str">
        <v>未匹配</v>
      </c>
      <c r="E1049" s="20">
        <v>0</v>
      </c>
    </row>
    <row r="1050" spans="1:5">
      <c r="A1050" s="20" t="str">
        <v>00:00:00</v>
      </c>
      <c r="B1050" s="19">
        <v>0</v>
      </c>
      <c r="C1050" s="21">
        <v>0</v>
      </c>
      <c r="D1050" s="20" t="str">
        <v>未匹配</v>
      </c>
      <c r="E1050" s="20">
        <v>0</v>
      </c>
    </row>
    <row r="1051" spans="1:5">
      <c r="A1051" s="20" t="str">
        <v>00:00:00</v>
      </c>
      <c r="B1051" s="19">
        <v>0</v>
      </c>
      <c r="C1051" s="21">
        <v>0</v>
      </c>
      <c r="D1051" s="20" t="str">
        <v>未匹配</v>
      </c>
      <c r="E1051" s="20">
        <v>0</v>
      </c>
    </row>
    <row r="1052" spans="1:5">
      <c r="A1052" s="20" t="str">
        <v>00:00:00</v>
      </c>
      <c r="B1052" s="19">
        <v>0</v>
      </c>
      <c r="C1052" s="21">
        <v>0</v>
      </c>
      <c r="D1052" s="20" t="str">
        <v>未匹配</v>
      </c>
      <c r="E1052" s="20">
        <v>0</v>
      </c>
    </row>
    <row r="1053" spans="1:5">
      <c r="A1053" s="20" t="str">
        <v>00:00:00</v>
      </c>
      <c r="B1053" s="19">
        <v>0</v>
      </c>
      <c r="C1053" s="21">
        <v>0</v>
      </c>
      <c r="D1053" s="20" t="str">
        <v>未匹配</v>
      </c>
      <c r="E1053" s="20">
        <v>0</v>
      </c>
    </row>
    <row r="1054" spans="1:5">
      <c r="A1054" s="20" t="str">
        <v>00:00:00</v>
      </c>
      <c r="B1054" s="19">
        <v>0</v>
      </c>
      <c r="C1054" s="21">
        <v>0</v>
      </c>
      <c r="D1054" s="20" t="str">
        <v>未匹配</v>
      </c>
      <c r="E1054" s="20">
        <v>0</v>
      </c>
    </row>
    <row r="1055" spans="1:5">
      <c r="A1055" s="20" t="str">
        <v>00:00:00</v>
      </c>
      <c r="B1055" s="19">
        <v>0</v>
      </c>
      <c r="C1055" s="21">
        <v>0</v>
      </c>
      <c r="D1055" s="20" t="str">
        <v>未匹配</v>
      </c>
      <c r="E1055" s="20">
        <v>0</v>
      </c>
    </row>
    <row r="1056" spans="1:5">
      <c r="A1056" s="20" t="str">
        <v>00:00:00</v>
      </c>
      <c r="B1056" s="19">
        <v>0</v>
      </c>
      <c r="C1056" s="21">
        <v>0</v>
      </c>
      <c r="D1056" s="20" t="str">
        <v>未匹配</v>
      </c>
      <c r="E1056" s="20">
        <v>0</v>
      </c>
    </row>
    <row r="1057" spans="1:5">
      <c r="A1057" s="20" t="str">
        <v>00:00:00</v>
      </c>
      <c r="B1057" s="19">
        <v>0</v>
      </c>
      <c r="C1057" s="21">
        <v>0</v>
      </c>
      <c r="D1057" s="20" t="str">
        <v>未匹配</v>
      </c>
      <c r="E1057" s="20">
        <v>0</v>
      </c>
    </row>
    <row r="1058" spans="1:5">
      <c r="A1058" s="20" t="str">
        <v>00:00:00</v>
      </c>
      <c r="B1058" s="19">
        <v>0</v>
      </c>
      <c r="C1058" s="21">
        <v>0</v>
      </c>
      <c r="D1058" s="20" t="str">
        <v>未匹配</v>
      </c>
      <c r="E1058" s="20">
        <v>0</v>
      </c>
    </row>
    <row r="1059" spans="1:5">
      <c r="A1059" s="20" t="str">
        <v>00:00:00</v>
      </c>
      <c r="B1059" s="19">
        <v>0</v>
      </c>
      <c r="C1059" s="21">
        <v>0</v>
      </c>
      <c r="D1059" s="20" t="str">
        <v>未匹配</v>
      </c>
      <c r="E1059" s="20">
        <v>0</v>
      </c>
    </row>
    <row r="1060" spans="1:5">
      <c r="A1060" s="20" t="str">
        <v>00:00:00</v>
      </c>
      <c r="B1060" s="19">
        <v>0</v>
      </c>
      <c r="C1060" s="21">
        <v>0</v>
      </c>
      <c r="D1060" s="20" t="str">
        <v>未匹配</v>
      </c>
      <c r="E1060" s="20">
        <v>0</v>
      </c>
    </row>
    <row r="1061" spans="1:5">
      <c r="A1061" s="20" t="str">
        <v>00:00:00</v>
      </c>
      <c r="B1061" s="19">
        <v>0</v>
      </c>
      <c r="C1061" s="21">
        <v>0</v>
      </c>
      <c r="D1061" s="20" t="str">
        <v>未匹配</v>
      </c>
      <c r="E1061" s="20">
        <v>0</v>
      </c>
    </row>
    <row r="1062" spans="1:5">
      <c r="A1062" s="20" t="str">
        <v>00:00:00</v>
      </c>
      <c r="B1062" s="19">
        <v>0</v>
      </c>
      <c r="C1062" s="21">
        <v>0</v>
      </c>
      <c r="D1062" s="20" t="str">
        <v>未匹配</v>
      </c>
      <c r="E1062" s="20">
        <v>0</v>
      </c>
    </row>
    <row r="1063" spans="1:5">
      <c r="A1063" s="20" t="str">
        <v>00:00:00</v>
      </c>
      <c r="B1063" s="19">
        <v>0</v>
      </c>
      <c r="C1063" s="21">
        <v>0</v>
      </c>
      <c r="D1063" s="20" t="str">
        <v>未匹配</v>
      </c>
      <c r="E1063" s="20">
        <v>0</v>
      </c>
    </row>
    <row r="1064" spans="1:5">
      <c r="A1064" s="20" t="str">
        <v>00:00:00</v>
      </c>
      <c r="B1064" s="19">
        <v>0</v>
      </c>
      <c r="C1064" s="21">
        <v>0</v>
      </c>
      <c r="D1064" s="20" t="str">
        <v>未匹配</v>
      </c>
      <c r="E1064" s="20">
        <v>0</v>
      </c>
    </row>
    <row r="1065" spans="1:5">
      <c r="A1065" s="20" t="str">
        <v>00:00:00</v>
      </c>
      <c r="B1065" s="19">
        <v>0</v>
      </c>
      <c r="C1065" s="21">
        <v>0</v>
      </c>
      <c r="D1065" s="20" t="str">
        <v>未匹配</v>
      </c>
      <c r="E1065" s="20">
        <v>0</v>
      </c>
    </row>
    <row r="1066" spans="1:5">
      <c r="A1066" s="20" t="str">
        <v>00:00:00</v>
      </c>
      <c r="B1066" s="19">
        <v>0</v>
      </c>
      <c r="C1066" s="21">
        <v>0</v>
      </c>
      <c r="D1066" s="20" t="str">
        <v>未匹配</v>
      </c>
      <c r="E1066" s="20">
        <v>0</v>
      </c>
    </row>
    <row r="1067" spans="1:5">
      <c r="A1067" s="20" t="str">
        <v>00:00:00</v>
      </c>
      <c r="B1067" s="19">
        <v>0</v>
      </c>
      <c r="C1067" s="21">
        <v>0</v>
      </c>
      <c r="D1067" s="20" t="str">
        <v>未匹配</v>
      </c>
      <c r="E1067" s="20">
        <v>0</v>
      </c>
    </row>
    <row r="1068" spans="1:5">
      <c r="A1068" s="20" t="str">
        <v>00:00:00</v>
      </c>
      <c r="B1068" s="19">
        <v>0</v>
      </c>
      <c r="C1068" s="21">
        <v>0</v>
      </c>
      <c r="D1068" s="20" t="str">
        <v>未匹配</v>
      </c>
      <c r="E1068" s="20">
        <v>0</v>
      </c>
    </row>
    <row r="1069" spans="1:5">
      <c r="A1069" s="20" t="str">
        <v>00:00:00</v>
      </c>
      <c r="B1069" s="19">
        <v>0</v>
      </c>
      <c r="C1069" s="21">
        <v>0</v>
      </c>
      <c r="D1069" s="20" t="str">
        <v>未匹配</v>
      </c>
      <c r="E1069" s="20">
        <v>0</v>
      </c>
    </row>
    <row r="1070" spans="1:5">
      <c r="A1070" s="20" t="str">
        <v>00:00:00</v>
      </c>
      <c r="B1070" s="19">
        <v>0</v>
      </c>
      <c r="C1070" s="21">
        <v>0</v>
      </c>
      <c r="D1070" s="20" t="str">
        <v>未匹配</v>
      </c>
      <c r="E1070" s="20">
        <v>0</v>
      </c>
    </row>
    <row r="1071" spans="1:5">
      <c r="A1071" s="20" t="str">
        <v>00:00:00</v>
      </c>
      <c r="B1071" s="19">
        <v>0</v>
      </c>
      <c r="C1071" s="21">
        <v>0</v>
      </c>
      <c r="D1071" s="20" t="str">
        <v>未匹配</v>
      </c>
      <c r="E1071" s="20">
        <v>0</v>
      </c>
    </row>
    <row r="1072" spans="1:5">
      <c r="A1072" s="20" t="str">
        <v>00:00:00</v>
      </c>
      <c r="B1072" s="19">
        <v>0</v>
      </c>
      <c r="C1072" s="21">
        <v>0</v>
      </c>
      <c r="D1072" s="20" t="str">
        <v>未匹配</v>
      </c>
      <c r="E1072" s="20">
        <v>0</v>
      </c>
    </row>
    <row r="1073" spans="1:5">
      <c r="A1073" s="20" t="str">
        <v>00:00:00</v>
      </c>
      <c r="B1073" s="19">
        <v>0</v>
      </c>
      <c r="C1073" s="21">
        <v>0</v>
      </c>
      <c r="D1073" s="20" t="str">
        <v>未匹配</v>
      </c>
      <c r="E1073" s="20">
        <v>0</v>
      </c>
    </row>
    <row r="1074" spans="1:5">
      <c r="A1074" s="20" t="str">
        <v>00:00:00</v>
      </c>
      <c r="B1074" s="19">
        <v>0</v>
      </c>
      <c r="C1074" s="21">
        <v>0</v>
      </c>
      <c r="D1074" s="20" t="str">
        <v>未匹配</v>
      </c>
      <c r="E1074" s="20">
        <v>0</v>
      </c>
    </row>
    <row r="1075" spans="1:5">
      <c r="A1075" s="20" t="str">
        <v>00:00:00</v>
      </c>
      <c r="B1075" s="19">
        <v>0</v>
      </c>
      <c r="C1075" s="21">
        <v>0</v>
      </c>
      <c r="D1075" s="20" t="str">
        <v>未匹配</v>
      </c>
      <c r="E1075" s="20">
        <v>0</v>
      </c>
    </row>
    <row r="1076" spans="1:5">
      <c r="A1076" s="20" t="str">
        <v>00:00:00</v>
      </c>
      <c r="B1076" s="19">
        <v>0</v>
      </c>
      <c r="C1076" s="21">
        <v>0</v>
      </c>
      <c r="D1076" s="20" t="str">
        <v>未匹配</v>
      </c>
      <c r="E1076" s="20">
        <v>0</v>
      </c>
    </row>
    <row r="1077" spans="1:5">
      <c r="A1077" s="20" t="str">
        <v>00:00:00</v>
      </c>
      <c r="B1077" s="19">
        <v>0</v>
      </c>
      <c r="C1077" s="21">
        <v>0</v>
      </c>
      <c r="D1077" s="20" t="str">
        <v>未匹配</v>
      </c>
      <c r="E1077" s="20">
        <v>0</v>
      </c>
    </row>
    <row r="1078" spans="1:5">
      <c r="A1078" s="20" t="str">
        <v>00:00:00</v>
      </c>
      <c r="B1078" s="19">
        <v>0</v>
      </c>
      <c r="C1078" s="21">
        <v>0</v>
      </c>
      <c r="D1078" s="20" t="str">
        <v>未匹配</v>
      </c>
      <c r="E1078" s="20">
        <v>0</v>
      </c>
    </row>
    <row r="1079" spans="1:5">
      <c r="A1079" s="20" t="str">
        <v>00:00:00</v>
      </c>
      <c r="B1079" s="19">
        <v>0</v>
      </c>
      <c r="C1079" s="21">
        <v>0</v>
      </c>
      <c r="D1079" s="20" t="str">
        <v>未匹配</v>
      </c>
      <c r="E1079" s="20">
        <v>0</v>
      </c>
    </row>
    <row r="1080" spans="1:5">
      <c r="A1080" s="20" t="str">
        <v>00:00:00</v>
      </c>
      <c r="B1080" s="19">
        <v>0</v>
      </c>
      <c r="C1080" s="21">
        <v>0</v>
      </c>
      <c r="D1080" s="20" t="str">
        <v>未匹配</v>
      </c>
      <c r="E1080" s="20">
        <v>0</v>
      </c>
    </row>
    <row r="1081" spans="1:5">
      <c r="A1081" s="20" t="str">
        <v>00:00:00</v>
      </c>
      <c r="B1081" s="19">
        <v>0</v>
      </c>
      <c r="C1081" s="21">
        <v>0</v>
      </c>
      <c r="D1081" s="20" t="str">
        <v>未匹配</v>
      </c>
      <c r="E1081" s="20">
        <v>0</v>
      </c>
    </row>
    <row r="1082" spans="1:5">
      <c r="A1082" s="20" t="str">
        <v>00:00:00</v>
      </c>
      <c r="B1082" s="19">
        <v>0</v>
      </c>
      <c r="C1082" s="21">
        <v>0</v>
      </c>
      <c r="D1082" s="20" t="str">
        <v>未匹配</v>
      </c>
      <c r="E1082" s="20">
        <v>0</v>
      </c>
    </row>
    <row r="1083" spans="1:5">
      <c r="A1083" s="20" t="str">
        <v>00:00:00</v>
      </c>
      <c r="B1083" s="19">
        <v>0</v>
      </c>
      <c r="C1083" s="21">
        <v>0</v>
      </c>
      <c r="D1083" s="20" t="str">
        <v>未匹配</v>
      </c>
      <c r="E1083" s="20">
        <v>0</v>
      </c>
    </row>
    <row r="1084" spans="1:5">
      <c r="A1084" s="20" t="str">
        <v>00:00:00</v>
      </c>
      <c r="B1084" s="19">
        <v>0</v>
      </c>
      <c r="C1084" s="21">
        <v>0</v>
      </c>
      <c r="D1084" s="20" t="str">
        <v>未匹配</v>
      </c>
      <c r="E1084" s="20">
        <v>0</v>
      </c>
    </row>
    <row r="1085" spans="1:5">
      <c r="A1085" s="20" t="str">
        <v>00:00:00</v>
      </c>
      <c r="B1085" s="19">
        <v>0</v>
      </c>
      <c r="C1085" s="21">
        <v>0</v>
      </c>
      <c r="D1085" s="20" t="str">
        <v>未匹配</v>
      </c>
      <c r="E1085" s="20">
        <v>0</v>
      </c>
    </row>
    <row r="1086" spans="1:5">
      <c r="A1086" s="20" t="str">
        <v>00:00:00</v>
      </c>
      <c r="B1086" s="19">
        <v>0</v>
      </c>
      <c r="C1086" s="21">
        <v>0</v>
      </c>
      <c r="D1086" s="20" t="str">
        <v>未匹配</v>
      </c>
      <c r="E1086" s="20">
        <v>0</v>
      </c>
    </row>
    <row r="1087" spans="1:5">
      <c r="A1087" s="20" t="str">
        <v>00:00:00</v>
      </c>
      <c r="B1087" s="19">
        <v>0</v>
      </c>
      <c r="C1087" s="21">
        <v>0</v>
      </c>
      <c r="D1087" s="20" t="str">
        <v>未匹配</v>
      </c>
      <c r="E1087" s="20">
        <v>0</v>
      </c>
    </row>
    <row r="1088" spans="1:5">
      <c r="A1088" s="20" t="str">
        <v>00:00:00</v>
      </c>
      <c r="B1088" s="19">
        <v>0</v>
      </c>
      <c r="C1088" s="21">
        <v>0</v>
      </c>
      <c r="D1088" s="20" t="str">
        <v>未匹配</v>
      </c>
      <c r="E1088" s="20">
        <v>0</v>
      </c>
    </row>
    <row r="1089" spans="1:5">
      <c r="A1089" s="20" t="str">
        <v>00:00:00</v>
      </c>
      <c r="B1089" s="19">
        <v>0</v>
      </c>
      <c r="C1089" s="21">
        <v>0</v>
      </c>
      <c r="D1089" s="20" t="str">
        <v>未匹配</v>
      </c>
      <c r="E1089" s="20">
        <v>0</v>
      </c>
    </row>
    <row r="1090" spans="1:5">
      <c r="A1090" s="20" t="str">
        <v>00:00:00</v>
      </c>
      <c r="B1090" s="19">
        <v>0</v>
      </c>
      <c r="C1090" s="21">
        <v>0</v>
      </c>
      <c r="D1090" s="20" t="str">
        <v>未匹配</v>
      </c>
      <c r="E1090" s="20">
        <v>0</v>
      </c>
    </row>
    <row r="1091" spans="1:5">
      <c r="A1091" s="20" t="str">
        <v>00:00:00</v>
      </c>
      <c r="B1091" s="19">
        <v>0</v>
      </c>
      <c r="C1091" s="21">
        <v>0</v>
      </c>
      <c r="D1091" s="20" t="str">
        <v>未匹配</v>
      </c>
      <c r="E1091" s="20">
        <v>0</v>
      </c>
    </row>
    <row r="1092" spans="1:5">
      <c r="A1092" s="20" t="str">
        <v>00:00:00</v>
      </c>
      <c r="B1092" s="19">
        <v>0</v>
      </c>
      <c r="C1092" s="21">
        <v>0</v>
      </c>
      <c r="D1092" s="20" t="str">
        <v>未匹配</v>
      </c>
      <c r="E1092" s="20">
        <v>0</v>
      </c>
    </row>
    <row r="1093" spans="1:5">
      <c r="A1093" s="20" t="str">
        <v>00:00:00</v>
      </c>
      <c r="B1093" s="19">
        <v>0</v>
      </c>
      <c r="C1093" s="21">
        <v>0</v>
      </c>
      <c r="D1093" s="20" t="str">
        <v>未匹配</v>
      </c>
      <c r="E1093" s="20">
        <v>0</v>
      </c>
    </row>
    <row r="1094" spans="1:5">
      <c r="A1094" s="20" t="str">
        <v>00:00:00</v>
      </c>
      <c r="B1094" s="19">
        <v>0</v>
      </c>
      <c r="C1094" s="21">
        <v>0</v>
      </c>
      <c r="D1094" s="20" t="str">
        <v>未匹配</v>
      </c>
      <c r="E1094" s="20">
        <v>0</v>
      </c>
    </row>
    <row r="1095" spans="1:5">
      <c r="A1095" s="20" t="str">
        <v>00:00:00</v>
      </c>
      <c r="B1095" s="19">
        <v>0</v>
      </c>
      <c r="C1095" s="21">
        <v>0</v>
      </c>
      <c r="D1095" s="20" t="str">
        <v>未匹配</v>
      </c>
      <c r="E1095" s="20">
        <v>0</v>
      </c>
    </row>
    <row r="1096" spans="1:5">
      <c r="A1096" s="20" t="str">
        <v>00:00:00</v>
      </c>
      <c r="B1096" s="19">
        <v>0</v>
      </c>
      <c r="C1096" s="21">
        <v>0</v>
      </c>
      <c r="D1096" s="20" t="str">
        <v>未匹配</v>
      </c>
      <c r="E1096" s="20">
        <v>0</v>
      </c>
    </row>
    <row r="1097" spans="1:5">
      <c r="A1097" s="20" t="str">
        <v>00:00:00</v>
      </c>
      <c r="B1097" s="19">
        <v>0</v>
      </c>
      <c r="C1097" s="21">
        <v>0</v>
      </c>
      <c r="D1097" s="20" t="str">
        <v>未匹配</v>
      </c>
      <c r="E1097" s="20">
        <v>0</v>
      </c>
    </row>
    <row r="1098" spans="1:5">
      <c r="A1098" s="20" t="str">
        <v>00:00:00</v>
      </c>
      <c r="B1098" s="19">
        <v>0</v>
      </c>
      <c r="C1098" s="21">
        <v>0</v>
      </c>
      <c r="D1098" s="20" t="str">
        <v>未匹配</v>
      </c>
      <c r="E1098" s="20">
        <v>0</v>
      </c>
    </row>
    <row r="1099" spans="1:5">
      <c r="A1099" s="20" t="str">
        <v>00:00:00</v>
      </c>
      <c r="B1099" s="19">
        <v>0</v>
      </c>
      <c r="C1099" s="21">
        <v>0</v>
      </c>
      <c r="D1099" s="20" t="str">
        <v>未匹配</v>
      </c>
      <c r="E1099" s="20">
        <v>0</v>
      </c>
    </row>
    <row r="1100" spans="1:5">
      <c r="A1100" s="20" t="str">
        <v>00:00:00</v>
      </c>
      <c r="B1100" s="19">
        <v>0</v>
      </c>
      <c r="C1100" s="21">
        <v>0</v>
      </c>
      <c r="D1100" s="20" t="str">
        <v>未匹配</v>
      </c>
      <c r="E1100" s="20">
        <v>0</v>
      </c>
    </row>
    <row r="1101" spans="1:5">
      <c r="A1101" s="20" t="str">
        <v>00:00:00</v>
      </c>
      <c r="B1101" s="19">
        <v>0</v>
      </c>
      <c r="C1101" s="21">
        <v>0</v>
      </c>
      <c r="D1101" s="20" t="str">
        <v>未匹配</v>
      </c>
      <c r="E1101" s="20">
        <v>0</v>
      </c>
    </row>
    <row r="1102" spans="1:5">
      <c r="A1102" s="20" t="str">
        <v>00:00:00</v>
      </c>
      <c r="B1102" s="19">
        <v>0</v>
      </c>
      <c r="C1102" s="21">
        <v>0</v>
      </c>
      <c r="D1102" s="20" t="str">
        <v>未匹配</v>
      </c>
      <c r="E1102" s="20">
        <v>0</v>
      </c>
    </row>
    <row r="1103" spans="1:5">
      <c r="A1103" s="20" t="str">
        <v>00:00:00</v>
      </c>
      <c r="B1103" s="19">
        <v>0</v>
      </c>
      <c r="C1103" s="21">
        <v>0</v>
      </c>
      <c r="D1103" s="20" t="str">
        <v>未匹配</v>
      </c>
      <c r="E1103" s="20">
        <v>0</v>
      </c>
    </row>
    <row r="1104" spans="1:5">
      <c r="A1104" s="20" t="str">
        <v>00:00:00</v>
      </c>
      <c r="B1104" s="19">
        <v>0</v>
      </c>
      <c r="C1104" s="21">
        <v>0</v>
      </c>
      <c r="D1104" s="20" t="str">
        <v>未匹配</v>
      </c>
      <c r="E1104" s="20">
        <v>0</v>
      </c>
    </row>
    <row r="1105" spans="1:5">
      <c r="A1105" s="20" t="str">
        <v>00:00:00</v>
      </c>
      <c r="B1105" s="19">
        <v>0</v>
      </c>
      <c r="C1105" s="21">
        <v>0</v>
      </c>
      <c r="D1105" s="20" t="str">
        <v>未匹配</v>
      </c>
      <c r="E1105" s="20">
        <v>0</v>
      </c>
    </row>
    <row r="1106" spans="1:5">
      <c r="A1106" s="20" t="str">
        <v>00:00:00</v>
      </c>
      <c r="B1106" s="19">
        <v>0</v>
      </c>
      <c r="C1106" s="21">
        <v>0</v>
      </c>
      <c r="D1106" s="20" t="str">
        <v>未匹配</v>
      </c>
      <c r="E1106" s="20">
        <v>0</v>
      </c>
    </row>
    <row r="1107" spans="1:5">
      <c r="A1107" s="20" t="str">
        <v>00:00:00</v>
      </c>
      <c r="B1107" s="19">
        <v>0</v>
      </c>
      <c r="C1107" s="21">
        <v>0</v>
      </c>
      <c r="D1107" s="20" t="str">
        <v>未匹配</v>
      </c>
      <c r="E1107" s="20">
        <v>0</v>
      </c>
    </row>
    <row r="1108" spans="1:5">
      <c r="A1108" s="20" t="str">
        <v>00:00:00</v>
      </c>
      <c r="B1108" s="19">
        <v>0</v>
      </c>
      <c r="C1108" s="21">
        <v>0</v>
      </c>
      <c r="D1108" s="20" t="str">
        <v>未匹配</v>
      </c>
      <c r="E1108" s="20">
        <v>0</v>
      </c>
    </row>
    <row r="1109" spans="1:5">
      <c r="A1109" s="20" t="str">
        <v>00:00:00</v>
      </c>
      <c r="B1109" s="19">
        <v>0</v>
      </c>
      <c r="C1109" s="21">
        <v>0</v>
      </c>
      <c r="D1109" s="20" t="str">
        <v>未匹配</v>
      </c>
      <c r="E1109" s="20">
        <v>0</v>
      </c>
    </row>
    <row r="1110" spans="1:5">
      <c r="A1110" s="20" t="str">
        <v>00:00:00</v>
      </c>
      <c r="B1110" s="19">
        <v>0</v>
      </c>
      <c r="C1110" s="21">
        <v>0</v>
      </c>
      <c r="D1110" s="20" t="str">
        <v>未匹配</v>
      </c>
      <c r="E1110" s="20">
        <v>0</v>
      </c>
    </row>
    <row r="1111" spans="1:5">
      <c r="A1111" s="20" t="str">
        <v>00:00:00</v>
      </c>
      <c r="B1111" s="19">
        <v>0</v>
      </c>
      <c r="C1111" s="21">
        <v>0</v>
      </c>
      <c r="D1111" s="20" t="str">
        <v>未匹配</v>
      </c>
      <c r="E1111" s="20">
        <v>0</v>
      </c>
    </row>
    <row r="1112" spans="1:5">
      <c r="A1112" s="20" t="str">
        <v>00:00:00</v>
      </c>
      <c r="B1112" s="19">
        <v>0</v>
      </c>
      <c r="C1112" s="21">
        <v>0</v>
      </c>
      <c r="D1112" s="20" t="str">
        <v>未匹配</v>
      </c>
      <c r="E1112" s="20">
        <v>0</v>
      </c>
    </row>
    <row r="1113" spans="1:5">
      <c r="A1113" s="20" t="str">
        <v>00:00:00</v>
      </c>
      <c r="B1113" s="19">
        <v>0</v>
      </c>
      <c r="C1113" s="21">
        <v>0</v>
      </c>
      <c r="D1113" s="20" t="str">
        <v>未匹配</v>
      </c>
      <c r="E1113" s="20">
        <v>0</v>
      </c>
    </row>
    <row r="1114" spans="1:5">
      <c r="A1114" s="20" t="str">
        <v>00:00:00</v>
      </c>
      <c r="B1114" s="19">
        <v>0</v>
      </c>
      <c r="C1114" s="21">
        <v>0</v>
      </c>
      <c r="D1114" s="20" t="str">
        <v>未匹配</v>
      </c>
      <c r="E1114" s="20">
        <v>0</v>
      </c>
    </row>
    <row r="1115" spans="1:5">
      <c r="A1115" s="20" t="str">
        <v>00:00:00</v>
      </c>
      <c r="B1115" s="19">
        <v>0</v>
      </c>
      <c r="C1115" s="21">
        <v>0</v>
      </c>
      <c r="D1115" s="20" t="str">
        <v>未匹配</v>
      </c>
      <c r="E1115" s="20">
        <v>0</v>
      </c>
    </row>
    <row r="1116" spans="1:5">
      <c r="A1116" s="20" t="str">
        <v>00:00:00</v>
      </c>
      <c r="B1116" s="19">
        <v>0</v>
      </c>
      <c r="C1116" s="21">
        <v>0</v>
      </c>
      <c r="D1116" s="20" t="str">
        <v>未匹配</v>
      </c>
      <c r="E1116" s="20">
        <v>0</v>
      </c>
    </row>
    <row r="1117" spans="1:5">
      <c r="A1117" s="20" t="str">
        <v>00:00:00</v>
      </c>
      <c r="B1117" s="19">
        <v>0</v>
      </c>
      <c r="C1117" s="21">
        <v>0</v>
      </c>
      <c r="D1117" s="20" t="str">
        <v>未匹配</v>
      </c>
      <c r="E1117" s="20">
        <v>0</v>
      </c>
    </row>
    <row r="1118" spans="1:5">
      <c r="A1118" s="20" t="str">
        <v>00:00:00</v>
      </c>
      <c r="B1118" s="19">
        <v>0</v>
      </c>
      <c r="C1118" s="21">
        <v>0</v>
      </c>
      <c r="D1118" s="20" t="str">
        <v>未匹配</v>
      </c>
      <c r="E1118" s="20">
        <v>0</v>
      </c>
    </row>
    <row r="1119" spans="1:5">
      <c r="A1119" s="20" t="str">
        <v>00:00:00</v>
      </c>
      <c r="B1119" s="19">
        <v>0</v>
      </c>
      <c r="C1119" s="21">
        <v>0</v>
      </c>
      <c r="D1119" s="20" t="str">
        <v>未匹配</v>
      </c>
      <c r="E1119" s="20">
        <v>0</v>
      </c>
    </row>
    <row r="1120" spans="1:5">
      <c r="A1120" s="20" t="str">
        <v>00:00:00</v>
      </c>
      <c r="B1120" s="19">
        <v>0</v>
      </c>
      <c r="C1120" s="21">
        <v>0</v>
      </c>
      <c r="D1120" s="20" t="str">
        <v>未匹配</v>
      </c>
      <c r="E1120" s="20">
        <v>0</v>
      </c>
    </row>
    <row r="1121" spans="1:5">
      <c r="A1121" s="20" t="str">
        <v>00:00:00</v>
      </c>
      <c r="B1121" s="19">
        <v>0</v>
      </c>
      <c r="C1121" s="21">
        <v>0</v>
      </c>
      <c r="D1121" s="20" t="str">
        <v>未匹配</v>
      </c>
      <c r="E1121" s="20">
        <v>0</v>
      </c>
    </row>
    <row r="1122" spans="1:5">
      <c r="A1122" s="20" t="str">
        <v>00:00:00</v>
      </c>
      <c r="B1122" s="19">
        <v>0</v>
      </c>
      <c r="C1122" s="21">
        <v>0</v>
      </c>
      <c r="D1122" s="20" t="str">
        <v>未匹配</v>
      </c>
      <c r="E1122" s="20">
        <v>0</v>
      </c>
    </row>
    <row r="1123" spans="1:5">
      <c r="A1123" s="20" t="str">
        <v>00:00:00</v>
      </c>
      <c r="B1123" s="19">
        <v>0</v>
      </c>
      <c r="C1123" s="21">
        <v>0</v>
      </c>
      <c r="D1123" s="20" t="str">
        <v>未匹配</v>
      </c>
      <c r="E1123" s="20">
        <v>0</v>
      </c>
    </row>
    <row r="1124" spans="1:5">
      <c r="A1124" s="20" t="str">
        <v>00:00:00</v>
      </c>
      <c r="B1124" s="19">
        <v>0</v>
      </c>
      <c r="C1124" s="21">
        <v>0</v>
      </c>
      <c r="D1124" s="20" t="str">
        <v>未匹配</v>
      </c>
      <c r="E1124" s="20">
        <v>0</v>
      </c>
    </row>
    <row r="1125" spans="1:5">
      <c r="A1125" s="20" t="str">
        <v>00:00:00</v>
      </c>
      <c r="B1125" s="19">
        <v>0</v>
      </c>
      <c r="C1125" s="21">
        <v>0</v>
      </c>
      <c r="D1125" s="20" t="str">
        <v>未匹配</v>
      </c>
      <c r="E1125" s="20">
        <v>0</v>
      </c>
    </row>
    <row r="1126" spans="1:5">
      <c r="A1126" s="20" t="str">
        <v>00:00:00</v>
      </c>
      <c r="B1126" s="19">
        <v>0</v>
      </c>
      <c r="C1126" s="21">
        <v>0</v>
      </c>
      <c r="D1126" s="20" t="str">
        <v>未匹配</v>
      </c>
      <c r="E1126" s="20">
        <v>0</v>
      </c>
    </row>
    <row r="1127" spans="1:5">
      <c r="A1127" s="20" t="str">
        <v>00:00:00</v>
      </c>
      <c r="B1127" s="19">
        <v>0</v>
      </c>
      <c r="C1127" s="21">
        <v>0</v>
      </c>
      <c r="D1127" s="20" t="str">
        <v>未匹配</v>
      </c>
      <c r="E1127" s="20">
        <v>0</v>
      </c>
    </row>
    <row r="1128" spans="1:5">
      <c r="A1128" s="20" t="str">
        <v>00:00:00</v>
      </c>
      <c r="B1128" s="19">
        <v>0</v>
      </c>
      <c r="C1128" s="21">
        <v>0</v>
      </c>
      <c r="D1128" s="20" t="str">
        <v>未匹配</v>
      </c>
      <c r="E1128" s="20">
        <v>0</v>
      </c>
    </row>
    <row r="1129" spans="1:5">
      <c r="A1129" s="20" t="str">
        <v>00:00:00</v>
      </c>
      <c r="B1129" s="19">
        <v>0</v>
      </c>
      <c r="C1129" s="21">
        <v>0</v>
      </c>
      <c r="D1129" s="20" t="str">
        <v>未匹配</v>
      </c>
      <c r="E1129" s="20">
        <v>0</v>
      </c>
    </row>
    <row r="1130" spans="1:5">
      <c r="A1130" s="20" t="str">
        <v>00:00:00</v>
      </c>
      <c r="B1130" s="19">
        <v>0</v>
      </c>
      <c r="C1130" s="21">
        <v>0</v>
      </c>
      <c r="D1130" s="20" t="str">
        <v>未匹配</v>
      </c>
      <c r="E1130" s="20">
        <v>0</v>
      </c>
    </row>
    <row r="1131" spans="1:5">
      <c r="A1131" s="20" t="str">
        <v>00:00:00</v>
      </c>
      <c r="B1131" s="19">
        <v>0</v>
      </c>
      <c r="C1131" s="21">
        <v>0</v>
      </c>
      <c r="D1131" s="20" t="str">
        <v>未匹配</v>
      </c>
      <c r="E1131" s="20">
        <v>0</v>
      </c>
    </row>
    <row r="1132" spans="1:5">
      <c r="A1132" s="20" t="str">
        <v>00:00:00</v>
      </c>
      <c r="B1132" s="19">
        <v>0</v>
      </c>
      <c r="C1132" s="21">
        <v>0</v>
      </c>
      <c r="D1132" s="20" t="str">
        <v>未匹配</v>
      </c>
      <c r="E1132" s="20">
        <v>0</v>
      </c>
    </row>
    <row r="1133" spans="1:5">
      <c r="A1133" s="20" t="str">
        <v>00:00:00</v>
      </c>
      <c r="B1133" s="19">
        <v>0</v>
      </c>
      <c r="C1133" s="21">
        <v>0</v>
      </c>
      <c r="D1133" s="20" t="str">
        <v>未匹配</v>
      </c>
      <c r="E1133" s="20">
        <v>0</v>
      </c>
    </row>
    <row r="1134" spans="1:5">
      <c r="A1134" s="20" t="str">
        <v>00:00:00</v>
      </c>
      <c r="B1134" s="19">
        <v>0</v>
      </c>
      <c r="C1134" s="21">
        <v>0</v>
      </c>
      <c r="D1134" s="20" t="str">
        <v>未匹配</v>
      </c>
      <c r="E1134" s="20">
        <v>0</v>
      </c>
    </row>
    <row r="1135" spans="1:5">
      <c r="A1135" s="20" t="str">
        <v>00:00:00</v>
      </c>
      <c r="B1135" s="19">
        <v>0</v>
      </c>
      <c r="C1135" s="21">
        <v>0</v>
      </c>
      <c r="D1135" s="20" t="str">
        <v>未匹配</v>
      </c>
      <c r="E1135" s="20">
        <v>0</v>
      </c>
    </row>
    <row r="1136" spans="1:5">
      <c r="A1136" s="20" t="str">
        <v>00:00:00</v>
      </c>
      <c r="B1136" s="19">
        <v>0</v>
      </c>
      <c r="C1136" s="21">
        <v>0</v>
      </c>
      <c r="D1136" s="20" t="str">
        <v>未匹配</v>
      </c>
      <c r="E1136" s="20">
        <v>0</v>
      </c>
    </row>
    <row r="1137" spans="1:5">
      <c r="A1137" s="20" t="str">
        <v>00:00:00</v>
      </c>
      <c r="B1137" s="19">
        <v>0</v>
      </c>
      <c r="C1137" s="21">
        <v>0</v>
      </c>
      <c r="D1137" s="20" t="str">
        <v>未匹配</v>
      </c>
      <c r="E1137" s="20">
        <v>0</v>
      </c>
    </row>
    <row r="1138" spans="1:5">
      <c r="A1138" s="20" t="str">
        <v>00:00:00</v>
      </c>
      <c r="B1138" s="19">
        <v>0</v>
      </c>
      <c r="C1138" s="21">
        <v>0</v>
      </c>
      <c r="D1138" s="20" t="str">
        <v>未匹配</v>
      </c>
      <c r="E1138" s="20">
        <v>0</v>
      </c>
    </row>
    <row r="1139" spans="1:5">
      <c r="A1139" s="20" t="str">
        <v>00:00:00</v>
      </c>
      <c r="B1139" s="19">
        <v>0</v>
      </c>
      <c r="C1139" s="21">
        <v>0</v>
      </c>
      <c r="D1139" s="20" t="str">
        <v>未匹配</v>
      </c>
      <c r="E1139" s="20">
        <v>0</v>
      </c>
    </row>
    <row r="1140" spans="1:5">
      <c r="A1140" s="20" t="str">
        <v>00:00:00</v>
      </c>
      <c r="B1140" s="19">
        <v>0</v>
      </c>
      <c r="C1140" s="21">
        <v>0</v>
      </c>
      <c r="D1140" s="20" t="str">
        <v>未匹配</v>
      </c>
      <c r="E1140" s="20">
        <v>0</v>
      </c>
    </row>
    <row r="1141" spans="1:5">
      <c r="A1141" s="20" t="str">
        <v>00:00:00</v>
      </c>
      <c r="B1141" s="19">
        <v>0</v>
      </c>
      <c r="C1141" s="21">
        <v>0</v>
      </c>
      <c r="D1141" s="20" t="str">
        <v>未匹配</v>
      </c>
      <c r="E1141" s="20">
        <v>0</v>
      </c>
    </row>
    <row r="1142" spans="1:5">
      <c r="A1142" s="20" t="str">
        <v>00:00:00</v>
      </c>
      <c r="B1142" s="19">
        <v>0</v>
      </c>
      <c r="C1142" s="21">
        <v>0</v>
      </c>
      <c r="D1142" s="20" t="str">
        <v>未匹配</v>
      </c>
      <c r="E1142" s="20">
        <v>0</v>
      </c>
    </row>
    <row r="1143" spans="1:5">
      <c r="A1143" s="20" t="str">
        <v>00:00:00</v>
      </c>
      <c r="B1143" s="19">
        <v>0</v>
      </c>
      <c r="C1143" s="21">
        <v>0</v>
      </c>
      <c r="D1143" s="20" t="str">
        <v>未匹配</v>
      </c>
      <c r="E1143" s="20">
        <v>0</v>
      </c>
    </row>
    <row r="1144" spans="1:5">
      <c r="A1144" s="20" t="str">
        <v>00:00:00</v>
      </c>
      <c r="B1144" s="19">
        <v>0</v>
      </c>
      <c r="C1144" s="21">
        <v>0</v>
      </c>
      <c r="D1144" s="20" t="str">
        <v>未匹配</v>
      </c>
      <c r="E1144" s="20">
        <v>0</v>
      </c>
    </row>
    <row r="1145" spans="1:5">
      <c r="A1145" s="20" t="str">
        <v>00:00:00</v>
      </c>
      <c r="B1145" s="19">
        <v>0</v>
      </c>
      <c r="C1145" s="21">
        <v>0</v>
      </c>
      <c r="D1145" s="20" t="str">
        <v>未匹配</v>
      </c>
      <c r="E1145" s="20">
        <v>0</v>
      </c>
    </row>
    <row r="1146" spans="1:5">
      <c r="A1146" s="20" t="str">
        <v>00:00:00</v>
      </c>
      <c r="B1146" s="19">
        <v>0</v>
      </c>
      <c r="C1146" s="21">
        <v>0</v>
      </c>
      <c r="D1146" s="20" t="str">
        <v>未匹配</v>
      </c>
      <c r="E1146" s="20">
        <v>0</v>
      </c>
    </row>
    <row r="1147" spans="1:5">
      <c r="A1147" s="20" t="str">
        <v>00:00:00</v>
      </c>
      <c r="B1147" s="19">
        <v>0</v>
      </c>
      <c r="C1147" s="21">
        <v>0</v>
      </c>
      <c r="D1147" s="20" t="str">
        <v>未匹配</v>
      </c>
      <c r="E1147" s="20">
        <v>0</v>
      </c>
    </row>
    <row r="1148" spans="1:5">
      <c r="A1148" s="20" t="str">
        <v>00:00:00</v>
      </c>
      <c r="B1148" s="19">
        <v>0</v>
      </c>
      <c r="C1148" s="21">
        <v>0</v>
      </c>
      <c r="D1148" s="20" t="str">
        <v>未匹配</v>
      </c>
      <c r="E1148" s="20">
        <v>0</v>
      </c>
    </row>
    <row r="1149" spans="1:5">
      <c r="A1149" s="20" t="str">
        <v>00:00:00</v>
      </c>
      <c r="B1149" s="19">
        <v>0</v>
      </c>
      <c r="C1149" s="21">
        <v>0</v>
      </c>
      <c r="D1149" s="20" t="str">
        <v>未匹配</v>
      </c>
      <c r="E1149" s="20">
        <v>0</v>
      </c>
    </row>
    <row r="1150" spans="1:5">
      <c r="A1150" s="20" t="str">
        <v>00:00:00</v>
      </c>
      <c r="B1150" s="19">
        <v>0</v>
      </c>
      <c r="C1150" s="21">
        <v>0</v>
      </c>
      <c r="D1150" s="20" t="str">
        <v>未匹配</v>
      </c>
      <c r="E1150" s="20">
        <v>0</v>
      </c>
    </row>
    <row r="1151" spans="1:5">
      <c r="A1151" s="20" t="str">
        <v>00:00:00</v>
      </c>
      <c r="B1151" s="19">
        <v>0</v>
      </c>
      <c r="C1151" s="21">
        <v>0</v>
      </c>
      <c r="D1151" s="20" t="str">
        <v>未匹配</v>
      </c>
      <c r="E1151" s="20">
        <v>0</v>
      </c>
    </row>
    <row r="1152" spans="1:5">
      <c r="A1152" s="20" t="str">
        <v>00:00:00</v>
      </c>
      <c r="B1152" s="19">
        <v>0</v>
      </c>
      <c r="C1152" s="21">
        <v>0</v>
      </c>
      <c r="D1152" s="20" t="str">
        <v>未匹配</v>
      </c>
      <c r="E1152" s="20">
        <v>0</v>
      </c>
    </row>
    <row r="1153" spans="1:5">
      <c r="A1153" s="20" t="str">
        <v>00:00:00</v>
      </c>
      <c r="B1153" s="19">
        <v>0</v>
      </c>
      <c r="C1153" s="21">
        <v>0</v>
      </c>
      <c r="D1153" s="20" t="str">
        <v>未匹配</v>
      </c>
      <c r="E1153" s="20">
        <v>0</v>
      </c>
    </row>
    <row r="1154" spans="1:5">
      <c r="A1154" s="20" t="str">
        <v>00:00:00</v>
      </c>
      <c r="B1154" s="19">
        <v>0</v>
      </c>
      <c r="C1154" s="21">
        <v>0</v>
      </c>
      <c r="D1154" s="20" t="str">
        <v>未匹配</v>
      </c>
      <c r="E1154" s="20">
        <v>0</v>
      </c>
    </row>
    <row r="1155" spans="1:5">
      <c r="A1155" s="20" t="str">
        <v>00:00:00</v>
      </c>
      <c r="B1155" s="19">
        <v>0</v>
      </c>
      <c r="C1155" s="21">
        <v>0</v>
      </c>
      <c r="D1155" s="20" t="str">
        <v>未匹配</v>
      </c>
      <c r="E1155" s="20">
        <v>0</v>
      </c>
    </row>
    <row r="1156" spans="1:5">
      <c r="A1156" s="20" t="str">
        <v>00:00:00</v>
      </c>
      <c r="B1156" s="19">
        <v>0</v>
      </c>
      <c r="C1156" s="21">
        <v>0</v>
      </c>
      <c r="D1156" s="20" t="str">
        <v>未匹配</v>
      </c>
      <c r="E1156" s="20">
        <v>0</v>
      </c>
    </row>
    <row r="1157" spans="1:5">
      <c r="A1157" s="20" t="str">
        <v>00:00:00</v>
      </c>
      <c r="B1157" s="19">
        <v>0</v>
      </c>
      <c r="C1157" s="21">
        <v>0</v>
      </c>
      <c r="D1157" s="20" t="str">
        <v>未匹配</v>
      </c>
      <c r="E1157" s="20">
        <v>0</v>
      </c>
    </row>
    <row r="1158" spans="1:5">
      <c r="A1158" s="20" t="str">
        <v>00:00:00</v>
      </c>
      <c r="B1158" s="19">
        <v>0</v>
      </c>
      <c r="C1158" s="21">
        <v>0</v>
      </c>
      <c r="D1158" s="20" t="str">
        <v>未匹配</v>
      </c>
      <c r="E1158" s="20">
        <v>0</v>
      </c>
    </row>
    <row r="1159" spans="1:5">
      <c r="A1159" s="20" t="str">
        <v>00:00:00</v>
      </c>
      <c r="B1159" s="19">
        <v>0</v>
      </c>
      <c r="C1159" s="21">
        <v>0</v>
      </c>
      <c r="D1159" s="20" t="str">
        <v>未匹配</v>
      </c>
      <c r="E1159" s="20">
        <v>0</v>
      </c>
    </row>
    <row r="1160" spans="1:5">
      <c r="A1160" s="20" t="str">
        <v>00:00:00</v>
      </c>
      <c r="B1160" s="19">
        <v>0</v>
      </c>
      <c r="C1160" s="21">
        <v>0</v>
      </c>
      <c r="D1160" s="20" t="str">
        <v>未匹配</v>
      </c>
      <c r="E1160" s="20">
        <v>0</v>
      </c>
    </row>
    <row r="1161" spans="1:5">
      <c r="A1161" s="20" t="str">
        <v>00:00:00</v>
      </c>
      <c r="B1161" s="19">
        <v>0</v>
      </c>
      <c r="C1161" s="21">
        <v>0</v>
      </c>
      <c r="D1161" s="20" t="str">
        <v>未匹配</v>
      </c>
      <c r="E1161" s="20">
        <v>0</v>
      </c>
    </row>
    <row r="1162" spans="1:5">
      <c r="A1162" s="20" t="str">
        <v>00:00:00</v>
      </c>
      <c r="B1162" s="19">
        <v>0</v>
      </c>
      <c r="C1162" s="21">
        <v>0</v>
      </c>
      <c r="D1162" s="20" t="str">
        <v>未匹配</v>
      </c>
      <c r="E1162" s="20">
        <v>0</v>
      </c>
    </row>
    <row r="1163" spans="1:5">
      <c r="A1163" s="20" t="str">
        <v>00:00:00</v>
      </c>
      <c r="B1163" s="19">
        <v>0</v>
      </c>
      <c r="C1163" s="21">
        <v>0</v>
      </c>
      <c r="D1163" s="20" t="str">
        <v>未匹配</v>
      </c>
      <c r="E1163" s="20">
        <v>0</v>
      </c>
    </row>
    <row r="1164" spans="1:5">
      <c r="A1164" s="20" t="str">
        <v>00:00:00</v>
      </c>
      <c r="B1164" s="19">
        <v>0</v>
      </c>
      <c r="C1164" s="21">
        <v>0</v>
      </c>
      <c r="D1164" s="20" t="str">
        <v>未匹配</v>
      </c>
      <c r="E1164" s="20">
        <v>0</v>
      </c>
    </row>
    <row r="1165" spans="1:5">
      <c r="A1165" s="20" t="str">
        <v>00:00:00</v>
      </c>
      <c r="B1165" s="19">
        <v>0</v>
      </c>
      <c r="C1165" s="21">
        <v>0</v>
      </c>
      <c r="D1165" s="20" t="str">
        <v>未匹配</v>
      </c>
      <c r="E1165" s="20">
        <v>0</v>
      </c>
    </row>
    <row r="1166" spans="1:5">
      <c r="A1166" s="20" t="str">
        <v>00:00:00</v>
      </c>
      <c r="B1166" s="19">
        <v>0</v>
      </c>
      <c r="C1166" s="21">
        <v>0</v>
      </c>
      <c r="D1166" s="20" t="str">
        <v>未匹配</v>
      </c>
      <c r="E1166" s="20">
        <v>0</v>
      </c>
    </row>
    <row r="1167" spans="1:5">
      <c r="A1167" s="20" t="str">
        <v>00:00:00</v>
      </c>
      <c r="B1167" s="19">
        <v>0</v>
      </c>
      <c r="C1167" s="21">
        <v>0</v>
      </c>
      <c r="D1167" s="20" t="str">
        <v>未匹配</v>
      </c>
      <c r="E1167" s="20">
        <v>0</v>
      </c>
    </row>
    <row r="1168" spans="1:5">
      <c r="A1168" s="20" t="str">
        <v>00:00:00</v>
      </c>
      <c r="B1168" s="19">
        <v>0</v>
      </c>
      <c r="C1168" s="21">
        <v>0</v>
      </c>
      <c r="D1168" s="20" t="str">
        <v>未匹配</v>
      </c>
      <c r="E1168" s="20">
        <v>0</v>
      </c>
    </row>
    <row r="1169" spans="1:5">
      <c r="A1169" s="20" t="str">
        <v>00:00:00</v>
      </c>
      <c r="B1169" s="19">
        <v>0</v>
      </c>
      <c r="C1169" s="21">
        <v>0</v>
      </c>
      <c r="D1169" s="20" t="str">
        <v>未匹配</v>
      </c>
      <c r="E1169" s="20">
        <v>0</v>
      </c>
    </row>
    <row r="1170" spans="1:5">
      <c r="A1170" s="20" t="str">
        <v>00:00:00</v>
      </c>
      <c r="B1170" s="19">
        <v>0</v>
      </c>
      <c r="C1170" s="21">
        <v>0</v>
      </c>
      <c r="D1170" s="20" t="str">
        <v>未匹配</v>
      </c>
      <c r="E1170" s="20">
        <v>0</v>
      </c>
    </row>
    <row r="1171" spans="1:5">
      <c r="A1171" s="20" t="str">
        <v>00:00:00</v>
      </c>
      <c r="B1171" s="19">
        <v>0</v>
      </c>
      <c r="C1171" s="21">
        <v>0</v>
      </c>
      <c r="D1171" s="20" t="str">
        <v>未匹配</v>
      </c>
      <c r="E1171" s="20">
        <v>0</v>
      </c>
    </row>
    <row r="1172" spans="1:5">
      <c r="A1172" s="20" t="str">
        <v>00:00:00</v>
      </c>
      <c r="B1172" s="19">
        <v>0</v>
      </c>
      <c r="C1172" s="21">
        <v>0</v>
      </c>
      <c r="D1172" s="20" t="str">
        <v>未匹配</v>
      </c>
      <c r="E1172" s="20">
        <v>0</v>
      </c>
    </row>
    <row r="1173" spans="1:5">
      <c r="A1173" s="20" t="str">
        <v>00:00:00</v>
      </c>
      <c r="B1173" s="19">
        <v>0</v>
      </c>
      <c r="C1173" s="21">
        <v>0</v>
      </c>
      <c r="D1173" s="20" t="str">
        <v>未匹配</v>
      </c>
      <c r="E1173" s="20">
        <v>0</v>
      </c>
    </row>
    <row r="1174" spans="1:5">
      <c r="A1174" s="20" t="str">
        <v>00:00:00</v>
      </c>
      <c r="B1174" s="19">
        <v>0</v>
      </c>
      <c r="C1174" s="21">
        <v>0</v>
      </c>
      <c r="D1174" s="20" t="str">
        <v>未匹配</v>
      </c>
      <c r="E1174" s="20">
        <v>0</v>
      </c>
    </row>
    <row r="1175" spans="1:5">
      <c r="A1175" s="20" t="str">
        <v>00:00:00</v>
      </c>
      <c r="B1175" s="19">
        <v>0</v>
      </c>
      <c r="C1175" s="21">
        <v>0</v>
      </c>
      <c r="D1175" s="20" t="str">
        <v>未匹配</v>
      </c>
      <c r="E1175" s="20">
        <v>0</v>
      </c>
    </row>
    <row r="1176" spans="1:5">
      <c r="A1176" s="20" t="str">
        <v>00:00:00</v>
      </c>
      <c r="B1176" s="19">
        <v>0</v>
      </c>
      <c r="C1176" s="21">
        <v>0</v>
      </c>
      <c r="D1176" s="20" t="str">
        <v>未匹配</v>
      </c>
      <c r="E1176" s="20">
        <v>0</v>
      </c>
    </row>
    <row r="1177" spans="1:5">
      <c r="A1177" s="20" t="str">
        <v>00:00:00</v>
      </c>
      <c r="B1177" s="19">
        <v>0</v>
      </c>
      <c r="C1177" s="21">
        <v>0</v>
      </c>
      <c r="D1177" s="20" t="str">
        <v>未匹配</v>
      </c>
      <c r="E1177" s="20">
        <v>0</v>
      </c>
    </row>
    <row r="1178" spans="1:5">
      <c r="A1178" s="20" t="str">
        <v>00:00:00</v>
      </c>
      <c r="B1178" s="19">
        <v>0</v>
      </c>
      <c r="C1178" s="21">
        <v>0</v>
      </c>
      <c r="D1178" s="20" t="str">
        <v>未匹配</v>
      </c>
      <c r="E1178" s="20">
        <v>0</v>
      </c>
    </row>
    <row r="1179" spans="1:5">
      <c r="A1179" s="20" t="str">
        <v>00:00:00</v>
      </c>
      <c r="B1179" s="19">
        <v>0</v>
      </c>
      <c r="C1179" s="21">
        <v>0</v>
      </c>
      <c r="D1179" s="20" t="str">
        <v>未匹配</v>
      </c>
      <c r="E1179" s="20">
        <v>0</v>
      </c>
    </row>
    <row r="1180" spans="1:5">
      <c r="A1180" s="20" t="str">
        <v>00:00:00</v>
      </c>
      <c r="B1180" s="19">
        <v>0</v>
      </c>
      <c r="C1180" s="21">
        <v>0</v>
      </c>
      <c r="D1180" s="20" t="str">
        <v>未匹配</v>
      </c>
      <c r="E1180" s="20">
        <v>0</v>
      </c>
    </row>
    <row r="1181" spans="1:5">
      <c r="A1181" s="20" t="str">
        <v>00:00:00</v>
      </c>
      <c r="B1181" s="19">
        <v>0</v>
      </c>
      <c r="C1181" s="21">
        <v>0</v>
      </c>
      <c r="D1181" s="20" t="str">
        <v>未匹配</v>
      </c>
      <c r="E1181" s="20">
        <v>0</v>
      </c>
    </row>
    <row r="1182" spans="1:5">
      <c r="A1182" s="20" t="str">
        <v>00:00:00</v>
      </c>
      <c r="B1182" s="19">
        <v>0</v>
      </c>
      <c r="C1182" s="21">
        <v>0</v>
      </c>
      <c r="D1182" s="20" t="str">
        <v>未匹配</v>
      </c>
      <c r="E1182" s="20">
        <v>0</v>
      </c>
    </row>
    <row r="1183" spans="1:5">
      <c r="A1183" s="20" t="str">
        <v>00:00:00</v>
      </c>
      <c r="B1183" s="19">
        <v>0</v>
      </c>
      <c r="C1183" s="21">
        <v>0</v>
      </c>
      <c r="D1183" s="20" t="str">
        <v>未匹配</v>
      </c>
      <c r="E1183" s="20">
        <v>0</v>
      </c>
    </row>
    <row r="1184" spans="1:5">
      <c r="A1184" s="20" t="str">
        <v>00:00:00</v>
      </c>
      <c r="B1184" s="19">
        <v>0</v>
      </c>
      <c r="C1184" s="21">
        <v>0</v>
      </c>
      <c r="D1184" s="20" t="str">
        <v>未匹配</v>
      </c>
      <c r="E1184" s="20">
        <v>0</v>
      </c>
    </row>
    <row r="1185" spans="1:5">
      <c r="A1185" s="20" t="str">
        <v>00:00:00</v>
      </c>
      <c r="B1185" s="19">
        <v>0</v>
      </c>
      <c r="C1185" s="21">
        <v>0</v>
      </c>
      <c r="D1185" s="20" t="str">
        <v>未匹配</v>
      </c>
      <c r="E1185" s="20">
        <v>0</v>
      </c>
    </row>
    <row r="1186" spans="1:5">
      <c r="A1186" s="20" t="str">
        <v>00:00:00</v>
      </c>
      <c r="B1186" s="19">
        <v>0</v>
      </c>
      <c r="C1186" s="21">
        <v>0</v>
      </c>
      <c r="D1186" s="20" t="str">
        <v>未匹配</v>
      </c>
      <c r="E1186" s="20">
        <v>0</v>
      </c>
    </row>
    <row r="1187" spans="1:5">
      <c r="A1187" s="20" t="str">
        <v>00:00:00</v>
      </c>
      <c r="B1187" s="19">
        <v>0</v>
      </c>
      <c r="C1187" s="21">
        <v>0</v>
      </c>
      <c r="D1187" s="20" t="str">
        <v>未匹配</v>
      </c>
      <c r="E1187" s="20">
        <v>0</v>
      </c>
    </row>
    <row r="1188" spans="1:5">
      <c r="A1188" s="20" t="str">
        <v>00:00:00</v>
      </c>
      <c r="B1188" s="19">
        <v>0</v>
      </c>
      <c r="C1188" s="21">
        <v>0</v>
      </c>
      <c r="D1188" s="20" t="str">
        <v>未匹配</v>
      </c>
      <c r="E1188" s="20">
        <v>0</v>
      </c>
    </row>
    <row r="1189" spans="1:5">
      <c r="A1189" s="20" t="str">
        <v>00:00:00</v>
      </c>
      <c r="B1189" s="19">
        <v>0</v>
      </c>
      <c r="C1189" s="21">
        <v>0</v>
      </c>
      <c r="D1189" s="20" t="str">
        <v>未匹配</v>
      </c>
      <c r="E1189" s="20">
        <v>0</v>
      </c>
    </row>
    <row r="1190" spans="1:5">
      <c r="A1190" s="20" t="str">
        <v>00:00:00</v>
      </c>
      <c r="B1190" s="19">
        <v>0</v>
      </c>
      <c r="C1190" s="21">
        <v>0</v>
      </c>
      <c r="D1190" s="20" t="str">
        <v>未匹配</v>
      </c>
      <c r="E1190" s="20">
        <v>0</v>
      </c>
    </row>
    <row r="1191" spans="1:5">
      <c r="A1191" s="20" t="str">
        <v>00:00:00</v>
      </c>
      <c r="B1191" s="19">
        <v>0</v>
      </c>
      <c r="C1191" s="21">
        <v>0</v>
      </c>
      <c r="D1191" s="20" t="str">
        <v>未匹配</v>
      </c>
      <c r="E1191" s="20">
        <v>0</v>
      </c>
    </row>
    <row r="1192" spans="1:5">
      <c r="A1192" s="20" t="str">
        <v>00:00:00</v>
      </c>
      <c r="B1192" s="19">
        <v>0</v>
      </c>
      <c r="C1192" s="21">
        <v>0</v>
      </c>
      <c r="D1192" s="20" t="str">
        <v>未匹配</v>
      </c>
      <c r="E1192" s="20">
        <v>0</v>
      </c>
    </row>
    <row r="1193" spans="1:5">
      <c r="A1193" s="20" t="str">
        <v>00:00:00</v>
      </c>
      <c r="B1193" s="19">
        <v>0</v>
      </c>
      <c r="C1193" s="21">
        <v>0</v>
      </c>
      <c r="D1193" s="20" t="str">
        <v>未匹配</v>
      </c>
      <c r="E1193" s="20">
        <v>0</v>
      </c>
    </row>
    <row r="1194" spans="1:5">
      <c r="A1194" s="20" t="str">
        <v>00:00:00</v>
      </c>
      <c r="B1194" s="19">
        <v>0</v>
      </c>
      <c r="C1194" s="21">
        <v>0</v>
      </c>
      <c r="D1194" s="20" t="str">
        <v>未匹配</v>
      </c>
      <c r="E1194" s="20">
        <v>0</v>
      </c>
    </row>
    <row r="1195" spans="1:5">
      <c r="A1195" s="20" t="str">
        <v>00:00:00</v>
      </c>
      <c r="B1195" s="19">
        <v>0</v>
      </c>
      <c r="C1195" s="21">
        <v>0</v>
      </c>
      <c r="D1195" s="20" t="str">
        <v>未匹配</v>
      </c>
      <c r="E1195" s="20">
        <v>0</v>
      </c>
    </row>
    <row r="1196" spans="1:5">
      <c r="A1196" s="20" t="str">
        <v>00:00:00</v>
      </c>
      <c r="B1196" s="19">
        <v>0</v>
      </c>
      <c r="C1196" s="21">
        <v>0</v>
      </c>
      <c r="D1196" s="20" t="str">
        <v>未匹配</v>
      </c>
      <c r="E1196" s="20">
        <v>0</v>
      </c>
    </row>
    <row r="1197" spans="1:5">
      <c r="A1197" s="20" t="str">
        <v>00:00:00</v>
      </c>
      <c r="B1197" s="19">
        <v>0</v>
      </c>
      <c r="C1197" s="21">
        <v>0</v>
      </c>
      <c r="D1197" s="20" t="str">
        <v>未匹配</v>
      </c>
      <c r="E1197" s="20">
        <v>0</v>
      </c>
    </row>
    <row r="1198" spans="1:5">
      <c r="A1198" s="20" t="str">
        <v>00:00:00</v>
      </c>
      <c r="B1198" s="19">
        <v>0</v>
      </c>
      <c r="C1198" s="21">
        <v>0</v>
      </c>
      <c r="D1198" s="20" t="str">
        <v>未匹配</v>
      </c>
      <c r="E1198" s="20">
        <v>0</v>
      </c>
    </row>
    <row r="1199" spans="1:5">
      <c r="A1199" s="20" t="str">
        <v>00:00:00</v>
      </c>
      <c r="B1199" s="19">
        <v>0</v>
      </c>
      <c r="C1199" s="21">
        <v>0</v>
      </c>
      <c r="D1199" s="20" t="str">
        <v>未匹配</v>
      </c>
      <c r="E1199" s="20">
        <v>0</v>
      </c>
    </row>
    <row r="1200" spans="1:5">
      <c r="A1200" s="20" t="str">
        <v>00:00:00</v>
      </c>
      <c r="B1200" s="19">
        <v>0</v>
      </c>
      <c r="C1200" s="21">
        <v>0</v>
      </c>
      <c r="D1200" s="20" t="str">
        <v>未匹配</v>
      </c>
      <c r="E1200" s="20">
        <v>0</v>
      </c>
    </row>
    <row r="1201" spans="1:5">
      <c r="A1201" s="20" t="str">
        <v>00:00:00</v>
      </c>
      <c r="B1201" s="19">
        <v>0</v>
      </c>
      <c r="C1201" s="21">
        <v>0</v>
      </c>
      <c r="D1201" s="20" t="str">
        <v>未匹配</v>
      </c>
      <c r="E1201" s="20">
        <v>0</v>
      </c>
    </row>
    <row r="1202" spans="1:5">
      <c r="A1202" s="20" t="str">
        <v>00:00:00</v>
      </c>
      <c r="B1202" s="19">
        <v>0</v>
      </c>
      <c r="C1202" s="21">
        <v>0</v>
      </c>
      <c r="D1202" s="20" t="str">
        <v>未匹配</v>
      </c>
      <c r="E1202" s="20">
        <v>0</v>
      </c>
    </row>
    <row r="1203" spans="1:5">
      <c r="A1203" s="20" t="str">
        <v>00:00:00</v>
      </c>
      <c r="B1203" s="19">
        <v>0</v>
      </c>
      <c r="C1203" s="21">
        <v>0</v>
      </c>
      <c r="D1203" s="20" t="str">
        <v>未匹配</v>
      </c>
      <c r="E1203" s="20">
        <v>0</v>
      </c>
    </row>
    <row r="1204" spans="1:5">
      <c r="A1204" s="20" t="str">
        <v>00:00:00</v>
      </c>
      <c r="B1204" s="19">
        <v>0</v>
      </c>
      <c r="C1204" s="21">
        <v>0</v>
      </c>
      <c r="D1204" s="20" t="str">
        <v>未匹配</v>
      </c>
      <c r="E1204" s="20">
        <v>0</v>
      </c>
    </row>
    <row r="1205" spans="1:5">
      <c r="A1205" s="20" t="str">
        <v>00:00:00</v>
      </c>
      <c r="B1205" s="19">
        <v>0</v>
      </c>
      <c r="C1205" s="21">
        <v>0</v>
      </c>
      <c r="D1205" s="20" t="str">
        <v>未匹配</v>
      </c>
      <c r="E1205" s="20">
        <v>0</v>
      </c>
    </row>
    <row r="1206" spans="1:5">
      <c r="A1206" s="20" t="str">
        <v>00:00:00</v>
      </c>
      <c r="B1206" s="19">
        <v>0</v>
      </c>
      <c r="C1206" s="21">
        <v>0</v>
      </c>
      <c r="D1206" s="20" t="str">
        <v>未匹配</v>
      </c>
      <c r="E1206" s="20">
        <v>0</v>
      </c>
    </row>
    <row r="1207" spans="1:5">
      <c r="A1207" s="20" t="str">
        <v>00:00:00</v>
      </c>
      <c r="B1207" s="19">
        <v>0</v>
      </c>
      <c r="C1207" s="21">
        <v>0</v>
      </c>
      <c r="D1207" s="20" t="str">
        <v>未匹配</v>
      </c>
      <c r="E1207" s="20">
        <v>0</v>
      </c>
    </row>
    <row r="1208" spans="1:5">
      <c r="A1208" s="20" t="str">
        <v>00:00:00</v>
      </c>
      <c r="B1208" s="19">
        <v>0</v>
      </c>
      <c r="C1208" s="21">
        <v>0</v>
      </c>
      <c r="D1208" s="20" t="str">
        <v>未匹配</v>
      </c>
      <c r="E1208" s="20">
        <v>0</v>
      </c>
    </row>
    <row r="1209" spans="1:5">
      <c r="A1209" s="20" t="str">
        <v>00:00:00</v>
      </c>
      <c r="B1209" s="19">
        <v>0</v>
      </c>
      <c r="C1209" s="21">
        <v>0</v>
      </c>
      <c r="D1209" s="20" t="str">
        <v>未匹配</v>
      </c>
      <c r="E1209" s="20">
        <v>0</v>
      </c>
    </row>
    <row r="1210" spans="1:5">
      <c r="A1210" s="20" t="str">
        <v>00:00:00</v>
      </c>
      <c r="B1210" s="19">
        <v>0</v>
      </c>
      <c r="C1210" s="21">
        <v>0</v>
      </c>
      <c r="D1210" s="20" t="str">
        <v>未匹配</v>
      </c>
      <c r="E1210" s="20">
        <v>0</v>
      </c>
    </row>
    <row r="1211" spans="1:5">
      <c r="A1211" s="20" t="str">
        <v>00:00:00</v>
      </c>
      <c r="B1211" s="19">
        <v>0</v>
      </c>
      <c r="C1211" s="21">
        <v>0</v>
      </c>
      <c r="D1211" s="20" t="str">
        <v>未匹配</v>
      </c>
      <c r="E1211" s="20">
        <v>0</v>
      </c>
    </row>
    <row r="1212" spans="1:5">
      <c r="A1212" s="20" t="str">
        <v>00:00:00</v>
      </c>
      <c r="B1212" s="19">
        <v>0</v>
      </c>
      <c r="C1212" s="21">
        <v>0</v>
      </c>
      <c r="D1212" s="20" t="str">
        <v>未匹配</v>
      </c>
      <c r="E1212" s="20">
        <v>0</v>
      </c>
    </row>
    <row r="1213" spans="1:5">
      <c r="A1213" s="20" t="str">
        <v>00:00:00</v>
      </c>
      <c r="B1213" s="19">
        <v>0</v>
      </c>
      <c r="C1213" s="21">
        <v>0</v>
      </c>
      <c r="D1213" s="20" t="str">
        <v>未匹配</v>
      </c>
      <c r="E1213" s="20">
        <v>0</v>
      </c>
    </row>
    <row r="1214" spans="1:5">
      <c r="A1214" s="20" t="str">
        <v>00:00:00</v>
      </c>
      <c r="B1214" s="19">
        <v>0</v>
      </c>
      <c r="C1214" s="21">
        <v>0</v>
      </c>
      <c r="D1214" s="20" t="str">
        <v>未匹配</v>
      </c>
      <c r="E1214" s="20">
        <v>0</v>
      </c>
    </row>
    <row r="1215" spans="1:5">
      <c r="A1215" s="20" t="str">
        <v>00:00:00</v>
      </c>
      <c r="B1215" s="19">
        <v>0</v>
      </c>
      <c r="C1215" s="21">
        <v>0</v>
      </c>
      <c r="D1215" s="20" t="str">
        <v>未匹配</v>
      </c>
      <c r="E1215" s="20">
        <v>0</v>
      </c>
    </row>
    <row r="1216" spans="1:5">
      <c r="A1216" s="20" t="str">
        <v>00:00:00</v>
      </c>
      <c r="B1216" s="19">
        <v>0</v>
      </c>
      <c r="C1216" s="21">
        <v>0</v>
      </c>
      <c r="D1216" s="20" t="str">
        <v>未匹配</v>
      </c>
      <c r="E1216" s="20">
        <v>0</v>
      </c>
    </row>
    <row r="1217" spans="1:5">
      <c r="A1217" s="20" t="str">
        <v>00:00:00</v>
      </c>
      <c r="B1217" s="19">
        <v>0</v>
      </c>
      <c r="C1217" s="21">
        <v>0</v>
      </c>
      <c r="D1217" s="20" t="str">
        <v>未匹配</v>
      </c>
      <c r="E1217" s="20">
        <v>0</v>
      </c>
    </row>
    <row r="1218" spans="1:5">
      <c r="A1218" s="20" t="str">
        <v>00:00:00</v>
      </c>
      <c r="B1218" s="19">
        <v>0</v>
      </c>
      <c r="C1218" s="21">
        <v>0</v>
      </c>
      <c r="D1218" s="20" t="str">
        <v>未匹配</v>
      </c>
      <c r="E1218" s="20">
        <v>0</v>
      </c>
    </row>
    <row r="1219" spans="1:5">
      <c r="A1219" s="20" t="str">
        <v>00:00:00</v>
      </c>
      <c r="B1219" s="19">
        <v>0</v>
      </c>
      <c r="C1219" s="21">
        <v>0</v>
      </c>
      <c r="D1219" s="20" t="str">
        <v>未匹配</v>
      </c>
      <c r="E1219" s="20">
        <v>0</v>
      </c>
    </row>
    <row r="1220" spans="1:5">
      <c r="A1220" s="20" t="str">
        <v>00:00:00</v>
      </c>
      <c r="B1220" s="19">
        <v>0</v>
      </c>
      <c r="C1220" s="21">
        <v>0</v>
      </c>
      <c r="D1220" s="20" t="str">
        <v>未匹配</v>
      </c>
      <c r="E1220" s="20">
        <v>0</v>
      </c>
    </row>
    <row r="1221" spans="1:5">
      <c r="A1221" s="20" t="str">
        <v>00:00:00</v>
      </c>
      <c r="B1221" s="19">
        <v>0</v>
      </c>
      <c r="C1221" s="21">
        <v>0</v>
      </c>
      <c r="D1221" s="20" t="str">
        <v>未匹配</v>
      </c>
      <c r="E1221" s="20">
        <v>0</v>
      </c>
    </row>
    <row r="1222" spans="1:5">
      <c r="A1222" s="20" t="str">
        <v>00:00:00</v>
      </c>
      <c r="B1222" s="19">
        <v>0</v>
      </c>
      <c r="C1222" s="21">
        <v>0</v>
      </c>
      <c r="D1222" s="20" t="str">
        <v>未匹配</v>
      </c>
      <c r="E1222" s="20">
        <v>0</v>
      </c>
    </row>
    <row r="1223" spans="1:5">
      <c r="A1223" s="20" t="str">
        <v>00:00:00</v>
      </c>
      <c r="B1223" s="19">
        <v>0</v>
      </c>
      <c r="C1223" s="21">
        <v>0</v>
      </c>
      <c r="D1223" s="20" t="str">
        <v>未匹配</v>
      </c>
      <c r="E1223" s="20">
        <v>0</v>
      </c>
    </row>
    <row r="1224" spans="1:5">
      <c r="A1224" s="20" t="str">
        <v>00:00:00</v>
      </c>
      <c r="B1224" s="19">
        <v>0</v>
      </c>
      <c r="C1224" s="21">
        <v>0</v>
      </c>
      <c r="D1224" s="20" t="str">
        <v>未匹配</v>
      </c>
      <c r="E1224" s="20">
        <v>0</v>
      </c>
    </row>
    <row r="1225" spans="1:5">
      <c r="A1225" s="20" t="str">
        <v>00:00:00</v>
      </c>
      <c r="B1225" s="19">
        <v>0</v>
      </c>
      <c r="C1225" s="21">
        <v>0</v>
      </c>
      <c r="D1225" s="20" t="str">
        <v>未匹配</v>
      </c>
      <c r="E1225" s="20">
        <v>0</v>
      </c>
    </row>
    <row r="1226" spans="1:5">
      <c r="A1226" s="20" t="str">
        <v>00:00:00</v>
      </c>
      <c r="B1226" s="19">
        <v>0</v>
      </c>
      <c r="C1226" s="21">
        <v>0</v>
      </c>
      <c r="D1226" s="20" t="str">
        <v>未匹配</v>
      </c>
      <c r="E1226" s="20">
        <v>0</v>
      </c>
    </row>
    <row r="1227" spans="1:5">
      <c r="A1227" s="20" t="str">
        <v>00:00:00</v>
      </c>
      <c r="B1227" s="19">
        <v>0</v>
      </c>
      <c r="C1227" s="21">
        <v>0</v>
      </c>
      <c r="D1227" s="20" t="str">
        <v>未匹配</v>
      </c>
      <c r="E1227" s="20">
        <v>0</v>
      </c>
    </row>
    <row r="1228" spans="1:5">
      <c r="A1228" s="20" t="str">
        <v>00:00:00</v>
      </c>
      <c r="B1228" s="19">
        <v>0</v>
      </c>
      <c r="C1228" s="21">
        <v>0</v>
      </c>
      <c r="D1228" s="20" t="str">
        <v>未匹配</v>
      </c>
      <c r="E1228" s="20">
        <v>0</v>
      </c>
    </row>
    <row r="1229" spans="1:5">
      <c r="A1229" s="20" t="str">
        <v>00:00:00</v>
      </c>
      <c r="B1229" s="19">
        <v>0</v>
      </c>
      <c r="C1229" s="21">
        <v>0</v>
      </c>
      <c r="D1229" s="20" t="str">
        <v>未匹配</v>
      </c>
      <c r="E1229" s="20">
        <v>0</v>
      </c>
    </row>
    <row r="1230" spans="1:5">
      <c r="A1230" s="20" t="str">
        <v>00:00:00</v>
      </c>
      <c r="B1230" s="19">
        <v>0</v>
      </c>
      <c r="C1230" s="21">
        <v>0</v>
      </c>
      <c r="D1230" s="20" t="str">
        <v>未匹配</v>
      </c>
      <c r="E1230" s="20">
        <v>0</v>
      </c>
    </row>
    <row r="1231" spans="1:5">
      <c r="A1231" s="20" t="str">
        <v>00:00:00</v>
      </c>
      <c r="B1231" s="19">
        <v>0</v>
      </c>
      <c r="C1231" s="21">
        <v>0</v>
      </c>
      <c r="D1231" s="20" t="str">
        <v>未匹配</v>
      </c>
      <c r="E1231" s="20">
        <v>0</v>
      </c>
    </row>
    <row r="1232" spans="1:5">
      <c r="A1232" s="20" t="str">
        <v>00:00:00</v>
      </c>
      <c r="B1232" s="19">
        <v>0</v>
      </c>
      <c r="C1232" s="21">
        <v>0</v>
      </c>
      <c r="D1232" s="20" t="str">
        <v>未匹配</v>
      </c>
      <c r="E1232" s="20">
        <v>0</v>
      </c>
    </row>
    <row r="1233" spans="1:5">
      <c r="A1233" s="20" t="str">
        <v>00:00:00</v>
      </c>
      <c r="B1233" s="19">
        <v>0</v>
      </c>
      <c r="C1233" s="21">
        <v>0</v>
      </c>
      <c r="D1233" s="20" t="str">
        <v>未匹配</v>
      </c>
      <c r="E1233" s="20">
        <v>0</v>
      </c>
    </row>
    <row r="1234" spans="1:5">
      <c r="A1234" s="20" t="str">
        <v>00:00:00</v>
      </c>
      <c r="B1234" s="19">
        <v>0</v>
      </c>
      <c r="C1234" s="21">
        <v>0</v>
      </c>
      <c r="D1234" s="20" t="str">
        <v>未匹配</v>
      </c>
      <c r="E1234" s="20">
        <v>0</v>
      </c>
    </row>
    <row r="1235" spans="1:5">
      <c r="A1235" s="20" t="str">
        <v>00:00:00</v>
      </c>
      <c r="B1235" s="19">
        <v>0</v>
      </c>
      <c r="C1235" s="21">
        <v>0</v>
      </c>
      <c r="D1235" s="20" t="str">
        <v>未匹配</v>
      </c>
      <c r="E1235" s="20">
        <v>0</v>
      </c>
    </row>
    <row r="1236" spans="1:5">
      <c r="A1236" s="20" t="str">
        <v>00:00:00</v>
      </c>
      <c r="B1236" s="19">
        <v>0</v>
      </c>
      <c r="C1236" s="21">
        <v>0</v>
      </c>
      <c r="D1236" s="20" t="str">
        <v>未匹配</v>
      </c>
      <c r="E1236" s="20">
        <v>0</v>
      </c>
    </row>
    <row r="1237" spans="1:5">
      <c r="A1237" s="20" t="str">
        <v>00:00:00</v>
      </c>
      <c r="B1237" s="19">
        <v>0</v>
      </c>
      <c r="C1237" s="21">
        <v>0</v>
      </c>
      <c r="D1237" s="20" t="str">
        <v>未匹配</v>
      </c>
      <c r="E1237" s="20">
        <v>0</v>
      </c>
    </row>
    <row r="1238" spans="1:5">
      <c r="A1238" s="20" t="str">
        <v>00:00:00</v>
      </c>
      <c r="B1238" s="19">
        <v>0</v>
      </c>
      <c r="C1238" s="21">
        <v>0</v>
      </c>
      <c r="D1238" s="20" t="str">
        <v>未匹配</v>
      </c>
      <c r="E1238" s="20">
        <v>0</v>
      </c>
    </row>
    <row r="1239" spans="1:5">
      <c r="A1239" s="20" t="str">
        <v>00:00:00</v>
      </c>
      <c r="B1239" s="19">
        <v>0</v>
      </c>
      <c r="C1239" s="21">
        <v>0</v>
      </c>
      <c r="D1239" s="20" t="str">
        <v>未匹配</v>
      </c>
      <c r="E1239" s="20">
        <v>0</v>
      </c>
    </row>
    <row r="1240" spans="1:5">
      <c r="A1240" s="20" t="str">
        <v>00:00:00</v>
      </c>
      <c r="B1240" s="19">
        <v>0</v>
      </c>
      <c r="C1240" s="21">
        <v>0</v>
      </c>
      <c r="D1240" s="20" t="str">
        <v>未匹配</v>
      </c>
      <c r="E1240" s="20">
        <v>0</v>
      </c>
    </row>
    <row r="1241" spans="1:5">
      <c r="A1241" s="20" t="str">
        <v>00:00:00</v>
      </c>
      <c r="B1241" s="19">
        <v>0</v>
      </c>
      <c r="C1241" s="21">
        <v>0</v>
      </c>
      <c r="D1241" s="20" t="str">
        <v>未匹配</v>
      </c>
      <c r="E1241" s="20">
        <v>0</v>
      </c>
    </row>
    <row r="1242" spans="1:5">
      <c r="A1242" s="20" t="str">
        <v>00:00:00</v>
      </c>
      <c r="B1242" s="19">
        <v>0</v>
      </c>
      <c r="C1242" s="21">
        <v>0</v>
      </c>
      <c r="D1242" s="20" t="str">
        <v>未匹配</v>
      </c>
      <c r="E1242" s="20">
        <v>0</v>
      </c>
    </row>
    <row r="1243" spans="1:5">
      <c r="A1243" s="20" t="str">
        <v>00:00:00</v>
      </c>
      <c r="B1243" s="19">
        <v>0</v>
      </c>
      <c r="C1243" s="21">
        <v>0</v>
      </c>
      <c r="D1243" s="20" t="str">
        <v>未匹配</v>
      </c>
      <c r="E1243" s="20">
        <v>0</v>
      </c>
    </row>
    <row r="1244" spans="1:5">
      <c r="A1244" s="20" t="str">
        <v>00:00:00</v>
      </c>
      <c r="B1244" s="19">
        <v>0</v>
      </c>
      <c r="C1244" s="21">
        <v>0</v>
      </c>
      <c r="D1244" s="20" t="str">
        <v>未匹配</v>
      </c>
      <c r="E1244" s="20">
        <v>0</v>
      </c>
    </row>
    <row r="1245" spans="1:5">
      <c r="A1245" s="20" t="str">
        <v>00:00:00</v>
      </c>
      <c r="B1245" s="19">
        <v>0</v>
      </c>
      <c r="C1245" s="21">
        <v>0</v>
      </c>
      <c r="D1245" s="20" t="str">
        <v>未匹配</v>
      </c>
      <c r="E1245" s="20">
        <v>0</v>
      </c>
    </row>
    <row r="1246" spans="1:5">
      <c r="A1246" s="20" t="str">
        <v>00:00:00</v>
      </c>
      <c r="B1246" s="19">
        <v>0</v>
      </c>
      <c r="C1246" s="21">
        <v>0</v>
      </c>
      <c r="D1246" s="20" t="str">
        <v>未匹配</v>
      </c>
      <c r="E1246" s="20">
        <v>0</v>
      </c>
    </row>
    <row r="1247" spans="1:5">
      <c r="A1247" s="20" t="str">
        <v>00:00:00</v>
      </c>
      <c r="B1247" s="19">
        <v>0</v>
      </c>
      <c r="C1247" s="21">
        <v>0</v>
      </c>
      <c r="D1247" s="20" t="str">
        <v>未匹配</v>
      </c>
      <c r="E1247" s="20">
        <v>0</v>
      </c>
    </row>
    <row r="1248" spans="1:5">
      <c r="A1248" s="20" t="str">
        <v>00:00:00</v>
      </c>
      <c r="B1248" s="19">
        <v>0</v>
      </c>
      <c r="C1248" s="21">
        <v>0</v>
      </c>
      <c r="D1248" s="20" t="str">
        <v>未匹配</v>
      </c>
      <c r="E1248" s="20">
        <v>0</v>
      </c>
    </row>
    <row r="1249" spans="1:5">
      <c r="A1249" s="20" t="str">
        <v>00:00:00</v>
      </c>
      <c r="B1249" s="19">
        <v>0</v>
      </c>
      <c r="C1249" s="21">
        <v>0</v>
      </c>
      <c r="D1249" s="20" t="str">
        <v>未匹配</v>
      </c>
      <c r="E1249" s="20">
        <v>0</v>
      </c>
    </row>
    <row r="1250" spans="1:5">
      <c r="A1250" s="20" t="str">
        <v>00:00:00</v>
      </c>
      <c r="B1250" s="19">
        <v>0</v>
      </c>
      <c r="C1250" s="21">
        <v>0</v>
      </c>
      <c r="D1250" s="20" t="str">
        <v>未匹配</v>
      </c>
      <c r="E1250" s="20">
        <v>0</v>
      </c>
    </row>
    <row r="1251" spans="1:5">
      <c r="A1251" s="20" t="str">
        <v>00:00:00</v>
      </c>
      <c r="B1251" s="19">
        <v>0</v>
      </c>
      <c r="C1251" s="21">
        <v>0</v>
      </c>
      <c r="D1251" s="20" t="str">
        <v>未匹配</v>
      </c>
      <c r="E1251" s="20">
        <v>0</v>
      </c>
    </row>
    <row r="1252" spans="1:5">
      <c r="A1252" s="20" t="str">
        <v>00:00:00</v>
      </c>
      <c r="B1252" s="19">
        <v>0</v>
      </c>
      <c r="C1252" s="21">
        <v>0</v>
      </c>
      <c r="D1252" s="20" t="str">
        <v>未匹配</v>
      </c>
      <c r="E1252" s="20">
        <v>0</v>
      </c>
    </row>
    <row r="1253" spans="1:5">
      <c r="A1253" s="20" t="str">
        <v>00:00:00</v>
      </c>
      <c r="B1253" s="19">
        <v>0</v>
      </c>
      <c r="C1253" s="21">
        <v>0</v>
      </c>
      <c r="D1253" s="20" t="str">
        <v>未匹配</v>
      </c>
      <c r="E1253" s="20">
        <v>0</v>
      </c>
    </row>
    <row r="1254" spans="1:5">
      <c r="A1254" s="20" t="str">
        <v>00:00:00</v>
      </c>
      <c r="B1254" s="19">
        <v>0</v>
      </c>
      <c r="C1254" s="21">
        <v>0</v>
      </c>
      <c r="D1254" s="20" t="str">
        <v>未匹配</v>
      </c>
      <c r="E1254" s="20">
        <v>0</v>
      </c>
    </row>
    <row r="1255" spans="1:5">
      <c r="A1255" s="20" t="str">
        <v>00:00:00</v>
      </c>
      <c r="B1255" s="19">
        <v>0</v>
      </c>
      <c r="C1255" s="21">
        <v>0</v>
      </c>
      <c r="D1255" s="20" t="str">
        <v>未匹配</v>
      </c>
      <c r="E1255" s="20">
        <v>0</v>
      </c>
    </row>
    <row r="1256" spans="1:5">
      <c r="A1256" s="20" t="str">
        <v>00:00:00</v>
      </c>
      <c r="B1256" s="19">
        <v>0</v>
      </c>
      <c r="C1256" s="21">
        <v>0</v>
      </c>
      <c r="D1256" s="20" t="str">
        <v>未匹配</v>
      </c>
      <c r="E1256" s="20">
        <v>0</v>
      </c>
    </row>
    <row r="1257" spans="1:5">
      <c r="A1257" s="20" t="str">
        <v>00:00:00</v>
      </c>
      <c r="B1257" s="19">
        <v>0</v>
      </c>
      <c r="C1257" s="21">
        <v>0</v>
      </c>
      <c r="D1257" s="20" t="str">
        <v>未匹配</v>
      </c>
      <c r="E1257" s="20">
        <v>0</v>
      </c>
    </row>
    <row r="1258" spans="1:5">
      <c r="A1258" s="20" t="str">
        <v>00:00:00</v>
      </c>
      <c r="B1258" s="19">
        <v>0</v>
      </c>
      <c r="C1258" s="21">
        <v>0</v>
      </c>
      <c r="D1258" s="20" t="str">
        <v>未匹配</v>
      </c>
      <c r="E1258" s="20">
        <v>0</v>
      </c>
    </row>
    <row r="1259" spans="1:5">
      <c r="A1259" s="20" t="str">
        <v>00:00:00</v>
      </c>
      <c r="B1259" s="19">
        <v>0</v>
      </c>
      <c r="C1259" s="21">
        <v>0</v>
      </c>
      <c r="D1259" s="20" t="str">
        <v>未匹配</v>
      </c>
      <c r="E1259" s="20">
        <v>0</v>
      </c>
    </row>
    <row r="1260" spans="1:5">
      <c r="A1260" s="20" t="str">
        <v>00:00:00</v>
      </c>
      <c r="B1260" s="19">
        <v>0</v>
      </c>
      <c r="C1260" s="21">
        <v>0</v>
      </c>
      <c r="D1260" s="20" t="str">
        <v>未匹配</v>
      </c>
      <c r="E1260" s="20">
        <v>0</v>
      </c>
    </row>
    <row r="1261" spans="1:5">
      <c r="A1261" s="20" t="str">
        <v>00:00:00</v>
      </c>
      <c r="B1261" s="19">
        <v>0</v>
      </c>
      <c r="C1261" s="21">
        <v>0</v>
      </c>
      <c r="D1261" s="20" t="str">
        <v>未匹配</v>
      </c>
      <c r="E1261" s="20">
        <v>0</v>
      </c>
    </row>
    <row r="1262" spans="1:5">
      <c r="A1262" s="20" t="str">
        <v>00:00:00</v>
      </c>
      <c r="B1262" s="19">
        <v>0</v>
      </c>
      <c r="C1262" s="21">
        <v>0</v>
      </c>
      <c r="D1262" s="20" t="str">
        <v>未匹配</v>
      </c>
      <c r="E1262" s="20">
        <v>0</v>
      </c>
    </row>
    <row r="1263" spans="1:5">
      <c r="A1263" s="20" t="str">
        <v>00:00:00</v>
      </c>
      <c r="B1263" s="19">
        <v>0</v>
      </c>
      <c r="C1263" s="21">
        <v>0</v>
      </c>
      <c r="D1263" s="20" t="str">
        <v>未匹配</v>
      </c>
      <c r="E1263" s="20">
        <v>0</v>
      </c>
    </row>
    <row r="1264" spans="1:5">
      <c r="A1264" s="20" t="str">
        <v>00:00:00</v>
      </c>
      <c r="B1264" s="19">
        <v>0</v>
      </c>
      <c r="C1264" s="21">
        <v>0</v>
      </c>
      <c r="D1264" s="20" t="str">
        <v>未匹配</v>
      </c>
      <c r="E1264" s="20">
        <v>0</v>
      </c>
    </row>
    <row r="1265" spans="1:5">
      <c r="A1265" s="20" t="str">
        <v>00:00:00</v>
      </c>
      <c r="B1265" s="19">
        <v>0</v>
      </c>
      <c r="C1265" s="21">
        <v>0</v>
      </c>
      <c r="D1265" s="20" t="str">
        <v>未匹配</v>
      </c>
      <c r="E1265" s="20">
        <v>0</v>
      </c>
    </row>
    <row r="1266" spans="1:5">
      <c r="A1266" s="20" t="str">
        <v>00:00:00</v>
      </c>
      <c r="B1266" s="19">
        <v>0</v>
      </c>
      <c r="C1266" s="21">
        <v>0</v>
      </c>
      <c r="D1266" s="20" t="str">
        <v>未匹配</v>
      </c>
      <c r="E1266" s="20">
        <v>0</v>
      </c>
    </row>
    <row r="1267" spans="1:5">
      <c r="A1267" s="20" t="str">
        <v>00:00:00</v>
      </c>
      <c r="B1267" s="19">
        <v>0</v>
      </c>
      <c r="C1267" s="21">
        <v>0</v>
      </c>
      <c r="D1267" s="20" t="str">
        <v>未匹配</v>
      </c>
      <c r="E1267" s="20">
        <v>0</v>
      </c>
    </row>
    <row r="1268" spans="1:5">
      <c r="A1268" s="20" t="str">
        <v>00:00:00</v>
      </c>
      <c r="B1268" s="19">
        <v>0</v>
      </c>
      <c r="C1268" s="21">
        <v>0</v>
      </c>
      <c r="D1268" s="20" t="str">
        <v>未匹配</v>
      </c>
      <c r="E1268" s="20">
        <v>0</v>
      </c>
    </row>
    <row r="1269" spans="1:5">
      <c r="A1269" s="20" t="str">
        <v>00:00:00</v>
      </c>
      <c r="B1269" s="19">
        <v>0</v>
      </c>
      <c r="C1269" s="21">
        <v>0</v>
      </c>
      <c r="D1269" s="20" t="str">
        <v>未匹配</v>
      </c>
      <c r="E1269" s="20">
        <v>0</v>
      </c>
    </row>
    <row r="1270" spans="1:5">
      <c r="A1270" s="20" t="str">
        <v>00:00:00</v>
      </c>
      <c r="B1270" s="19">
        <v>0</v>
      </c>
      <c r="C1270" s="21">
        <v>0</v>
      </c>
      <c r="D1270" s="20" t="str">
        <v>未匹配</v>
      </c>
      <c r="E1270" s="20">
        <v>0</v>
      </c>
    </row>
    <row r="1271" spans="1:5">
      <c r="A1271" s="20" t="str">
        <v>00:00:00</v>
      </c>
      <c r="B1271" s="19">
        <v>0</v>
      </c>
      <c r="C1271" s="21">
        <v>0</v>
      </c>
      <c r="D1271" s="20" t="str">
        <v>未匹配</v>
      </c>
      <c r="E1271" s="20">
        <v>0</v>
      </c>
    </row>
    <row r="1272" spans="1:5">
      <c r="A1272" s="20" t="str">
        <v>00:00:00</v>
      </c>
      <c r="B1272" s="19">
        <v>0</v>
      </c>
      <c r="C1272" s="21">
        <v>0</v>
      </c>
      <c r="D1272" s="20" t="str">
        <v>未匹配</v>
      </c>
      <c r="E1272" s="20">
        <v>0</v>
      </c>
    </row>
    <row r="1273" spans="1:5">
      <c r="A1273" s="20" t="str">
        <v>00:00:00</v>
      </c>
      <c r="B1273" s="19">
        <v>0</v>
      </c>
      <c r="C1273" s="21">
        <v>0</v>
      </c>
      <c r="D1273" s="20" t="str">
        <v>未匹配</v>
      </c>
      <c r="E1273" s="20">
        <v>0</v>
      </c>
    </row>
    <row r="1274" spans="1:5">
      <c r="A1274" s="20" t="str">
        <v>00:00:00</v>
      </c>
      <c r="B1274" s="19">
        <v>0</v>
      </c>
      <c r="C1274" s="21">
        <v>0</v>
      </c>
      <c r="D1274" s="20" t="str">
        <v>未匹配</v>
      </c>
      <c r="E1274" s="20">
        <v>0</v>
      </c>
    </row>
    <row r="1275" spans="1:5">
      <c r="A1275" s="20" t="str">
        <v>00:00:00</v>
      </c>
      <c r="B1275" s="19">
        <v>0</v>
      </c>
      <c r="C1275" s="21">
        <v>0</v>
      </c>
      <c r="D1275" s="20" t="str">
        <v>未匹配</v>
      </c>
      <c r="E1275" s="20">
        <v>0</v>
      </c>
    </row>
    <row r="1276" spans="1:5">
      <c r="A1276" s="20" t="str">
        <v>00:00:00</v>
      </c>
      <c r="B1276" s="19">
        <v>0</v>
      </c>
      <c r="C1276" s="21">
        <v>0</v>
      </c>
      <c r="D1276" s="20" t="str">
        <v>未匹配</v>
      </c>
      <c r="E1276" s="20">
        <v>0</v>
      </c>
    </row>
    <row r="1277" spans="1:5">
      <c r="A1277" s="20" t="str">
        <v>00:00:00</v>
      </c>
      <c r="B1277" s="19">
        <v>0</v>
      </c>
      <c r="C1277" s="21">
        <v>0</v>
      </c>
      <c r="D1277" s="20" t="str">
        <v>未匹配</v>
      </c>
      <c r="E1277" s="20">
        <v>0</v>
      </c>
    </row>
    <row r="1278" spans="1:5">
      <c r="A1278" s="20" t="str">
        <v>00:00:00</v>
      </c>
      <c r="B1278" s="19">
        <v>0</v>
      </c>
      <c r="C1278" s="21">
        <v>0</v>
      </c>
      <c r="D1278" s="20" t="str">
        <v>未匹配</v>
      </c>
      <c r="E1278" s="20">
        <v>0</v>
      </c>
    </row>
    <row r="1279" spans="1:5">
      <c r="A1279" s="20" t="str">
        <v>00:00:00</v>
      </c>
      <c r="B1279" s="19">
        <v>0</v>
      </c>
      <c r="C1279" s="21">
        <v>0</v>
      </c>
      <c r="D1279" s="20" t="str">
        <v>未匹配</v>
      </c>
      <c r="E1279" s="20">
        <v>0</v>
      </c>
    </row>
    <row r="1280" spans="1:5">
      <c r="A1280" s="20" t="str">
        <v>00:00:00</v>
      </c>
      <c r="B1280" s="19">
        <v>0</v>
      </c>
      <c r="C1280" s="21">
        <v>0</v>
      </c>
      <c r="D1280" s="20" t="str">
        <v>未匹配</v>
      </c>
      <c r="E1280" s="20">
        <v>0</v>
      </c>
    </row>
    <row r="1281" spans="1:5">
      <c r="A1281" s="20" t="str">
        <v>00:00:00</v>
      </c>
      <c r="B1281" s="19">
        <v>0</v>
      </c>
      <c r="C1281" s="21">
        <v>0</v>
      </c>
      <c r="D1281" s="20" t="str">
        <v>未匹配</v>
      </c>
      <c r="E1281" s="20">
        <v>0</v>
      </c>
    </row>
    <row r="1282" spans="1:5">
      <c r="A1282" s="20" t="str">
        <v>00:00:00</v>
      </c>
      <c r="B1282" s="19">
        <v>0</v>
      </c>
      <c r="C1282" s="21">
        <v>0</v>
      </c>
      <c r="D1282" s="20" t="str">
        <v>未匹配</v>
      </c>
      <c r="E1282" s="20">
        <v>0</v>
      </c>
    </row>
    <row r="1283" spans="1:5">
      <c r="A1283" s="20" t="str">
        <v>00:00:00</v>
      </c>
      <c r="B1283" s="19">
        <v>0</v>
      </c>
      <c r="C1283" s="21">
        <v>0</v>
      </c>
      <c r="D1283" s="20" t="str">
        <v>未匹配</v>
      </c>
      <c r="E1283" s="20">
        <v>0</v>
      </c>
    </row>
    <row r="1284" spans="1:5">
      <c r="A1284" s="20" t="str">
        <v>00:00:00</v>
      </c>
      <c r="B1284" s="19">
        <v>0</v>
      </c>
      <c r="C1284" s="21">
        <v>0</v>
      </c>
      <c r="D1284" s="20" t="str">
        <v>未匹配</v>
      </c>
      <c r="E1284" s="20">
        <v>0</v>
      </c>
    </row>
    <row r="1285" spans="1:5">
      <c r="A1285" s="20" t="str">
        <v>00:00:00</v>
      </c>
      <c r="B1285" s="19">
        <v>0</v>
      </c>
      <c r="C1285" s="21">
        <v>0</v>
      </c>
      <c r="D1285" s="20" t="str">
        <v>未匹配</v>
      </c>
      <c r="E1285" s="20">
        <v>0</v>
      </c>
    </row>
    <row r="1286" spans="1:5">
      <c r="A1286" s="20" t="str">
        <v>00:00:00</v>
      </c>
      <c r="B1286" s="19">
        <v>0</v>
      </c>
      <c r="C1286" s="21">
        <v>0</v>
      </c>
      <c r="D1286" s="20" t="str">
        <v>未匹配</v>
      </c>
      <c r="E1286" s="20">
        <v>0</v>
      </c>
    </row>
    <row r="1287" spans="1:5">
      <c r="A1287" s="20" t="str">
        <v>00:00:00</v>
      </c>
      <c r="B1287" s="19">
        <v>0</v>
      </c>
      <c r="C1287" s="21">
        <v>0</v>
      </c>
      <c r="D1287" s="20" t="str">
        <v>未匹配</v>
      </c>
      <c r="E1287" s="20">
        <v>0</v>
      </c>
    </row>
    <row r="1288" spans="1:5">
      <c r="A1288" s="20" t="str">
        <v>00:00:00</v>
      </c>
      <c r="B1288" s="19">
        <v>0</v>
      </c>
      <c r="C1288" s="21">
        <v>0</v>
      </c>
      <c r="D1288" s="20" t="str">
        <v>未匹配</v>
      </c>
      <c r="E1288" s="20">
        <v>0</v>
      </c>
    </row>
    <row r="1289" spans="1:5">
      <c r="A1289" s="20" t="str">
        <v>00:00:00</v>
      </c>
      <c r="B1289" s="19">
        <v>0</v>
      </c>
      <c r="C1289" s="21">
        <v>0</v>
      </c>
      <c r="D1289" s="20" t="str">
        <v>未匹配</v>
      </c>
      <c r="E1289" s="20">
        <v>0</v>
      </c>
    </row>
    <row r="1290" spans="1:5">
      <c r="A1290" s="20" t="str">
        <v>00:00:00</v>
      </c>
      <c r="B1290" s="19">
        <v>0</v>
      </c>
      <c r="C1290" s="21">
        <v>0</v>
      </c>
      <c r="D1290" s="20" t="str">
        <v>未匹配</v>
      </c>
      <c r="E1290" s="20">
        <v>0</v>
      </c>
    </row>
    <row r="1291" spans="1:5">
      <c r="A1291" s="20" t="str">
        <v>00:00:00</v>
      </c>
      <c r="B1291" s="19">
        <v>0</v>
      </c>
      <c r="C1291" s="21">
        <v>0</v>
      </c>
      <c r="D1291" s="20" t="str">
        <v>未匹配</v>
      </c>
      <c r="E1291" s="20">
        <v>0</v>
      </c>
    </row>
    <row r="1292" spans="1:5">
      <c r="A1292" s="20" t="str">
        <v>00:00:00</v>
      </c>
      <c r="B1292" s="19">
        <v>0</v>
      </c>
      <c r="C1292" s="21">
        <v>0</v>
      </c>
      <c r="D1292" s="20" t="str">
        <v>未匹配</v>
      </c>
      <c r="E1292" s="20">
        <v>0</v>
      </c>
    </row>
    <row r="1293" spans="1:5">
      <c r="A1293" s="20" t="str">
        <v>00:00:00</v>
      </c>
      <c r="B1293" s="19">
        <v>0</v>
      </c>
      <c r="C1293" s="21">
        <v>0</v>
      </c>
      <c r="D1293" s="20" t="str">
        <v>未匹配</v>
      </c>
      <c r="E1293" s="20">
        <v>0</v>
      </c>
    </row>
    <row r="1294" spans="1:5">
      <c r="A1294" s="20" t="str">
        <v>00:00:00</v>
      </c>
      <c r="B1294" s="19">
        <v>0</v>
      </c>
      <c r="C1294" s="21">
        <v>0</v>
      </c>
      <c r="D1294" s="20" t="str">
        <v>未匹配</v>
      </c>
      <c r="E1294" s="20">
        <v>0</v>
      </c>
    </row>
    <row r="1295" spans="1:5">
      <c r="A1295" s="20" t="str">
        <v>00:00:00</v>
      </c>
      <c r="B1295" s="19">
        <v>0</v>
      </c>
      <c r="C1295" s="21">
        <v>0</v>
      </c>
      <c r="D1295" s="20" t="str">
        <v>未匹配</v>
      </c>
      <c r="E1295" s="20">
        <v>0</v>
      </c>
    </row>
    <row r="1296" spans="1:5">
      <c r="A1296" s="20" t="str">
        <v>00:00:00</v>
      </c>
      <c r="B1296" s="19">
        <v>0</v>
      </c>
      <c r="C1296" s="21">
        <v>0</v>
      </c>
      <c r="D1296" s="20" t="str">
        <v>未匹配</v>
      </c>
      <c r="E1296" s="20">
        <v>0</v>
      </c>
    </row>
    <row r="1297" spans="1:5">
      <c r="A1297" s="20" t="str">
        <v>00:00:00</v>
      </c>
      <c r="B1297" s="19">
        <v>0</v>
      </c>
      <c r="C1297" s="21">
        <v>0</v>
      </c>
      <c r="D1297" s="20" t="str">
        <v>未匹配</v>
      </c>
      <c r="E1297" s="20">
        <v>0</v>
      </c>
    </row>
    <row r="1298" spans="1:5">
      <c r="A1298" s="20" t="str">
        <v>00:00:00</v>
      </c>
      <c r="B1298" s="19">
        <v>0</v>
      </c>
      <c r="C1298" s="21">
        <v>0</v>
      </c>
      <c r="D1298" s="20" t="str">
        <v>未匹配</v>
      </c>
      <c r="E1298" s="20">
        <v>0</v>
      </c>
    </row>
    <row r="1299" spans="1:5">
      <c r="A1299" s="20" t="str">
        <v>00:00:00</v>
      </c>
      <c r="B1299" s="19">
        <v>0</v>
      </c>
      <c r="C1299" s="21">
        <v>0</v>
      </c>
      <c r="D1299" s="20" t="str">
        <v>未匹配</v>
      </c>
      <c r="E1299" s="20">
        <v>0</v>
      </c>
    </row>
    <row r="1300" spans="1:5">
      <c r="A1300" s="20" t="str">
        <v>00:00:00</v>
      </c>
      <c r="B1300" s="19">
        <v>0</v>
      </c>
      <c r="C1300" s="21">
        <v>0</v>
      </c>
      <c r="D1300" s="20" t="str">
        <v>未匹配</v>
      </c>
      <c r="E1300" s="20">
        <v>0</v>
      </c>
    </row>
    <row r="1301" spans="1:5">
      <c r="A1301" s="20" t="str">
        <v>00:00:00</v>
      </c>
      <c r="B1301" s="19">
        <v>0</v>
      </c>
      <c r="C1301" s="21">
        <v>0</v>
      </c>
      <c r="D1301" s="20" t="str">
        <v>未匹配</v>
      </c>
      <c r="E1301" s="20">
        <v>0</v>
      </c>
    </row>
    <row r="1302" spans="1:5">
      <c r="A1302" s="20" t="str">
        <v>00:00:00</v>
      </c>
      <c r="B1302" s="19">
        <v>0</v>
      </c>
      <c r="C1302" s="21">
        <v>0</v>
      </c>
      <c r="D1302" s="20" t="str">
        <v>未匹配</v>
      </c>
      <c r="E1302" s="20">
        <v>0</v>
      </c>
    </row>
    <row r="1303" spans="1:5">
      <c r="A1303" s="20" t="str">
        <v>00:00:00</v>
      </c>
      <c r="B1303" s="19">
        <v>0</v>
      </c>
      <c r="C1303" s="21">
        <v>0</v>
      </c>
      <c r="D1303" s="20" t="str">
        <v>未匹配</v>
      </c>
      <c r="E1303" s="20">
        <v>0</v>
      </c>
    </row>
    <row r="1304" spans="1:5">
      <c r="A1304" s="20" t="str">
        <v>00:00:00</v>
      </c>
      <c r="B1304" s="19">
        <v>0</v>
      </c>
      <c r="C1304" s="21">
        <v>0</v>
      </c>
      <c r="D1304" s="20" t="str">
        <v>未匹配</v>
      </c>
      <c r="E1304" s="20">
        <v>0</v>
      </c>
    </row>
    <row r="1305" spans="1:5">
      <c r="A1305" s="20" t="str">
        <v>00:00:00</v>
      </c>
      <c r="B1305" s="19">
        <v>0</v>
      </c>
      <c r="C1305" s="21">
        <v>0</v>
      </c>
      <c r="D1305" s="20" t="str">
        <v>未匹配</v>
      </c>
      <c r="E1305" s="20">
        <v>0</v>
      </c>
    </row>
    <row r="1306" spans="1:5">
      <c r="A1306" s="20" t="str">
        <v>00:00:00</v>
      </c>
      <c r="B1306" s="19">
        <v>0</v>
      </c>
      <c r="C1306" s="21">
        <v>0</v>
      </c>
      <c r="D1306" s="20" t="str">
        <v>未匹配</v>
      </c>
      <c r="E1306" s="20">
        <v>0</v>
      </c>
    </row>
    <row r="1307" spans="1:5">
      <c r="A1307" s="20" t="str">
        <v>00:00:00</v>
      </c>
      <c r="B1307" s="19">
        <v>0</v>
      </c>
      <c r="C1307" s="21">
        <v>0</v>
      </c>
      <c r="D1307" s="20" t="str">
        <v>未匹配</v>
      </c>
      <c r="E1307" s="20">
        <v>0</v>
      </c>
    </row>
    <row r="1308" spans="1:5">
      <c r="A1308" s="20" t="str">
        <v>00:00:00</v>
      </c>
      <c r="B1308" s="19">
        <v>0</v>
      </c>
      <c r="C1308" s="21">
        <v>0</v>
      </c>
      <c r="D1308" s="20" t="str">
        <v>未匹配</v>
      </c>
      <c r="E1308" s="20">
        <v>0</v>
      </c>
    </row>
    <row r="1309" spans="1:5">
      <c r="A1309" s="20" t="str">
        <v>00:00:00</v>
      </c>
      <c r="B1309" s="19">
        <v>0</v>
      </c>
      <c r="C1309" s="21">
        <v>0</v>
      </c>
      <c r="D1309" s="20" t="str">
        <v>未匹配</v>
      </c>
      <c r="E1309" s="20">
        <v>0</v>
      </c>
    </row>
    <row r="1310" spans="1:5">
      <c r="A1310" s="20" t="str">
        <v>00:00:00</v>
      </c>
      <c r="B1310" s="19">
        <v>0</v>
      </c>
      <c r="C1310" s="21">
        <v>0</v>
      </c>
      <c r="D1310" s="20" t="str">
        <v>未匹配</v>
      </c>
      <c r="E1310" s="20">
        <v>0</v>
      </c>
    </row>
    <row r="1311" spans="1:5">
      <c r="A1311" s="20" t="str">
        <v>00:00:00</v>
      </c>
      <c r="B1311" s="19">
        <v>0</v>
      </c>
      <c r="C1311" s="21">
        <v>0</v>
      </c>
      <c r="D1311" s="20" t="str">
        <v>未匹配</v>
      </c>
      <c r="E1311" s="20">
        <v>0</v>
      </c>
    </row>
    <row r="1312" spans="1:5">
      <c r="A1312" s="20" t="str">
        <v>00:00:00</v>
      </c>
      <c r="B1312" s="19">
        <v>0</v>
      </c>
      <c r="C1312" s="21">
        <v>0</v>
      </c>
      <c r="D1312" s="20" t="str">
        <v>未匹配</v>
      </c>
      <c r="E1312" s="20">
        <v>0</v>
      </c>
    </row>
    <row r="1313" spans="1:5">
      <c r="A1313" s="20" t="str">
        <v>00:00:00</v>
      </c>
      <c r="B1313" s="19">
        <v>0</v>
      </c>
      <c r="C1313" s="21">
        <v>0</v>
      </c>
      <c r="D1313" s="20" t="str">
        <v>未匹配</v>
      </c>
      <c r="E1313" s="20">
        <v>0</v>
      </c>
    </row>
    <row r="1314" spans="1:5">
      <c r="A1314" s="20" t="str">
        <v>00:00:00</v>
      </c>
      <c r="B1314" s="19">
        <v>0</v>
      </c>
      <c r="C1314" s="21">
        <v>0</v>
      </c>
      <c r="D1314" s="20" t="str">
        <v>未匹配</v>
      </c>
      <c r="E1314" s="20">
        <v>0</v>
      </c>
    </row>
    <row r="1315" spans="1:5">
      <c r="A1315" s="20" t="str">
        <v>00:00:00</v>
      </c>
      <c r="B1315" s="19">
        <v>0</v>
      </c>
      <c r="C1315" s="21">
        <v>0</v>
      </c>
      <c r="D1315" s="20" t="str">
        <v>未匹配</v>
      </c>
      <c r="E1315" s="20">
        <v>0</v>
      </c>
    </row>
    <row r="1316" spans="1:5">
      <c r="A1316" s="20" t="str">
        <v>00:00:00</v>
      </c>
      <c r="B1316" s="19">
        <v>0</v>
      </c>
      <c r="C1316" s="21">
        <v>0</v>
      </c>
      <c r="D1316" s="20" t="str">
        <v>未匹配</v>
      </c>
      <c r="E1316" s="20">
        <v>0</v>
      </c>
    </row>
    <row r="1317" spans="1:5">
      <c r="A1317" s="20" t="str">
        <v>00:00:00</v>
      </c>
      <c r="B1317" s="19">
        <v>0</v>
      </c>
      <c r="C1317" s="21">
        <v>0</v>
      </c>
      <c r="D1317" s="20" t="str">
        <v>未匹配</v>
      </c>
      <c r="E1317" s="20">
        <v>0</v>
      </c>
    </row>
    <row r="1318" spans="1:5">
      <c r="A1318" s="20" t="str">
        <v>00:00:00</v>
      </c>
      <c r="B1318" s="19">
        <v>0</v>
      </c>
      <c r="C1318" s="21">
        <v>0</v>
      </c>
      <c r="D1318" s="20" t="str">
        <v>未匹配</v>
      </c>
      <c r="E1318" s="20">
        <v>0</v>
      </c>
    </row>
    <row r="1319" spans="1:5">
      <c r="A1319" s="20" t="str">
        <v>00:00:00</v>
      </c>
      <c r="B1319" s="19">
        <v>0</v>
      </c>
      <c r="C1319" s="21">
        <v>0</v>
      </c>
      <c r="D1319" s="20" t="str">
        <v>未匹配</v>
      </c>
      <c r="E1319" s="20">
        <v>0</v>
      </c>
    </row>
    <row r="1320" spans="1:5">
      <c r="A1320" s="20" t="str">
        <v>00:00:00</v>
      </c>
      <c r="B1320" s="19">
        <v>0</v>
      </c>
      <c r="C1320" s="21">
        <v>0</v>
      </c>
      <c r="D1320" s="20" t="str">
        <v>未匹配</v>
      </c>
      <c r="E1320" s="20">
        <v>0</v>
      </c>
    </row>
    <row r="1321" spans="1:5">
      <c r="A1321" s="20" t="str">
        <v>00:00:00</v>
      </c>
      <c r="B1321" s="19">
        <v>0</v>
      </c>
      <c r="C1321" s="21">
        <v>0</v>
      </c>
      <c r="D1321" s="20" t="str">
        <v>未匹配</v>
      </c>
      <c r="E1321" s="20">
        <v>0</v>
      </c>
    </row>
    <row r="1322" spans="1:5">
      <c r="A1322" s="20" t="str">
        <v>00:00:00</v>
      </c>
      <c r="B1322" s="19">
        <v>0</v>
      </c>
      <c r="C1322" s="21">
        <v>0</v>
      </c>
      <c r="D1322" s="20" t="str">
        <v>未匹配</v>
      </c>
      <c r="E1322" s="20">
        <v>0</v>
      </c>
    </row>
    <row r="1323" spans="1:5">
      <c r="A1323" s="20" t="str">
        <v>00:00:00</v>
      </c>
      <c r="B1323" s="19">
        <v>0</v>
      </c>
      <c r="C1323" s="21">
        <v>0</v>
      </c>
      <c r="D1323" s="20" t="str">
        <v>未匹配</v>
      </c>
      <c r="E1323" s="20">
        <v>0</v>
      </c>
    </row>
    <row r="1324" spans="1:5">
      <c r="A1324" s="20" t="str">
        <v>00:00:00</v>
      </c>
      <c r="B1324" s="19">
        <v>0</v>
      </c>
      <c r="C1324" s="21">
        <v>0</v>
      </c>
      <c r="D1324" s="20" t="str">
        <v>未匹配</v>
      </c>
      <c r="E1324" s="20">
        <v>0</v>
      </c>
    </row>
    <row r="1325" spans="1:5">
      <c r="A1325" s="20" t="str">
        <v>00:00:00</v>
      </c>
      <c r="B1325" s="19">
        <v>0</v>
      </c>
      <c r="C1325" s="21">
        <v>0</v>
      </c>
      <c r="D1325" s="20" t="str">
        <v>未匹配</v>
      </c>
      <c r="E1325" s="20">
        <v>0</v>
      </c>
    </row>
    <row r="1326" spans="1:5">
      <c r="A1326" s="20" t="str">
        <v>00:00:00</v>
      </c>
      <c r="B1326" s="19">
        <v>0</v>
      </c>
      <c r="C1326" s="21">
        <v>0</v>
      </c>
      <c r="D1326" s="20" t="str">
        <v>未匹配</v>
      </c>
      <c r="E1326" s="20">
        <v>0</v>
      </c>
    </row>
    <row r="1327" spans="1:5">
      <c r="A1327" s="20" t="str">
        <v>00:00:00</v>
      </c>
      <c r="B1327" s="19">
        <v>0</v>
      </c>
      <c r="C1327" s="21">
        <v>0</v>
      </c>
      <c r="D1327" s="20" t="str">
        <v>未匹配</v>
      </c>
      <c r="E1327" s="20">
        <v>0</v>
      </c>
    </row>
    <row r="1328" spans="1:5">
      <c r="A1328" s="20" t="str">
        <v>00:00:00</v>
      </c>
      <c r="B1328" s="19">
        <v>0</v>
      </c>
      <c r="C1328" s="21">
        <v>0</v>
      </c>
      <c r="D1328" s="20" t="str">
        <v>未匹配</v>
      </c>
      <c r="E1328" s="20">
        <v>0</v>
      </c>
    </row>
    <row r="1329" spans="1:5">
      <c r="A1329" s="20" t="str">
        <v>00:00:00</v>
      </c>
      <c r="B1329" s="19">
        <v>0</v>
      </c>
      <c r="C1329" s="21">
        <v>0</v>
      </c>
      <c r="D1329" s="20" t="str">
        <v>未匹配</v>
      </c>
      <c r="E1329" s="20">
        <v>0</v>
      </c>
    </row>
    <row r="1330" spans="1:5">
      <c r="A1330" s="20" t="str">
        <v>00:00:00</v>
      </c>
      <c r="B1330" s="19">
        <v>0</v>
      </c>
      <c r="C1330" s="21">
        <v>0</v>
      </c>
      <c r="D1330" s="20" t="str">
        <v>未匹配</v>
      </c>
      <c r="E1330" s="20">
        <v>0</v>
      </c>
    </row>
    <row r="1331" spans="1:5">
      <c r="A1331" s="20" t="str">
        <v>00:00:00</v>
      </c>
      <c r="B1331" s="19">
        <v>0</v>
      </c>
      <c r="C1331" s="21">
        <v>0</v>
      </c>
      <c r="D1331" s="20" t="str">
        <v>未匹配</v>
      </c>
      <c r="E1331" s="20">
        <v>0</v>
      </c>
    </row>
    <row r="1332" spans="1:5">
      <c r="A1332" s="20" t="str">
        <v>00:00:00</v>
      </c>
      <c r="B1332" s="19">
        <v>0</v>
      </c>
      <c r="C1332" s="21">
        <v>0</v>
      </c>
      <c r="D1332" s="20" t="str">
        <v>未匹配</v>
      </c>
      <c r="E1332" s="20">
        <v>0</v>
      </c>
    </row>
    <row r="1333" spans="1:5">
      <c r="A1333" s="20" t="str">
        <v>00:00:00</v>
      </c>
      <c r="B1333" s="19">
        <v>0</v>
      </c>
      <c r="C1333" s="21">
        <v>0</v>
      </c>
      <c r="D1333" s="20" t="str">
        <v>未匹配</v>
      </c>
      <c r="E1333" s="20">
        <v>0</v>
      </c>
    </row>
    <row r="1334" spans="1:5">
      <c r="A1334" s="20" t="str">
        <v>00:00:00</v>
      </c>
      <c r="B1334" s="19">
        <v>0</v>
      </c>
      <c r="C1334" s="21">
        <v>0</v>
      </c>
      <c r="D1334" s="20" t="str">
        <v>未匹配</v>
      </c>
      <c r="E1334" s="20">
        <v>0</v>
      </c>
    </row>
    <row r="1335" spans="1:5">
      <c r="A1335" s="20" t="str">
        <v>00:00:00</v>
      </c>
      <c r="B1335" s="19">
        <v>0</v>
      </c>
      <c r="C1335" s="21">
        <v>0</v>
      </c>
      <c r="D1335" s="20" t="str">
        <v>未匹配</v>
      </c>
      <c r="E1335" s="20">
        <v>0</v>
      </c>
    </row>
    <row r="1336" spans="1:5">
      <c r="A1336" s="20" t="str">
        <v>00:00:00</v>
      </c>
      <c r="B1336" s="19">
        <v>0</v>
      </c>
      <c r="C1336" s="21">
        <v>0</v>
      </c>
      <c r="D1336" s="20" t="str">
        <v>未匹配</v>
      </c>
      <c r="E1336" s="20">
        <v>0</v>
      </c>
    </row>
    <row r="1337" spans="1:5">
      <c r="A1337" s="20" t="str">
        <v>00:00:00</v>
      </c>
      <c r="B1337" s="19">
        <v>0</v>
      </c>
      <c r="C1337" s="21">
        <v>0</v>
      </c>
      <c r="D1337" s="20" t="str">
        <v>未匹配</v>
      </c>
      <c r="E1337" s="20">
        <v>0</v>
      </c>
    </row>
    <row r="1338" spans="1:5">
      <c r="A1338" s="20" t="str">
        <v>00:00:00</v>
      </c>
      <c r="B1338" s="19">
        <v>0</v>
      </c>
      <c r="C1338" s="21">
        <v>0</v>
      </c>
      <c r="D1338" s="20" t="str">
        <v>未匹配</v>
      </c>
      <c r="E1338" s="20">
        <v>0</v>
      </c>
    </row>
    <row r="1339" spans="1:5">
      <c r="A1339" s="20" t="str">
        <v>00:00:00</v>
      </c>
      <c r="B1339" s="19">
        <v>0</v>
      </c>
      <c r="C1339" s="21">
        <v>0</v>
      </c>
      <c r="D1339" s="20" t="str">
        <v>未匹配</v>
      </c>
      <c r="E1339" s="20">
        <v>0</v>
      </c>
    </row>
    <row r="1340" spans="1:5">
      <c r="A1340" s="20" t="str">
        <v>00:00:00</v>
      </c>
      <c r="B1340" s="19">
        <v>0</v>
      </c>
      <c r="C1340" s="21">
        <v>0</v>
      </c>
      <c r="D1340" s="20" t="str">
        <v>未匹配</v>
      </c>
      <c r="E1340" s="20">
        <v>0</v>
      </c>
    </row>
    <row r="1341" spans="1:5">
      <c r="A1341" s="20" t="str">
        <v>00:00:00</v>
      </c>
      <c r="B1341" s="19">
        <v>0</v>
      </c>
      <c r="C1341" s="21">
        <v>0</v>
      </c>
      <c r="D1341" s="20" t="str">
        <v>未匹配</v>
      </c>
      <c r="E1341" s="20">
        <v>0</v>
      </c>
    </row>
    <row r="1342" spans="1:5">
      <c r="A1342" s="20" t="str">
        <v>00:00:00</v>
      </c>
      <c r="B1342" s="19">
        <v>0</v>
      </c>
      <c r="C1342" s="21">
        <v>0</v>
      </c>
      <c r="D1342" s="20" t="str">
        <v>未匹配</v>
      </c>
      <c r="E1342" s="20">
        <v>0</v>
      </c>
    </row>
    <row r="1343" spans="1:5">
      <c r="A1343" s="20" t="str">
        <v>00:00:00</v>
      </c>
      <c r="B1343" s="19">
        <v>0</v>
      </c>
      <c r="C1343" s="21">
        <v>0</v>
      </c>
      <c r="D1343" s="20" t="str">
        <v>未匹配</v>
      </c>
      <c r="E1343" s="20">
        <v>0</v>
      </c>
    </row>
    <row r="1344" spans="1:5">
      <c r="A1344" s="20" t="str">
        <v>00:00:00</v>
      </c>
      <c r="B1344" s="19">
        <v>0</v>
      </c>
      <c r="C1344" s="21">
        <v>0</v>
      </c>
      <c r="D1344" s="20" t="str">
        <v>未匹配</v>
      </c>
      <c r="E1344" s="20">
        <v>0</v>
      </c>
    </row>
    <row r="1345" spans="1:5">
      <c r="A1345" s="20" t="str">
        <v>00:00:00</v>
      </c>
      <c r="B1345" s="19">
        <v>0</v>
      </c>
      <c r="C1345" s="21">
        <v>0</v>
      </c>
      <c r="D1345" s="20" t="str">
        <v>未匹配</v>
      </c>
      <c r="E1345" s="20">
        <v>0</v>
      </c>
    </row>
    <row r="1346" spans="1:5">
      <c r="A1346" s="20" t="str">
        <v>00:00:00</v>
      </c>
      <c r="B1346" s="19">
        <v>0</v>
      </c>
      <c r="C1346" s="21">
        <v>0</v>
      </c>
      <c r="D1346" s="20" t="str">
        <v>未匹配</v>
      </c>
      <c r="E1346" s="20">
        <v>0</v>
      </c>
    </row>
    <row r="1347" spans="1:5">
      <c r="A1347" s="20" t="str">
        <v>00:00:00</v>
      </c>
      <c r="B1347" s="19">
        <v>0</v>
      </c>
      <c r="C1347" s="21">
        <v>0</v>
      </c>
      <c r="D1347" s="20" t="str">
        <v>未匹配</v>
      </c>
      <c r="E1347" s="20">
        <v>0</v>
      </c>
    </row>
    <row r="1348" spans="1:5">
      <c r="A1348" s="20" t="str">
        <v>00:00:00</v>
      </c>
      <c r="B1348" s="19">
        <v>0</v>
      </c>
      <c r="C1348" s="21">
        <v>0</v>
      </c>
      <c r="D1348" s="20" t="str">
        <v>未匹配</v>
      </c>
      <c r="E1348" s="20">
        <v>0</v>
      </c>
    </row>
    <row r="1349" spans="1:5">
      <c r="A1349" s="20" t="str">
        <v>00:00:00</v>
      </c>
      <c r="B1349" s="19">
        <v>0</v>
      </c>
      <c r="C1349" s="21">
        <v>0</v>
      </c>
      <c r="D1349" s="20" t="str">
        <v>未匹配</v>
      </c>
      <c r="E1349" s="20">
        <v>0</v>
      </c>
    </row>
    <row r="1350" spans="1:5">
      <c r="A1350" s="20" t="str">
        <v>00:00:00</v>
      </c>
      <c r="B1350" s="19">
        <v>0</v>
      </c>
      <c r="C1350" s="21">
        <v>0</v>
      </c>
      <c r="D1350" s="20" t="str">
        <v>未匹配</v>
      </c>
      <c r="E1350" s="20">
        <v>0</v>
      </c>
    </row>
    <row r="1351" spans="1:5">
      <c r="A1351" s="20" t="str">
        <v>00:00:00</v>
      </c>
      <c r="B1351" s="19">
        <v>0</v>
      </c>
      <c r="C1351" s="21">
        <v>0</v>
      </c>
      <c r="D1351" s="20" t="str">
        <v>未匹配</v>
      </c>
      <c r="E1351" s="20">
        <v>0</v>
      </c>
    </row>
    <row r="1352" spans="1:5">
      <c r="A1352" s="20" t="str">
        <v>00:00:00</v>
      </c>
      <c r="B1352" s="19">
        <v>0</v>
      </c>
      <c r="C1352" s="21">
        <v>0</v>
      </c>
      <c r="D1352" s="20" t="str">
        <v>未匹配</v>
      </c>
      <c r="E1352" s="20">
        <v>0</v>
      </c>
    </row>
    <row r="1353" spans="1:5">
      <c r="A1353" s="20" t="str">
        <v>00:00:00</v>
      </c>
      <c r="B1353" s="19">
        <v>0</v>
      </c>
      <c r="C1353" s="21">
        <v>0</v>
      </c>
      <c r="D1353" s="20" t="str">
        <v>未匹配</v>
      </c>
      <c r="E1353" s="20">
        <v>0</v>
      </c>
    </row>
    <row r="1354" spans="1:5">
      <c r="A1354" s="20" t="str">
        <v>00:00:00</v>
      </c>
      <c r="B1354" s="19">
        <v>0</v>
      </c>
      <c r="C1354" s="21">
        <v>0</v>
      </c>
      <c r="D1354" s="20" t="str">
        <v>未匹配</v>
      </c>
      <c r="E1354" s="20">
        <v>0</v>
      </c>
    </row>
    <row r="1355" spans="1:5">
      <c r="A1355" s="20" t="str">
        <v>00:00:00</v>
      </c>
      <c r="B1355" s="19">
        <v>0</v>
      </c>
      <c r="C1355" s="21">
        <v>0</v>
      </c>
      <c r="D1355" s="20" t="str">
        <v>未匹配</v>
      </c>
      <c r="E1355" s="20">
        <v>0</v>
      </c>
    </row>
    <row r="1356" spans="1:5">
      <c r="A1356" s="20" t="str">
        <v>00:00:00</v>
      </c>
      <c r="B1356" s="19">
        <v>0</v>
      </c>
      <c r="C1356" s="21">
        <v>0</v>
      </c>
      <c r="D1356" s="20" t="str">
        <v>未匹配</v>
      </c>
      <c r="E1356" s="20">
        <v>0</v>
      </c>
    </row>
    <row r="1357" spans="1:5">
      <c r="A1357" s="20" t="str">
        <v>00:00:00</v>
      </c>
      <c r="B1357" s="19">
        <v>0</v>
      </c>
      <c r="C1357" s="21">
        <v>0</v>
      </c>
      <c r="D1357" s="20" t="str">
        <v>未匹配</v>
      </c>
      <c r="E1357" s="20">
        <v>0</v>
      </c>
    </row>
    <row r="1358" spans="1:5">
      <c r="A1358" s="20" t="str">
        <v>00:00:00</v>
      </c>
      <c r="B1358" s="19">
        <v>0</v>
      </c>
      <c r="C1358" s="21">
        <v>0</v>
      </c>
      <c r="D1358" s="20" t="str">
        <v>未匹配</v>
      </c>
      <c r="E1358" s="20">
        <v>0</v>
      </c>
    </row>
    <row r="1359" spans="1:5">
      <c r="A1359" s="20" t="str">
        <v>00:00:00</v>
      </c>
      <c r="B1359" s="19">
        <v>0</v>
      </c>
      <c r="C1359" s="21">
        <v>0</v>
      </c>
      <c r="D1359" s="20" t="str">
        <v>未匹配</v>
      </c>
      <c r="E1359" s="20">
        <v>0</v>
      </c>
    </row>
    <row r="1360" spans="1:5">
      <c r="A1360" s="20" t="str">
        <v>00:00:00</v>
      </c>
      <c r="B1360" s="19">
        <v>0</v>
      </c>
      <c r="C1360" s="21">
        <v>0</v>
      </c>
      <c r="D1360" s="20" t="str">
        <v>未匹配</v>
      </c>
      <c r="E1360" s="20">
        <v>0</v>
      </c>
    </row>
    <row r="1361" spans="1:5">
      <c r="A1361" s="20" t="str">
        <v>00:00:00</v>
      </c>
      <c r="B1361" s="19">
        <v>0</v>
      </c>
      <c r="C1361" s="21">
        <v>0</v>
      </c>
      <c r="D1361" s="20" t="str">
        <v>未匹配</v>
      </c>
      <c r="E1361" s="20">
        <v>0</v>
      </c>
    </row>
    <row r="1362" spans="1:5">
      <c r="A1362" s="20" t="str">
        <v>00:00:00</v>
      </c>
      <c r="B1362" s="19">
        <v>0</v>
      </c>
      <c r="C1362" s="21">
        <v>0</v>
      </c>
      <c r="D1362" s="20" t="str">
        <v>未匹配</v>
      </c>
      <c r="E1362" s="20">
        <v>0</v>
      </c>
    </row>
    <row r="1363" spans="1:5">
      <c r="A1363" s="20" t="str">
        <v>00:00:00</v>
      </c>
      <c r="B1363" s="19">
        <v>0</v>
      </c>
      <c r="C1363" s="21">
        <v>0</v>
      </c>
      <c r="D1363" s="20" t="str">
        <v>未匹配</v>
      </c>
      <c r="E1363" s="20">
        <v>0</v>
      </c>
    </row>
    <row r="1364" spans="1:5">
      <c r="A1364" s="20" t="str">
        <v>00:00:00</v>
      </c>
      <c r="B1364" s="19">
        <v>0</v>
      </c>
      <c r="C1364" s="21">
        <v>0</v>
      </c>
      <c r="D1364" s="20" t="str">
        <v>未匹配</v>
      </c>
      <c r="E1364" s="20">
        <v>0</v>
      </c>
    </row>
    <row r="1365" spans="1:5">
      <c r="A1365" s="20" t="str">
        <v>00:00:00</v>
      </c>
      <c r="B1365" s="19">
        <v>0</v>
      </c>
      <c r="C1365" s="21">
        <v>0</v>
      </c>
      <c r="D1365" s="20" t="str">
        <v>未匹配</v>
      </c>
      <c r="E1365" s="20">
        <v>0</v>
      </c>
    </row>
    <row r="1366" spans="1:5">
      <c r="A1366" s="20" t="str">
        <v>00:00:00</v>
      </c>
      <c r="B1366" s="19">
        <v>0</v>
      </c>
      <c r="C1366" s="21">
        <v>0</v>
      </c>
      <c r="D1366" s="20" t="str">
        <v>未匹配</v>
      </c>
      <c r="E1366" s="20">
        <v>0</v>
      </c>
    </row>
    <row r="1367" spans="1:5">
      <c r="A1367" s="20" t="str">
        <v>00:00:00</v>
      </c>
      <c r="B1367" s="19">
        <v>0</v>
      </c>
      <c r="C1367" s="21">
        <v>0</v>
      </c>
      <c r="D1367" s="20" t="str">
        <v>未匹配</v>
      </c>
      <c r="E1367" s="20">
        <v>0</v>
      </c>
    </row>
    <row r="1368" spans="1:5">
      <c r="A1368" s="20" t="str">
        <v>00:00:00</v>
      </c>
      <c r="B1368" s="19">
        <v>0</v>
      </c>
      <c r="C1368" s="21">
        <v>0</v>
      </c>
      <c r="D1368" s="20" t="str">
        <v>未匹配</v>
      </c>
      <c r="E1368" s="20">
        <v>0</v>
      </c>
    </row>
    <row r="1369" spans="1:5">
      <c r="A1369" s="20" t="str">
        <v>00:00:00</v>
      </c>
      <c r="B1369" s="19">
        <v>0</v>
      </c>
      <c r="C1369" s="21">
        <v>0</v>
      </c>
      <c r="D1369" s="20" t="str">
        <v>未匹配</v>
      </c>
      <c r="E1369" s="20">
        <v>0</v>
      </c>
    </row>
    <row r="1370" spans="1:5">
      <c r="A1370" s="20" t="str">
        <v>00:00:00</v>
      </c>
      <c r="B1370" s="19">
        <v>0</v>
      </c>
      <c r="C1370" s="21">
        <v>0</v>
      </c>
      <c r="D1370" s="20" t="str">
        <v>未匹配</v>
      </c>
      <c r="E1370" s="20">
        <v>0</v>
      </c>
    </row>
    <row r="1371" spans="1:5">
      <c r="A1371" s="20" t="str">
        <v>00:00:00</v>
      </c>
      <c r="B1371" s="19">
        <v>0</v>
      </c>
      <c r="C1371" s="21">
        <v>0</v>
      </c>
      <c r="D1371" s="20" t="str">
        <v>未匹配</v>
      </c>
      <c r="E1371" s="20">
        <v>0</v>
      </c>
    </row>
    <row r="1372" spans="1:5">
      <c r="A1372" s="20" t="str">
        <v>00:00:00</v>
      </c>
      <c r="B1372" s="19">
        <v>0</v>
      </c>
      <c r="C1372" s="21">
        <v>0</v>
      </c>
      <c r="D1372" s="20" t="str">
        <v>未匹配</v>
      </c>
      <c r="E1372" s="20">
        <v>0</v>
      </c>
    </row>
    <row r="1373" spans="1:5">
      <c r="A1373" s="20" t="str">
        <v>00:00:00</v>
      </c>
      <c r="B1373" s="19">
        <v>0</v>
      </c>
      <c r="C1373" s="21">
        <v>0</v>
      </c>
      <c r="D1373" s="20" t="str">
        <v>未匹配</v>
      </c>
      <c r="E1373" s="20">
        <v>0</v>
      </c>
    </row>
    <row r="1374" spans="1:5">
      <c r="A1374" s="20" t="str">
        <v>00:00:00</v>
      </c>
      <c r="B1374" s="19">
        <v>0</v>
      </c>
      <c r="C1374" s="21">
        <v>0</v>
      </c>
      <c r="D1374" s="20" t="str">
        <v>未匹配</v>
      </c>
      <c r="E1374" s="20">
        <v>0</v>
      </c>
    </row>
    <row r="1375" spans="1:5">
      <c r="A1375" s="20" t="str">
        <v>00:00:00</v>
      </c>
      <c r="B1375" s="19">
        <v>0</v>
      </c>
      <c r="C1375" s="21">
        <v>0</v>
      </c>
      <c r="D1375" s="20" t="str">
        <v>未匹配</v>
      </c>
      <c r="E1375" s="20">
        <v>0</v>
      </c>
    </row>
    <row r="1376" spans="1:5">
      <c r="A1376" s="20" t="str">
        <v>00:00:00</v>
      </c>
      <c r="B1376" s="19">
        <v>0</v>
      </c>
      <c r="C1376" s="21">
        <v>0</v>
      </c>
      <c r="D1376" s="20" t="str">
        <v>未匹配</v>
      </c>
      <c r="E1376" s="20">
        <v>0</v>
      </c>
    </row>
    <row r="1377" spans="1:5">
      <c r="A1377" s="20" t="str">
        <v>00:00:00</v>
      </c>
      <c r="B1377" s="19">
        <v>0</v>
      </c>
      <c r="C1377" s="21">
        <v>0</v>
      </c>
      <c r="D1377" s="20" t="str">
        <v>未匹配</v>
      </c>
      <c r="E1377" s="20">
        <v>0</v>
      </c>
    </row>
    <row r="1378" spans="1:5">
      <c r="A1378" s="20" t="str">
        <v>00:00:00</v>
      </c>
      <c r="B1378" s="19">
        <v>0</v>
      </c>
      <c r="C1378" s="21">
        <v>0</v>
      </c>
      <c r="D1378" s="20" t="str">
        <v>未匹配</v>
      </c>
      <c r="E1378" s="20">
        <v>0</v>
      </c>
    </row>
    <row r="1379" spans="1:5">
      <c r="A1379" s="20" t="str">
        <v>00:00:00</v>
      </c>
      <c r="B1379" s="19">
        <v>0</v>
      </c>
      <c r="C1379" s="21">
        <v>0</v>
      </c>
      <c r="D1379" s="20" t="str">
        <v>未匹配</v>
      </c>
      <c r="E1379" s="20">
        <v>0</v>
      </c>
    </row>
    <row r="1380" spans="1:5">
      <c r="A1380" s="20" t="str">
        <v>00:00:00</v>
      </c>
      <c r="B1380" s="19">
        <v>0</v>
      </c>
      <c r="C1380" s="21">
        <v>0</v>
      </c>
      <c r="D1380" s="20" t="str">
        <v>未匹配</v>
      </c>
      <c r="E1380" s="20">
        <v>0</v>
      </c>
    </row>
    <row r="1381" spans="1:5">
      <c r="A1381" s="20" t="str">
        <v>00:00:00</v>
      </c>
      <c r="B1381" s="19">
        <v>0</v>
      </c>
      <c r="C1381" s="21">
        <v>0</v>
      </c>
      <c r="D1381" s="20" t="str">
        <v>未匹配</v>
      </c>
      <c r="E1381" s="20">
        <v>0</v>
      </c>
    </row>
    <row r="1382" spans="1:5">
      <c r="A1382" s="20" t="str">
        <v>00:00:00</v>
      </c>
      <c r="B1382" s="19">
        <v>0</v>
      </c>
      <c r="C1382" s="21">
        <v>0</v>
      </c>
      <c r="D1382" s="20" t="str">
        <v>未匹配</v>
      </c>
      <c r="E1382" s="20">
        <v>0</v>
      </c>
    </row>
    <row r="1383" spans="1:5">
      <c r="A1383" s="20" t="str">
        <v>00:00:00</v>
      </c>
      <c r="B1383" s="19">
        <v>0</v>
      </c>
      <c r="C1383" s="21">
        <v>0</v>
      </c>
      <c r="D1383" s="20" t="str">
        <v>未匹配</v>
      </c>
      <c r="E1383" s="20">
        <v>0</v>
      </c>
    </row>
    <row r="1384" spans="1:5">
      <c r="A1384" s="20" t="str">
        <v>00:00:00</v>
      </c>
      <c r="B1384" s="19">
        <v>0</v>
      </c>
      <c r="C1384" s="21">
        <v>0</v>
      </c>
      <c r="D1384" s="20" t="str">
        <v>未匹配</v>
      </c>
      <c r="E1384" s="20">
        <v>0</v>
      </c>
    </row>
    <row r="1385" spans="1:5">
      <c r="A1385" s="20" t="str">
        <v>00:00:00</v>
      </c>
      <c r="B1385" s="19">
        <v>0</v>
      </c>
      <c r="C1385" s="21">
        <v>0</v>
      </c>
      <c r="D1385" s="20" t="str">
        <v>未匹配</v>
      </c>
      <c r="E1385" s="20">
        <v>0</v>
      </c>
    </row>
    <row r="1386" spans="1:5">
      <c r="A1386" s="20" t="str">
        <v>00:00:00</v>
      </c>
      <c r="B1386" s="19">
        <v>0</v>
      </c>
      <c r="C1386" s="21">
        <v>0</v>
      </c>
      <c r="D1386" s="20" t="str">
        <v>未匹配</v>
      </c>
      <c r="E1386" s="20">
        <v>0</v>
      </c>
    </row>
    <row r="1387" spans="1:5">
      <c r="A1387" s="20" t="str">
        <v>00:00:00</v>
      </c>
      <c r="B1387" s="19">
        <v>0</v>
      </c>
      <c r="C1387" s="21">
        <v>0</v>
      </c>
      <c r="D1387" s="20" t="str">
        <v>未匹配</v>
      </c>
      <c r="E1387" s="20">
        <v>0</v>
      </c>
    </row>
    <row r="1388" spans="1:5">
      <c r="A1388" s="20" t="str">
        <v>00:00:00</v>
      </c>
      <c r="B1388" s="19">
        <v>0</v>
      </c>
      <c r="C1388" s="21">
        <v>0</v>
      </c>
      <c r="D1388" s="20" t="str">
        <v>未匹配</v>
      </c>
      <c r="E1388" s="20">
        <v>0</v>
      </c>
    </row>
    <row r="1389" spans="1:5">
      <c r="A1389" s="20" t="str">
        <v>00:00:00</v>
      </c>
      <c r="B1389" s="19">
        <v>0</v>
      </c>
      <c r="C1389" s="21">
        <v>0</v>
      </c>
      <c r="D1389" s="20" t="str">
        <v>未匹配</v>
      </c>
      <c r="E1389" s="20">
        <v>0</v>
      </c>
    </row>
    <row r="1390" spans="1:5">
      <c r="A1390" s="20" t="str">
        <v>00:00:00</v>
      </c>
      <c r="B1390" s="19">
        <v>0</v>
      </c>
      <c r="C1390" s="21">
        <v>0</v>
      </c>
      <c r="D1390" s="20" t="str">
        <v>未匹配</v>
      </c>
      <c r="E1390" s="20">
        <v>0</v>
      </c>
    </row>
    <row r="1391" spans="1:5">
      <c r="A1391" s="20" t="str">
        <v>00:00:00</v>
      </c>
      <c r="B1391" s="19">
        <v>0</v>
      </c>
      <c r="C1391" s="21">
        <v>0</v>
      </c>
      <c r="D1391" s="20" t="str">
        <v>未匹配</v>
      </c>
      <c r="E1391" s="20">
        <v>0</v>
      </c>
    </row>
    <row r="1392" spans="1:5">
      <c r="A1392" s="20" t="str">
        <v>00:00:00</v>
      </c>
      <c r="B1392" s="19">
        <v>0</v>
      </c>
      <c r="C1392" s="21">
        <v>0</v>
      </c>
      <c r="D1392" s="20" t="str">
        <v>未匹配</v>
      </c>
      <c r="E1392" s="20">
        <v>0</v>
      </c>
    </row>
    <row r="1393" spans="1:5">
      <c r="A1393" s="20" t="str">
        <v>00:00:00</v>
      </c>
      <c r="B1393" s="19">
        <v>0</v>
      </c>
      <c r="C1393" s="21">
        <v>0</v>
      </c>
      <c r="D1393" s="20" t="str">
        <v>未匹配</v>
      </c>
      <c r="E1393" s="20">
        <v>0</v>
      </c>
    </row>
    <row r="1394" spans="1:5">
      <c r="A1394" s="20" t="str">
        <v>00:00:00</v>
      </c>
      <c r="B1394" s="19">
        <v>0</v>
      </c>
      <c r="C1394" s="21">
        <v>0</v>
      </c>
      <c r="D1394" s="20" t="str">
        <v>未匹配</v>
      </c>
      <c r="E1394" s="20">
        <v>0</v>
      </c>
    </row>
    <row r="1395" spans="1:5">
      <c r="A1395" s="20" t="str">
        <v>00:00:00</v>
      </c>
      <c r="B1395" s="19">
        <v>0</v>
      </c>
      <c r="C1395" s="21">
        <v>0</v>
      </c>
      <c r="D1395" s="20" t="str">
        <v>未匹配</v>
      </c>
      <c r="E1395" s="20">
        <v>0</v>
      </c>
    </row>
    <row r="1396" spans="1:5">
      <c r="A1396" s="20" t="str">
        <v>00:00:00</v>
      </c>
      <c r="B1396" s="19">
        <v>0</v>
      </c>
      <c r="C1396" s="21">
        <v>0</v>
      </c>
      <c r="D1396" s="20" t="str">
        <v>未匹配</v>
      </c>
      <c r="E1396" s="20">
        <v>0</v>
      </c>
    </row>
    <row r="1397" spans="1:5">
      <c r="A1397" s="20" t="str">
        <v>00:00:00</v>
      </c>
      <c r="B1397" s="19">
        <v>0</v>
      </c>
      <c r="C1397" s="21">
        <v>0</v>
      </c>
      <c r="D1397" s="20" t="str">
        <v>未匹配</v>
      </c>
      <c r="E1397" s="20">
        <v>0</v>
      </c>
    </row>
    <row r="1398" spans="1:5">
      <c r="A1398" s="20" t="str">
        <v>00:00:00</v>
      </c>
      <c r="B1398" s="19">
        <v>0</v>
      </c>
      <c r="C1398" s="21">
        <v>0</v>
      </c>
      <c r="D1398" s="20" t="str">
        <v>未匹配</v>
      </c>
      <c r="E1398" s="20">
        <v>0</v>
      </c>
    </row>
    <row r="1399" spans="1:5">
      <c r="A1399" s="20" t="str">
        <v>00:00:00</v>
      </c>
      <c r="B1399" s="19">
        <v>0</v>
      </c>
      <c r="C1399" s="21">
        <v>0</v>
      </c>
      <c r="D1399" s="20" t="str">
        <v>未匹配</v>
      </c>
      <c r="E1399" s="20">
        <v>0</v>
      </c>
    </row>
    <row r="1400" spans="1:5">
      <c r="A1400" s="20" t="str">
        <v>00:00:00</v>
      </c>
      <c r="B1400" s="19">
        <v>0</v>
      </c>
      <c r="C1400" s="21">
        <v>0</v>
      </c>
      <c r="D1400" s="20" t="str">
        <v>未匹配</v>
      </c>
      <c r="E1400" s="20">
        <v>0</v>
      </c>
    </row>
    <row r="1401" spans="1:5">
      <c r="A1401" s="20" t="str">
        <v>00:00:00</v>
      </c>
      <c r="B1401" s="19">
        <v>0</v>
      </c>
      <c r="C1401" s="21">
        <v>0</v>
      </c>
      <c r="D1401" s="20" t="str">
        <v>未匹配</v>
      </c>
      <c r="E1401" s="20">
        <v>0</v>
      </c>
    </row>
    <row r="1402" spans="1:5">
      <c r="A1402" s="20" t="str">
        <v>00:00:00</v>
      </c>
      <c r="B1402" s="19">
        <v>0</v>
      </c>
      <c r="C1402" s="21">
        <v>0</v>
      </c>
      <c r="D1402" s="20" t="str">
        <v>未匹配</v>
      </c>
      <c r="E1402" s="20">
        <v>0</v>
      </c>
    </row>
    <row r="1403" spans="1:5">
      <c r="A1403" s="20" t="str">
        <v>00:00:00</v>
      </c>
      <c r="B1403" s="19">
        <v>0</v>
      </c>
      <c r="C1403" s="21">
        <v>0</v>
      </c>
      <c r="D1403" s="20" t="str">
        <v>未匹配</v>
      </c>
      <c r="E1403" s="20">
        <v>0</v>
      </c>
    </row>
    <row r="1404" spans="1:5">
      <c r="A1404" s="20" t="str">
        <v>00:00:00</v>
      </c>
      <c r="B1404" s="19">
        <v>0</v>
      </c>
      <c r="C1404" s="21">
        <v>0</v>
      </c>
      <c r="D1404" s="20" t="str">
        <v>未匹配</v>
      </c>
      <c r="E1404" s="20">
        <v>0</v>
      </c>
    </row>
    <row r="1405" spans="1:5">
      <c r="A1405" s="20" t="str">
        <v>00:00:00</v>
      </c>
      <c r="B1405" s="19">
        <v>0</v>
      </c>
      <c r="C1405" s="21">
        <v>0</v>
      </c>
      <c r="D1405" s="20" t="str">
        <v>未匹配</v>
      </c>
      <c r="E1405" s="20">
        <v>0</v>
      </c>
    </row>
    <row r="1406" spans="1:5">
      <c r="A1406" s="20" t="str">
        <v>00:00:00</v>
      </c>
      <c r="B1406" s="19">
        <v>0</v>
      </c>
      <c r="C1406" s="21">
        <v>0</v>
      </c>
      <c r="D1406" s="20" t="str">
        <v>未匹配</v>
      </c>
      <c r="E1406" s="20">
        <v>0</v>
      </c>
    </row>
    <row r="1407" spans="1:5">
      <c r="A1407" s="20" t="str">
        <v>00:00:00</v>
      </c>
      <c r="B1407" s="19">
        <v>0</v>
      </c>
      <c r="C1407" s="21">
        <v>0</v>
      </c>
      <c r="D1407" s="20" t="str">
        <v>未匹配</v>
      </c>
      <c r="E1407" s="20">
        <v>0</v>
      </c>
    </row>
    <row r="1408" spans="1:5">
      <c r="A1408" s="20" t="str">
        <v>00:00:00</v>
      </c>
      <c r="B1408" s="19">
        <v>0</v>
      </c>
      <c r="C1408" s="21">
        <v>0</v>
      </c>
      <c r="D1408" s="20" t="str">
        <v>未匹配</v>
      </c>
      <c r="E1408" s="20">
        <v>0</v>
      </c>
    </row>
    <row r="1409" spans="1:5">
      <c r="A1409" s="20" t="str">
        <v>00:00:00</v>
      </c>
      <c r="B1409" s="19">
        <v>0</v>
      </c>
      <c r="C1409" s="21">
        <v>0</v>
      </c>
      <c r="D1409" s="20" t="str">
        <v>未匹配</v>
      </c>
      <c r="E1409" s="20">
        <v>0</v>
      </c>
    </row>
    <row r="1410" spans="1:5">
      <c r="A1410" s="20" t="str">
        <v>00:00:00</v>
      </c>
      <c r="B1410" s="19">
        <v>0</v>
      </c>
      <c r="C1410" s="21">
        <v>0</v>
      </c>
      <c r="D1410" s="20" t="str">
        <v>未匹配</v>
      </c>
      <c r="E1410" s="20">
        <v>0</v>
      </c>
    </row>
    <row r="1411" spans="1:5">
      <c r="A1411" s="20" t="str">
        <v>00:00:00</v>
      </c>
      <c r="B1411" s="19">
        <v>0</v>
      </c>
      <c r="C1411" s="21">
        <v>0</v>
      </c>
      <c r="D1411" s="20" t="str">
        <v>未匹配</v>
      </c>
      <c r="E1411" s="20">
        <v>0</v>
      </c>
    </row>
    <row r="1412" spans="1:5">
      <c r="A1412" s="20" t="str">
        <v>00:00:00</v>
      </c>
      <c r="B1412" s="19">
        <v>0</v>
      </c>
      <c r="C1412" s="21">
        <v>0</v>
      </c>
      <c r="D1412" s="20" t="str">
        <v>未匹配</v>
      </c>
      <c r="E1412" s="20">
        <v>0</v>
      </c>
    </row>
    <row r="1413" spans="1:5">
      <c r="A1413" s="20" t="str">
        <v>00:00:00</v>
      </c>
      <c r="B1413" s="19">
        <v>0</v>
      </c>
      <c r="C1413" s="21">
        <v>0</v>
      </c>
      <c r="D1413" s="20" t="str">
        <v>未匹配</v>
      </c>
      <c r="E1413" s="20">
        <v>0</v>
      </c>
    </row>
    <row r="1414" spans="1:5">
      <c r="A1414" s="20" t="str">
        <v>00:00:00</v>
      </c>
      <c r="B1414" s="19">
        <v>0</v>
      </c>
      <c r="C1414" s="21">
        <v>0</v>
      </c>
      <c r="D1414" s="20" t="str">
        <v>未匹配</v>
      </c>
      <c r="E1414" s="20">
        <v>0</v>
      </c>
    </row>
    <row r="1415" spans="1:5">
      <c r="A1415" s="20" t="str">
        <v>00:00:00</v>
      </c>
      <c r="B1415" s="19">
        <v>0</v>
      </c>
      <c r="C1415" s="21">
        <v>0</v>
      </c>
      <c r="D1415" s="20" t="str">
        <v>未匹配</v>
      </c>
      <c r="E1415" s="20">
        <v>0</v>
      </c>
    </row>
    <row r="1416" spans="1:5">
      <c r="A1416" s="20" t="str">
        <v>00:00:00</v>
      </c>
      <c r="B1416" s="19">
        <v>0</v>
      </c>
      <c r="C1416" s="21">
        <v>0</v>
      </c>
      <c r="D1416" s="20" t="str">
        <v>未匹配</v>
      </c>
      <c r="E1416" s="20">
        <v>0</v>
      </c>
    </row>
    <row r="1417" spans="1:5">
      <c r="A1417" s="20" t="str">
        <v>00:00:00</v>
      </c>
      <c r="B1417" s="19">
        <v>0</v>
      </c>
      <c r="C1417" s="21">
        <v>0</v>
      </c>
      <c r="D1417" s="20" t="str">
        <v>未匹配</v>
      </c>
      <c r="E1417" s="20">
        <v>0</v>
      </c>
    </row>
    <row r="1418" spans="1:5">
      <c r="A1418" s="20" t="str">
        <v>00:00:00</v>
      </c>
      <c r="B1418" s="19">
        <v>0</v>
      </c>
      <c r="C1418" s="21">
        <v>0</v>
      </c>
      <c r="D1418" s="20" t="str">
        <v>未匹配</v>
      </c>
      <c r="E1418" s="20">
        <v>0</v>
      </c>
    </row>
    <row r="1419" spans="1:5">
      <c r="A1419" s="20" t="str">
        <v>00:00:00</v>
      </c>
      <c r="B1419" s="19">
        <v>0</v>
      </c>
      <c r="C1419" s="21">
        <v>0</v>
      </c>
      <c r="D1419" s="20" t="str">
        <v>未匹配</v>
      </c>
      <c r="E1419" s="20">
        <v>0</v>
      </c>
    </row>
    <row r="1420" spans="1:5">
      <c r="A1420" s="20" t="str">
        <v>00:00:00</v>
      </c>
      <c r="B1420" s="19">
        <v>0</v>
      </c>
      <c r="C1420" s="21">
        <v>0</v>
      </c>
      <c r="D1420" s="20" t="str">
        <v>未匹配</v>
      </c>
      <c r="E1420" s="20">
        <v>0</v>
      </c>
    </row>
    <row r="1421" spans="1:5">
      <c r="A1421" s="20" t="str">
        <v>00:00:00</v>
      </c>
      <c r="B1421" s="19">
        <v>0</v>
      </c>
      <c r="C1421" s="21">
        <v>0</v>
      </c>
      <c r="D1421" s="20" t="str">
        <v>未匹配</v>
      </c>
      <c r="E1421" s="20">
        <v>0</v>
      </c>
    </row>
    <row r="1422" spans="1:5">
      <c r="A1422" s="20" t="str">
        <v>00:00:00</v>
      </c>
      <c r="B1422" s="19">
        <v>0</v>
      </c>
      <c r="C1422" s="21">
        <v>0</v>
      </c>
      <c r="D1422" s="20" t="str">
        <v>未匹配</v>
      </c>
      <c r="E1422" s="20">
        <v>0</v>
      </c>
    </row>
    <row r="1423" spans="1:5">
      <c r="A1423" s="20" t="str">
        <v>00:00:00</v>
      </c>
      <c r="B1423" s="19">
        <v>0</v>
      </c>
      <c r="C1423" s="21">
        <v>0</v>
      </c>
      <c r="D1423" s="20" t="str">
        <v>未匹配</v>
      </c>
      <c r="E1423" s="20">
        <v>0</v>
      </c>
    </row>
    <row r="1424" spans="1:5">
      <c r="A1424" s="20" t="str">
        <v>00:00:00</v>
      </c>
      <c r="B1424" s="19">
        <v>0</v>
      </c>
      <c r="C1424" s="21">
        <v>0</v>
      </c>
      <c r="D1424" s="20" t="str">
        <v>未匹配</v>
      </c>
      <c r="E1424" s="20">
        <v>0</v>
      </c>
    </row>
    <row r="1425" spans="1:5">
      <c r="A1425" s="20" t="str">
        <v>00:00:00</v>
      </c>
      <c r="B1425" s="19">
        <v>0</v>
      </c>
      <c r="C1425" s="21">
        <v>0</v>
      </c>
      <c r="D1425" s="20" t="str">
        <v>未匹配</v>
      </c>
      <c r="E1425" s="20">
        <v>0</v>
      </c>
    </row>
    <row r="1426" spans="1:5">
      <c r="A1426" s="20" t="str">
        <v>00:00:00</v>
      </c>
      <c r="B1426" s="19">
        <v>0</v>
      </c>
      <c r="C1426" s="21">
        <v>0</v>
      </c>
      <c r="D1426" s="20" t="str">
        <v>未匹配</v>
      </c>
      <c r="E1426" s="20">
        <v>0</v>
      </c>
    </row>
    <row r="1427" spans="1:5">
      <c r="A1427" s="20" t="str">
        <v>00:00:00</v>
      </c>
      <c r="B1427" s="19">
        <v>0</v>
      </c>
      <c r="C1427" s="21">
        <v>0</v>
      </c>
      <c r="D1427" s="20" t="str">
        <v>未匹配</v>
      </c>
      <c r="E1427" s="20">
        <v>0</v>
      </c>
    </row>
    <row r="1428" spans="1:5">
      <c r="A1428" s="20" t="str">
        <v>00:00:00</v>
      </c>
      <c r="B1428" s="19">
        <v>0</v>
      </c>
      <c r="C1428" s="21">
        <v>0</v>
      </c>
      <c r="D1428" s="20" t="str">
        <v>未匹配</v>
      </c>
      <c r="E1428" s="20">
        <v>0</v>
      </c>
    </row>
    <row r="1429" spans="1:5">
      <c r="A1429" s="20" t="str">
        <v>00:00:00</v>
      </c>
      <c r="B1429" s="19">
        <v>0</v>
      </c>
      <c r="C1429" s="21">
        <v>0</v>
      </c>
      <c r="D1429" s="20" t="str">
        <v>未匹配</v>
      </c>
      <c r="E1429" s="20">
        <v>0</v>
      </c>
    </row>
    <row r="1430" spans="1:5">
      <c r="A1430" s="20" t="str">
        <v>00:00:00</v>
      </c>
      <c r="B1430" s="19">
        <v>0</v>
      </c>
      <c r="C1430" s="21">
        <v>0</v>
      </c>
      <c r="D1430" s="20" t="str">
        <v>未匹配</v>
      </c>
      <c r="E1430" s="20">
        <v>0</v>
      </c>
    </row>
    <row r="1431" spans="1:5">
      <c r="A1431" s="20" t="str">
        <v>00:00:00</v>
      </c>
      <c r="B1431" s="19">
        <v>0</v>
      </c>
      <c r="C1431" s="21">
        <v>0</v>
      </c>
      <c r="D1431" s="20" t="str">
        <v>未匹配</v>
      </c>
      <c r="E1431" s="20">
        <v>0</v>
      </c>
    </row>
    <row r="1432" spans="1:5">
      <c r="A1432" s="20" t="str">
        <v>00:00:00</v>
      </c>
      <c r="B1432" s="19">
        <v>0</v>
      </c>
      <c r="C1432" s="21">
        <v>0</v>
      </c>
      <c r="D1432" s="20" t="str">
        <v>未匹配</v>
      </c>
      <c r="E1432" s="20">
        <v>0</v>
      </c>
    </row>
    <row r="1433" spans="1:5">
      <c r="A1433" s="20" t="str">
        <v>00:00:00</v>
      </c>
      <c r="B1433" s="19">
        <v>0</v>
      </c>
      <c r="C1433" s="21">
        <v>0</v>
      </c>
      <c r="D1433" s="20" t="str">
        <v>未匹配</v>
      </c>
      <c r="E1433" s="20">
        <v>0</v>
      </c>
    </row>
    <row r="1434" spans="1:5">
      <c r="A1434" s="20" t="str">
        <v>00:00:00</v>
      </c>
      <c r="B1434" s="19">
        <v>0</v>
      </c>
      <c r="C1434" s="21">
        <v>0</v>
      </c>
      <c r="D1434" s="20" t="str">
        <v>未匹配</v>
      </c>
      <c r="E1434" s="20">
        <v>0</v>
      </c>
    </row>
    <row r="1435" spans="1:5">
      <c r="A1435" s="20" t="str">
        <v>00:00:00</v>
      </c>
      <c r="B1435" s="19">
        <v>0</v>
      </c>
      <c r="C1435" s="21">
        <v>0</v>
      </c>
      <c r="D1435" s="20" t="str">
        <v>未匹配</v>
      </c>
      <c r="E1435" s="20">
        <v>0</v>
      </c>
    </row>
    <row r="1436" spans="1:5">
      <c r="A1436" s="20" t="str">
        <v>00:00:00</v>
      </c>
      <c r="B1436" s="19">
        <v>0</v>
      </c>
      <c r="C1436" s="21">
        <v>0</v>
      </c>
      <c r="D1436" s="20" t="str">
        <v>未匹配</v>
      </c>
      <c r="E1436" s="20">
        <v>0</v>
      </c>
    </row>
    <row r="1437" spans="1:5">
      <c r="A1437" s="20" t="str">
        <v>00:00:00</v>
      </c>
      <c r="B1437" s="19">
        <v>0</v>
      </c>
      <c r="C1437" s="21">
        <v>0</v>
      </c>
      <c r="D1437" s="20" t="str">
        <v>未匹配</v>
      </c>
      <c r="E1437" s="20">
        <v>0</v>
      </c>
    </row>
    <row r="1438" spans="1:5">
      <c r="A1438" s="20" t="str">
        <v>00:00:00</v>
      </c>
      <c r="B1438" s="19">
        <v>0</v>
      </c>
      <c r="C1438" s="21">
        <v>0</v>
      </c>
      <c r="D1438" s="20" t="str">
        <v>未匹配</v>
      </c>
      <c r="E1438" s="20">
        <v>0</v>
      </c>
    </row>
    <row r="1439" spans="1:5">
      <c r="A1439" s="20" t="str">
        <v>00:00:00</v>
      </c>
      <c r="B1439" s="19">
        <v>0</v>
      </c>
      <c r="C1439" s="21">
        <v>0</v>
      </c>
      <c r="D1439" s="20" t="str">
        <v>未匹配</v>
      </c>
      <c r="E1439" s="20">
        <v>0</v>
      </c>
    </row>
    <row r="1440" spans="1:5">
      <c r="A1440" s="20" t="str">
        <v>00:00:00</v>
      </c>
      <c r="B1440" s="19">
        <v>0</v>
      </c>
      <c r="C1440" s="21">
        <v>0</v>
      </c>
      <c r="D1440" s="20" t="str">
        <v>未匹配</v>
      </c>
      <c r="E1440" s="20">
        <v>0</v>
      </c>
    </row>
    <row r="1441" spans="1:5">
      <c r="A1441" s="20" t="str">
        <v>00:00:00</v>
      </c>
      <c r="B1441" s="19">
        <v>0</v>
      </c>
      <c r="C1441" s="21">
        <v>0</v>
      </c>
      <c r="D1441" s="20" t="str">
        <v>未匹配</v>
      </c>
      <c r="E1441" s="20">
        <v>0</v>
      </c>
    </row>
    <row r="1442" spans="1:5">
      <c r="A1442" s="20" t="str">
        <v>00:00:00</v>
      </c>
      <c r="B1442" s="19">
        <v>0</v>
      </c>
      <c r="C1442" s="21">
        <v>0</v>
      </c>
      <c r="D1442" s="20" t="str">
        <v>未匹配</v>
      </c>
      <c r="E1442" s="20">
        <v>0</v>
      </c>
    </row>
    <row r="1443" spans="1:5">
      <c r="A1443" s="20" t="str">
        <v>00:00:00</v>
      </c>
      <c r="B1443" s="19">
        <v>0</v>
      </c>
      <c r="C1443" s="21">
        <v>0</v>
      </c>
      <c r="D1443" s="20" t="str">
        <v>未匹配</v>
      </c>
      <c r="E1443" s="20">
        <v>0</v>
      </c>
    </row>
    <row r="1444" spans="1:5">
      <c r="A1444" s="20" t="str">
        <v>00:00:00</v>
      </c>
      <c r="B1444" s="19">
        <v>0</v>
      </c>
      <c r="C1444" s="21">
        <v>0</v>
      </c>
      <c r="D1444" s="20" t="str">
        <v>未匹配</v>
      </c>
      <c r="E1444" s="20">
        <v>0</v>
      </c>
    </row>
    <row r="1445" spans="1:5">
      <c r="A1445" s="20" t="str">
        <v>00:00:00</v>
      </c>
      <c r="B1445" s="19">
        <v>0</v>
      </c>
      <c r="C1445" s="21">
        <v>0</v>
      </c>
      <c r="D1445" s="20" t="str">
        <v>未匹配</v>
      </c>
      <c r="E1445" s="20">
        <v>0</v>
      </c>
    </row>
    <row r="1446" spans="1:5">
      <c r="A1446" s="20" t="str">
        <v>00:00:00</v>
      </c>
      <c r="B1446" s="19">
        <v>0</v>
      </c>
      <c r="C1446" s="21">
        <v>0</v>
      </c>
      <c r="D1446" s="20" t="str">
        <v>未匹配</v>
      </c>
      <c r="E1446" s="20">
        <v>0</v>
      </c>
    </row>
    <row r="1447" spans="1:5">
      <c r="A1447" s="20" t="str">
        <v>00:00:00</v>
      </c>
      <c r="B1447" s="19">
        <v>0</v>
      </c>
      <c r="C1447" s="21">
        <v>0</v>
      </c>
      <c r="D1447" s="20" t="str">
        <v>未匹配</v>
      </c>
      <c r="E1447" s="20">
        <v>0</v>
      </c>
    </row>
    <row r="1448" spans="1:5">
      <c r="A1448" s="20" t="str">
        <v>00:00:00</v>
      </c>
      <c r="B1448" s="19">
        <v>0</v>
      </c>
      <c r="C1448" s="21">
        <v>0</v>
      </c>
      <c r="D1448" s="20" t="str">
        <v>未匹配</v>
      </c>
      <c r="E1448" s="20">
        <v>0</v>
      </c>
    </row>
    <row r="1449" spans="1:5">
      <c r="A1449" s="20" t="str">
        <v>00:00:00</v>
      </c>
      <c r="B1449" s="19">
        <v>0</v>
      </c>
      <c r="C1449" s="21">
        <v>0</v>
      </c>
      <c r="D1449" s="20" t="str">
        <v>未匹配</v>
      </c>
      <c r="E1449" s="20">
        <v>0</v>
      </c>
    </row>
    <row r="1450" spans="1:5">
      <c r="A1450" s="20" t="str">
        <v>00:00:00</v>
      </c>
      <c r="B1450" s="19">
        <v>0</v>
      </c>
      <c r="C1450" s="21">
        <v>0</v>
      </c>
      <c r="D1450" s="20" t="str">
        <v>未匹配</v>
      </c>
      <c r="E1450" s="20">
        <v>0</v>
      </c>
    </row>
    <row r="1451" spans="1:5">
      <c r="A1451" s="20" t="str">
        <v>00:00:00</v>
      </c>
      <c r="B1451" s="19">
        <v>0</v>
      </c>
      <c r="C1451" s="21">
        <v>0</v>
      </c>
      <c r="D1451" s="20" t="str">
        <v>未匹配</v>
      </c>
      <c r="E1451" s="20">
        <v>0</v>
      </c>
    </row>
    <row r="1452" spans="1:5">
      <c r="A1452" s="20" t="str">
        <v>00:00:00</v>
      </c>
      <c r="B1452" s="19">
        <v>0</v>
      </c>
      <c r="C1452" s="21">
        <v>0</v>
      </c>
      <c r="D1452" s="20" t="str">
        <v>未匹配</v>
      </c>
      <c r="E1452" s="20">
        <v>0</v>
      </c>
    </row>
    <row r="1453" spans="1:5">
      <c r="A1453" s="20" t="str">
        <v>00:00:00</v>
      </c>
      <c r="B1453" s="19">
        <v>0</v>
      </c>
      <c r="C1453" s="21">
        <v>0</v>
      </c>
      <c r="D1453" s="20" t="str">
        <v>未匹配</v>
      </c>
      <c r="E1453" s="20">
        <v>0</v>
      </c>
    </row>
    <row r="1454" spans="1:5">
      <c r="A1454" s="20" t="str">
        <v>00:00:00</v>
      </c>
      <c r="B1454" s="19">
        <v>0</v>
      </c>
      <c r="C1454" s="21">
        <v>0</v>
      </c>
      <c r="D1454" s="20" t="str">
        <v>未匹配</v>
      </c>
      <c r="E1454" s="20">
        <v>0</v>
      </c>
    </row>
    <row r="1455" spans="1:5">
      <c r="A1455" s="20" t="str">
        <v>00:00:00</v>
      </c>
      <c r="B1455" s="19">
        <v>0</v>
      </c>
      <c r="C1455" s="21">
        <v>0</v>
      </c>
      <c r="D1455" s="20" t="str">
        <v>未匹配</v>
      </c>
      <c r="E1455" s="20">
        <v>0</v>
      </c>
    </row>
    <row r="1456" spans="1:5">
      <c r="A1456" s="20" t="str">
        <v>00:00:00</v>
      </c>
      <c r="B1456" s="19">
        <v>0</v>
      </c>
      <c r="C1456" s="21">
        <v>0</v>
      </c>
      <c r="D1456" s="20" t="str">
        <v>未匹配</v>
      </c>
      <c r="E1456" s="20">
        <v>0</v>
      </c>
    </row>
    <row r="1457" spans="1:5">
      <c r="A1457" s="20" t="str">
        <v>00:00:00</v>
      </c>
      <c r="B1457" s="19">
        <v>0</v>
      </c>
      <c r="C1457" s="21">
        <v>0</v>
      </c>
      <c r="D1457" s="20" t="str">
        <v>未匹配</v>
      </c>
      <c r="E1457" s="20">
        <v>0</v>
      </c>
    </row>
    <row r="1458" spans="1:5">
      <c r="A1458" s="20" t="str">
        <v>00:00:00</v>
      </c>
      <c r="B1458" s="19">
        <v>0</v>
      </c>
      <c r="C1458" s="21">
        <v>0</v>
      </c>
      <c r="D1458" s="20" t="str">
        <v>未匹配</v>
      </c>
      <c r="E1458" s="20">
        <v>0</v>
      </c>
    </row>
    <row r="1459" spans="1:5">
      <c r="A1459" s="20" t="str">
        <v>00:00:00</v>
      </c>
      <c r="B1459" s="19">
        <v>0</v>
      </c>
      <c r="C1459" s="21">
        <v>0</v>
      </c>
      <c r="D1459" s="20" t="str">
        <v>未匹配</v>
      </c>
      <c r="E1459" s="20">
        <v>0</v>
      </c>
    </row>
    <row r="1460" spans="1:5">
      <c r="A1460" s="20" t="str">
        <v>00:00:00</v>
      </c>
      <c r="B1460" s="19">
        <v>0</v>
      </c>
      <c r="C1460" s="21">
        <v>0</v>
      </c>
      <c r="D1460" s="20" t="str">
        <v>未匹配</v>
      </c>
      <c r="E1460" s="20">
        <v>0</v>
      </c>
    </row>
    <row r="1461" spans="1:5">
      <c r="A1461" s="20" t="str">
        <v>00:00:00</v>
      </c>
      <c r="B1461" s="19">
        <v>0</v>
      </c>
      <c r="C1461" s="21">
        <v>0</v>
      </c>
      <c r="D1461" s="20" t="str">
        <v>未匹配</v>
      </c>
      <c r="E1461" s="20">
        <v>0</v>
      </c>
    </row>
    <row r="1462" spans="1:5">
      <c r="A1462" s="20" t="str">
        <v>00:00:00</v>
      </c>
      <c r="B1462" s="19">
        <v>0</v>
      </c>
      <c r="C1462" s="21">
        <v>0</v>
      </c>
      <c r="D1462" s="20" t="str">
        <v>未匹配</v>
      </c>
      <c r="E1462" s="20">
        <v>0</v>
      </c>
    </row>
    <row r="1463" spans="1:5">
      <c r="A1463" s="20" t="str">
        <v>00:00:00</v>
      </c>
      <c r="B1463" s="19">
        <v>0</v>
      </c>
      <c r="C1463" s="21">
        <v>0</v>
      </c>
      <c r="D1463" s="20" t="str">
        <v>未匹配</v>
      </c>
      <c r="E1463" s="20">
        <v>0</v>
      </c>
    </row>
    <row r="1464" spans="1:5">
      <c r="A1464" s="20" t="str">
        <v>00:00:00</v>
      </c>
      <c r="B1464" s="19">
        <v>0</v>
      </c>
      <c r="C1464" s="21">
        <v>0</v>
      </c>
      <c r="D1464" s="20" t="str">
        <v>未匹配</v>
      </c>
      <c r="E1464" s="20">
        <v>0</v>
      </c>
    </row>
    <row r="1465" spans="1:5">
      <c r="A1465" s="20" t="str">
        <v>00:00:00</v>
      </c>
      <c r="B1465" s="19">
        <v>0</v>
      </c>
      <c r="C1465" s="21">
        <v>0</v>
      </c>
      <c r="D1465" s="20" t="str">
        <v>未匹配</v>
      </c>
      <c r="E1465" s="20">
        <v>0</v>
      </c>
    </row>
    <row r="1466" spans="1:5">
      <c r="A1466" s="20" t="str">
        <v>00:00:00</v>
      </c>
      <c r="B1466" s="19">
        <v>0</v>
      </c>
      <c r="C1466" s="21">
        <v>0</v>
      </c>
      <c r="D1466" s="20" t="str">
        <v>未匹配</v>
      </c>
      <c r="E1466" s="20">
        <v>0</v>
      </c>
    </row>
    <row r="1467" spans="1:5">
      <c r="A1467" s="20" t="str">
        <v>00:00:00</v>
      </c>
      <c r="B1467" s="19">
        <v>0</v>
      </c>
      <c r="C1467" s="21">
        <v>0</v>
      </c>
      <c r="D1467" s="20" t="str">
        <v>未匹配</v>
      </c>
      <c r="E1467" s="20">
        <v>0</v>
      </c>
    </row>
    <row r="1468" spans="1:5">
      <c r="A1468" s="20" t="str">
        <v>00:00:00</v>
      </c>
      <c r="B1468" s="19">
        <v>0</v>
      </c>
      <c r="C1468" s="21">
        <v>0</v>
      </c>
      <c r="D1468" s="20" t="str">
        <v>未匹配</v>
      </c>
      <c r="E1468" s="20">
        <v>0</v>
      </c>
    </row>
    <row r="1469" spans="1:5">
      <c r="A1469" s="20" t="str">
        <v>00:00:00</v>
      </c>
      <c r="B1469" s="19">
        <v>0</v>
      </c>
      <c r="C1469" s="21">
        <v>0</v>
      </c>
      <c r="D1469" s="20" t="str">
        <v>未匹配</v>
      </c>
      <c r="E1469" s="20">
        <v>0</v>
      </c>
    </row>
    <row r="1470" spans="1:5">
      <c r="A1470" s="20" t="str">
        <v>00:00:00</v>
      </c>
      <c r="B1470" s="19">
        <v>0</v>
      </c>
      <c r="C1470" s="21">
        <v>0</v>
      </c>
      <c r="D1470" s="20" t="str">
        <v>未匹配</v>
      </c>
      <c r="E1470" s="20">
        <v>0</v>
      </c>
    </row>
    <row r="1471" spans="1:5">
      <c r="A1471" s="20" t="str">
        <v>00:00:00</v>
      </c>
      <c r="B1471" s="19">
        <v>0</v>
      </c>
      <c r="C1471" s="21">
        <v>0</v>
      </c>
      <c r="D1471" s="20" t="str">
        <v>未匹配</v>
      </c>
      <c r="E1471" s="20">
        <v>0</v>
      </c>
    </row>
    <row r="1472" spans="1:5">
      <c r="A1472" s="20" t="str">
        <v>00:00:00</v>
      </c>
      <c r="B1472" s="19">
        <v>0</v>
      </c>
      <c r="C1472" s="21">
        <v>0</v>
      </c>
      <c r="D1472" s="20" t="str">
        <v>未匹配</v>
      </c>
      <c r="E1472" s="20">
        <v>0</v>
      </c>
    </row>
    <row r="1473" spans="1:5">
      <c r="A1473" s="20" t="str">
        <v>00:00:00</v>
      </c>
      <c r="B1473" s="19">
        <v>0</v>
      </c>
      <c r="C1473" s="21">
        <v>0</v>
      </c>
      <c r="D1473" s="20" t="str">
        <v>未匹配</v>
      </c>
      <c r="E1473" s="20">
        <v>0</v>
      </c>
    </row>
    <row r="1474" spans="1:5">
      <c r="A1474" s="20" t="str">
        <v>00:00:00</v>
      </c>
      <c r="B1474" s="19">
        <v>0</v>
      </c>
      <c r="C1474" s="21">
        <v>0</v>
      </c>
      <c r="D1474" s="20" t="str">
        <v>未匹配</v>
      </c>
      <c r="E1474" s="20">
        <v>0</v>
      </c>
    </row>
    <row r="1475" spans="1:5">
      <c r="A1475" s="20" t="str">
        <v>00:00:00</v>
      </c>
      <c r="B1475" s="19">
        <v>0</v>
      </c>
      <c r="C1475" s="21">
        <v>0</v>
      </c>
      <c r="D1475" s="20" t="str">
        <v>未匹配</v>
      </c>
      <c r="E1475" s="20">
        <v>0</v>
      </c>
    </row>
    <row r="1476" spans="1:5">
      <c r="A1476" s="20" t="str">
        <v>00:00:00</v>
      </c>
      <c r="B1476" s="19">
        <v>0</v>
      </c>
      <c r="C1476" s="21">
        <v>0</v>
      </c>
      <c r="D1476" s="20" t="str">
        <v>未匹配</v>
      </c>
      <c r="E1476" s="20">
        <v>0</v>
      </c>
    </row>
    <row r="1477" spans="1:5">
      <c r="A1477" s="20" t="str">
        <v>00:00:00</v>
      </c>
      <c r="B1477" s="19">
        <v>0</v>
      </c>
      <c r="C1477" s="21">
        <v>0</v>
      </c>
      <c r="D1477" s="20" t="str">
        <v>未匹配</v>
      </c>
      <c r="E1477" s="20">
        <v>0</v>
      </c>
    </row>
    <row r="1478" spans="1:5">
      <c r="A1478" s="20" t="str">
        <v>00:00:00</v>
      </c>
      <c r="B1478" s="19">
        <v>0</v>
      </c>
      <c r="C1478" s="21">
        <v>0</v>
      </c>
      <c r="D1478" s="20" t="str">
        <v>未匹配</v>
      </c>
      <c r="E1478" s="20">
        <v>0</v>
      </c>
    </row>
    <row r="1479" spans="1:5">
      <c r="A1479" s="20" t="str">
        <v>00:00:00</v>
      </c>
      <c r="B1479" s="19">
        <v>0</v>
      </c>
      <c r="C1479" s="21">
        <v>0</v>
      </c>
      <c r="D1479" s="20" t="str">
        <v>未匹配</v>
      </c>
      <c r="E1479" s="20">
        <v>0</v>
      </c>
    </row>
    <row r="1480" spans="1:5">
      <c r="A1480" s="20" t="str">
        <v>00:00:00</v>
      </c>
      <c r="B1480" s="19">
        <v>0</v>
      </c>
      <c r="C1480" s="21">
        <v>0</v>
      </c>
      <c r="D1480" s="20" t="str">
        <v>未匹配</v>
      </c>
      <c r="E1480" s="20">
        <v>0</v>
      </c>
    </row>
    <row r="1481" spans="1:5">
      <c r="A1481" s="20" t="str">
        <v>00:00:00</v>
      </c>
      <c r="B1481" s="19">
        <v>0</v>
      </c>
      <c r="C1481" s="21">
        <v>0</v>
      </c>
      <c r="D1481" s="20" t="str">
        <v>未匹配</v>
      </c>
      <c r="E1481" s="20">
        <v>0</v>
      </c>
    </row>
    <row r="1482" spans="1:5">
      <c r="A1482" s="20" t="str">
        <v>00:00:00</v>
      </c>
      <c r="B1482" s="19">
        <v>0</v>
      </c>
      <c r="C1482" s="21">
        <v>0</v>
      </c>
      <c r="D1482" s="20" t="str">
        <v>未匹配</v>
      </c>
      <c r="E1482" s="20">
        <v>0</v>
      </c>
    </row>
    <row r="1483" spans="1:5">
      <c r="A1483" s="20" t="str">
        <v>00:00:00</v>
      </c>
      <c r="B1483" s="19">
        <v>0</v>
      </c>
      <c r="C1483" s="21">
        <v>0</v>
      </c>
      <c r="D1483" s="20" t="str">
        <v>未匹配</v>
      </c>
      <c r="E1483" s="20">
        <v>0</v>
      </c>
    </row>
    <row r="1484" spans="1:5">
      <c r="A1484" s="20" t="str">
        <v>00:00:00</v>
      </c>
      <c r="B1484" s="19">
        <v>0</v>
      </c>
      <c r="C1484" s="21">
        <v>0</v>
      </c>
      <c r="D1484" s="20" t="str">
        <v>未匹配</v>
      </c>
      <c r="E1484" s="20">
        <v>0</v>
      </c>
    </row>
    <row r="1485" spans="1:5">
      <c r="A1485" s="20" t="str">
        <v>00:00:00</v>
      </c>
      <c r="B1485" s="19">
        <v>0</v>
      </c>
      <c r="C1485" s="21">
        <v>0</v>
      </c>
      <c r="D1485" s="20" t="str">
        <v>未匹配</v>
      </c>
      <c r="E1485" s="20">
        <v>0</v>
      </c>
    </row>
    <row r="1486" spans="1:5">
      <c r="A1486" s="20" t="str">
        <v>00:00:00</v>
      </c>
      <c r="B1486" s="19">
        <v>0</v>
      </c>
      <c r="C1486" s="21">
        <v>0</v>
      </c>
      <c r="D1486" s="20" t="str">
        <v>未匹配</v>
      </c>
      <c r="E1486" s="20">
        <v>0</v>
      </c>
    </row>
    <row r="1487" spans="1:5">
      <c r="A1487" s="20" t="str">
        <v>00:00:00</v>
      </c>
      <c r="B1487" s="19">
        <v>0</v>
      </c>
      <c r="C1487" s="21">
        <v>0</v>
      </c>
      <c r="D1487" s="20" t="str">
        <v>未匹配</v>
      </c>
      <c r="E1487" s="20">
        <v>0</v>
      </c>
    </row>
    <row r="1488" spans="1:5">
      <c r="A1488" s="20" t="str">
        <v>00:00:00</v>
      </c>
      <c r="B1488" s="19">
        <v>0</v>
      </c>
      <c r="C1488" s="21">
        <v>0</v>
      </c>
      <c r="D1488" s="20" t="str">
        <v>未匹配</v>
      </c>
      <c r="E1488" s="20">
        <v>0</v>
      </c>
    </row>
    <row r="1489" spans="1:5">
      <c r="A1489" s="20" t="str">
        <v>00:00:00</v>
      </c>
      <c r="B1489" s="19">
        <v>0</v>
      </c>
      <c r="C1489" s="21">
        <v>0</v>
      </c>
      <c r="D1489" s="20" t="str">
        <v>未匹配</v>
      </c>
      <c r="E1489" s="20">
        <v>0</v>
      </c>
    </row>
    <row r="1490" spans="1:5">
      <c r="A1490" s="20" t="str">
        <v>00:00:00</v>
      </c>
      <c r="B1490" s="19">
        <v>0</v>
      </c>
      <c r="C1490" s="21">
        <v>0</v>
      </c>
      <c r="D1490" s="20" t="str">
        <v>未匹配</v>
      </c>
      <c r="E1490" s="20">
        <v>0</v>
      </c>
    </row>
    <row r="1491" spans="1:5">
      <c r="A1491" s="20" t="str">
        <v>00:00:00</v>
      </c>
      <c r="B1491" s="19">
        <v>0</v>
      </c>
      <c r="C1491" s="21">
        <v>0</v>
      </c>
      <c r="D1491" s="20" t="str">
        <v>未匹配</v>
      </c>
      <c r="E1491" s="20">
        <v>0</v>
      </c>
    </row>
    <row r="1492" spans="1:5">
      <c r="A1492" s="20" t="str">
        <v>00:00:00</v>
      </c>
      <c r="B1492" s="19">
        <v>0</v>
      </c>
      <c r="C1492" s="21">
        <v>0</v>
      </c>
      <c r="D1492" s="20" t="str">
        <v>未匹配</v>
      </c>
      <c r="E1492" s="20">
        <v>0</v>
      </c>
    </row>
    <row r="1493" spans="1:5">
      <c r="A1493" s="20" t="str">
        <v>00:00:00</v>
      </c>
      <c r="B1493" s="19">
        <v>0</v>
      </c>
      <c r="C1493" s="21">
        <v>0</v>
      </c>
      <c r="D1493" s="20" t="str">
        <v>未匹配</v>
      </c>
      <c r="E1493" s="20">
        <v>0</v>
      </c>
    </row>
    <row r="1494" spans="1:5">
      <c r="A1494" s="20" t="str">
        <v>00:00:00</v>
      </c>
      <c r="B1494" s="19">
        <v>0</v>
      </c>
      <c r="C1494" s="21">
        <v>0</v>
      </c>
      <c r="D1494" s="20" t="str">
        <v>未匹配</v>
      </c>
      <c r="E1494" s="20">
        <v>0</v>
      </c>
    </row>
    <row r="1495" spans="1:5">
      <c r="A1495" s="20" t="str">
        <v>00:00:00</v>
      </c>
      <c r="B1495" s="19">
        <v>0</v>
      </c>
      <c r="C1495" s="21">
        <v>0</v>
      </c>
      <c r="D1495" s="20" t="str">
        <v>未匹配</v>
      </c>
      <c r="E1495" s="20">
        <v>0</v>
      </c>
    </row>
    <row r="1496" spans="1:5">
      <c r="A1496" s="20" t="str">
        <v>00:00:00</v>
      </c>
      <c r="B1496" s="19">
        <v>0</v>
      </c>
      <c r="C1496" s="21">
        <v>0</v>
      </c>
      <c r="D1496" s="20" t="str">
        <v>未匹配</v>
      </c>
      <c r="E1496" s="20">
        <v>0</v>
      </c>
    </row>
    <row r="1497" spans="1:5">
      <c r="A1497" s="20" t="str">
        <v>00:00:00</v>
      </c>
      <c r="B1497" s="19">
        <v>0</v>
      </c>
      <c r="C1497" s="21">
        <v>0</v>
      </c>
      <c r="D1497" s="20" t="str">
        <v>未匹配</v>
      </c>
      <c r="E1497" s="20">
        <v>0</v>
      </c>
    </row>
    <row r="1498" spans="1:5">
      <c r="A1498" s="20" t="str">
        <v>00:00:00</v>
      </c>
      <c r="B1498" s="19">
        <v>0</v>
      </c>
      <c r="C1498" s="21">
        <v>0</v>
      </c>
      <c r="D1498" s="20" t="str">
        <v>未匹配</v>
      </c>
      <c r="E1498" s="20">
        <v>0</v>
      </c>
    </row>
    <row r="1499" spans="1:5">
      <c r="A1499" s="20" t="str">
        <v>00:00:00</v>
      </c>
      <c r="B1499" s="19">
        <v>0</v>
      </c>
      <c r="C1499" s="21">
        <v>0</v>
      </c>
      <c r="D1499" s="20" t="str">
        <v>未匹配</v>
      </c>
      <c r="E1499" s="20">
        <v>0</v>
      </c>
    </row>
    <row r="1500" spans="1:5">
      <c r="A1500" s="20" t="str">
        <v>00:00:00</v>
      </c>
      <c r="B1500" s="19">
        <v>0</v>
      </c>
      <c r="C1500" s="21">
        <v>0</v>
      </c>
      <c r="D1500" s="20" t="str">
        <v>未匹配</v>
      </c>
      <c r="E1500" s="20">
        <v>0</v>
      </c>
    </row>
    <row r="1501" spans="1:5">
      <c r="A1501" s="20" t="str">
        <v>00:00:00</v>
      </c>
      <c r="B1501" s="19">
        <v>0</v>
      </c>
      <c r="C1501" s="21">
        <v>0</v>
      </c>
      <c r="D1501" s="20" t="str">
        <v>未匹配</v>
      </c>
      <c r="E1501" s="20">
        <v>0</v>
      </c>
    </row>
    <row r="1502" spans="1:5">
      <c r="A1502" s="20" t="str">
        <v>00:00:00</v>
      </c>
      <c r="B1502" s="19">
        <v>0</v>
      </c>
      <c r="C1502" s="21">
        <v>0</v>
      </c>
      <c r="D1502" s="20" t="str">
        <v>未匹配</v>
      </c>
      <c r="E1502" s="20">
        <v>0</v>
      </c>
    </row>
    <row r="1503" spans="1:5">
      <c r="A1503" s="20" t="str">
        <v>00:00:00</v>
      </c>
      <c r="B1503" s="19">
        <v>0</v>
      </c>
      <c r="C1503" s="21">
        <v>0</v>
      </c>
      <c r="D1503" s="20" t="str">
        <v>未匹配</v>
      </c>
      <c r="E1503" s="20">
        <v>0</v>
      </c>
    </row>
    <row r="1504" spans="1:5">
      <c r="A1504" s="20" t="str">
        <v>00:00:00</v>
      </c>
      <c r="B1504" s="19">
        <v>0</v>
      </c>
      <c r="C1504" s="21">
        <v>0</v>
      </c>
      <c r="D1504" s="20" t="str">
        <v>未匹配</v>
      </c>
      <c r="E1504" s="20">
        <v>0</v>
      </c>
    </row>
    <row r="1505" spans="1:5">
      <c r="A1505" s="20" t="str">
        <v>00:00:00</v>
      </c>
      <c r="B1505" s="19">
        <v>0</v>
      </c>
      <c r="C1505" s="21">
        <v>0</v>
      </c>
      <c r="D1505" s="20" t="str">
        <v>未匹配</v>
      </c>
      <c r="E1505" s="20">
        <v>0</v>
      </c>
    </row>
    <row r="1506" spans="1:5">
      <c r="A1506" s="20" t="str">
        <v>00:00:00</v>
      </c>
      <c r="B1506" s="19">
        <v>0</v>
      </c>
      <c r="C1506" s="21">
        <v>0</v>
      </c>
      <c r="D1506" s="20" t="str">
        <v>未匹配</v>
      </c>
      <c r="E1506" s="20">
        <v>0</v>
      </c>
    </row>
    <row r="1507" spans="1:5">
      <c r="A1507" s="20" t="str">
        <v>00:00:00</v>
      </c>
      <c r="B1507" s="19">
        <v>0</v>
      </c>
      <c r="C1507" s="21">
        <v>0</v>
      </c>
      <c r="D1507" s="20" t="str">
        <v>未匹配</v>
      </c>
      <c r="E1507" s="20">
        <v>0</v>
      </c>
    </row>
    <row r="1508" spans="1:5">
      <c r="A1508" s="20" t="str">
        <v>00:00:00</v>
      </c>
      <c r="B1508" s="19">
        <v>0</v>
      </c>
      <c r="C1508" s="21">
        <v>0</v>
      </c>
      <c r="D1508" s="20" t="str">
        <v>未匹配</v>
      </c>
      <c r="E1508" s="20">
        <v>0</v>
      </c>
    </row>
    <row r="1509" spans="1:5">
      <c r="A1509" s="20" t="str">
        <v>00:00:00</v>
      </c>
      <c r="B1509" s="19">
        <v>0</v>
      </c>
      <c r="C1509" s="21">
        <v>0</v>
      </c>
      <c r="D1509" s="20" t="str">
        <v>未匹配</v>
      </c>
      <c r="E1509" s="20">
        <v>0</v>
      </c>
    </row>
    <row r="1510" spans="1:5">
      <c r="A1510" s="20" t="str">
        <v>00:00:00</v>
      </c>
      <c r="B1510" s="19">
        <v>0</v>
      </c>
      <c r="C1510" s="21">
        <v>0</v>
      </c>
      <c r="D1510" s="20" t="str">
        <v>未匹配</v>
      </c>
      <c r="E1510" s="20">
        <v>0</v>
      </c>
    </row>
    <row r="1511" spans="1:5">
      <c r="A1511" s="20" t="str">
        <v>00:00:00</v>
      </c>
      <c r="B1511" s="19">
        <v>0</v>
      </c>
      <c r="C1511" s="21">
        <v>0</v>
      </c>
      <c r="D1511" s="20" t="str">
        <v>未匹配</v>
      </c>
      <c r="E1511" s="20">
        <v>0</v>
      </c>
    </row>
    <row r="1512" spans="1:5">
      <c r="A1512" s="20" t="str">
        <v>00:00:00</v>
      </c>
      <c r="B1512" s="19">
        <v>0</v>
      </c>
      <c r="C1512" s="21">
        <v>0</v>
      </c>
      <c r="D1512" s="20" t="str">
        <v>未匹配</v>
      </c>
      <c r="E1512" s="20">
        <v>0</v>
      </c>
    </row>
    <row r="1513" spans="1:5">
      <c r="A1513" s="20" t="str">
        <v>00:00:00</v>
      </c>
      <c r="B1513" s="19">
        <v>0</v>
      </c>
      <c r="C1513" s="21">
        <v>0</v>
      </c>
      <c r="D1513" s="20" t="str">
        <v>未匹配</v>
      </c>
      <c r="E1513" s="20">
        <v>0</v>
      </c>
    </row>
    <row r="1514" spans="1:5">
      <c r="A1514" s="20" t="str">
        <v>00:00:00</v>
      </c>
      <c r="B1514" s="19">
        <v>0</v>
      </c>
      <c r="C1514" s="21">
        <v>0</v>
      </c>
      <c r="D1514" s="20" t="str">
        <v>未匹配</v>
      </c>
      <c r="E1514" s="20">
        <v>0</v>
      </c>
    </row>
    <row r="1515" spans="1:5">
      <c r="A1515" s="20" t="str">
        <v>00:00:00</v>
      </c>
      <c r="B1515" s="19">
        <v>0</v>
      </c>
      <c r="C1515" s="21">
        <v>0</v>
      </c>
      <c r="D1515" s="20" t="str">
        <v>未匹配</v>
      </c>
      <c r="E1515" s="20">
        <v>0</v>
      </c>
    </row>
    <row r="1516" spans="1:5">
      <c r="A1516" s="20" t="str">
        <v>00:00:00</v>
      </c>
      <c r="B1516" s="19">
        <v>0</v>
      </c>
      <c r="C1516" s="21">
        <v>0</v>
      </c>
      <c r="D1516" s="20" t="str">
        <v>未匹配</v>
      </c>
      <c r="E1516" s="20">
        <v>0</v>
      </c>
    </row>
    <row r="1517" spans="1:5">
      <c r="A1517" s="20" t="str">
        <v>00:00:00</v>
      </c>
      <c r="B1517" s="19">
        <v>0</v>
      </c>
      <c r="C1517" s="21">
        <v>0</v>
      </c>
      <c r="D1517" s="20" t="str">
        <v>未匹配</v>
      </c>
      <c r="E1517" s="20">
        <v>0</v>
      </c>
    </row>
    <row r="1518" spans="1:5">
      <c r="A1518" s="20" t="str">
        <v>00:00:00</v>
      </c>
      <c r="B1518" s="19">
        <v>0</v>
      </c>
      <c r="C1518" s="21">
        <v>0</v>
      </c>
      <c r="D1518" s="20" t="str">
        <v>未匹配</v>
      </c>
      <c r="E1518" s="20">
        <v>0</v>
      </c>
    </row>
    <row r="1519" spans="1:5">
      <c r="A1519" s="20" t="str">
        <v>00:00:00</v>
      </c>
      <c r="B1519" s="19">
        <v>0</v>
      </c>
      <c r="C1519" s="21">
        <v>0</v>
      </c>
      <c r="D1519" s="20" t="str">
        <v>未匹配</v>
      </c>
      <c r="E1519" s="20">
        <v>0</v>
      </c>
    </row>
    <row r="1520" spans="1:5">
      <c r="A1520" s="20" t="str">
        <v>00:00:00</v>
      </c>
      <c r="B1520" s="19">
        <v>0</v>
      </c>
      <c r="C1520" s="21">
        <v>0</v>
      </c>
      <c r="D1520" s="20" t="str">
        <v>未匹配</v>
      </c>
      <c r="E1520" s="20">
        <v>0</v>
      </c>
    </row>
    <row r="1521" spans="1:5">
      <c r="A1521" s="20" t="str">
        <v>00:00:00</v>
      </c>
      <c r="B1521" s="19">
        <v>0</v>
      </c>
      <c r="C1521" s="21">
        <v>0</v>
      </c>
      <c r="D1521" s="20" t="str">
        <v>未匹配</v>
      </c>
      <c r="E1521" s="20">
        <v>0</v>
      </c>
    </row>
    <row r="1522" spans="1:5">
      <c r="A1522" s="20" t="str">
        <v>00:00:00</v>
      </c>
      <c r="B1522" s="19">
        <v>0</v>
      </c>
      <c r="C1522" s="21">
        <v>0</v>
      </c>
      <c r="D1522" s="20" t="str">
        <v>未匹配</v>
      </c>
      <c r="E1522" s="20">
        <v>0</v>
      </c>
    </row>
    <row r="1523" spans="1:5">
      <c r="A1523" s="20" t="str">
        <v>00:00:00</v>
      </c>
      <c r="B1523" s="19">
        <v>0</v>
      </c>
      <c r="C1523" s="21">
        <v>0</v>
      </c>
      <c r="D1523" s="20" t="str">
        <v>未匹配</v>
      </c>
      <c r="E1523" s="20">
        <v>0</v>
      </c>
    </row>
    <row r="1524" spans="1:5">
      <c r="A1524" s="20" t="str">
        <v>00:00:00</v>
      </c>
      <c r="B1524" s="19">
        <v>0</v>
      </c>
      <c r="C1524" s="21">
        <v>0</v>
      </c>
      <c r="D1524" s="20" t="str">
        <v>未匹配</v>
      </c>
      <c r="E1524" s="20">
        <v>0</v>
      </c>
    </row>
    <row r="1525" spans="1:5">
      <c r="A1525" s="20" t="str">
        <v>00:00:00</v>
      </c>
      <c r="B1525" s="19">
        <v>0</v>
      </c>
      <c r="C1525" s="21">
        <v>0</v>
      </c>
      <c r="D1525" s="20" t="str">
        <v>未匹配</v>
      </c>
      <c r="E1525" s="20">
        <v>0</v>
      </c>
    </row>
    <row r="1526" spans="1:5">
      <c r="A1526" s="20" t="str">
        <v>00:00:00</v>
      </c>
      <c r="B1526" s="19">
        <v>0</v>
      </c>
      <c r="C1526" s="21">
        <v>0</v>
      </c>
      <c r="D1526" s="20" t="str">
        <v>未匹配</v>
      </c>
      <c r="E1526" s="20">
        <v>0</v>
      </c>
    </row>
    <row r="1527" spans="1:5">
      <c r="A1527" s="20" t="str">
        <v>00:00:00</v>
      </c>
      <c r="B1527" s="19">
        <v>0</v>
      </c>
      <c r="C1527" s="21">
        <v>0</v>
      </c>
      <c r="D1527" s="20" t="str">
        <v>未匹配</v>
      </c>
      <c r="E1527" s="20">
        <v>0</v>
      </c>
    </row>
    <row r="1528" spans="1:5">
      <c r="A1528" s="20" t="str">
        <v>00:00:00</v>
      </c>
      <c r="B1528" s="19">
        <v>0</v>
      </c>
      <c r="C1528" s="21">
        <v>0</v>
      </c>
      <c r="D1528" s="20" t="str">
        <v>未匹配</v>
      </c>
      <c r="E1528" s="20">
        <v>0</v>
      </c>
    </row>
    <row r="1529" spans="1:5">
      <c r="A1529" s="20" t="str">
        <v>00:00:00</v>
      </c>
      <c r="B1529" s="19">
        <v>0</v>
      </c>
      <c r="C1529" s="21">
        <v>0</v>
      </c>
      <c r="D1529" s="20" t="str">
        <v>未匹配</v>
      </c>
      <c r="E1529" s="20">
        <v>0</v>
      </c>
    </row>
    <row r="1530" spans="1:5">
      <c r="A1530" s="20" t="str">
        <v>00:00:00</v>
      </c>
      <c r="B1530" s="19">
        <v>0</v>
      </c>
      <c r="C1530" s="21">
        <v>0</v>
      </c>
      <c r="D1530" s="20" t="str">
        <v>未匹配</v>
      </c>
      <c r="E1530" s="20">
        <v>0</v>
      </c>
    </row>
    <row r="1531" spans="1:5">
      <c r="A1531" s="20" t="str">
        <v>00:00:00</v>
      </c>
      <c r="B1531" s="19">
        <v>0</v>
      </c>
      <c r="C1531" s="21">
        <v>0</v>
      </c>
      <c r="D1531" s="20" t="str">
        <v>未匹配</v>
      </c>
      <c r="E1531" s="20">
        <v>0</v>
      </c>
    </row>
    <row r="1532" spans="1:5">
      <c r="A1532" s="20" t="str">
        <v>00:00:00</v>
      </c>
      <c r="B1532" s="19">
        <v>0</v>
      </c>
      <c r="C1532" s="21">
        <v>0</v>
      </c>
      <c r="D1532" s="20" t="str">
        <v>未匹配</v>
      </c>
      <c r="E1532" s="20">
        <v>0</v>
      </c>
    </row>
    <row r="1533" spans="1:5">
      <c r="A1533" s="20" t="str">
        <v>00:00:00</v>
      </c>
      <c r="B1533" s="19">
        <v>0</v>
      </c>
      <c r="C1533" s="21">
        <v>0</v>
      </c>
      <c r="D1533" s="20" t="str">
        <v>未匹配</v>
      </c>
      <c r="E1533" s="20">
        <v>0</v>
      </c>
    </row>
    <row r="1534" spans="1:5">
      <c r="A1534" s="20" t="str">
        <v>00:00:00</v>
      </c>
      <c r="B1534" s="19">
        <v>0</v>
      </c>
      <c r="C1534" s="21">
        <v>0</v>
      </c>
      <c r="D1534" s="20" t="str">
        <v>未匹配</v>
      </c>
      <c r="E1534" s="20">
        <v>0</v>
      </c>
    </row>
    <row r="1535" spans="1:5">
      <c r="A1535" s="20" t="str">
        <v>00:00:00</v>
      </c>
      <c r="B1535" s="19">
        <v>0</v>
      </c>
      <c r="C1535" s="21">
        <v>0</v>
      </c>
      <c r="D1535" s="20" t="str">
        <v>未匹配</v>
      </c>
      <c r="E1535" s="20">
        <v>0</v>
      </c>
    </row>
    <row r="1536" spans="1:5">
      <c r="A1536" s="20" t="str">
        <v>00:00:00</v>
      </c>
      <c r="B1536" s="19">
        <v>0</v>
      </c>
      <c r="C1536" s="21">
        <v>0</v>
      </c>
      <c r="D1536" s="20" t="str">
        <v>未匹配</v>
      </c>
      <c r="E1536" s="20">
        <v>0</v>
      </c>
    </row>
    <row r="1537" spans="1:5">
      <c r="A1537" s="20" t="str">
        <v>00:00:00</v>
      </c>
      <c r="B1537" s="19">
        <v>0</v>
      </c>
      <c r="C1537" s="21">
        <v>0</v>
      </c>
      <c r="D1537" s="20" t="str">
        <v>未匹配</v>
      </c>
      <c r="E1537" s="20">
        <v>0</v>
      </c>
    </row>
    <row r="1538" spans="1:5">
      <c r="A1538" s="20" t="str">
        <v>00:00:00</v>
      </c>
      <c r="B1538" s="19">
        <v>0</v>
      </c>
      <c r="C1538" s="21">
        <v>0</v>
      </c>
      <c r="D1538" s="20" t="str">
        <v>未匹配</v>
      </c>
      <c r="E1538" s="20">
        <v>0</v>
      </c>
    </row>
    <row r="1539" spans="1:5">
      <c r="A1539" s="20" t="str">
        <v>00:00:00</v>
      </c>
      <c r="B1539" s="19">
        <v>0</v>
      </c>
      <c r="C1539" s="21">
        <v>0</v>
      </c>
      <c r="D1539" s="20" t="str">
        <v>未匹配</v>
      </c>
      <c r="E1539" s="20">
        <v>0</v>
      </c>
    </row>
    <row r="1540" spans="1:5">
      <c r="A1540" s="20" t="str">
        <v>00:00:00</v>
      </c>
      <c r="B1540" s="19">
        <v>0</v>
      </c>
      <c r="C1540" s="21">
        <v>0</v>
      </c>
      <c r="D1540" s="20" t="str">
        <v>未匹配</v>
      </c>
      <c r="E1540" s="20">
        <v>0</v>
      </c>
    </row>
    <row r="1541" spans="1:5">
      <c r="A1541" s="20" t="str">
        <v>00:00:00</v>
      </c>
      <c r="B1541" s="19">
        <v>0</v>
      </c>
      <c r="C1541" s="21">
        <v>0</v>
      </c>
      <c r="D1541" s="20" t="str">
        <v>未匹配</v>
      </c>
      <c r="E1541" s="20">
        <v>0</v>
      </c>
    </row>
    <row r="1542" spans="1:5">
      <c r="A1542" s="20" t="str">
        <v>00:00:00</v>
      </c>
      <c r="B1542" s="19">
        <v>0</v>
      </c>
      <c r="C1542" s="21">
        <v>0</v>
      </c>
      <c r="D1542" s="20" t="str">
        <v>未匹配</v>
      </c>
      <c r="E1542" s="20">
        <v>0</v>
      </c>
    </row>
    <row r="1543" spans="1:5">
      <c r="A1543" s="20" t="str">
        <v>00:00:00</v>
      </c>
      <c r="B1543" s="19">
        <v>0</v>
      </c>
      <c r="C1543" s="21">
        <v>0</v>
      </c>
      <c r="D1543" s="20" t="str">
        <v>未匹配</v>
      </c>
      <c r="E1543" s="20">
        <v>0</v>
      </c>
    </row>
    <row r="1544" spans="1:5">
      <c r="A1544" s="20" t="str">
        <v>00:00:00</v>
      </c>
      <c r="B1544" s="19">
        <v>0</v>
      </c>
      <c r="C1544" s="21">
        <v>0</v>
      </c>
      <c r="D1544" s="20" t="str">
        <v>未匹配</v>
      </c>
      <c r="E1544" s="20">
        <v>0</v>
      </c>
    </row>
    <row r="1545" spans="1:5">
      <c r="A1545" s="20" t="str">
        <v>00:00:00</v>
      </c>
      <c r="B1545" s="19">
        <v>0</v>
      </c>
      <c r="C1545" s="21">
        <v>0</v>
      </c>
      <c r="D1545" s="20" t="str">
        <v>未匹配</v>
      </c>
      <c r="E1545" s="20">
        <v>0</v>
      </c>
    </row>
    <row r="1546" spans="1:5">
      <c r="A1546" s="20" t="str">
        <v>00:00:00</v>
      </c>
      <c r="B1546" s="19">
        <v>0</v>
      </c>
      <c r="C1546" s="21">
        <v>0</v>
      </c>
      <c r="D1546" s="20" t="str">
        <v>未匹配</v>
      </c>
      <c r="E1546" s="20">
        <v>0</v>
      </c>
    </row>
    <row r="1547" spans="1:5">
      <c r="A1547" s="20" t="str">
        <v>00:00:00</v>
      </c>
      <c r="B1547" s="19">
        <v>0</v>
      </c>
      <c r="C1547" s="21">
        <v>0</v>
      </c>
      <c r="D1547" s="20" t="str">
        <v>未匹配</v>
      </c>
      <c r="E1547" s="20">
        <v>0</v>
      </c>
    </row>
    <row r="1548" spans="1:5">
      <c r="A1548" s="20" t="str">
        <v>00:00:00</v>
      </c>
      <c r="B1548" s="19">
        <v>0</v>
      </c>
      <c r="C1548" s="21">
        <v>0</v>
      </c>
      <c r="D1548" s="20" t="str">
        <v>未匹配</v>
      </c>
      <c r="E1548" s="20">
        <v>0</v>
      </c>
    </row>
    <row r="1549" spans="1:5">
      <c r="A1549" s="20" t="str">
        <v>00:00:00</v>
      </c>
      <c r="B1549" s="19">
        <v>0</v>
      </c>
      <c r="C1549" s="21">
        <v>0</v>
      </c>
      <c r="D1549" s="20" t="str">
        <v>未匹配</v>
      </c>
      <c r="E1549" s="20">
        <v>0</v>
      </c>
    </row>
    <row r="1550" spans="1:5">
      <c r="A1550" s="20" t="str">
        <v>00:00:00</v>
      </c>
      <c r="B1550" s="19">
        <v>0</v>
      </c>
      <c r="C1550" s="21">
        <v>0</v>
      </c>
      <c r="D1550" s="20" t="str">
        <v>未匹配</v>
      </c>
      <c r="E1550" s="20">
        <v>0</v>
      </c>
    </row>
    <row r="1551" spans="1:5">
      <c r="A1551" s="20" t="str">
        <v>00:00:00</v>
      </c>
      <c r="B1551" s="19">
        <v>0</v>
      </c>
      <c r="C1551" s="21">
        <v>0</v>
      </c>
      <c r="D1551" s="20" t="str">
        <v>未匹配</v>
      </c>
      <c r="E1551" s="20">
        <v>0</v>
      </c>
    </row>
    <row r="1552" spans="1:5">
      <c r="A1552" s="20" t="str">
        <v>00:00:00</v>
      </c>
      <c r="B1552" s="19">
        <v>0</v>
      </c>
      <c r="C1552" s="21">
        <v>0</v>
      </c>
      <c r="D1552" s="20" t="str">
        <v>未匹配</v>
      </c>
      <c r="E1552" s="20">
        <v>0</v>
      </c>
    </row>
    <row r="1553" spans="1:5">
      <c r="A1553" s="20" t="str">
        <v>00:00:00</v>
      </c>
      <c r="B1553" s="19">
        <v>0</v>
      </c>
      <c r="C1553" s="21">
        <v>0</v>
      </c>
      <c r="D1553" s="20" t="str">
        <v>未匹配</v>
      </c>
      <c r="E1553" s="20">
        <v>0</v>
      </c>
    </row>
    <row r="1554" spans="1:5">
      <c r="A1554" s="20" t="str">
        <v>00:00:00</v>
      </c>
      <c r="B1554" s="19">
        <v>0</v>
      </c>
      <c r="C1554" s="21">
        <v>0</v>
      </c>
      <c r="D1554" s="20" t="str">
        <v>未匹配</v>
      </c>
      <c r="E1554" s="20">
        <v>0</v>
      </c>
    </row>
    <row r="1555" spans="1:5">
      <c r="A1555" s="20" t="str">
        <v>00:00:00</v>
      </c>
      <c r="B1555" s="19">
        <v>0</v>
      </c>
      <c r="C1555" s="21">
        <v>0</v>
      </c>
      <c r="D1555" s="20" t="str">
        <v>未匹配</v>
      </c>
      <c r="E1555" s="20">
        <v>0</v>
      </c>
    </row>
    <row r="1556" spans="1:5">
      <c r="A1556" s="20" t="str">
        <v>00:00:00</v>
      </c>
      <c r="B1556" s="19">
        <v>0</v>
      </c>
      <c r="C1556" s="21">
        <v>0</v>
      </c>
      <c r="D1556" s="20" t="str">
        <v>未匹配</v>
      </c>
      <c r="E1556" s="20">
        <v>0</v>
      </c>
    </row>
    <row r="1557" spans="1:5">
      <c r="A1557" s="20" t="str">
        <v>00:00:00</v>
      </c>
      <c r="B1557" s="19">
        <v>0</v>
      </c>
      <c r="C1557" s="21">
        <v>0</v>
      </c>
      <c r="D1557" s="20" t="str">
        <v>未匹配</v>
      </c>
      <c r="E1557" s="20">
        <v>0</v>
      </c>
    </row>
    <row r="1558" spans="1:5">
      <c r="A1558" s="20" t="str">
        <v>00:00:00</v>
      </c>
      <c r="B1558" s="19">
        <v>0</v>
      </c>
      <c r="C1558" s="21">
        <v>0</v>
      </c>
      <c r="D1558" s="20" t="str">
        <v>未匹配</v>
      </c>
      <c r="E1558" s="20">
        <v>0</v>
      </c>
    </row>
    <row r="1559" spans="1:5">
      <c r="A1559" s="20" t="str">
        <v>00:00:00</v>
      </c>
      <c r="B1559" s="19">
        <v>0</v>
      </c>
      <c r="C1559" s="21">
        <v>0</v>
      </c>
      <c r="D1559" s="20" t="str">
        <v>未匹配</v>
      </c>
      <c r="E1559" s="20">
        <v>0</v>
      </c>
    </row>
    <row r="1560" spans="1:5">
      <c r="A1560" s="20" t="str">
        <v>00:00:00</v>
      </c>
      <c r="B1560" s="19">
        <v>0</v>
      </c>
      <c r="C1560" s="21">
        <v>0</v>
      </c>
      <c r="D1560" s="20" t="str">
        <v>未匹配</v>
      </c>
      <c r="E1560" s="20">
        <v>0</v>
      </c>
    </row>
    <row r="1561" spans="1:5">
      <c r="A1561" s="20" t="str">
        <v>00:00:00</v>
      </c>
      <c r="B1561" s="19">
        <v>0</v>
      </c>
      <c r="C1561" s="21">
        <v>0</v>
      </c>
      <c r="D1561" s="20" t="str">
        <v>未匹配</v>
      </c>
      <c r="E1561" s="20">
        <v>0</v>
      </c>
    </row>
    <row r="1562" spans="1:5">
      <c r="A1562" s="20" t="str">
        <v>00:00:00</v>
      </c>
      <c r="B1562" s="19">
        <v>0</v>
      </c>
      <c r="C1562" s="21">
        <v>0</v>
      </c>
      <c r="D1562" s="20" t="str">
        <v>未匹配</v>
      </c>
      <c r="E1562" s="20">
        <v>0</v>
      </c>
    </row>
    <row r="1563" spans="1:5">
      <c r="A1563" s="20" t="str">
        <v>00:00:00</v>
      </c>
      <c r="B1563" s="19">
        <v>0</v>
      </c>
      <c r="C1563" s="21">
        <v>0</v>
      </c>
      <c r="D1563" s="20" t="str">
        <v>未匹配</v>
      </c>
      <c r="E1563" s="20">
        <v>0</v>
      </c>
    </row>
    <row r="1564" spans="1:5">
      <c r="A1564" s="20" t="str">
        <v>00:00:00</v>
      </c>
      <c r="B1564" s="19">
        <v>0</v>
      </c>
      <c r="C1564" s="21">
        <v>0</v>
      </c>
      <c r="D1564" s="20" t="str">
        <v>未匹配</v>
      </c>
      <c r="E1564" s="20">
        <v>0</v>
      </c>
    </row>
    <row r="1565" spans="1:5">
      <c r="A1565" s="20" t="str">
        <v>00:00:00</v>
      </c>
      <c r="B1565" s="19">
        <v>0</v>
      </c>
      <c r="C1565" s="21">
        <v>0</v>
      </c>
      <c r="D1565" s="20" t="str">
        <v>未匹配</v>
      </c>
      <c r="E1565" s="20">
        <v>0</v>
      </c>
    </row>
    <row r="1566" spans="1:5">
      <c r="A1566" s="20" t="str">
        <v>00:00:00</v>
      </c>
      <c r="B1566" s="19">
        <v>0</v>
      </c>
      <c r="C1566" s="21">
        <v>0</v>
      </c>
      <c r="D1566" s="20" t="str">
        <v>未匹配</v>
      </c>
      <c r="E1566" s="20">
        <v>0</v>
      </c>
    </row>
    <row r="1567" spans="1:5">
      <c r="A1567" s="20" t="str">
        <v>00:00:00</v>
      </c>
      <c r="B1567" s="19">
        <v>0</v>
      </c>
      <c r="C1567" s="21">
        <v>0</v>
      </c>
      <c r="D1567" s="20" t="str">
        <v>未匹配</v>
      </c>
      <c r="E1567" s="20">
        <v>0</v>
      </c>
    </row>
    <row r="1568" spans="1:5">
      <c r="A1568" s="20" t="str">
        <v>00:00:00</v>
      </c>
      <c r="B1568" s="19">
        <v>0</v>
      </c>
      <c r="C1568" s="21">
        <v>0</v>
      </c>
      <c r="D1568" s="20" t="str">
        <v>未匹配</v>
      </c>
      <c r="E1568" s="20">
        <v>0</v>
      </c>
    </row>
    <row r="1569" spans="1:5">
      <c r="A1569" s="20" t="str">
        <v>00:00:00</v>
      </c>
      <c r="B1569" s="19">
        <v>0</v>
      </c>
      <c r="C1569" s="21">
        <v>0</v>
      </c>
      <c r="D1569" s="20" t="str">
        <v>未匹配</v>
      </c>
      <c r="E1569" s="20">
        <v>0</v>
      </c>
    </row>
    <row r="1570" spans="1:5">
      <c r="A1570" s="20" t="str">
        <v>00:00:00</v>
      </c>
      <c r="B1570" s="19">
        <v>0</v>
      </c>
      <c r="C1570" s="21">
        <v>0</v>
      </c>
      <c r="D1570" s="20" t="str">
        <v>未匹配</v>
      </c>
      <c r="E1570" s="20">
        <v>0</v>
      </c>
    </row>
    <row r="1571" spans="1:5">
      <c r="A1571" s="20" t="str">
        <v>00:00:00</v>
      </c>
      <c r="B1571" s="19">
        <v>0</v>
      </c>
      <c r="C1571" s="21">
        <v>0</v>
      </c>
      <c r="D1571" s="20" t="str">
        <v>未匹配</v>
      </c>
      <c r="E1571" s="20">
        <v>0</v>
      </c>
    </row>
    <row r="1572" spans="1:5">
      <c r="A1572" s="20" t="str">
        <v>00:00:00</v>
      </c>
      <c r="B1572" s="19">
        <v>0</v>
      </c>
      <c r="C1572" s="21">
        <v>0</v>
      </c>
      <c r="D1572" s="20" t="str">
        <v>未匹配</v>
      </c>
      <c r="E1572" s="20">
        <v>0</v>
      </c>
    </row>
    <row r="1573" spans="1:5">
      <c r="A1573" s="20" t="str">
        <v>00:00:00</v>
      </c>
      <c r="B1573" s="19">
        <v>0</v>
      </c>
      <c r="C1573" s="21">
        <v>0</v>
      </c>
      <c r="D1573" s="20" t="str">
        <v>未匹配</v>
      </c>
      <c r="E1573" s="20">
        <v>0</v>
      </c>
    </row>
    <row r="1574" spans="1:5">
      <c r="A1574" s="20" t="str">
        <v>00:00:00</v>
      </c>
      <c r="B1574" s="19">
        <v>0</v>
      </c>
      <c r="C1574" s="21">
        <v>0</v>
      </c>
      <c r="D1574" s="20" t="str">
        <v>未匹配</v>
      </c>
      <c r="E1574" s="20">
        <v>0</v>
      </c>
    </row>
    <row r="1575" spans="1:5">
      <c r="A1575" s="20" t="str">
        <v>00:00:00</v>
      </c>
      <c r="B1575" s="19">
        <v>0</v>
      </c>
      <c r="C1575" s="21">
        <v>0</v>
      </c>
      <c r="D1575" s="20" t="str">
        <v>未匹配</v>
      </c>
      <c r="E1575" s="20">
        <v>0</v>
      </c>
    </row>
    <row r="1576" spans="1:5">
      <c r="A1576" s="20" t="str">
        <v>00:00:00</v>
      </c>
      <c r="B1576" s="19">
        <v>0</v>
      </c>
      <c r="C1576" s="21">
        <v>0</v>
      </c>
      <c r="D1576" s="20" t="str">
        <v>未匹配</v>
      </c>
      <c r="E1576" s="20">
        <v>0</v>
      </c>
    </row>
    <row r="1577" spans="1:5">
      <c r="A1577" s="20" t="str">
        <v>00:00:00</v>
      </c>
      <c r="B1577" s="19">
        <v>0</v>
      </c>
      <c r="C1577" s="21">
        <v>0</v>
      </c>
      <c r="D1577" s="20" t="str">
        <v>未匹配</v>
      </c>
      <c r="E1577" s="20">
        <v>0</v>
      </c>
    </row>
    <row r="1578" spans="1:5">
      <c r="A1578" s="20" t="str">
        <v>00:00:00</v>
      </c>
      <c r="B1578" s="19">
        <v>0</v>
      </c>
      <c r="C1578" s="21">
        <v>0</v>
      </c>
      <c r="D1578" s="20" t="str">
        <v>未匹配</v>
      </c>
      <c r="E1578" s="20">
        <v>0</v>
      </c>
    </row>
    <row r="1579" spans="1:5">
      <c r="A1579" s="20" t="str">
        <v>00:00:00</v>
      </c>
      <c r="B1579" s="19">
        <v>0</v>
      </c>
      <c r="C1579" s="21">
        <v>0</v>
      </c>
      <c r="D1579" s="20" t="str">
        <v>未匹配</v>
      </c>
      <c r="E1579" s="20">
        <v>0</v>
      </c>
    </row>
    <row r="1580" spans="1:5">
      <c r="A1580" s="20" t="str">
        <v>00:00:00</v>
      </c>
      <c r="B1580" s="19">
        <v>0</v>
      </c>
      <c r="C1580" s="21">
        <v>0</v>
      </c>
      <c r="D1580" s="20" t="str">
        <v>未匹配</v>
      </c>
      <c r="E1580" s="20">
        <v>0</v>
      </c>
    </row>
    <row r="1581" spans="1:5">
      <c r="A1581" s="20" t="str">
        <v>00:00:00</v>
      </c>
      <c r="B1581" s="19">
        <v>0</v>
      </c>
      <c r="C1581" s="21">
        <v>0</v>
      </c>
      <c r="D1581" s="20" t="str">
        <v>未匹配</v>
      </c>
      <c r="E1581" s="20">
        <v>0</v>
      </c>
    </row>
    <row r="1582" spans="1:5">
      <c r="A1582" s="20" t="str">
        <v>00:00:00</v>
      </c>
      <c r="B1582" s="19">
        <v>0</v>
      </c>
      <c r="C1582" s="21">
        <v>0</v>
      </c>
      <c r="D1582" s="20" t="str">
        <v>未匹配</v>
      </c>
      <c r="E1582" s="20">
        <v>0</v>
      </c>
    </row>
    <row r="1583" spans="1:5">
      <c r="A1583" s="20" t="str">
        <v>00:00:00</v>
      </c>
      <c r="B1583" s="19">
        <v>0</v>
      </c>
      <c r="C1583" s="21">
        <v>0</v>
      </c>
      <c r="D1583" s="20" t="str">
        <v>未匹配</v>
      </c>
      <c r="E1583" s="20">
        <v>0</v>
      </c>
    </row>
    <row r="1584" spans="1:5">
      <c r="A1584" s="20" t="str">
        <v>00:00:00</v>
      </c>
      <c r="B1584" s="19">
        <v>0</v>
      </c>
      <c r="C1584" s="21">
        <v>0</v>
      </c>
      <c r="D1584" s="20" t="str">
        <v>未匹配</v>
      </c>
      <c r="E1584" s="20">
        <v>0</v>
      </c>
    </row>
    <row r="1585" spans="1:5">
      <c r="A1585" s="20" t="str">
        <v>00:00:00</v>
      </c>
      <c r="B1585" s="19">
        <v>0</v>
      </c>
      <c r="C1585" s="21">
        <v>0</v>
      </c>
      <c r="D1585" s="20" t="str">
        <v>未匹配</v>
      </c>
      <c r="E1585" s="20">
        <v>0</v>
      </c>
    </row>
    <row r="1586" spans="1:5">
      <c r="A1586" s="20" t="str">
        <v>00:00:00</v>
      </c>
      <c r="B1586" s="19">
        <v>0</v>
      </c>
      <c r="C1586" s="21">
        <v>0</v>
      </c>
      <c r="D1586" s="20" t="str">
        <v>未匹配</v>
      </c>
      <c r="E1586" s="20">
        <v>0</v>
      </c>
    </row>
    <row r="1587" spans="1:5">
      <c r="A1587" s="20" t="str">
        <v>00:00:00</v>
      </c>
      <c r="B1587" s="19">
        <v>0</v>
      </c>
      <c r="C1587" s="21">
        <v>0</v>
      </c>
      <c r="D1587" s="20" t="str">
        <v>未匹配</v>
      </c>
      <c r="E1587" s="20">
        <v>0</v>
      </c>
    </row>
    <row r="1588" spans="1:5">
      <c r="A1588" s="20" t="str">
        <v>00:00:00</v>
      </c>
      <c r="B1588" s="19">
        <v>0</v>
      </c>
      <c r="C1588" s="21">
        <v>0</v>
      </c>
      <c r="D1588" s="20" t="str">
        <v>未匹配</v>
      </c>
      <c r="E1588" s="20">
        <v>0</v>
      </c>
    </row>
    <row r="1589" spans="1:5">
      <c r="A1589" s="20" t="str">
        <v>00:00:00</v>
      </c>
      <c r="B1589" s="19">
        <v>0</v>
      </c>
      <c r="C1589" s="21">
        <v>0</v>
      </c>
      <c r="D1589" s="20" t="str">
        <v>未匹配</v>
      </c>
      <c r="E1589" s="20">
        <v>0</v>
      </c>
    </row>
    <row r="1590" spans="1:5">
      <c r="A1590" s="20" t="str">
        <v>00:00:00</v>
      </c>
      <c r="B1590" s="19">
        <v>0</v>
      </c>
      <c r="C1590" s="21">
        <v>0</v>
      </c>
      <c r="D1590" s="20" t="str">
        <v>未匹配</v>
      </c>
      <c r="E1590" s="20">
        <v>0</v>
      </c>
    </row>
    <row r="1591" spans="1:5">
      <c r="A1591" s="20" t="str">
        <v>00:00:00</v>
      </c>
      <c r="B1591" s="19">
        <v>0</v>
      </c>
      <c r="C1591" s="21">
        <v>0</v>
      </c>
      <c r="D1591" s="20" t="str">
        <v>未匹配</v>
      </c>
      <c r="E1591" s="20">
        <v>0</v>
      </c>
    </row>
    <row r="1592" spans="1:5">
      <c r="A1592" s="20" t="str">
        <v>00:00:00</v>
      </c>
      <c r="B1592" s="19">
        <v>0</v>
      </c>
      <c r="C1592" s="21">
        <v>0</v>
      </c>
      <c r="D1592" s="20" t="str">
        <v>未匹配</v>
      </c>
      <c r="E1592" s="20">
        <v>0</v>
      </c>
    </row>
    <row r="1593" spans="1:5">
      <c r="A1593" s="20" t="str">
        <v>00:00:00</v>
      </c>
      <c r="B1593" s="19">
        <v>0</v>
      </c>
      <c r="C1593" s="21">
        <v>0</v>
      </c>
      <c r="D1593" s="20" t="str">
        <v>未匹配</v>
      </c>
      <c r="E1593" s="20">
        <v>0</v>
      </c>
    </row>
    <row r="1594" spans="1:5">
      <c r="A1594" s="20" t="str">
        <v>00:00:00</v>
      </c>
      <c r="B1594" s="19">
        <v>0</v>
      </c>
      <c r="C1594" s="21">
        <v>0</v>
      </c>
      <c r="D1594" s="20" t="str">
        <v>未匹配</v>
      </c>
      <c r="E1594" s="20">
        <v>0</v>
      </c>
    </row>
    <row r="1595" spans="1:5">
      <c r="A1595" s="20" t="str">
        <v>00:00:00</v>
      </c>
      <c r="B1595" s="19">
        <v>0</v>
      </c>
      <c r="C1595" s="21">
        <v>0</v>
      </c>
      <c r="D1595" s="20" t="str">
        <v>未匹配</v>
      </c>
      <c r="E1595" s="20">
        <v>0</v>
      </c>
    </row>
    <row r="1596" spans="1:5">
      <c r="A1596" s="20" t="str">
        <v>00:00:00</v>
      </c>
      <c r="B1596" s="19">
        <v>0</v>
      </c>
      <c r="C1596" s="21">
        <v>0</v>
      </c>
      <c r="D1596" s="20" t="str">
        <v>未匹配</v>
      </c>
      <c r="E1596" s="20">
        <v>0</v>
      </c>
    </row>
    <row r="1597" spans="1:5">
      <c r="A1597" s="20" t="str">
        <v>00:00:00</v>
      </c>
      <c r="B1597" s="19">
        <v>0</v>
      </c>
      <c r="C1597" s="21">
        <v>0</v>
      </c>
      <c r="D1597" s="20" t="str">
        <v>未匹配</v>
      </c>
      <c r="E1597" s="20">
        <v>0</v>
      </c>
    </row>
    <row r="1598" spans="1:5">
      <c r="A1598" s="20" t="str">
        <v>00:00:00</v>
      </c>
      <c r="B1598" s="19">
        <v>0</v>
      </c>
      <c r="C1598" s="21">
        <v>0</v>
      </c>
      <c r="D1598" s="20" t="str">
        <v>未匹配</v>
      </c>
      <c r="E1598" s="20">
        <v>0</v>
      </c>
    </row>
    <row r="1599" spans="1:5">
      <c r="A1599" s="20" t="str">
        <v>00:00:00</v>
      </c>
      <c r="B1599" s="19">
        <v>0</v>
      </c>
      <c r="C1599" s="21">
        <v>0</v>
      </c>
      <c r="D1599" s="20" t="str">
        <v>未匹配</v>
      </c>
      <c r="E1599" s="20">
        <v>0</v>
      </c>
    </row>
    <row r="1600" spans="1:5">
      <c r="A1600" s="20" t="str">
        <v>00:00:00</v>
      </c>
      <c r="B1600" s="19">
        <v>0</v>
      </c>
      <c r="C1600" s="21">
        <v>0</v>
      </c>
      <c r="D1600" s="20" t="str">
        <v>未匹配</v>
      </c>
      <c r="E1600" s="20">
        <v>0</v>
      </c>
    </row>
    <row r="1601" spans="1:5">
      <c r="A1601" s="20" t="str">
        <v>00:00:00</v>
      </c>
      <c r="B1601" s="19">
        <v>0</v>
      </c>
      <c r="C1601" s="21">
        <v>0</v>
      </c>
      <c r="D1601" s="20" t="str">
        <v>未匹配</v>
      </c>
      <c r="E1601" s="20">
        <v>0</v>
      </c>
    </row>
    <row r="1602" spans="1:5">
      <c r="A1602" s="20" t="str">
        <v>00:00:00</v>
      </c>
      <c r="B1602" s="19">
        <v>0</v>
      </c>
      <c r="C1602" s="21">
        <v>0</v>
      </c>
      <c r="D1602" s="20" t="str">
        <v>未匹配</v>
      </c>
      <c r="E1602" s="20">
        <v>0</v>
      </c>
    </row>
    <row r="1603" spans="1:5">
      <c r="A1603" s="20" t="str">
        <v>00:00:00</v>
      </c>
      <c r="B1603" s="19">
        <v>0</v>
      </c>
      <c r="C1603" s="21">
        <v>0</v>
      </c>
      <c r="D1603" s="20" t="str">
        <v>未匹配</v>
      </c>
      <c r="E1603" s="20">
        <v>0</v>
      </c>
    </row>
    <row r="1604" spans="1:5">
      <c r="A1604" s="20" t="str">
        <v>00:00:00</v>
      </c>
      <c r="B1604" s="19">
        <v>0</v>
      </c>
      <c r="C1604" s="21">
        <v>0</v>
      </c>
      <c r="D1604" s="20" t="str">
        <v>未匹配</v>
      </c>
      <c r="E1604" s="20">
        <v>0</v>
      </c>
    </row>
    <row r="1605" spans="1:5">
      <c r="A1605" s="20" t="str">
        <v>00:00:00</v>
      </c>
      <c r="B1605" s="19">
        <v>0</v>
      </c>
      <c r="C1605" s="21">
        <v>0</v>
      </c>
      <c r="D1605" s="20" t="str">
        <v>未匹配</v>
      </c>
      <c r="E1605" s="20">
        <v>0</v>
      </c>
    </row>
    <row r="1606" spans="1:5">
      <c r="A1606" s="20" t="str">
        <v>00:00:00</v>
      </c>
      <c r="B1606" s="19">
        <v>0</v>
      </c>
      <c r="C1606" s="21">
        <v>0</v>
      </c>
      <c r="D1606" s="20" t="str">
        <v>未匹配</v>
      </c>
      <c r="E1606" s="20">
        <v>0</v>
      </c>
    </row>
    <row r="1607" spans="1:5">
      <c r="A1607" s="20" t="str">
        <v>00:00:00</v>
      </c>
      <c r="B1607" s="19">
        <v>0</v>
      </c>
      <c r="C1607" s="21">
        <v>0</v>
      </c>
      <c r="D1607" s="20" t="str">
        <v>未匹配</v>
      </c>
      <c r="E1607" s="20">
        <v>0</v>
      </c>
    </row>
    <row r="1608" spans="1:5">
      <c r="A1608" s="20" t="str">
        <v>00:00:00</v>
      </c>
      <c r="B1608" s="19">
        <v>0</v>
      </c>
      <c r="C1608" s="21">
        <v>0</v>
      </c>
      <c r="D1608" s="20" t="str">
        <v>未匹配</v>
      </c>
      <c r="E1608" s="20">
        <v>0</v>
      </c>
    </row>
    <row r="1609" spans="1:5">
      <c r="A1609" s="20" t="str">
        <v>00:00:00</v>
      </c>
      <c r="B1609" s="19">
        <v>0</v>
      </c>
      <c r="C1609" s="21">
        <v>0</v>
      </c>
      <c r="D1609" s="20" t="str">
        <v>未匹配</v>
      </c>
      <c r="E1609" s="20">
        <v>0</v>
      </c>
    </row>
    <row r="1610" spans="1:5">
      <c r="A1610" s="20" t="str">
        <v>00:00:00</v>
      </c>
      <c r="B1610" s="19">
        <v>0</v>
      </c>
      <c r="C1610" s="21">
        <v>0</v>
      </c>
      <c r="D1610" s="20" t="str">
        <v>未匹配</v>
      </c>
      <c r="E1610" s="20">
        <v>0</v>
      </c>
    </row>
    <row r="1611" spans="1:5">
      <c r="A1611" s="20" t="str">
        <v>00:00:00</v>
      </c>
      <c r="B1611" s="19">
        <v>0</v>
      </c>
      <c r="C1611" s="21">
        <v>0</v>
      </c>
      <c r="D1611" s="20" t="str">
        <v>未匹配</v>
      </c>
      <c r="E1611" s="20">
        <v>0</v>
      </c>
    </row>
    <row r="1612" spans="1:5">
      <c r="A1612" s="20" t="str">
        <v>00:00:00</v>
      </c>
      <c r="B1612" s="19">
        <v>0</v>
      </c>
      <c r="C1612" s="21">
        <v>0</v>
      </c>
      <c r="D1612" s="20" t="str">
        <v>未匹配</v>
      </c>
      <c r="E1612" s="20">
        <v>0</v>
      </c>
    </row>
    <row r="1613" spans="1:5">
      <c r="A1613" s="20" t="str">
        <v>00:00:00</v>
      </c>
      <c r="B1613" s="19">
        <v>0</v>
      </c>
      <c r="C1613" s="21">
        <v>0</v>
      </c>
      <c r="D1613" s="20" t="str">
        <v>未匹配</v>
      </c>
      <c r="E1613" s="20">
        <v>0</v>
      </c>
    </row>
    <row r="1614" spans="1:5">
      <c r="A1614" s="20" t="str">
        <v>00:00:00</v>
      </c>
      <c r="B1614" s="19">
        <v>0</v>
      </c>
      <c r="C1614" s="21">
        <v>0</v>
      </c>
      <c r="D1614" s="20" t="str">
        <v>未匹配</v>
      </c>
      <c r="E1614" s="20">
        <v>0</v>
      </c>
    </row>
    <row r="1615" spans="1:5">
      <c r="A1615" s="20" t="str">
        <v>00:00:00</v>
      </c>
      <c r="B1615" s="19">
        <v>0</v>
      </c>
      <c r="C1615" s="21">
        <v>0</v>
      </c>
      <c r="D1615" s="20" t="str">
        <v>未匹配</v>
      </c>
      <c r="E1615" s="20">
        <v>0</v>
      </c>
    </row>
    <row r="1616" spans="1:5">
      <c r="A1616" s="20" t="str">
        <v>00:00:00</v>
      </c>
      <c r="B1616" s="19">
        <v>0</v>
      </c>
      <c r="C1616" s="21">
        <v>0</v>
      </c>
      <c r="D1616" s="20" t="str">
        <v>未匹配</v>
      </c>
      <c r="E1616" s="20">
        <v>0</v>
      </c>
    </row>
    <row r="1617" spans="1:5">
      <c r="A1617" s="20" t="str">
        <v>00:00:00</v>
      </c>
      <c r="B1617" s="19">
        <v>0</v>
      </c>
      <c r="C1617" s="21">
        <v>0</v>
      </c>
      <c r="D1617" s="20" t="str">
        <v>未匹配</v>
      </c>
      <c r="E1617" s="20">
        <v>0</v>
      </c>
    </row>
    <row r="1618" spans="1:5">
      <c r="A1618" s="20" t="str">
        <v>00:00:00</v>
      </c>
      <c r="B1618" s="19">
        <v>0</v>
      </c>
      <c r="C1618" s="21">
        <v>0</v>
      </c>
      <c r="D1618" s="20" t="str">
        <v>未匹配</v>
      </c>
      <c r="E1618" s="20">
        <v>0</v>
      </c>
    </row>
    <row r="1619" spans="1:5">
      <c r="A1619" s="20" t="str">
        <v>00:00:00</v>
      </c>
      <c r="B1619" s="19">
        <v>0</v>
      </c>
      <c r="C1619" s="21">
        <v>0</v>
      </c>
      <c r="D1619" s="20" t="str">
        <v>未匹配</v>
      </c>
      <c r="E1619" s="20">
        <v>0</v>
      </c>
    </row>
    <row r="1620" spans="1:5">
      <c r="A1620" s="20" t="str">
        <v>00:00:00</v>
      </c>
      <c r="B1620" s="19">
        <v>0</v>
      </c>
      <c r="C1620" s="21">
        <v>0</v>
      </c>
      <c r="D1620" s="20" t="str">
        <v>未匹配</v>
      </c>
      <c r="E1620" s="20">
        <v>0</v>
      </c>
    </row>
    <row r="1621" spans="1:5">
      <c r="A1621" s="20" t="str">
        <v>00:00:00</v>
      </c>
      <c r="B1621" s="19">
        <v>0</v>
      </c>
      <c r="C1621" s="21">
        <v>0</v>
      </c>
      <c r="D1621" s="20" t="str">
        <v>未匹配</v>
      </c>
      <c r="E1621" s="20">
        <v>0</v>
      </c>
    </row>
    <row r="1622" spans="1:5">
      <c r="A1622" s="20" t="str">
        <v>00:00:00</v>
      </c>
      <c r="B1622" s="19">
        <v>0</v>
      </c>
      <c r="C1622" s="21">
        <v>0</v>
      </c>
      <c r="D1622" s="20" t="str">
        <v>未匹配</v>
      </c>
      <c r="E1622" s="20">
        <v>0</v>
      </c>
    </row>
    <row r="1623" spans="1:5">
      <c r="A1623" s="20" t="str">
        <v>00:00:00</v>
      </c>
      <c r="B1623" s="19">
        <v>0</v>
      </c>
      <c r="C1623" s="21">
        <v>0</v>
      </c>
      <c r="D1623" s="20" t="str">
        <v>未匹配</v>
      </c>
      <c r="E1623" s="20">
        <v>0</v>
      </c>
    </row>
    <row r="1624" spans="1:5">
      <c r="A1624" s="20" t="str">
        <v>00:00:00</v>
      </c>
      <c r="B1624" s="19">
        <v>0</v>
      </c>
      <c r="C1624" s="21">
        <v>0</v>
      </c>
      <c r="D1624" s="20" t="str">
        <v>未匹配</v>
      </c>
      <c r="E1624" s="20">
        <v>0</v>
      </c>
    </row>
    <row r="1625" spans="1:5">
      <c r="A1625" s="20" t="str">
        <v>00:00:00</v>
      </c>
      <c r="B1625" s="19">
        <v>0</v>
      </c>
      <c r="C1625" s="21">
        <v>0</v>
      </c>
      <c r="D1625" s="20" t="str">
        <v>未匹配</v>
      </c>
      <c r="E1625" s="20">
        <v>0</v>
      </c>
    </row>
    <row r="1626" spans="1:5">
      <c r="A1626" s="20" t="str">
        <v>00:00:00</v>
      </c>
      <c r="B1626" s="19">
        <v>0</v>
      </c>
      <c r="C1626" s="21">
        <v>0</v>
      </c>
      <c r="D1626" s="20" t="str">
        <v>未匹配</v>
      </c>
      <c r="E1626" s="20">
        <v>0</v>
      </c>
    </row>
    <row r="1627" spans="1:5">
      <c r="A1627" s="20" t="str">
        <v>00:00:00</v>
      </c>
      <c r="B1627" s="19">
        <v>0</v>
      </c>
      <c r="C1627" s="21">
        <v>0</v>
      </c>
      <c r="D1627" s="20" t="str">
        <v>未匹配</v>
      </c>
      <c r="E1627" s="20">
        <v>0</v>
      </c>
    </row>
    <row r="1628" spans="1:5">
      <c r="A1628" s="20" t="str">
        <v>00:00:00</v>
      </c>
      <c r="B1628" s="19">
        <v>0</v>
      </c>
      <c r="C1628" s="21">
        <v>0</v>
      </c>
      <c r="D1628" s="20" t="str">
        <v>未匹配</v>
      </c>
      <c r="E1628" s="20">
        <v>0</v>
      </c>
    </row>
    <row r="1629" spans="1:5">
      <c r="A1629" s="20" t="str">
        <v>00:00:00</v>
      </c>
      <c r="B1629" s="19">
        <v>0</v>
      </c>
      <c r="C1629" s="21">
        <v>0</v>
      </c>
      <c r="D1629" s="20" t="str">
        <v>未匹配</v>
      </c>
      <c r="E1629" s="20">
        <v>0</v>
      </c>
    </row>
    <row r="1630" spans="1:5">
      <c r="A1630" s="20" t="str">
        <v>00:00:00</v>
      </c>
      <c r="B1630" s="19">
        <v>0</v>
      </c>
      <c r="C1630" s="21">
        <v>0</v>
      </c>
      <c r="D1630" s="20" t="str">
        <v>未匹配</v>
      </c>
      <c r="E1630" s="20">
        <v>0</v>
      </c>
    </row>
    <row r="1631" spans="1:5">
      <c r="A1631" s="20" t="str">
        <v>00:00:00</v>
      </c>
      <c r="B1631" s="19">
        <v>0</v>
      </c>
      <c r="C1631" s="21">
        <v>0</v>
      </c>
      <c r="D1631" s="20" t="str">
        <v>未匹配</v>
      </c>
      <c r="E1631" s="20">
        <v>0</v>
      </c>
    </row>
    <row r="1632" spans="1:5">
      <c r="A1632" s="20" t="str">
        <v>00:00:00</v>
      </c>
      <c r="B1632" s="19">
        <v>0</v>
      </c>
      <c r="C1632" s="21">
        <v>0</v>
      </c>
      <c r="D1632" s="20" t="str">
        <v>未匹配</v>
      </c>
      <c r="E1632" s="20">
        <v>0</v>
      </c>
    </row>
    <row r="1633" spans="1:5">
      <c r="A1633" s="20" t="str">
        <v>00:00:00</v>
      </c>
      <c r="B1633" s="19">
        <v>0</v>
      </c>
      <c r="C1633" s="21">
        <v>0</v>
      </c>
      <c r="D1633" s="20" t="str">
        <v>未匹配</v>
      </c>
      <c r="E1633" s="20">
        <v>0</v>
      </c>
    </row>
    <row r="1634" spans="1:5">
      <c r="A1634" s="20" t="str">
        <v>00:00:00</v>
      </c>
      <c r="B1634" s="19">
        <v>0</v>
      </c>
      <c r="C1634" s="21">
        <v>0</v>
      </c>
      <c r="D1634" s="20" t="str">
        <v>未匹配</v>
      </c>
      <c r="E1634" s="20">
        <v>0</v>
      </c>
    </row>
    <row r="1635" spans="1:5">
      <c r="A1635" s="20" t="str">
        <v>00:00:00</v>
      </c>
      <c r="B1635" s="19">
        <v>0</v>
      </c>
      <c r="C1635" s="21">
        <v>0</v>
      </c>
      <c r="D1635" s="20" t="str">
        <v>未匹配</v>
      </c>
      <c r="E1635" s="20">
        <v>0</v>
      </c>
    </row>
    <row r="1636" spans="1:5">
      <c r="A1636" s="20" t="str">
        <v>00:00:00</v>
      </c>
      <c r="B1636" s="19">
        <v>0</v>
      </c>
      <c r="C1636" s="21">
        <v>0</v>
      </c>
      <c r="D1636" s="20" t="str">
        <v>未匹配</v>
      </c>
      <c r="E1636" s="20">
        <v>0</v>
      </c>
    </row>
    <row r="1637" spans="1:5">
      <c r="A1637" s="20" t="str">
        <v>00:00:00</v>
      </c>
      <c r="B1637" s="19">
        <v>0</v>
      </c>
      <c r="C1637" s="21">
        <v>0</v>
      </c>
      <c r="D1637" s="20" t="str">
        <v>未匹配</v>
      </c>
      <c r="E1637" s="20">
        <v>0</v>
      </c>
    </row>
    <row r="1638" spans="1:5">
      <c r="A1638" s="20" t="str">
        <v>00:00:00</v>
      </c>
      <c r="B1638" s="19">
        <v>0</v>
      </c>
      <c r="C1638" s="21">
        <v>0</v>
      </c>
      <c r="D1638" s="20" t="str">
        <v>未匹配</v>
      </c>
      <c r="E1638" s="20">
        <v>0</v>
      </c>
    </row>
    <row r="1639" spans="1:5">
      <c r="A1639" s="20" t="str">
        <v>00:00:00</v>
      </c>
      <c r="B1639" s="19">
        <v>0</v>
      </c>
      <c r="C1639" s="21">
        <v>0</v>
      </c>
      <c r="D1639" s="20" t="str">
        <v>未匹配</v>
      </c>
      <c r="E1639" s="20">
        <v>0</v>
      </c>
    </row>
    <row r="1640" spans="1:5">
      <c r="A1640" s="20" t="str">
        <v>00:00:00</v>
      </c>
      <c r="B1640" s="19">
        <v>0</v>
      </c>
      <c r="C1640" s="21">
        <v>0</v>
      </c>
      <c r="D1640" s="20" t="str">
        <v>未匹配</v>
      </c>
      <c r="E1640" s="20">
        <v>0</v>
      </c>
    </row>
    <row r="1641" spans="1:5">
      <c r="A1641" s="20" t="str">
        <v>00:00:00</v>
      </c>
      <c r="B1641" s="19">
        <v>0</v>
      </c>
      <c r="C1641" s="21">
        <v>0</v>
      </c>
      <c r="D1641" s="20" t="str">
        <v>未匹配</v>
      </c>
      <c r="E1641" s="20">
        <v>0</v>
      </c>
    </row>
    <row r="1642" spans="1:5">
      <c r="A1642" s="20" t="str">
        <v>00:00:00</v>
      </c>
      <c r="B1642" s="19">
        <v>0</v>
      </c>
      <c r="C1642" s="21">
        <v>0</v>
      </c>
      <c r="D1642" s="20" t="str">
        <v>未匹配</v>
      </c>
      <c r="E1642" s="20">
        <v>0</v>
      </c>
    </row>
    <row r="1643" spans="1:5">
      <c r="A1643" s="20" t="str">
        <v>00:00:00</v>
      </c>
      <c r="B1643" s="19">
        <v>0</v>
      </c>
      <c r="C1643" s="21">
        <v>0</v>
      </c>
      <c r="D1643" s="20" t="str">
        <v>未匹配</v>
      </c>
      <c r="E1643" s="20">
        <v>0</v>
      </c>
    </row>
    <row r="1644" spans="1:5">
      <c r="A1644" s="20" t="str">
        <v>00:00:00</v>
      </c>
      <c r="B1644" s="19">
        <v>0</v>
      </c>
      <c r="C1644" s="21">
        <v>0</v>
      </c>
      <c r="D1644" s="20" t="str">
        <v>未匹配</v>
      </c>
      <c r="E1644" s="20">
        <v>0</v>
      </c>
    </row>
    <row r="1645" spans="1:5">
      <c r="A1645" s="20" t="str">
        <v>00:00:00</v>
      </c>
      <c r="B1645" s="19">
        <v>0</v>
      </c>
      <c r="C1645" s="21">
        <v>0</v>
      </c>
      <c r="D1645" s="20" t="str">
        <v>未匹配</v>
      </c>
      <c r="E1645" s="20">
        <v>0</v>
      </c>
    </row>
    <row r="1646" spans="1:5">
      <c r="A1646" s="20" t="str">
        <v>00:00:00</v>
      </c>
      <c r="B1646" s="19">
        <v>0</v>
      </c>
      <c r="C1646" s="21">
        <v>0</v>
      </c>
      <c r="D1646" s="20" t="str">
        <v>未匹配</v>
      </c>
      <c r="E1646" s="20">
        <v>0</v>
      </c>
    </row>
    <row r="1647" spans="1:5">
      <c r="A1647" s="20" t="str">
        <v>00:00:00</v>
      </c>
      <c r="B1647" s="19">
        <v>0</v>
      </c>
      <c r="C1647" s="21">
        <v>0</v>
      </c>
      <c r="D1647" s="20" t="str">
        <v>未匹配</v>
      </c>
      <c r="E1647" s="20">
        <v>0</v>
      </c>
    </row>
    <row r="1648" spans="1:5">
      <c r="A1648" s="20" t="str">
        <v>00:00:00</v>
      </c>
      <c r="B1648" s="19">
        <v>0</v>
      </c>
      <c r="C1648" s="21">
        <v>0</v>
      </c>
      <c r="D1648" s="20" t="str">
        <v>未匹配</v>
      </c>
      <c r="E1648" s="20">
        <v>0</v>
      </c>
    </row>
    <row r="1649" spans="1:5">
      <c r="A1649" s="20" t="str">
        <v>00:00:00</v>
      </c>
      <c r="B1649" s="19">
        <v>0</v>
      </c>
      <c r="C1649" s="21">
        <v>0</v>
      </c>
      <c r="D1649" s="20" t="str">
        <v>未匹配</v>
      </c>
      <c r="E1649" s="20">
        <v>0</v>
      </c>
    </row>
    <row r="1650" spans="1:5">
      <c r="A1650" s="20" t="str">
        <v>00:00:00</v>
      </c>
      <c r="B1650" s="19">
        <v>0</v>
      </c>
      <c r="C1650" s="21">
        <v>0</v>
      </c>
      <c r="D1650" s="20" t="str">
        <v>未匹配</v>
      </c>
      <c r="E1650" s="20">
        <v>0</v>
      </c>
    </row>
    <row r="1651" spans="1:5">
      <c r="A1651" s="20" t="str">
        <v>00:00:00</v>
      </c>
      <c r="B1651" s="19">
        <v>0</v>
      </c>
      <c r="C1651" s="21">
        <v>0</v>
      </c>
      <c r="D1651" s="20" t="str">
        <v>未匹配</v>
      </c>
      <c r="E1651" s="20">
        <v>0</v>
      </c>
    </row>
    <row r="1652" spans="1:5">
      <c r="A1652" s="20" t="str">
        <v>00:00:00</v>
      </c>
      <c r="B1652" s="19">
        <v>0</v>
      </c>
      <c r="C1652" s="21">
        <v>0</v>
      </c>
      <c r="D1652" s="20" t="str">
        <v>未匹配</v>
      </c>
      <c r="E1652" s="20">
        <v>0</v>
      </c>
    </row>
    <row r="1653" spans="1:5">
      <c r="A1653" s="20" t="str">
        <v>00:00:00</v>
      </c>
      <c r="B1653" s="19">
        <v>0</v>
      </c>
      <c r="C1653" s="21">
        <v>0</v>
      </c>
      <c r="D1653" s="20" t="str">
        <v>未匹配</v>
      </c>
      <c r="E1653" s="20">
        <v>0</v>
      </c>
    </row>
    <row r="1654" spans="1:5">
      <c r="A1654" s="20" t="str">
        <v>00:00:00</v>
      </c>
      <c r="B1654" s="19">
        <v>0</v>
      </c>
      <c r="C1654" s="21">
        <v>0</v>
      </c>
      <c r="D1654" s="20" t="str">
        <v>未匹配</v>
      </c>
      <c r="E1654" s="20">
        <v>0</v>
      </c>
    </row>
    <row r="1655" spans="1:5">
      <c r="A1655" s="20" t="str">
        <v>00:00:00</v>
      </c>
      <c r="B1655" s="19">
        <v>0</v>
      </c>
      <c r="C1655" s="21">
        <v>0</v>
      </c>
      <c r="D1655" s="20" t="str">
        <v>未匹配</v>
      </c>
      <c r="E1655" s="20">
        <v>0</v>
      </c>
    </row>
    <row r="1656" spans="1:5">
      <c r="A1656" s="20" t="str">
        <v>00:00:00</v>
      </c>
      <c r="B1656" s="19">
        <v>0</v>
      </c>
      <c r="C1656" s="21">
        <v>0</v>
      </c>
      <c r="D1656" s="20" t="str">
        <v>未匹配</v>
      </c>
      <c r="E1656" s="20">
        <v>0</v>
      </c>
    </row>
    <row r="1657" spans="1:5">
      <c r="A1657" s="20" t="str">
        <v>00:00:00</v>
      </c>
      <c r="B1657" s="19">
        <v>0</v>
      </c>
      <c r="C1657" s="21">
        <v>0</v>
      </c>
      <c r="D1657" s="20" t="str">
        <v>未匹配</v>
      </c>
      <c r="E1657" s="20">
        <v>0</v>
      </c>
    </row>
    <row r="1658" spans="1:5">
      <c r="A1658" s="20" t="str">
        <v>00:00:00</v>
      </c>
      <c r="B1658" s="19">
        <v>0</v>
      </c>
      <c r="C1658" s="21">
        <v>0</v>
      </c>
      <c r="D1658" s="20" t="str">
        <v>未匹配</v>
      </c>
      <c r="E1658" s="20">
        <v>0</v>
      </c>
    </row>
    <row r="1659" spans="1:5">
      <c r="A1659" s="20" t="str">
        <v>00:00:00</v>
      </c>
      <c r="B1659" s="19">
        <v>0</v>
      </c>
      <c r="C1659" s="21">
        <v>0</v>
      </c>
      <c r="D1659" s="20" t="str">
        <v>未匹配</v>
      </c>
      <c r="E1659" s="20">
        <v>0</v>
      </c>
    </row>
    <row r="1660" spans="1:5">
      <c r="A1660" s="20" t="str">
        <v>00:00:00</v>
      </c>
      <c r="B1660" s="19">
        <v>0</v>
      </c>
      <c r="C1660" s="21">
        <v>0</v>
      </c>
      <c r="D1660" s="20" t="str">
        <v>未匹配</v>
      </c>
      <c r="E1660" s="20">
        <v>0</v>
      </c>
    </row>
    <row r="1661" spans="1:5">
      <c r="A1661" s="20" t="str">
        <v>00:00:00</v>
      </c>
      <c r="B1661" s="19">
        <v>0</v>
      </c>
      <c r="C1661" s="21">
        <v>0</v>
      </c>
      <c r="D1661" s="20" t="str">
        <v>未匹配</v>
      </c>
      <c r="E1661" s="20">
        <v>0</v>
      </c>
    </row>
    <row r="1662" spans="1:5">
      <c r="A1662" s="20" t="str">
        <v>00:00:00</v>
      </c>
      <c r="B1662" s="19">
        <v>0</v>
      </c>
      <c r="C1662" s="21">
        <v>0</v>
      </c>
      <c r="D1662" s="20" t="str">
        <v>未匹配</v>
      </c>
      <c r="E1662" s="20">
        <v>0</v>
      </c>
    </row>
    <row r="1663" spans="1:5">
      <c r="A1663" s="20" t="str">
        <v>00:00:00</v>
      </c>
      <c r="B1663" s="19">
        <v>0</v>
      </c>
      <c r="C1663" s="21">
        <v>0</v>
      </c>
      <c r="D1663" s="20" t="str">
        <v>未匹配</v>
      </c>
      <c r="E1663" s="20">
        <v>0</v>
      </c>
    </row>
    <row r="1664" spans="1:5">
      <c r="A1664" s="20" t="str">
        <v>00:00:00</v>
      </c>
      <c r="B1664" s="19">
        <v>0</v>
      </c>
      <c r="C1664" s="21">
        <v>0</v>
      </c>
      <c r="D1664" s="20" t="str">
        <v>未匹配</v>
      </c>
      <c r="E1664" s="20">
        <v>0</v>
      </c>
    </row>
    <row r="1665" spans="1:5">
      <c r="A1665" s="20" t="str">
        <v>00:00:00</v>
      </c>
      <c r="B1665" s="19">
        <v>0</v>
      </c>
      <c r="C1665" s="21">
        <v>0</v>
      </c>
      <c r="D1665" s="20" t="str">
        <v>未匹配</v>
      </c>
      <c r="E1665" s="20">
        <v>0</v>
      </c>
    </row>
    <row r="1666" spans="1:5">
      <c r="A1666" s="20" t="str">
        <v>00:00:00</v>
      </c>
      <c r="B1666" s="19">
        <v>0</v>
      </c>
      <c r="C1666" s="21">
        <v>0</v>
      </c>
      <c r="D1666" s="20" t="str">
        <v>未匹配</v>
      </c>
      <c r="E1666" s="20">
        <v>0</v>
      </c>
    </row>
    <row r="1667" spans="1:5">
      <c r="A1667" s="20" t="str">
        <v>00:00:00</v>
      </c>
      <c r="B1667" s="19">
        <v>0</v>
      </c>
      <c r="C1667" s="21">
        <v>0</v>
      </c>
      <c r="D1667" s="20" t="str">
        <v>未匹配</v>
      </c>
      <c r="E1667" s="20">
        <v>0</v>
      </c>
    </row>
    <row r="1668" spans="1:5">
      <c r="A1668" s="20" t="str">
        <v>00:00:00</v>
      </c>
      <c r="B1668" s="19">
        <v>0</v>
      </c>
      <c r="C1668" s="21">
        <v>0</v>
      </c>
      <c r="D1668" s="20" t="str">
        <v>未匹配</v>
      </c>
      <c r="E1668" s="20">
        <v>0</v>
      </c>
    </row>
    <row r="1669" spans="1:5">
      <c r="A1669" s="20" t="str">
        <v>00:00:00</v>
      </c>
      <c r="B1669" s="19">
        <v>0</v>
      </c>
      <c r="C1669" s="21">
        <v>0</v>
      </c>
      <c r="D1669" s="20" t="str">
        <v>未匹配</v>
      </c>
      <c r="E1669" s="20">
        <v>0</v>
      </c>
    </row>
    <row r="1670" spans="1:5">
      <c r="A1670" s="20" t="str">
        <v>00:00:00</v>
      </c>
      <c r="B1670" s="19">
        <v>0</v>
      </c>
      <c r="C1670" s="21">
        <v>0</v>
      </c>
      <c r="D1670" s="20" t="str">
        <v>未匹配</v>
      </c>
      <c r="E1670" s="20">
        <v>0</v>
      </c>
    </row>
    <row r="1671" spans="1:5">
      <c r="A1671" s="20" t="str">
        <v>00:00:00</v>
      </c>
      <c r="B1671" s="19">
        <v>0</v>
      </c>
      <c r="C1671" s="21">
        <v>0</v>
      </c>
      <c r="D1671" s="20" t="str">
        <v>未匹配</v>
      </c>
      <c r="E1671" s="20">
        <v>0</v>
      </c>
    </row>
    <row r="1672" spans="1:5">
      <c r="A1672" s="20" t="str">
        <v>00:00:00</v>
      </c>
      <c r="B1672" s="19">
        <v>0</v>
      </c>
      <c r="C1672" s="21">
        <v>0</v>
      </c>
      <c r="D1672" s="20" t="str">
        <v>未匹配</v>
      </c>
      <c r="E1672" s="20">
        <v>0</v>
      </c>
    </row>
    <row r="1673" spans="1:5">
      <c r="A1673" s="20" t="str">
        <v>00:00:00</v>
      </c>
      <c r="B1673" s="19">
        <v>0</v>
      </c>
      <c r="C1673" s="21">
        <v>0</v>
      </c>
      <c r="D1673" s="20" t="str">
        <v>未匹配</v>
      </c>
      <c r="E1673" s="20">
        <v>0</v>
      </c>
    </row>
    <row r="1674" spans="1:5">
      <c r="A1674" s="20" t="str">
        <v>00:00:00</v>
      </c>
      <c r="B1674" s="19">
        <v>0</v>
      </c>
      <c r="C1674" s="21">
        <v>0</v>
      </c>
      <c r="D1674" s="20" t="str">
        <v>未匹配</v>
      </c>
      <c r="E1674" s="20">
        <v>0</v>
      </c>
    </row>
    <row r="1675" spans="1:5">
      <c r="A1675" s="20" t="str">
        <v>00:00:00</v>
      </c>
      <c r="B1675" s="19">
        <v>0</v>
      </c>
      <c r="C1675" s="21">
        <v>0</v>
      </c>
      <c r="D1675" s="20" t="str">
        <v>未匹配</v>
      </c>
      <c r="E1675" s="20">
        <v>0</v>
      </c>
    </row>
    <row r="1676" spans="1:5">
      <c r="A1676" s="20" t="str">
        <v>00:00:00</v>
      </c>
      <c r="B1676" s="19">
        <v>0</v>
      </c>
      <c r="C1676" s="21">
        <v>0</v>
      </c>
      <c r="D1676" s="20" t="str">
        <v>未匹配</v>
      </c>
      <c r="E1676" s="20">
        <v>0</v>
      </c>
    </row>
    <row r="1677" spans="1:5">
      <c r="A1677" s="20" t="str">
        <v>00:00:00</v>
      </c>
      <c r="B1677" s="19">
        <v>0</v>
      </c>
      <c r="C1677" s="21">
        <v>0</v>
      </c>
      <c r="D1677" s="20" t="str">
        <v>未匹配</v>
      </c>
      <c r="E1677" s="20">
        <v>0</v>
      </c>
    </row>
    <row r="1678" spans="1:5">
      <c r="A1678" s="20" t="str">
        <v>00:00:00</v>
      </c>
      <c r="B1678" s="19">
        <v>0</v>
      </c>
      <c r="C1678" s="21">
        <v>0</v>
      </c>
      <c r="D1678" s="20" t="str">
        <v>未匹配</v>
      </c>
      <c r="E1678" s="20">
        <v>0</v>
      </c>
    </row>
    <row r="1679" spans="1:5">
      <c r="A1679" s="20" t="str">
        <v>00:00:00</v>
      </c>
      <c r="B1679" s="19">
        <v>0</v>
      </c>
      <c r="C1679" s="21">
        <v>0</v>
      </c>
      <c r="D1679" s="20" t="str">
        <v>未匹配</v>
      </c>
      <c r="E1679" s="20">
        <v>0</v>
      </c>
    </row>
    <row r="1680" spans="1:5">
      <c r="A1680" s="20" t="str">
        <v>00:00:00</v>
      </c>
      <c r="B1680" s="19">
        <v>0</v>
      </c>
      <c r="C1680" s="21">
        <v>0</v>
      </c>
      <c r="D1680" s="20" t="str">
        <v>未匹配</v>
      </c>
      <c r="E1680" s="20">
        <v>0</v>
      </c>
    </row>
    <row r="1681" spans="1:5">
      <c r="A1681" s="20" t="str">
        <v>00:00:00</v>
      </c>
      <c r="B1681" s="19">
        <v>0</v>
      </c>
      <c r="C1681" s="21">
        <v>0</v>
      </c>
      <c r="D1681" s="20" t="str">
        <v>未匹配</v>
      </c>
      <c r="E1681" s="20">
        <v>0</v>
      </c>
    </row>
    <row r="1682" spans="1:5">
      <c r="A1682" s="20" t="str">
        <v>00:00:00</v>
      </c>
      <c r="B1682" s="19">
        <v>0</v>
      </c>
      <c r="C1682" s="21">
        <v>0</v>
      </c>
      <c r="D1682" s="20" t="str">
        <v>未匹配</v>
      </c>
      <c r="E1682" s="20">
        <v>0</v>
      </c>
    </row>
    <row r="1683" spans="1:5">
      <c r="A1683" s="20" t="str">
        <v>00:00:00</v>
      </c>
      <c r="B1683" s="19">
        <v>0</v>
      </c>
      <c r="C1683" s="21">
        <v>0</v>
      </c>
      <c r="D1683" s="20" t="str">
        <v>未匹配</v>
      </c>
      <c r="E1683" s="20">
        <v>0</v>
      </c>
    </row>
    <row r="1684" spans="1:5">
      <c r="A1684" s="20" t="str">
        <v>00:00:00</v>
      </c>
      <c r="B1684" s="19">
        <v>0</v>
      </c>
      <c r="C1684" s="21">
        <v>0</v>
      </c>
      <c r="D1684" s="20" t="str">
        <v>未匹配</v>
      </c>
      <c r="E1684" s="20">
        <v>0</v>
      </c>
    </row>
    <row r="1685" spans="1:5">
      <c r="A1685" s="20" t="str">
        <v>00:00:00</v>
      </c>
      <c r="B1685" s="19">
        <v>0</v>
      </c>
      <c r="C1685" s="21">
        <v>0</v>
      </c>
      <c r="D1685" s="20" t="str">
        <v>未匹配</v>
      </c>
      <c r="E1685" s="20">
        <v>0</v>
      </c>
    </row>
    <row r="1686" spans="1:5">
      <c r="A1686" s="20" t="str">
        <v>00:00:00</v>
      </c>
      <c r="B1686" s="19">
        <v>0</v>
      </c>
      <c r="C1686" s="21">
        <v>0</v>
      </c>
      <c r="D1686" s="20" t="str">
        <v>未匹配</v>
      </c>
      <c r="E1686" s="20">
        <v>0</v>
      </c>
    </row>
    <row r="1687" spans="1:5">
      <c r="A1687" s="20" t="str">
        <v>00:00:00</v>
      </c>
      <c r="B1687" s="19">
        <v>0</v>
      </c>
      <c r="C1687" s="21">
        <v>0</v>
      </c>
      <c r="D1687" s="20" t="str">
        <v>未匹配</v>
      </c>
      <c r="E1687" s="20">
        <v>0</v>
      </c>
    </row>
    <row r="1688" spans="1:5">
      <c r="A1688" s="20" t="str">
        <v>00:00:00</v>
      </c>
      <c r="B1688" s="19">
        <v>0</v>
      </c>
      <c r="C1688" s="21">
        <v>0</v>
      </c>
      <c r="D1688" s="20" t="str">
        <v>未匹配</v>
      </c>
      <c r="E1688" s="20">
        <v>0</v>
      </c>
    </row>
    <row r="1689" spans="1:5">
      <c r="A1689" s="20" t="str">
        <v>00:00:00</v>
      </c>
      <c r="B1689" s="19">
        <v>0</v>
      </c>
      <c r="C1689" s="21">
        <v>0</v>
      </c>
      <c r="D1689" s="20" t="str">
        <v>未匹配</v>
      </c>
      <c r="E1689" s="20">
        <v>0</v>
      </c>
    </row>
    <row r="1690" spans="1:5">
      <c r="A1690" s="20" t="str">
        <v>00:00:00</v>
      </c>
      <c r="B1690" s="19">
        <v>0</v>
      </c>
      <c r="C1690" s="21">
        <v>0</v>
      </c>
      <c r="D1690" s="20" t="str">
        <v>未匹配</v>
      </c>
      <c r="E1690" s="20">
        <v>0</v>
      </c>
    </row>
    <row r="1691" spans="1:5">
      <c r="A1691" s="20" t="str">
        <v>00:00:00</v>
      </c>
      <c r="B1691" s="19">
        <v>0</v>
      </c>
      <c r="C1691" s="21">
        <v>0</v>
      </c>
      <c r="D1691" s="20" t="str">
        <v>未匹配</v>
      </c>
      <c r="E1691" s="20">
        <v>0</v>
      </c>
    </row>
    <row r="1692" spans="1:5">
      <c r="A1692" s="20" t="str">
        <v>00:00:00</v>
      </c>
      <c r="B1692" s="19">
        <v>0</v>
      </c>
      <c r="C1692" s="21">
        <v>0</v>
      </c>
      <c r="D1692" s="20" t="str">
        <v>未匹配</v>
      </c>
      <c r="E1692" s="20">
        <v>0</v>
      </c>
    </row>
    <row r="1693" spans="1:5">
      <c r="A1693" s="20" t="str">
        <v>00:00:00</v>
      </c>
      <c r="B1693" s="19">
        <v>0</v>
      </c>
      <c r="C1693" s="21">
        <v>0</v>
      </c>
      <c r="D1693" s="20" t="str">
        <v>未匹配</v>
      </c>
      <c r="E1693" s="20">
        <v>0</v>
      </c>
    </row>
    <row r="1694" spans="1:5">
      <c r="A1694" s="20" t="str">
        <v>00:00:00</v>
      </c>
      <c r="B1694" s="19">
        <v>0</v>
      </c>
      <c r="C1694" s="21">
        <v>0</v>
      </c>
      <c r="D1694" s="20" t="str">
        <v>未匹配</v>
      </c>
      <c r="E1694" s="20">
        <v>0</v>
      </c>
    </row>
    <row r="1695" spans="1:5">
      <c r="A1695" s="20" t="str">
        <v>00:00:00</v>
      </c>
      <c r="B1695" s="19">
        <v>0</v>
      </c>
      <c r="C1695" s="21">
        <v>0</v>
      </c>
      <c r="D1695" s="20" t="str">
        <v>未匹配</v>
      </c>
      <c r="E1695" s="20">
        <v>0</v>
      </c>
    </row>
    <row r="1696" spans="1:5">
      <c r="A1696" s="20" t="str">
        <v>00:00:00</v>
      </c>
      <c r="B1696" s="19">
        <v>0</v>
      </c>
      <c r="C1696" s="21">
        <v>0</v>
      </c>
      <c r="D1696" s="20" t="str">
        <v>未匹配</v>
      </c>
      <c r="E1696" s="20">
        <v>0</v>
      </c>
    </row>
    <row r="1697" spans="1:5">
      <c r="A1697" s="20" t="str">
        <v>00:00:00</v>
      </c>
      <c r="B1697" s="19">
        <v>0</v>
      </c>
      <c r="C1697" s="21">
        <v>0</v>
      </c>
      <c r="D1697" s="20" t="str">
        <v>未匹配</v>
      </c>
      <c r="E1697" s="20">
        <v>0</v>
      </c>
    </row>
    <row r="1698" spans="1:5">
      <c r="A1698" s="20" t="str">
        <v>00:00:00</v>
      </c>
      <c r="B1698" s="19">
        <v>0</v>
      </c>
      <c r="C1698" s="21">
        <v>0</v>
      </c>
      <c r="D1698" s="20" t="str">
        <v>未匹配</v>
      </c>
      <c r="E1698" s="20">
        <v>0</v>
      </c>
    </row>
    <row r="1699" spans="1:5">
      <c r="A1699" s="20" t="str">
        <v>00:00:00</v>
      </c>
      <c r="B1699" s="19">
        <v>0</v>
      </c>
      <c r="C1699" s="21">
        <v>0</v>
      </c>
      <c r="D1699" s="20" t="str">
        <v>未匹配</v>
      </c>
      <c r="E1699" s="20">
        <v>0</v>
      </c>
    </row>
    <row r="1700" spans="1:5">
      <c r="A1700" s="20" t="str">
        <v>00:00:00</v>
      </c>
      <c r="B1700" s="19">
        <v>0</v>
      </c>
      <c r="C1700" s="21">
        <v>0</v>
      </c>
      <c r="D1700" s="20" t="str">
        <v>未匹配</v>
      </c>
      <c r="E1700" s="20">
        <v>0</v>
      </c>
    </row>
    <row r="1701" spans="1:5">
      <c r="A1701" s="20" t="str">
        <v>00:00:00</v>
      </c>
      <c r="B1701" s="19">
        <v>0</v>
      </c>
      <c r="C1701" s="21">
        <v>0</v>
      </c>
      <c r="D1701" s="20" t="str">
        <v>未匹配</v>
      </c>
      <c r="E1701" s="20">
        <v>0</v>
      </c>
    </row>
    <row r="1702" spans="1:5">
      <c r="A1702" s="20" t="str">
        <v>00:00:00</v>
      </c>
      <c r="B1702" s="19">
        <v>0</v>
      </c>
      <c r="C1702" s="21">
        <v>0</v>
      </c>
      <c r="D1702" s="20" t="str">
        <v>未匹配</v>
      </c>
      <c r="E1702" s="20">
        <v>0</v>
      </c>
    </row>
    <row r="1703" spans="1:5">
      <c r="A1703" s="20" t="str">
        <v>00:00:00</v>
      </c>
      <c r="B1703" s="19">
        <v>0</v>
      </c>
      <c r="C1703" s="21">
        <v>0</v>
      </c>
      <c r="D1703" s="20" t="str">
        <v>未匹配</v>
      </c>
      <c r="E1703" s="20">
        <v>0</v>
      </c>
    </row>
    <row r="1704" spans="1:5">
      <c r="A1704" s="20" t="str">
        <v>00:00:00</v>
      </c>
      <c r="B1704" s="19">
        <v>0</v>
      </c>
      <c r="C1704" s="21">
        <v>0</v>
      </c>
      <c r="D1704" s="20" t="str">
        <v>未匹配</v>
      </c>
      <c r="E1704" s="20">
        <v>0</v>
      </c>
    </row>
    <row r="1705" spans="1:5">
      <c r="A1705" s="20" t="str">
        <v>00:00:00</v>
      </c>
      <c r="B1705" s="19">
        <v>0</v>
      </c>
      <c r="C1705" s="21">
        <v>0</v>
      </c>
      <c r="D1705" s="20" t="str">
        <v>未匹配</v>
      </c>
      <c r="E1705" s="20">
        <v>0</v>
      </c>
    </row>
    <row r="1706" spans="1:5">
      <c r="A1706" s="20" t="str">
        <v>00:00:00</v>
      </c>
      <c r="B1706" s="19">
        <v>0</v>
      </c>
      <c r="C1706" s="21">
        <v>0</v>
      </c>
      <c r="D1706" s="20" t="str">
        <v>未匹配</v>
      </c>
      <c r="E1706" s="20">
        <v>0</v>
      </c>
    </row>
    <row r="1707" spans="1:5">
      <c r="A1707" s="20" t="str">
        <v>00:00:00</v>
      </c>
      <c r="B1707" s="19">
        <v>0</v>
      </c>
      <c r="C1707" s="21">
        <v>0</v>
      </c>
      <c r="D1707" s="20" t="str">
        <v>未匹配</v>
      </c>
      <c r="E1707" s="20">
        <v>0</v>
      </c>
    </row>
    <row r="1708" spans="1:5">
      <c r="A1708" s="20" t="str">
        <v>00:00:00</v>
      </c>
      <c r="B1708" s="19">
        <v>0</v>
      </c>
      <c r="C1708" s="21">
        <v>0</v>
      </c>
      <c r="D1708" s="20" t="str">
        <v>未匹配</v>
      </c>
      <c r="E1708" s="20">
        <v>0</v>
      </c>
    </row>
    <row r="1709" spans="1:5">
      <c r="A1709" s="20" t="str">
        <v>00:00:00</v>
      </c>
      <c r="B1709" s="19">
        <v>0</v>
      </c>
      <c r="C1709" s="21">
        <v>0</v>
      </c>
      <c r="D1709" s="20" t="str">
        <v>未匹配</v>
      </c>
      <c r="E1709" s="20">
        <v>0</v>
      </c>
    </row>
    <row r="1710" spans="1:5">
      <c r="A1710" s="20" t="str">
        <v>00:00:00</v>
      </c>
      <c r="B1710" s="19">
        <v>0</v>
      </c>
      <c r="C1710" s="21">
        <v>0</v>
      </c>
      <c r="D1710" s="20" t="str">
        <v>未匹配</v>
      </c>
      <c r="E1710" s="20">
        <v>0</v>
      </c>
    </row>
    <row r="1711" spans="1:5">
      <c r="A1711" s="20" t="str">
        <v>00:00:00</v>
      </c>
      <c r="B1711" s="19">
        <v>0</v>
      </c>
      <c r="C1711" s="21">
        <v>0</v>
      </c>
      <c r="D1711" s="20" t="str">
        <v>未匹配</v>
      </c>
      <c r="E1711" s="20">
        <v>0</v>
      </c>
    </row>
    <row r="1712" spans="1:5">
      <c r="A1712" s="20" t="str">
        <v>00:00:00</v>
      </c>
      <c r="B1712" s="19">
        <v>0</v>
      </c>
      <c r="C1712" s="21">
        <v>0</v>
      </c>
      <c r="D1712" s="20" t="str">
        <v>未匹配</v>
      </c>
      <c r="E1712" s="20">
        <v>0</v>
      </c>
    </row>
    <row r="1713" spans="1:5">
      <c r="A1713" s="20" t="str">
        <v>00:00:00</v>
      </c>
      <c r="B1713" s="19">
        <v>0</v>
      </c>
      <c r="C1713" s="21">
        <v>0</v>
      </c>
      <c r="D1713" s="20" t="str">
        <v>未匹配</v>
      </c>
      <c r="E1713" s="20">
        <v>0</v>
      </c>
    </row>
    <row r="1714" spans="1:5">
      <c r="A1714" s="20" t="str">
        <v>00:00:00</v>
      </c>
      <c r="B1714" s="19">
        <v>0</v>
      </c>
      <c r="C1714" s="21">
        <v>0</v>
      </c>
      <c r="D1714" s="20" t="str">
        <v>未匹配</v>
      </c>
      <c r="E1714" s="20">
        <v>0</v>
      </c>
    </row>
    <row r="1715" spans="1:5">
      <c r="A1715" s="20" t="str">
        <v>00:00:00</v>
      </c>
      <c r="B1715" s="19">
        <v>0</v>
      </c>
      <c r="C1715" s="21">
        <v>0</v>
      </c>
      <c r="D1715" s="20" t="str">
        <v>未匹配</v>
      </c>
      <c r="E1715" s="20">
        <v>0</v>
      </c>
    </row>
    <row r="1716" spans="1:5">
      <c r="A1716" s="20" t="str">
        <v>00:00:00</v>
      </c>
      <c r="B1716" s="19">
        <v>0</v>
      </c>
      <c r="C1716" s="21">
        <v>0</v>
      </c>
      <c r="D1716" s="20" t="str">
        <v>未匹配</v>
      </c>
      <c r="E1716" s="20">
        <v>0</v>
      </c>
    </row>
    <row r="1717" spans="1:5">
      <c r="A1717" s="20" t="str">
        <v>00:00:00</v>
      </c>
      <c r="B1717" s="19">
        <v>0</v>
      </c>
      <c r="C1717" s="21">
        <v>0</v>
      </c>
      <c r="D1717" s="20" t="str">
        <v>未匹配</v>
      </c>
      <c r="E1717" s="20">
        <v>0</v>
      </c>
    </row>
    <row r="1718" spans="1:5">
      <c r="A1718" s="20" t="str">
        <v>00:00:00</v>
      </c>
      <c r="B1718" s="19">
        <v>0</v>
      </c>
      <c r="C1718" s="21">
        <v>0</v>
      </c>
      <c r="D1718" s="20" t="str">
        <v>未匹配</v>
      </c>
      <c r="E1718" s="20">
        <v>0</v>
      </c>
    </row>
    <row r="1719" spans="1:5">
      <c r="A1719" s="20" t="str">
        <v>00:00:00</v>
      </c>
      <c r="B1719" s="19">
        <v>0</v>
      </c>
      <c r="C1719" s="21">
        <v>0</v>
      </c>
      <c r="D1719" s="20" t="str">
        <v>未匹配</v>
      </c>
      <c r="E1719" s="20">
        <v>0</v>
      </c>
    </row>
    <row r="1720" spans="1:5">
      <c r="A1720" s="20" t="str">
        <v>00:00:00</v>
      </c>
      <c r="B1720" s="19">
        <v>0</v>
      </c>
      <c r="C1720" s="21">
        <v>0</v>
      </c>
      <c r="D1720" s="20" t="str">
        <v>未匹配</v>
      </c>
      <c r="E1720" s="20">
        <v>0</v>
      </c>
    </row>
    <row r="1721" spans="1:5">
      <c r="A1721" s="20" t="str">
        <v>00:00:00</v>
      </c>
      <c r="B1721" s="19">
        <v>0</v>
      </c>
      <c r="C1721" s="21">
        <v>0</v>
      </c>
      <c r="D1721" s="20" t="str">
        <v>未匹配</v>
      </c>
      <c r="E1721" s="20">
        <v>0</v>
      </c>
    </row>
    <row r="1722" spans="1:5">
      <c r="A1722" s="20" t="str">
        <v>00:00:00</v>
      </c>
      <c r="B1722" s="19">
        <v>0</v>
      </c>
      <c r="C1722" s="21">
        <v>0</v>
      </c>
      <c r="D1722" s="20" t="str">
        <v>未匹配</v>
      </c>
      <c r="E1722" s="20">
        <v>0</v>
      </c>
    </row>
    <row r="1723" spans="1:5">
      <c r="A1723" s="20" t="str">
        <v>00:00:00</v>
      </c>
      <c r="B1723" s="19">
        <v>0</v>
      </c>
      <c r="C1723" s="21">
        <v>0</v>
      </c>
      <c r="D1723" s="20" t="str">
        <v>未匹配</v>
      </c>
      <c r="E1723" s="20">
        <v>0</v>
      </c>
    </row>
    <row r="1724" spans="1:5">
      <c r="A1724" s="20" t="str">
        <v>00:00:00</v>
      </c>
      <c r="B1724" s="19">
        <v>0</v>
      </c>
      <c r="C1724" s="21">
        <v>0</v>
      </c>
      <c r="D1724" s="20" t="str">
        <v>未匹配</v>
      </c>
      <c r="E1724" s="20">
        <v>0</v>
      </c>
    </row>
    <row r="1725" spans="1:5">
      <c r="A1725" s="20" t="str">
        <v>00:00:00</v>
      </c>
      <c r="B1725" s="19">
        <v>0</v>
      </c>
      <c r="C1725" s="21">
        <v>0</v>
      </c>
      <c r="D1725" s="20" t="str">
        <v>未匹配</v>
      </c>
      <c r="E1725" s="20">
        <v>0</v>
      </c>
    </row>
    <row r="1726" spans="1:5">
      <c r="A1726" s="20" t="str">
        <v>00:00:00</v>
      </c>
      <c r="B1726" s="19">
        <v>0</v>
      </c>
      <c r="C1726" s="21">
        <v>0</v>
      </c>
      <c r="D1726" s="20" t="str">
        <v>未匹配</v>
      </c>
      <c r="E1726" s="20">
        <v>0</v>
      </c>
    </row>
    <row r="1727" spans="1:5">
      <c r="A1727" s="20" t="str">
        <v>00:00:00</v>
      </c>
      <c r="B1727" s="19">
        <v>0</v>
      </c>
      <c r="C1727" s="21">
        <v>0</v>
      </c>
      <c r="D1727" s="20" t="str">
        <v>未匹配</v>
      </c>
      <c r="E1727" s="20">
        <v>0</v>
      </c>
    </row>
    <row r="1728" spans="1:5">
      <c r="A1728" s="20" t="str">
        <v>00:00:00</v>
      </c>
      <c r="B1728" s="19">
        <v>0</v>
      </c>
      <c r="C1728" s="21">
        <v>0</v>
      </c>
      <c r="D1728" s="20" t="str">
        <v>未匹配</v>
      </c>
      <c r="E1728" s="20">
        <v>0</v>
      </c>
    </row>
    <row r="1729" spans="1:5">
      <c r="A1729" s="20" t="str">
        <v>00:00:00</v>
      </c>
      <c r="B1729" s="19">
        <v>0</v>
      </c>
      <c r="C1729" s="21">
        <v>0</v>
      </c>
      <c r="D1729" s="20" t="str">
        <v>未匹配</v>
      </c>
      <c r="E1729" s="20">
        <v>0</v>
      </c>
    </row>
    <row r="1730" spans="1:5">
      <c r="A1730" s="20" t="str">
        <v>00:00:00</v>
      </c>
      <c r="B1730" s="19">
        <v>0</v>
      </c>
      <c r="C1730" s="21">
        <v>0</v>
      </c>
      <c r="D1730" s="20" t="str">
        <v>未匹配</v>
      </c>
      <c r="E1730" s="20">
        <v>0</v>
      </c>
    </row>
    <row r="1731" spans="1:5">
      <c r="A1731" s="20" t="str">
        <v>00:00:00</v>
      </c>
      <c r="B1731" s="19">
        <v>0</v>
      </c>
      <c r="C1731" s="21">
        <v>0</v>
      </c>
      <c r="D1731" s="20" t="str">
        <v>未匹配</v>
      </c>
      <c r="E1731" s="20">
        <v>0</v>
      </c>
    </row>
    <row r="1732" spans="1:5">
      <c r="A1732" s="20" t="str">
        <v>00:00:00</v>
      </c>
      <c r="B1732" s="19">
        <v>0</v>
      </c>
      <c r="C1732" s="21">
        <v>0</v>
      </c>
      <c r="D1732" s="20" t="str">
        <v>未匹配</v>
      </c>
      <c r="E1732" s="20">
        <v>0</v>
      </c>
    </row>
    <row r="1733" spans="1:5">
      <c r="A1733" s="20" t="str">
        <v>00:00:00</v>
      </c>
      <c r="B1733" s="19">
        <v>0</v>
      </c>
      <c r="C1733" s="21">
        <v>0</v>
      </c>
      <c r="D1733" s="20" t="str">
        <v>未匹配</v>
      </c>
      <c r="E1733" s="20">
        <v>0</v>
      </c>
    </row>
    <row r="1734" spans="1:5">
      <c r="A1734" s="20" t="str">
        <v>00:00:00</v>
      </c>
      <c r="B1734" s="19">
        <v>0</v>
      </c>
      <c r="C1734" s="21">
        <v>0</v>
      </c>
      <c r="D1734" s="20" t="str">
        <v>未匹配</v>
      </c>
      <c r="E1734" s="20">
        <v>0</v>
      </c>
    </row>
    <row r="1735" spans="1:5">
      <c r="A1735" s="20" t="str">
        <v>00:00:00</v>
      </c>
      <c r="B1735" s="19">
        <v>0</v>
      </c>
      <c r="C1735" s="21">
        <v>0</v>
      </c>
      <c r="D1735" s="20" t="str">
        <v>未匹配</v>
      </c>
      <c r="E1735" s="20">
        <v>0</v>
      </c>
    </row>
    <row r="1736" spans="1:5">
      <c r="A1736" s="20" t="str">
        <v>00:00:00</v>
      </c>
      <c r="B1736" s="19">
        <v>0</v>
      </c>
      <c r="C1736" s="21">
        <v>0</v>
      </c>
      <c r="D1736" s="20" t="str">
        <v>未匹配</v>
      </c>
      <c r="E1736" s="20">
        <v>0</v>
      </c>
    </row>
    <row r="1737" spans="1:5">
      <c r="A1737" s="20" t="str">
        <v>00:00:00</v>
      </c>
      <c r="B1737" s="19">
        <v>0</v>
      </c>
      <c r="C1737" s="21">
        <v>0</v>
      </c>
      <c r="D1737" s="20" t="str">
        <v>未匹配</v>
      </c>
      <c r="E1737" s="20">
        <v>0</v>
      </c>
    </row>
    <row r="1738" spans="1:5">
      <c r="A1738" s="20" t="str">
        <v>00:00:00</v>
      </c>
      <c r="B1738" s="19">
        <v>0</v>
      </c>
      <c r="C1738" s="21">
        <v>0</v>
      </c>
      <c r="D1738" s="20" t="str">
        <v>未匹配</v>
      </c>
      <c r="E1738" s="20">
        <v>0</v>
      </c>
    </row>
    <row r="1739" spans="1:5">
      <c r="A1739" s="20" t="str">
        <v>00:00:00</v>
      </c>
      <c r="B1739" s="19">
        <v>0</v>
      </c>
      <c r="C1739" s="21">
        <v>0</v>
      </c>
      <c r="D1739" s="20" t="str">
        <v>未匹配</v>
      </c>
      <c r="E1739" s="20">
        <v>0</v>
      </c>
    </row>
    <row r="1740" spans="1:5">
      <c r="A1740" s="20" t="str">
        <v>00:00:00</v>
      </c>
      <c r="B1740" s="19">
        <v>0</v>
      </c>
      <c r="C1740" s="21">
        <v>0</v>
      </c>
      <c r="D1740" s="20" t="str">
        <v>未匹配</v>
      </c>
      <c r="E1740" s="20">
        <v>0</v>
      </c>
    </row>
    <row r="1741" spans="1:5">
      <c r="A1741" s="20" t="str">
        <v>00:00:00</v>
      </c>
      <c r="B1741" s="19">
        <v>0</v>
      </c>
      <c r="C1741" s="21">
        <v>0</v>
      </c>
      <c r="D1741" s="20" t="str">
        <v>未匹配</v>
      </c>
      <c r="E1741" s="20">
        <v>0</v>
      </c>
    </row>
    <row r="1742" spans="1:5">
      <c r="A1742" s="20" t="str">
        <v>00:00:00</v>
      </c>
      <c r="B1742" s="19">
        <v>0</v>
      </c>
      <c r="C1742" s="21">
        <v>0</v>
      </c>
      <c r="D1742" s="20" t="str">
        <v>未匹配</v>
      </c>
      <c r="E1742" s="20">
        <v>0</v>
      </c>
    </row>
    <row r="1743" spans="1:5">
      <c r="A1743" s="20" t="str">
        <v>00:00:00</v>
      </c>
      <c r="B1743" s="19">
        <v>0</v>
      </c>
      <c r="C1743" s="21">
        <v>0</v>
      </c>
      <c r="D1743" s="20" t="str">
        <v>未匹配</v>
      </c>
      <c r="E1743" s="20">
        <v>0</v>
      </c>
    </row>
    <row r="1744" spans="1:5">
      <c r="A1744" s="20" t="str">
        <v>00:00:00</v>
      </c>
      <c r="B1744" s="19">
        <v>0</v>
      </c>
      <c r="C1744" s="21">
        <v>0</v>
      </c>
      <c r="D1744" s="20" t="str">
        <v>未匹配</v>
      </c>
      <c r="E1744" s="20">
        <v>0</v>
      </c>
    </row>
    <row r="1745" spans="1:5">
      <c r="A1745" s="20" t="str">
        <v>00:00:00</v>
      </c>
      <c r="B1745" s="19">
        <v>0</v>
      </c>
      <c r="C1745" s="21">
        <v>0</v>
      </c>
      <c r="D1745" s="20" t="str">
        <v>未匹配</v>
      </c>
      <c r="E1745" s="20">
        <v>0</v>
      </c>
    </row>
    <row r="1746" spans="1:5">
      <c r="A1746" s="20" t="str">
        <v>00:00:00</v>
      </c>
      <c r="B1746" s="19">
        <v>0</v>
      </c>
      <c r="C1746" s="21">
        <v>0</v>
      </c>
      <c r="D1746" s="20" t="str">
        <v>未匹配</v>
      </c>
      <c r="E1746" s="20">
        <v>0</v>
      </c>
    </row>
    <row r="1747" spans="1:5">
      <c r="A1747" s="20" t="str">
        <v>00:00:00</v>
      </c>
      <c r="B1747" s="19">
        <v>0</v>
      </c>
      <c r="C1747" s="21">
        <v>0</v>
      </c>
      <c r="D1747" s="20" t="str">
        <v>未匹配</v>
      </c>
      <c r="E1747" s="20">
        <v>0</v>
      </c>
    </row>
    <row r="1748" spans="1:5">
      <c r="A1748" s="20" t="str">
        <v>00:00:00</v>
      </c>
      <c r="B1748" s="19">
        <v>0</v>
      </c>
      <c r="C1748" s="21">
        <v>0</v>
      </c>
      <c r="D1748" s="20" t="str">
        <v>未匹配</v>
      </c>
      <c r="E1748" s="20">
        <v>0</v>
      </c>
    </row>
    <row r="1749" spans="1:5">
      <c r="A1749" s="20" t="str">
        <v>00:00:00</v>
      </c>
      <c r="B1749" s="19">
        <v>0</v>
      </c>
      <c r="C1749" s="21">
        <v>0</v>
      </c>
      <c r="D1749" s="20" t="str">
        <v>未匹配</v>
      </c>
      <c r="E1749" s="20">
        <v>0</v>
      </c>
    </row>
    <row r="1750" spans="1:5">
      <c r="A1750" s="20" t="str">
        <v>00:00:00</v>
      </c>
      <c r="B1750" s="19">
        <v>0</v>
      </c>
      <c r="C1750" s="21">
        <v>0</v>
      </c>
      <c r="D1750" s="20" t="str">
        <v>未匹配</v>
      </c>
      <c r="E1750" s="20">
        <v>0</v>
      </c>
    </row>
    <row r="1751" spans="1:5">
      <c r="A1751" s="20" t="str">
        <v>00:00:00</v>
      </c>
      <c r="B1751" s="19">
        <v>0</v>
      </c>
      <c r="C1751" s="21">
        <v>0</v>
      </c>
      <c r="D1751" s="20" t="str">
        <v>未匹配</v>
      </c>
      <c r="E1751" s="20">
        <v>0</v>
      </c>
    </row>
    <row r="1752" spans="1:5">
      <c r="A1752" s="20" t="str">
        <v>00:00:00</v>
      </c>
      <c r="B1752" s="19">
        <v>0</v>
      </c>
      <c r="C1752" s="21">
        <v>0</v>
      </c>
      <c r="D1752" s="20" t="str">
        <v>未匹配</v>
      </c>
      <c r="E1752" s="20">
        <v>0</v>
      </c>
    </row>
    <row r="1753" spans="1:5">
      <c r="A1753" s="20" t="str">
        <v>00:00:00</v>
      </c>
      <c r="B1753" s="19">
        <v>0</v>
      </c>
      <c r="C1753" s="21">
        <v>0</v>
      </c>
      <c r="D1753" s="20" t="str">
        <v>未匹配</v>
      </c>
      <c r="E1753" s="20">
        <v>0</v>
      </c>
    </row>
    <row r="1754" spans="1:5">
      <c r="A1754" s="20" t="str">
        <v>00:00:00</v>
      </c>
      <c r="B1754" s="19">
        <v>0</v>
      </c>
      <c r="C1754" s="21">
        <v>0</v>
      </c>
      <c r="D1754" s="20" t="str">
        <v>未匹配</v>
      </c>
      <c r="E1754" s="20">
        <v>0</v>
      </c>
    </row>
    <row r="1755" spans="1:5">
      <c r="A1755" s="20" t="str">
        <v>00:00:00</v>
      </c>
      <c r="B1755" s="19">
        <v>0</v>
      </c>
      <c r="C1755" s="21">
        <v>0</v>
      </c>
      <c r="D1755" s="20" t="str">
        <v>未匹配</v>
      </c>
      <c r="E1755" s="20">
        <v>0</v>
      </c>
    </row>
    <row r="1756" spans="1:5">
      <c r="A1756" s="20" t="str">
        <v>00:00:00</v>
      </c>
      <c r="B1756" s="19">
        <v>0</v>
      </c>
      <c r="C1756" s="21">
        <v>0</v>
      </c>
      <c r="D1756" s="20" t="str">
        <v>未匹配</v>
      </c>
      <c r="E1756" s="20">
        <v>0</v>
      </c>
    </row>
    <row r="1757" spans="1:5">
      <c r="A1757" s="20" t="str">
        <v>00:00:00</v>
      </c>
      <c r="B1757" s="19">
        <v>0</v>
      </c>
      <c r="C1757" s="21">
        <v>0</v>
      </c>
      <c r="D1757" s="20" t="str">
        <v>未匹配</v>
      </c>
      <c r="E1757" s="20">
        <v>0</v>
      </c>
    </row>
    <row r="1758" spans="1:5">
      <c r="A1758" s="20" t="str">
        <v>00:00:00</v>
      </c>
      <c r="B1758" s="19">
        <v>0</v>
      </c>
      <c r="C1758" s="21">
        <v>0</v>
      </c>
      <c r="D1758" s="20" t="str">
        <v>未匹配</v>
      </c>
      <c r="E1758" s="20">
        <v>0</v>
      </c>
    </row>
    <row r="1759" spans="1:5">
      <c r="A1759" s="20" t="str">
        <v>00:00:00</v>
      </c>
      <c r="B1759" s="19">
        <v>0</v>
      </c>
      <c r="C1759" s="21">
        <v>0</v>
      </c>
      <c r="D1759" s="20" t="str">
        <v>未匹配</v>
      </c>
      <c r="E1759" s="20">
        <v>0</v>
      </c>
    </row>
    <row r="1760" spans="1:5">
      <c r="A1760" s="20" t="str">
        <v>00:00:00</v>
      </c>
      <c r="B1760" s="19">
        <v>0</v>
      </c>
      <c r="C1760" s="21">
        <v>0</v>
      </c>
      <c r="D1760" s="20" t="str">
        <v>未匹配</v>
      </c>
      <c r="E1760" s="20">
        <v>0</v>
      </c>
    </row>
    <row r="1761" spans="1:5">
      <c r="A1761" s="20" t="str">
        <v>00:00:00</v>
      </c>
      <c r="B1761" s="19">
        <v>0</v>
      </c>
      <c r="C1761" s="21">
        <v>0</v>
      </c>
      <c r="D1761" s="20" t="str">
        <v>未匹配</v>
      </c>
      <c r="E1761" s="20">
        <v>0</v>
      </c>
    </row>
    <row r="1762" spans="1:5">
      <c r="A1762" s="20" t="str">
        <v>00:00:00</v>
      </c>
      <c r="B1762" s="19">
        <v>0</v>
      </c>
      <c r="C1762" s="21">
        <v>0</v>
      </c>
      <c r="D1762" s="20" t="str">
        <v>未匹配</v>
      </c>
      <c r="E1762" s="20">
        <v>0</v>
      </c>
    </row>
    <row r="1763" spans="1:5">
      <c r="A1763" s="20" t="str">
        <v>00:00:00</v>
      </c>
      <c r="B1763" s="19">
        <v>0</v>
      </c>
      <c r="C1763" s="21">
        <v>0</v>
      </c>
      <c r="D1763" s="20" t="str">
        <v>未匹配</v>
      </c>
      <c r="E1763" s="20">
        <v>0</v>
      </c>
    </row>
    <row r="1764" spans="1:5">
      <c r="A1764" s="20" t="str">
        <v>00:00:00</v>
      </c>
      <c r="B1764" s="19">
        <v>0</v>
      </c>
      <c r="C1764" s="21">
        <v>0</v>
      </c>
      <c r="D1764" s="20" t="str">
        <v>未匹配</v>
      </c>
      <c r="E1764" s="20">
        <v>0</v>
      </c>
    </row>
    <row r="1765" spans="1:5">
      <c r="A1765" s="20" t="str">
        <v>00:00:00</v>
      </c>
      <c r="B1765" s="19">
        <v>0</v>
      </c>
      <c r="C1765" s="21">
        <v>0</v>
      </c>
      <c r="D1765" s="20" t="str">
        <v>未匹配</v>
      </c>
      <c r="E1765" s="20">
        <v>0</v>
      </c>
    </row>
    <row r="1766" spans="1:5">
      <c r="A1766" s="20" t="str">
        <v>00:00:00</v>
      </c>
      <c r="B1766" s="19">
        <v>0</v>
      </c>
      <c r="C1766" s="21">
        <v>0</v>
      </c>
      <c r="D1766" s="20" t="str">
        <v>未匹配</v>
      </c>
      <c r="E1766" s="20">
        <v>0</v>
      </c>
    </row>
    <row r="1767" spans="1:5">
      <c r="A1767" s="20" t="str">
        <v>00:00:00</v>
      </c>
      <c r="B1767" s="19">
        <v>0</v>
      </c>
      <c r="C1767" s="21">
        <v>0</v>
      </c>
      <c r="D1767" s="20" t="str">
        <v>未匹配</v>
      </c>
      <c r="E1767" s="20">
        <v>0</v>
      </c>
    </row>
    <row r="1768" spans="1:5">
      <c r="A1768" s="20" t="str">
        <v>00:00:00</v>
      </c>
      <c r="B1768" s="19">
        <v>0</v>
      </c>
      <c r="C1768" s="21">
        <v>0</v>
      </c>
      <c r="D1768" s="20" t="str">
        <v>未匹配</v>
      </c>
      <c r="E1768" s="20">
        <v>0</v>
      </c>
    </row>
    <row r="1769" spans="1:5">
      <c r="A1769" s="20" t="str">
        <v>00:00:00</v>
      </c>
      <c r="B1769" s="19">
        <v>0</v>
      </c>
      <c r="C1769" s="21">
        <v>0</v>
      </c>
      <c r="D1769" s="20" t="str">
        <v>未匹配</v>
      </c>
      <c r="E1769" s="20">
        <v>0</v>
      </c>
    </row>
    <row r="1770" spans="1:5">
      <c r="A1770" s="20" t="str">
        <v>00:00:00</v>
      </c>
      <c r="B1770" s="19">
        <v>0</v>
      </c>
      <c r="C1770" s="21">
        <v>0</v>
      </c>
      <c r="D1770" s="20" t="str">
        <v>未匹配</v>
      </c>
      <c r="E1770" s="20">
        <v>0</v>
      </c>
    </row>
    <row r="1771" spans="1:5">
      <c r="A1771" s="20" t="str">
        <v>00:00:00</v>
      </c>
      <c r="B1771" s="19">
        <v>0</v>
      </c>
      <c r="C1771" s="21">
        <v>0</v>
      </c>
      <c r="D1771" s="20" t="str">
        <v>未匹配</v>
      </c>
      <c r="E1771" s="20">
        <v>0</v>
      </c>
    </row>
    <row r="1772" spans="1:5">
      <c r="A1772" s="20" t="str">
        <v>00:00:00</v>
      </c>
      <c r="B1772" s="19">
        <v>0</v>
      </c>
      <c r="C1772" s="21">
        <v>0</v>
      </c>
      <c r="D1772" s="20" t="str">
        <v>未匹配</v>
      </c>
      <c r="E1772" s="20">
        <v>0</v>
      </c>
    </row>
    <row r="1773" spans="1:5">
      <c r="A1773" s="20" t="str">
        <v>00:00:00</v>
      </c>
      <c r="B1773" s="19">
        <v>0</v>
      </c>
      <c r="C1773" s="21">
        <v>0</v>
      </c>
      <c r="D1773" s="20" t="str">
        <v>未匹配</v>
      </c>
      <c r="E1773" s="20">
        <v>0</v>
      </c>
    </row>
    <row r="1774" spans="1:5">
      <c r="A1774" s="20" t="str">
        <v>00:00:00</v>
      </c>
      <c r="B1774" s="19">
        <v>0</v>
      </c>
      <c r="C1774" s="21">
        <v>0</v>
      </c>
      <c r="D1774" s="20" t="str">
        <v>未匹配</v>
      </c>
      <c r="E1774" s="20">
        <v>0</v>
      </c>
    </row>
    <row r="1775" spans="1:5">
      <c r="A1775" s="20" t="str">
        <v>00:00:00</v>
      </c>
      <c r="B1775" s="19">
        <v>0</v>
      </c>
      <c r="C1775" s="21">
        <v>0</v>
      </c>
      <c r="D1775" s="20" t="str">
        <v>未匹配</v>
      </c>
      <c r="E1775" s="20">
        <v>0</v>
      </c>
    </row>
    <row r="1776" spans="1:5">
      <c r="A1776" s="20" t="str">
        <v>00:00:00</v>
      </c>
      <c r="B1776" s="19">
        <v>0</v>
      </c>
      <c r="C1776" s="21">
        <v>0</v>
      </c>
      <c r="D1776" s="20" t="str">
        <v>未匹配</v>
      </c>
      <c r="E1776" s="20">
        <v>0</v>
      </c>
    </row>
    <row r="1777" spans="1:5">
      <c r="A1777" s="20" t="str">
        <v>00:00:00</v>
      </c>
      <c r="B1777" s="19">
        <v>0</v>
      </c>
      <c r="C1777" s="21">
        <v>0</v>
      </c>
      <c r="D1777" s="20" t="str">
        <v>未匹配</v>
      </c>
      <c r="E1777" s="20">
        <v>0</v>
      </c>
    </row>
    <row r="1778" spans="1:5">
      <c r="A1778" s="20" t="str">
        <v>00:00:00</v>
      </c>
      <c r="B1778" s="19">
        <v>0</v>
      </c>
      <c r="C1778" s="21">
        <v>0</v>
      </c>
      <c r="D1778" s="20" t="str">
        <v>未匹配</v>
      </c>
      <c r="E1778" s="20">
        <v>0</v>
      </c>
    </row>
    <row r="1779" spans="1:5">
      <c r="A1779" s="20" t="str">
        <v>00:00:00</v>
      </c>
      <c r="B1779" s="19">
        <v>0</v>
      </c>
      <c r="C1779" s="21">
        <v>0</v>
      </c>
      <c r="D1779" s="20" t="str">
        <v>未匹配</v>
      </c>
      <c r="E1779" s="20">
        <v>0</v>
      </c>
    </row>
    <row r="1780" spans="1:5">
      <c r="A1780" s="20" t="str">
        <v>00:00:00</v>
      </c>
      <c r="B1780" s="19">
        <v>0</v>
      </c>
      <c r="C1780" s="21">
        <v>0</v>
      </c>
      <c r="D1780" s="20" t="str">
        <v>未匹配</v>
      </c>
      <c r="E1780" s="20">
        <v>0</v>
      </c>
    </row>
    <row r="1781" spans="1:5">
      <c r="A1781" s="20" t="str">
        <v>00:00:00</v>
      </c>
      <c r="B1781" s="19">
        <v>0</v>
      </c>
      <c r="C1781" s="21">
        <v>0</v>
      </c>
      <c r="D1781" s="20" t="str">
        <v>未匹配</v>
      </c>
      <c r="E1781" s="20">
        <v>0</v>
      </c>
    </row>
    <row r="1782" spans="1:5">
      <c r="A1782" s="20" t="str">
        <v>00:00:00</v>
      </c>
      <c r="B1782" s="19">
        <v>0</v>
      </c>
      <c r="C1782" s="21">
        <v>0</v>
      </c>
      <c r="D1782" s="20" t="str">
        <v>未匹配</v>
      </c>
      <c r="E1782" s="20">
        <v>0</v>
      </c>
    </row>
    <row r="1783" spans="1:5">
      <c r="A1783" s="20" t="str">
        <v>00:00:00</v>
      </c>
      <c r="B1783" s="19">
        <v>0</v>
      </c>
      <c r="C1783" s="21">
        <v>0</v>
      </c>
      <c r="D1783" s="20" t="str">
        <v>未匹配</v>
      </c>
      <c r="E1783" s="20">
        <v>0</v>
      </c>
    </row>
    <row r="1784" spans="1:5">
      <c r="A1784" s="20" t="str">
        <v>00:00:00</v>
      </c>
      <c r="B1784" s="19">
        <v>0</v>
      </c>
      <c r="C1784" s="21">
        <v>0</v>
      </c>
      <c r="D1784" s="20" t="str">
        <v>未匹配</v>
      </c>
      <c r="E1784" s="20">
        <v>0</v>
      </c>
    </row>
    <row r="1785" spans="1:5">
      <c r="A1785" s="20" t="str">
        <v>00:00:00</v>
      </c>
      <c r="B1785" s="19">
        <v>0</v>
      </c>
      <c r="C1785" s="21">
        <v>0</v>
      </c>
      <c r="D1785" s="20" t="str">
        <v>未匹配</v>
      </c>
      <c r="E1785" s="20">
        <v>0</v>
      </c>
    </row>
    <row r="1786" spans="1:5">
      <c r="A1786" s="20" t="str">
        <v>00:00:00</v>
      </c>
      <c r="B1786" s="19">
        <v>0</v>
      </c>
      <c r="C1786" s="21">
        <v>0</v>
      </c>
      <c r="D1786" s="20" t="str">
        <v>未匹配</v>
      </c>
      <c r="E1786" s="20">
        <v>0</v>
      </c>
    </row>
    <row r="1787" spans="1:5">
      <c r="A1787" s="20" t="str">
        <v>00:00:00</v>
      </c>
      <c r="B1787" s="19">
        <v>0</v>
      </c>
      <c r="C1787" s="21">
        <v>0</v>
      </c>
      <c r="D1787" s="20" t="str">
        <v>未匹配</v>
      </c>
      <c r="E1787" s="20">
        <v>0</v>
      </c>
    </row>
    <row r="1788" spans="1:5">
      <c r="A1788" s="20" t="str">
        <v>00:00:00</v>
      </c>
      <c r="B1788" s="19">
        <v>0</v>
      </c>
      <c r="C1788" s="21">
        <v>0</v>
      </c>
      <c r="D1788" s="20" t="str">
        <v>未匹配</v>
      </c>
      <c r="E1788" s="20">
        <v>0</v>
      </c>
    </row>
    <row r="1789" spans="1:5">
      <c r="A1789" s="20" t="str">
        <v>00:00:00</v>
      </c>
      <c r="B1789" s="19">
        <v>0</v>
      </c>
      <c r="C1789" s="21">
        <v>0</v>
      </c>
      <c r="D1789" s="20" t="str">
        <v>未匹配</v>
      </c>
      <c r="E1789" s="20">
        <v>0</v>
      </c>
    </row>
    <row r="1790" spans="1:5">
      <c r="A1790" s="20" t="str">
        <v>00:00:00</v>
      </c>
      <c r="B1790" s="19">
        <v>0</v>
      </c>
      <c r="C1790" s="21">
        <v>0</v>
      </c>
      <c r="D1790" s="20" t="str">
        <v>未匹配</v>
      </c>
      <c r="E1790" s="20">
        <v>0</v>
      </c>
    </row>
    <row r="1791" spans="1:5">
      <c r="A1791" s="20" t="str">
        <v>00:00:00</v>
      </c>
      <c r="B1791" s="19">
        <v>0</v>
      </c>
      <c r="C1791" s="21">
        <v>0</v>
      </c>
      <c r="D1791" s="20" t="str">
        <v>未匹配</v>
      </c>
      <c r="E1791" s="20">
        <v>0</v>
      </c>
    </row>
    <row r="1792" spans="1:5">
      <c r="A1792" s="20" t="str">
        <v>00:00:00</v>
      </c>
      <c r="B1792" s="19">
        <v>0</v>
      </c>
      <c r="C1792" s="21">
        <v>0</v>
      </c>
      <c r="D1792" s="20" t="str">
        <v>未匹配</v>
      </c>
      <c r="E1792" s="20">
        <v>0</v>
      </c>
    </row>
    <row r="1793" spans="1:5">
      <c r="A1793" s="20" t="str">
        <v>00:00:00</v>
      </c>
      <c r="B1793" s="19">
        <v>0</v>
      </c>
      <c r="C1793" s="21">
        <v>0</v>
      </c>
      <c r="D1793" s="20" t="str">
        <v>未匹配</v>
      </c>
      <c r="E1793" s="20">
        <v>0</v>
      </c>
    </row>
    <row r="1794" spans="1:5">
      <c r="A1794" s="20" t="str">
        <v>00:00:00</v>
      </c>
      <c r="B1794" s="19">
        <v>0</v>
      </c>
      <c r="C1794" s="21">
        <v>0</v>
      </c>
      <c r="D1794" s="20" t="str">
        <v>未匹配</v>
      </c>
      <c r="E1794" s="20">
        <v>0</v>
      </c>
    </row>
    <row r="1795" spans="1:5">
      <c r="A1795" s="20" t="str">
        <v>00:00:00</v>
      </c>
      <c r="B1795" s="19">
        <v>0</v>
      </c>
      <c r="C1795" s="21">
        <v>0</v>
      </c>
      <c r="D1795" s="20" t="str">
        <v>未匹配</v>
      </c>
      <c r="E1795" s="20">
        <v>0</v>
      </c>
    </row>
    <row r="1796" spans="1:5">
      <c r="A1796" s="20" t="str">
        <v>00:00:00</v>
      </c>
      <c r="B1796" s="19">
        <v>0</v>
      </c>
      <c r="C1796" s="21">
        <v>0</v>
      </c>
      <c r="D1796" s="20" t="str">
        <v>未匹配</v>
      </c>
      <c r="E1796" s="20">
        <v>0</v>
      </c>
    </row>
    <row r="1797" spans="1:5">
      <c r="A1797" s="20" t="str">
        <v>00:00:00</v>
      </c>
      <c r="B1797" s="19">
        <v>0</v>
      </c>
      <c r="C1797" s="21">
        <v>0</v>
      </c>
      <c r="D1797" s="20" t="str">
        <v>未匹配</v>
      </c>
      <c r="E1797" s="20">
        <v>0</v>
      </c>
    </row>
    <row r="1798" spans="1:5">
      <c r="A1798" s="20" t="str">
        <v>00:00:00</v>
      </c>
      <c r="B1798" s="19">
        <v>0</v>
      </c>
      <c r="C1798" s="21">
        <v>0</v>
      </c>
      <c r="D1798" s="20" t="str">
        <v>未匹配</v>
      </c>
      <c r="E1798" s="20">
        <v>0</v>
      </c>
    </row>
    <row r="1799" spans="1:5">
      <c r="A1799" s="20" t="str">
        <v>00:00:00</v>
      </c>
      <c r="B1799" s="19">
        <v>0</v>
      </c>
      <c r="C1799" s="21">
        <v>0</v>
      </c>
      <c r="D1799" s="20" t="str">
        <v>未匹配</v>
      </c>
      <c r="E1799" s="20">
        <v>0</v>
      </c>
    </row>
    <row r="1800" spans="1:5">
      <c r="A1800" s="20" t="str">
        <v>00:00:00</v>
      </c>
      <c r="B1800" s="19">
        <v>0</v>
      </c>
      <c r="C1800" s="21">
        <v>0</v>
      </c>
      <c r="D1800" s="20" t="str">
        <v>未匹配</v>
      </c>
      <c r="E1800" s="20">
        <v>0</v>
      </c>
    </row>
    <row r="1801" spans="1:5">
      <c r="A1801" s="20" t="str">
        <v>00:00:00</v>
      </c>
      <c r="B1801" s="19">
        <v>0</v>
      </c>
      <c r="C1801" s="21">
        <v>0</v>
      </c>
      <c r="D1801" s="20" t="str">
        <v>未匹配</v>
      </c>
      <c r="E1801" s="20">
        <v>0</v>
      </c>
    </row>
    <row r="1802" spans="1:5">
      <c r="A1802" s="20" t="str">
        <v>00:00:00</v>
      </c>
      <c r="B1802" s="19">
        <v>0</v>
      </c>
      <c r="C1802" s="21">
        <v>0</v>
      </c>
      <c r="D1802" s="20" t="str">
        <v>未匹配</v>
      </c>
      <c r="E1802" s="20">
        <v>0</v>
      </c>
    </row>
    <row r="1803" spans="1:5">
      <c r="A1803" s="20" t="str">
        <v>00:00:00</v>
      </c>
      <c r="B1803" s="19">
        <v>0</v>
      </c>
      <c r="C1803" s="21">
        <v>0</v>
      </c>
      <c r="D1803" s="20" t="str">
        <v>未匹配</v>
      </c>
      <c r="E1803" s="20">
        <v>0</v>
      </c>
    </row>
    <row r="1804" spans="1:5">
      <c r="A1804" s="20" t="str">
        <v>00:00:00</v>
      </c>
      <c r="B1804" s="19">
        <v>0</v>
      </c>
      <c r="C1804" s="21">
        <v>0</v>
      </c>
      <c r="D1804" s="20" t="str">
        <v>未匹配</v>
      </c>
      <c r="E1804" s="20">
        <v>0</v>
      </c>
    </row>
    <row r="1805" spans="1:5">
      <c r="A1805" s="20" t="str">
        <v>00:00:00</v>
      </c>
      <c r="B1805" s="19">
        <v>0</v>
      </c>
      <c r="C1805" s="21">
        <v>0</v>
      </c>
      <c r="D1805" s="20" t="str">
        <v>未匹配</v>
      </c>
      <c r="E1805" s="20">
        <v>0</v>
      </c>
    </row>
    <row r="1806" spans="1:5">
      <c r="A1806" s="20" t="str">
        <v>00:00:00</v>
      </c>
      <c r="B1806" s="19">
        <v>0</v>
      </c>
      <c r="C1806" s="21">
        <v>0</v>
      </c>
      <c r="D1806" s="20" t="str">
        <v>未匹配</v>
      </c>
      <c r="E1806" s="20">
        <v>0</v>
      </c>
    </row>
    <row r="1807" spans="1:5">
      <c r="A1807" s="20" t="str">
        <v>00:00:00</v>
      </c>
      <c r="B1807" s="19">
        <v>0</v>
      </c>
      <c r="C1807" s="21">
        <v>0</v>
      </c>
      <c r="D1807" s="20" t="str">
        <v>未匹配</v>
      </c>
      <c r="E1807" s="20">
        <v>0</v>
      </c>
    </row>
    <row r="1808" spans="1:5">
      <c r="A1808" s="20" t="str">
        <v>00:00:00</v>
      </c>
      <c r="B1808" s="19">
        <v>0</v>
      </c>
      <c r="C1808" s="21">
        <v>0</v>
      </c>
      <c r="D1808" s="20" t="str">
        <v>未匹配</v>
      </c>
      <c r="E1808" s="20">
        <v>0</v>
      </c>
    </row>
    <row r="1809" spans="1:5">
      <c r="A1809" s="20" t="str">
        <v>00:00:00</v>
      </c>
      <c r="B1809" s="19">
        <v>0</v>
      </c>
      <c r="C1809" s="21">
        <v>0</v>
      </c>
      <c r="D1809" s="20" t="str">
        <v>未匹配</v>
      </c>
      <c r="E1809" s="20">
        <v>0</v>
      </c>
    </row>
    <row r="1810" spans="1:5">
      <c r="A1810" s="20" t="str">
        <v>00:00:00</v>
      </c>
      <c r="B1810" s="19">
        <v>0</v>
      </c>
      <c r="C1810" s="21">
        <v>0</v>
      </c>
      <c r="D1810" s="20" t="str">
        <v>未匹配</v>
      </c>
      <c r="E1810" s="20">
        <v>0</v>
      </c>
    </row>
    <row r="1811" spans="1:5">
      <c r="A1811" s="20" t="str">
        <v>00:00:00</v>
      </c>
      <c r="B1811" s="19">
        <v>0</v>
      </c>
      <c r="C1811" s="21">
        <v>0</v>
      </c>
      <c r="D1811" s="20" t="str">
        <v>未匹配</v>
      </c>
      <c r="E1811" s="20">
        <v>0</v>
      </c>
    </row>
    <row r="1812" spans="1:5">
      <c r="A1812" s="20" t="str">
        <v>00:00:00</v>
      </c>
      <c r="B1812" s="19">
        <v>0</v>
      </c>
      <c r="C1812" s="21">
        <v>0</v>
      </c>
      <c r="D1812" s="20" t="str">
        <v>未匹配</v>
      </c>
      <c r="E1812" s="20">
        <v>0</v>
      </c>
    </row>
    <row r="1813" spans="1:5">
      <c r="A1813" s="20" t="str">
        <v>00:00:00</v>
      </c>
      <c r="B1813" s="19">
        <v>0</v>
      </c>
      <c r="C1813" s="21">
        <v>0</v>
      </c>
      <c r="D1813" s="20" t="str">
        <v>未匹配</v>
      </c>
      <c r="E1813" s="20">
        <v>0</v>
      </c>
    </row>
    <row r="1814" spans="1:5">
      <c r="A1814" s="20" t="str">
        <v>00:00:00</v>
      </c>
      <c r="B1814" s="19">
        <v>0</v>
      </c>
      <c r="C1814" s="21">
        <v>0</v>
      </c>
      <c r="D1814" s="20" t="str">
        <v>未匹配</v>
      </c>
      <c r="E1814" s="20">
        <v>0</v>
      </c>
    </row>
    <row r="1815" spans="1:5">
      <c r="A1815" s="20" t="str">
        <v>00:00:00</v>
      </c>
      <c r="B1815" s="19">
        <v>0</v>
      </c>
      <c r="C1815" s="21">
        <v>0</v>
      </c>
      <c r="D1815" s="20" t="str">
        <v>未匹配</v>
      </c>
      <c r="E1815" s="20">
        <v>0</v>
      </c>
    </row>
    <row r="1816" spans="1:5">
      <c r="A1816" s="20" t="str">
        <v>00:00:00</v>
      </c>
      <c r="B1816" s="19">
        <v>0</v>
      </c>
      <c r="C1816" s="21">
        <v>0</v>
      </c>
      <c r="D1816" s="20" t="str">
        <v>未匹配</v>
      </c>
      <c r="E1816" s="20">
        <v>0</v>
      </c>
    </row>
    <row r="1817" spans="1:5">
      <c r="A1817" s="20" t="str">
        <v>00:00:00</v>
      </c>
      <c r="B1817" s="19">
        <v>0</v>
      </c>
      <c r="C1817" s="21">
        <v>0</v>
      </c>
      <c r="D1817" s="20" t="str">
        <v>未匹配</v>
      </c>
      <c r="E1817" s="20">
        <v>0</v>
      </c>
    </row>
    <row r="1818" spans="1:5">
      <c r="A1818" s="20" t="str">
        <v>00:00:00</v>
      </c>
      <c r="B1818" s="19">
        <v>0</v>
      </c>
      <c r="C1818" s="21">
        <v>0</v>
      </c>
      <c r="D1818" s="20" t="str">
        <v>未匹配</v>
      </c>
      <c r="E1818" s="20">
        <v>0</v>
      </c>
    </row>
    <row r="1819" spans="1:5">
      <c r="A1819" s="20" t="str">
        <v>00:00:00</v>
      </c>
      <c r="B1819" s="19">
        <v>0</v>
      </c>
      <c r="C1819" s="21">
        <v>0</v>
      </c>
      <c r="D1819" s="20" t="str">
        <v>未匹配</v>
      </c>
      <c r="E1819" s="20">
        <v>0</v>
      </c>
    </row>
    <row r="1820" spans="1:5">
      <c r="A1820" s="20" t="str">
        <v>00:00:00</v>
      </c>
      <c r="B1820" s="19">
        <v>0</v>
      </c>
      <c r="C1820" s="21">
        <v>0</v>
      </c>
      <c r="D1820" s="20" t="str">
        <v>未匹配</v>
      </c>
      <c r="E1820" s="20">
        <v>0</v>
      </c>
    </row>
    <row r="1821" spans="1:5">
      <c r="A1821" s="20" t="str">
        <v>00:00:00</v>
      </c>
      <c r="B1821" s="19">
        <v>0</v>
      </c>
      <c r="C1821" s="21">
        <v>0</v>
      </c>
      <c r="D1821" s="20" t="str">
        <v>未匹配</v>
      </c>
      <c r="E1821" s="20">
        <v>0</v>
      </c>
    </row>
    <row r="1822" spans="1:5">
      <c r="A1822" s="20" t="str">
        <v>00:00:00</v>
      </c>
      <c r="B1822" s="19">
        <v>0</v>
      </c>
      <c r="C1822" s="21">
        <v>0</v>
      </c>
      <c r="D1822" s="20" t="str">
        <v>未匹配</v>
      </c>
      <c r="E1822" s="20">
        <v>0</v>
      </c>
    </row>
    <row r="1823" spans="1:5">
      <c r="A1823" s="20" t="str">
        <v>00:00:00</v>
      </c>
      <c r="B1823" s="19">
        <v>0</v>
      </c>
      <c r="C1823" s="21">
        <v>0</v>
      </c>
      <c r="D1823" s="20" t="str">
        <v>未匹配</v>
      </c>
      <c r="E1823" s="20">
        <v>0</v>
      </c>
    </row>
    <row r="1824" spans="1:5">
      <c r="A1824" s="20" t="str">
        <v>00:00:00</v>
      </c>
      <c r="B1824" s="19">
        <v>0</v>
      </c>
      <c r="C1824" s="21">
        <v>0</v>
      </c>
      <c r="D1824" s="20" t="str">
        <v>未匹配</v>
      </c>
      <c r="E1824" s="20">
        <v>0</v>
      </c>
    </row>
    <row r="1825" spans="1:5">
      <c r="A1825" s="20" t="str">
        <v>00:00:00</v>
      </c>
      <c r="B1825" s="19">
        <v>0</v>
      </c>
      <c r="C1825" s="21">
        <v>0</v>
      </c>
      <c r="D1825" s="20" t="str">
        <v>未匹配</v>
      </c>
      <c r="E1825" s="20">
        <v>0</v>
      </c>
    </row>
    <row r="1826" spans="1:5">
      <c r="A1826" s="20" t="str">
        <v>00:00:00</v>
      </c>
      <c r="B1826" s="19">
        <v>0</v>
      </c>
      <c r="C1826" s="21">
        <v>0</v>
      </c>
      <c r="D1826" s="20" t="str">
        <v>未匹配</v>
      </c>
      <c r="E1826" s="20">
        <v>0</v>
      </c>
    </row>
    <row r="1827" spans="1:5">
      <c r="A1827" s="20" t="str">
        <v>00:00:00</v>
      </c>
      <c r="B1827" s="19">
        <v>0</v>
      </c>
      <c r="C1827" s="21">
        <v>0</v>
      </c>
      <c r="D1827" s="20" t="str">
        <v>未匹配</v>
      </c>
      <c r="E1827" s="20">
        <v>0</v>
      </c>
    </row>
    <row r="1828" spans="1:5">
      <c r="A1828" s="20" t="str">
        <v>00:00:00</v>
      </c>
      <c r="B1828" s="19">
        <v>0</v>
      </c>
      <c r="C1828" s="21">
        <v>0</v>
      </c>
      <c r="D1828" s="20" t="str">
        <v>未匹配</v>
      </c>
      <c r="E1828" s="20">
        <v>0</v>
      </c>
    </row>
    <row r="1829" spans="1:5">
      <c r="A1829" s="20" t="str">
        <v>00:00:00</v>
      </c>
      <c r="B1829" s="19">
        <v>0</v>
      </c>
      <c r="C1829" s="21">
        <v>0</v>
      </c>
      <c r="D1829" s="20" t="str">
        <v>未匹配</v>
      </c>
      <c r="E1829" s="20">
        <v>0</v>
      </c>
    </row>
    <row r="1830" spans="1:5">
      <c r="A1830" s="20" t="str">
        <v>00:00:00</v>
      </c>
      <c r="B1830" s="19">
        <v>0</v>
      </c>
      <c r="C1830" s="21">
        <v>0</v>
      </c>
      <c r="D1830" s="20" t="str">
        <v>未匹配</v>
      </c>
      <c r="E1830" s="20">
        <v>0</v>
      </c>
    </row>
    <row r="1831" spans="1:5">
      <c r="A1831" s="20" t="str">
        <v>00:00:00</v>
      </c>
      <c r="B1831" s="19">
        <v>0</v>
      </c>
      <c r="C1831" s="21">
        <v>0</v>
      </c>
      <c r="D1831" s="20" t="str">
        <v>未匹配</v>
      </c>
      <c r="E1831" s="20">
        <v>0</v>
      </c>
    </row>
    <row r="1832" spans="1:5">
      <c r="A1832" s="20" t="str">
        <v>00:00:00</v>
      </c>
      <c r="B1832" s="19">
        <v>0</v>
      </c>
      <c r="C1832" s="21">
        <v>0</v>
      </c>
      <c r="D1832" s="20" t="str">
        <v>未匹配</v>
      </c>
      <c r="E1832" s="20">
        <v>0</v>
      </c>
    </row>
    <row r="1833" spans="1:5">
      <c r="A1833" s="20" t="str">
        <v>00:00:00</v>
      </c>
      <c r="B1833" s="19">
        <v>0</v>
      </c>
      <c r="C1833" s="21">
        <v>0</v>
      </c>
      <c r="D1833" s="20" t="str">
        <v>未匹配</v>
      </c>
      <c r="E1833" s="20">
        <v>0</v>
      </c>
    </row>
    <row r="1834" spans="1:5">
      <c r="A1834" s="20" t="str">
        <v>00:00:00</v>
      </c>
      <c r="B1834" s="19">
        <v>0</v>
      </c>
      <c r="C1834" s="21">
        <v>0</v>
      </c>
      <c r="D1834" s="20" t="str">
        <v>未匹配</v>
      </c>
      <c r="E1834" s="20">
        <v>0</v>
      </c>
    </row>
    <row r="1835" spans="1:5">
      <c r="A1835" s="20" t="str">
        <v>00:00:00</v>
      </c>
      <c r="B1835" s="19">
        <v>0</v>
      </c>
      <c r="C1835" s="21">
        <v>0</v>
      </c>
      <c r="D1835" s="20" t="str">
        <v>未匹配</v>
      </c>
      <c r="E1835" s="20">
        <v>0</v>
      </c>
    </row>
    <row r="1836" spans="1:5">
      <c r="A1836" s="20" t="str">
        <v>00:00:00</v>
      </c>
      <c r="B1836" s="19">
        <v>0</v>
      </c>
      <c r="C1836" s="21">
        <v>0</v>
      </c>
      <c r="D1836" s="20" t="str">
        <v>未匹配</v>
      </c>
      <c r="E1836" s="20">
        <v>0</v>
      </c>
    </row>
    <row r="1837" spans="1:5">
      <c r="A1837" s="20" t="str">
        <v>00:00:00</v>
      </c>
      <c r="B1837" s="19">
        <v>0</v>
      </c>
      <c r="C1837" s="21">
        <v>0</v>
      </c>
      <c r="D1837" s="20" t="str">
        <v>未匹配</v>
      </c>
      <c r="E1837" s="20">
        <v>0</v>
      </c>
    </row>
    <row r="1838" spans="1:5">
      <c r="A1838" s="20" t="str">
        <v>00:00:00</v>
      </c>
      <c r="B1838" s="19">
        <v>0</v>
      </c>
      <c r="C1838" s="21">
        <v>0</v>
      </c>
      <c r="D1838" s="20" t="str">
        <v>未匹配</v>
      </c>
      <c r="E1838" s="20">
        <v>0</v>
      </c>
    </row>
    <row r="1839" spans="1:5">
      <c r="A1839" s="20" t="str">
        <v>00:00:00</v>
      </c>
      <c r="B1839" s="19">
        <v>0</v>
      </c>
      <c r="C1839" s="21">
        <v>0</v>
      </c>
      <c r="D1839" s="20" t="str">
        <v>未匹配</v>
      </c>
      <c r="E1839" s="20">
        <v>0</v>
      </c>
    </row>
    <row r="1840" spans="1:5">
      <c r="A1840" s="20" t="str">
        <v>00:00:00</v>
      </c>
      <c r="B1840" s="19">
        <v>0</v>
      </c>
      <c r="C1840" s="21">
        <v>0</v>
      </c>
      <c r="D1840" s="20" t="str">
        <v>未匹配</v>
      </c>
      <c r="E1840" s="20">
        <v>0</v>
      </c>
    </row>
    <row r="1841" spans="1:5">
      <c r="A1841" s="20" t="str">
        <v>00:00:00</v>
      </c>
      <c r="B1841" s="19">
        <v>0</v>
      </c>
      <c r="C1841" s="21">
        <v>0</v>
      </c>
      <c r="D1841" s="20" t="str">
        <v>未匹配</v>
      </c>
      <c r="E1841" s="20">
        <v>0</v>
      </c>
    </row>
    <row r="1842" spans="1:5">
      <c r="A1842" s="20" t="str">
        <v>00:00:00</v>
      </c>
      <c r="B1842" s="19">
        <v>0</v>
      </c>
      <c r="C1842" s="21">
        <v>0</v>
      </c>
      <c r="D1842" s="20" t="str">
        <v>未匹配</v>
      </c>
      <c r="E1842" s="20">
        <v>0</v>
      </c>
    </row>
    <row r="1843" spans="1:5">
      <c r="A1843" s="20" t="str">
        <v>00:00:00</v>
      </c>
      <c r="B1843" s="19">
        <v>0</v>
      </c>
      <c r="C1843" s="21">
        <v>0</v>
      </c>
      <c r="D1843" s="20" t="str">
        <v>未匹配</v>
      </c>
      <c r="E1843" s="20">
        <v>0</v>
      </c>
    </row>
    <row r="1844" spans="1:5">
      <c r="A1844" s="20" t="str">
        <v>00:00:00</v>
      </c>
      <c r="B1844" s="19">
        <v>0</v>
      </c>
      <c r="C1844" s="21">
        <v>0</v>
      </c>
      <c r="D1844" s="20" t="str">
        <v>未匹配</v>
      </c>
      <c r="E1844" s="20">
        <v>0</v>
      </c>
    </row>
    <row r="1845" spans="1:5">
      <c r="A1845" s="20" t="str">
        <v>00:00:00</v>
      </c>
      <c r="B1845" s="19">
        <v>0</v>
      </c>
      <c r="C1845" s="21">
        <v>0</v>
      </c>
      <c r="D1845" s="20" t="str">
        <v>未匹配</v>
      </c>
      <c r="E1845" s="20">
        <v>0</v>
      </c>
    </row>
    <row r="1846" spans="1:5">
      <c r="A1846" s="20" t="str">
        <v>00:00:00</v>
      </c>
      <c r="B1846" s="19">
        <v>0</v>
      </c>
      <c r="C1846" s="21">
        <v>0</v>
      </c>
      <c r="D1846" s="20" t="str">
        <v>未匹配</v>
      </c>
      <c r="E1846" s="20">
        <v>0</v>
      </c>
    </row>
    <row r="1847" spans="1:5">
      <c r="A1847" s="20" t="str">
        <v>00:00:00</v>
      </c>
      <c r="B1847" s="19">
        <v>0</v>
      </c>
      <c r="C1847" s="21">
        <v>0</v>
      </c>
      <c r="D1847" s="20" t="str">
        <v>未匹配</v>
      </c>
      <c r="E1847" s="20">
        <v>0</v>
      </c>
    </row>
    <row r="1848" spans="1:5">
      <c r="A1848" s="20" t="str">
        <v>00:00:00</v>
      </c>
      <c r="B1848" s="19">
        <v>0</v>
      </c>
      <c r="C1848" s="21">
        <v>0</v>
      </c>
      <c r="D1848" s="20" t="str">
        <v>未匹配</v>
      </c>
      <c r="E1848" s="20">
        <v>0</v>
      </c>
    </row>
    <row r="1849" spans="1:5">
      <c r="A1849" s="20" t="str">
        <v>00:00:00</v>
      </c>
      <c r="B1849" s="19">
        <v>0</v>
      </c>
      <c r="C1849" s="21">
        <v>0</v>
      </c>
      <c r="D1849" s="20" t="str">
        <v>未匹配</v>
      </c>
      <c r="E1849" s="20">
        <v>0</v>
      </c>
    </row>
    <row r="1850" spans="1:5">
      <c r="A1850" s="20" t="str">
        <v>00:00:00</v>
      </c>
      <c r="B1850" s="19">
        <v>0</v>
      </c>
      <c r="C1850" s="21">
        <v>0</v>
      </c>
      <c r="D1850" s="20" t="str">
        <v>未匹配</v>
      </c>
      <c r="E1850" s="20">
        <v>0</v>
      </c>
    </row>
    <row r="1851" spans="1:5">
      <c r="A1851" s="20" t="str">
        <v>00:00:00</v>
      </c>
      <c r="B1851" s="19">
        <v>0</v>
      </c>
      <c r="C1851" s="21">
        <v>0</v>
      </c>
      <c r="D1851" s="20" t="str">
        <v>未匹配</v>
      </c>
      <c r="E1851" s="20">
        <v>0</v>
      </c>
    </row>
    <row r="1852" spans="1:5">
      <c r="A1852" s="20" t="str">
        <v>00:00:00</v>
      </c>
      <c r="B1852" s="19">
        <v>0</v>
      </c>
      <c r="C1852" s="21">
        <v>0</v>
      </c>
      <c r="D1852" s="20" t="str">
        <v>未匹配</v>
      </c>
      <c r="E1852" s="20">
        <v>0</v>
      </c>
    </row>
    <row r="1853" spans="1:5">
      <c r="A1853" s="20" t="str">
        <v>00:00:00</v>
      </c>
      <c r="B1853" s="19">
        <v>0</v>
      </c>
      <c r="C1853" s="21">
        <v>0</v>
      </c>
      <c r="D1853" s="20" t="str">
        <v>未匹配</v>
      </c>
      <c r="E1853" s="20">
        <v>0</v>
      </c>
    </row>
    <row r="1854" spans="1:5">
      <c r="A1854" s="20" t="str">
        <v>00:00:00</v>
      </c>
      <c r="B1854" s="19">
        <v>0</v>
      </c>
      <c r="C1854" s="21">
        <v>0</v>
      </c>
      <c r="D1854" s="20" t="str">
        <v>未匹配</v>
      </c>
      <c r="E1854" s="20">
        <v>0</v>
      </c>
    </row>
    <row r="1855" spans="1:5">
      <c r="A1855" s="20" t="str">
        <v>00:00:00</v>
      </c>
      <c r="B1855" s="19">
        <v>0</v>
      </c>
      <c r="C1855" s="21">
        <v>0</v>
      </c>
      <c r="D1855" s="20" t="str">
        <v>未匹配</v>
      </c>
      <c r="E1855" s="20">
        <v>0</v>
      </c>
    </row>
    <row r="1856" spans="1:5">
      <c r="A1856" s="20" t="str">
        <v>00:00:00</v>
      </c>
      <c r="B1856" s="19">
        <v>0</v>
      </c>
      <c r="C1856" s="21">
        <v>0</v>
      </c>
      <c r="D1856" s="20" t="str">
        <v>未匹配</v>
      </c>
      <c r="E1856" s="20">
        <v>0</v>
      </c>
    </row>
    <row r="1857" spans="1:5">
      <c r="A1857" s="20" t="str">
        <v>00:00:00</v>
      </c>
      <c r="B1857" s="19">
        <v>0</v>
      </c>
      <c r="C1857" s="21">
        <v>0</v>
      </c>
      <c r="D1857" s="20" t="str">
        <v>未匹配</v>
      </c>
      <c r="E1857" s="20">
        <v>0</v>
      </c>
    </row>
    <row r="1858" spans="1:5">
      <c r="A1858" s="20" t="str">
        <v>00:00:00</v>
      </c>
      <c r="B1858" s="19">
        <v>0</v>
      </c>
      <c r="C1858" s="21">
        <v>0</v>
      </c>
      <c r="D1858" s="20" t="str">
        <v>未匹配</v>
      </c>
      <c r="E1858" s="20">
        <v>0</v>
      </c>
    </row>
    <row r="1859" spans="1:5">
      <c r="A1859" s="20" t="str">
        <v>00:00:00</v>
      </c>
      <c r="B1859" s="19">
        <v>0</v>
      </c>
      <c r="C1859" s="21">
        <v>0</v>
      </c>
      <c r="D1859" s="20" t="str">
        <v>未匹配</v>
      </c>
      <c r="E1859" s="20">
        <v>0</v>
      </c>
    </row>
    <row r="1860" spans="1:5">
      <c r="A1860" s="20" t="str">
        <v>00:00:00</v>
      </c>
      <c r="B1860" s="19">
        <v>0</v>
      </c>
      <c r="C1860" s="21">
        <v>0</v>
      </c>
      <c r="D1860" s="20" t="str">
        <v>未匹配</v>
      </c>
      <c r="E1860" s="20">
        <v>0</v>
      </c>
    </row>
    <row r="1861" spans="1:5">
      <c r="A1861" s="20" t="str">
        <v>00:00:00</v>
      </c>
      <c r="B1861" s="19">
        <v>0</v>
      </c>
      <c r="C1861" s="21">
        <v>0</v>
      </c>
      <c r="D1861" s="20" t="str">
        <v>未匹配</v>
      </c>
      <c r="E1861" s="20">
        <v>0</v>
      </c>
    </row>
    <row r="1862" spans="1:5">
      <c r="A1862" s="20" t="str">
        <v>00:00:00</v>
      </c>
      <c r="B1862" s="19">
        <v>0</v>
      </c>
      <c r="C1862" s="21">
        <v>0</v>
      </c>
      <c r="D1862" s="20" t="str">
        <v>未匹配</v>
      </c>
      <c r="E1862" s="20">
        <v>0</v>
      </c>
    </row>
    <row r="1863" spans="1:5">
      <c r="A1863" s="20" t="str">
        <v>00:00:00</v>
      </c>
      <c r="B1863" s="19">
        <v>0</v>
      </c>
      <c r="C1863" s="21">
        <v>0</v>
      </c>
      <c r="D1863" s="20" t="str">
        <v>未匹配</v>
      </c>
      <c r="E1863" s="20">
        <v>0</v>
      </c>
    </row>
    <row r="1864" spans="1:5">
      <c r="A1864" s="20" t="str">
        <v>00:00:00</v>
      </c>
      <c r="B1864" s="19">
        <v>0</v>
      </c>
      <c r="C1864" s="21">
        <v>0</v>
      </c>
      <c r="D1864" s="20" t="str">
        <v>未匹配</v>
      </c>
      <c r="E1864" s="20">
        <v>0</v>
      </c>
    </row>
    <row r="1865" spans="1:5">
      <c r="A1865" s="20" t="str">
        <v>00:00:00</v>
      </c>
      <c r="B1865" s="19">
        <v>0</v>
      </c>
      <c r="C1865" s="21">
        <v>0</v>
      </c>
      <c r="D1865" s="20" t="str">
        <v>未匹配</v>
      </c>
      <c r="E1865" s="20">
        <v>0</v>
      </c>
    </row>
    <row r="1866" spans="1:5">
      <c r="A1866" s="20" t="str">
        <v>00:00:00</v>
      </c>
      <c r="B1866" s="19">
        <v>0</v>
      </c>
      <c r="C1866" s="21">
        <v>0</v>
      </c>
      <c r="D1866" s="20" t="str">
        <v>未匹配</v>
      </c>
      <c r="E1866" s="20">
        <v>0</v>
      </c>
    </row>
    <row r="1867" spans="1:5">
      <c r="A1867" s="20" t="str">
        <v>00:00:00</v>
      </c>
      <c r="B1867" s="19">
        <v>0</v>
      </c>
      <c r="C1867" s="21">
        <v>0</v>
      </c>
      <c r="D1867" s="20" t="str">
        <v>未匹配</v>
      </c>
      <c r="E1867" s="20">
        <v>0</v>
      </c>
    </row>
    <row r="1868" spans="1:5">
      <c r="A1868" s="20" t="str">
        <v>00:00:00</v>
      </c>
      <c r="B1868" s="19">
        <v>0</v>
      </c>
      <c r="C1868" s="21">
        <v>0</v>
      </c>
      <c r="D1868" s="20" t="str">
        <v>未匹配</v>
      </c>
      <c r="E1868" s="20">
        <v>0</v>
      </c>
    </row>
    <row r="1869" spans="1:5">
      <c r="A1869" s="20" t="str">
        <v>00:00:00</v>
      </c>
      <c r="B1869" s="19">
        <v>0</v>
      </c>
      <c r="C1869" s="21">
        <v>0</v>
      </c>
      <c r="D1869" s="20" t="str">
        <v>未匹配</v>
      </c>
      <c r="E1869" s="20">
        <v>0</v>
      </c>
    </row>
    <row r="1870" spans="1:5">
      <c r="A1870" s="20" t="str">
        <v>00:00:00</v>
      </c>
      <c r="B1870" s="19">
        <v>0</v>
      </c>
      <c r="C1870" s="21">
        <v>0</v>
      </c>
      <c r="D1870" s="20" t="str">
        <v>未匹配</v>
      </c>
      <c r="E1870" s="20">
        <v>0</v>
      </c>
    </row>
    <row r="1871" spans="1:5">
      <c r="A1871" s="20" t="str">
        <v>00:00:00</v>
      </c>
      <c r="B1871" s="19">
        <v>0</v>
      </c>
      <c r="C1871" s="21">
        <v>0</v>
      </c>
      <c r="D1871" s="20" t="str">
        <v>未匹配</v>
      </c>
      <c r="E1871" s="20">
        <v>0</v>
      </c>
    </row>
    <row r="1872" spans="1:5">
      <c r="A1872" s="20" t="str">
        <v>00:00:00</v>
      </c>
      <c r="B1872" s="19">
        <v>0</v>
      </c>
      <c r="C1872" s="21">
        <v>0</v>
      </c>
      <c r="D1872" s="20" t="str">
        <v>未匹配</v>
      </c>
      <c r="E1872" s="20">
        <v>0</v>
      </c>
    </row>
    <row r="1873" spans="1:5">
      <c r="A1873" s="20" t="str">
        <v>00:00:00</v>
      </c>
      <c r="B1873" s="19">
        <v>0</v>
      </c>
      <c r="C1873" s="21">
        <v>0</v>
      </c>
      <c r="D1873" s="20" t="str">
        <v>未匹配</v>
      </c>
      <c r="E1873" s="20">
        <v>0</v>
      </c>
    </row>
    <row r="1874" spans="1:5">
      <c r="A1874" s="20" t="str">
        <v>00:00:00</v>
      </c>
      <c r="B1874" s="19">
        <v>0</v>
      </c>
      <c r="C1874" s="21">
        <v>0</v>
      </c>
      <c r="D1874" s="20" t="str">
        <v>未匹配</v>
      </c>
      <c r="E1874" s="20">
        <v>0</v>
      </c>
    </row>
    <row r="1875" spans="1:5">
      <c r="A1875" s="20" t="str">
        <v>00:00:00</v>
      </c>
      <c r="B1875" s="19">
        <v>0</v>
      </c>
      <c r="C1875" s="21">
        <v>0</v>
      </c>
      <c r="D1875" s="20" t="str">
        <v>未匹配</v>
      </c>
      <c r="E1875" s="20">
        <v>0</v>
      </c>
    </row>
    <row r="1876" spans="1:5">
      <c r="A1876" s="20" t="str">
        <v>00:00:00</v>
      </c>
      <c r="B1876" s="19">
        <v>0</v>
      </c>
      <c r="C1876" s="21">
        <v>0</v>
      </c>
      <c r="D1876" s="20" t="str">
        <v>未匹配</v>
      </c>
      <c r="E1876" s="20">
        <v>0</v>
      </c>
    </row>
    <row r="1877" spans="1:5">
      <c r="A1877" s="20" t="str">
        <v>00:00:00</v>
      </c>
      <c r="B1877" s="19">
        <v>0</v>
      </c>
      <c r="C1877" s="21">
        <v>0</v>
      </c>
      <c r="D1877" s="20" t="str">
        <v>未匹配</v>
      </c>
      <c r="E1877" s="20">
        <v>0</v>
      </c>
    </row>
    <row r="1878" spans="1:5">
      <c r="A1878" s="20" t="str">
        <v>00:00:00</v>
      </c>
      <c r="B1878" s="19">
        <v>0</v>
      </c>
      <c r="C1878" s="21">
        <v>0</v>
      </c>
      <c r="D1878" s="20" t="str">
        <v>未匹配</v>
      </c>
      <c r="E1878" s="20">
        <v>0</v>
      </c>
    </row>
    <row r="1879" spans="1:5">
      <c r="A1879" s="20" t="str">
        <v>00:00:00</v>
      </c>
      <c r="B1879" s="19">
        <v>0</v>
      </c>
      <c r="C1879" s="21">
        <v>0</v>
      </c>
      <c r="D1879" s="20" t="str">
        <v>未匹配</v>
      </c>
      <c r="E1879" s="20">
        <v>0</v>
      </c>
    </row>
    <row r="1880" spans="1:5">
      <c r="A1880" s="20" t="str">
        <v>00:00:00</v>
      </c>
      <c r="B1880" s="19">
        <v>0</v>
      </c>
      <c r="C1880" s="21">
        <v>0</v>
      </c>
      <c r="D1880" s="20" t="str">
        <v>未匹配</v>
      </c>
      <c r="E1880" s="20">
        <v>0</v>
      </c>
    </row>
    <row r="1881" spans="1:5">
      <c r="A1881" s="20" t="str">
        <v>00:00:00</v>
      </c>
      <c r="B1881" s="19">
        <v>0</v>
      </c>
      <c r="C1881" s="21">
        <v>0</v>
      </c>
      <c r="D1881" s="20" t="str">
        <v>未匹配</v>
      </c>
      <c r="E1881" s="20">
        <v>0</v>
      </c>
    </row>
    <row r="1882" spans="1:5">
      <c r="A1882" s="20" t="str">
        <v>00:00:00</v>
      </c>
      <c r="B1882" s="19">
        <v>0</v>
      </c>
      <c r="C1882" s="21">
        <v>0</v>
      </c>
      <c r="D1882" s="20" t="str">
        <v>未匹配</v>
      </c>
      <c r="E1882" s="20">
        <v>0</v>
      </c>
    </row>
    <row r="1883" spans="1:5">
      <c r="A1883" s="20" t="str">
        <v>00:00:00</v>
      </c>
      <c r="B1883" s="19">
        <v>0</v>
      </c>
      <c r="C1883" s="21">
        <v>0</v>
      </c>
      <c r="D1883" s="20" t="str">
        <v>未匹配</v>
      </c>
      <c r="E1883" s="20">
        <v>0</v>
      </c>
    </row>
    <row r="1884" spans="1:5">
      <c r="A1884" s="20" t="str">
        <v>00:00:00</v>
      </c>
      <c r="B1884" s="19">
        <v>0</v>
      </c>
      <c r="C1884" s="21">
        <v>0</v>
      </c>
      <c r="D1884" s="20" t="str">
        <v>未匹配</v>
      </c>
      <c r="E1884" s="20">
        <v>0</v>
      </c>
    </row>
    <row r="1885" spans="1:5">
      <c r="A1885" s="20" t="str">
        <v>00:00:00</v>
      </c>
      <c r="B1885" s="19">
        <v>0</v>
      </c>
      <c r="C1885" s="21">
        <v>0</v>
      </c>
      <c r="D1885" s="20" t="str">
        <v>未匹配</v>
      </c>
      <c r="E1885" s="20">
        <v>0</v>
      </c>
    </row>
    <row r="1886" spans="1:5">
      <c r="A1886" s="20" t="str">
        <v>00:00:00</v>
      </c>
      <c r="B1886" s="19">
        <v>0</v>
      </c>
      <c r="C1886" s="21">
        <v>0</v>
      </c>
      <c r="D1886" s="20" t="str">
        <v>未匹配</v>
      </c>
      <c r="E1886" s="20">
        <v>0</v>
      </c>
    </row>
    <row r="1887" spans="1:5">
      <c r="A1887" s="20" t="str">
        <v>00:00:00</v>
      </c>
      <c r="B1887" s="19">
        <v>0</v>
      </c>
      <c r="C1887" s="21">
        <v>0</v>
      </c>
      <c r="D1887" s="20" t="str">
        <v>未匹配</v>
      </c>
      <c r="E1887" s="20">
        <v>0</v>
      </c>
    </row>
    <row r="1888" spans="1:5">
      <c r="A1888" s="20" t="str">
        <v>00:00:00</v>
      </c>
      <c r="B1888" s="19">
        <v>0</v>
      </c>
      <c r="C1888" s="21">
        <v>0</v>
      </c>
      <c r="D1888" s="20" t="str">
        <v>未匹配</v>
      </c>
      <c r="E1888" s="20">
        <v>0</v>
      </c>
    </row>
    <row r="1889" spans="1:5">
      <c r="A1889" s="20" t="str">
        <v>00:00:00</v>
      </c>
      <c r="B1889" s="19">
        <v>0</v>
      </c>
      <c r="C1889" s="21">
        <v>0</v>
      </c>
      <c r="D1889" s="20" t="str">
        <v>未匹配</v>
      </c>
      <c r="E1889" s="20">
        <v>0</v>
      </c>
    </row>
    <row r="1890" spans="1:5">
      <c r="A1890" s="20" t="str">
        <v>00:00:00</v>
      </c>
      <c r="B1890" s="19">
        <v>0</v>
      </c>
      <c r="C1890" s="21">
        <v>0</v>
      </c>
      <c r="D1890" s="20" t="str">
        <v>未匹配</v>
      </c>
      <c r="E1890" s="20">
        <v>0</v>
      </c>
    </row>
    <row r="1891" spans="1:5">
      <c r="A1891" s="20" t="str">
        <v>00:00:00</v>
      </c>
      <c r="B1891" s="19">
        <v>0</v>
      </c>
      <c r="C1891" s="21">
        <v>0</v>
      </c>
      <c r="D1891" s="20" t="str">
        <v>未匹配</v>
      </c>
      <c r="E1891" s="20">
        <v>0</v>
      </c>
    </row>
    <row r="1892" spans="1:5">
      <c r="A1892" s="20" t="str">
        <v>00:00:00</v>
      </c>
      <c r="B1892" s="19">
        <v>0</v>
      </c>
      <c r="C1892" s="21">
        <v>0</v>
      </c>
      <c r="D1892" s="20" t="str">
        <v>未匹配</v>
      </c>
      <c r="E1892" s="20">
        <v>0</v>
      </c>
    </row>
    <row r="1893" spans="1:5">
      <c r="A1893" s="20" t="str">
        <v>00:00:00</v>
      </c>
      <c r="B1893" s="19">
        <v>0</v>
      </c>
      <c r="C1893" s="21">
        <v>0</v>
      </c>
      <c r="D1893" s="20" t="str">
        <v>未匹配</v>
      </c>
      <c r="E1893" s="20">
        <v>0</v>
      </c>
    </row>
    <row r="1894" spans="1:5">
      <c r="A1894" s="20" t="str">
        <v>00:00:00</v>
      </c>
      <c r="B1894" s="19">
        <v>0</v>
      </c>
      <c r="C1894" s="21">
        <v>0</v>
      </c>
      <c r="D1894" s="20" t="str">
        <v>未匹配</v>
      </c>
      <c r="E1894" s="20">
        <v>0</v>
      </c>
    </row>
    <row r="1895" spans="1:5">
      <c r="A1895" s="20" t="str">
        <v>00:00:00</v>
      </c>
      <c r="B1895" s="19">
        <v>0</v>
      </c>
      <c r="C1895" s="21">
        <v>0</v>
      </c>
      <c r="D1895" s="20" t="str">
        <v>未匹配</v>
      </c>
      <c r="E1895" s="20">
        <v>0</v>
      </c>
    </row>
    <row r="1896" spans="1:5">
      <c r="A1896" s="20" t="str">
        <v>00:00:00</v>
      </c>
      <c r="B1896" s="19">
        <v>0</v>
      </c>
      <c r="C1896" s="21">
        <v>0</v>
      </c>
      <c r="D1896" s="20" t="str">
        <v>未匹配</v>
      </c>
      <c r="E1896" s="20">
        <v>0</v>
      </c>
    </row>
    <row r="1897" spans="1:5">
      <c r="A1897" s="20" t="str">
        <v>00:00:00</v>
      </c>
      <c r="B1897" s="19">
        <v>0</v>
      </c>
      <c r="C1897" s="21">
        <v>0</v>
      </c>
      <c r="D1897" s="20" t="str">
        <v>未匹配</v>
      </c>
      <c r="E1897" s="20">
        <v>0</v>
      </c>
    </row>
    <row r="1898" spans="1:5">
      <c r="A1898" s="20" t="str">
        <v>00:00:00</v>
      </c>
      <c r="B1898" s="19">
        <v>0</v>
      </c>
      <c r="C1898" s="21">
        <v>0</v>
      </c>
      <c r="D1898" s="20" t="str">
        <v>未匹配</v>
      </c>
      <c r="E1898" s="20">
        <v>0</v>
      </c>
    </row>
    <row r="1899" spans="1:5">
      <c r="A1899" s="20" t="str">
        <v>00:00:00</v>
      </c>
      <c r="B1899" s="19">
        <v>0</v>
      </c>
      <c r="C1899" s="21">
        <v>0</v>
      </c>
      <c r="D1899" s="20" t="str">
        <v>未匹配</v>
      </c>
      <c r="E1899" s="20">
        <v>0</v>
      </c>
    </row>
    <row r="1900" spans="1:5">
      <c r="A1900" s="20" t="str">
        <v>00:00:00</v>
      </c>
      <c r="B1900" s="19">
        <v>0</v>
      </c>
      <c r="C1900" s="21">
        <v>0</v>
      </c>
      <c r="D1900" s="20" t="str">
        <v>未匹配</v>
      </c>
      <c r="E1900" s="20">
        <v>0</v>
      </c>
    </row>
    <row r="1901" spans="1:5">
      <c r="A1901" s="20" t="str">
        <v>00:00:00</v>
      </c>
      <c r="B1901" s="19">
        <v>0</v>
      </c>
      <c r="C1901" s="21">
        <v>0</v>
      </c>
      <c r="D1901" s="20" t="str">
        <v>未匹配</v>
      </c>
      <c r="E1901" s="20">
        <v>0</v>
      </c>
    </row>
    <row r="1902" spans="1:5">
      <c r="A1902" s="20" t="str">
        <v>00:00:00</v>
      </c>
      <c r="B1902" s="19">
        <v>0</v>
      </c>
      <c r="C1902" s="21">
        <v>0</v>
      </c>
      <c r="D1902" s="20" t="str">
        <v>未匹配</v>
      </c>
      <c r="E1902" s="20">
        <v>0</v>
      </c>
    </row>
    <row r="1903" spans="1:5">
      <c r="A1903" s="20" t="str">
        <v>00:00:00</v>
      </c>
      <c r="B1903" s="19">
        <v>0</v>
      </c>
      <c r="C1903" s="21">
        <v>0</v>
      </c>
      <c r="D1903" s="20" t="str">
        <v>未匹配</v>
      </c>
      <c r="E1903" s="20">
        <v>0</v>
      </c>
    </row>
    <row r="1904" spans="1:5">
      <c r="A1904" s="20" t="str">
        <v>00:00:00</v>
      </c>
      <c r="B1904" s="19">
        <v>0</v>
      </c>
      <c r="C1904" s="21">
        <v>0</v>
      </c>
      <c r="D1904" s="20" t="str">
        <v>未匹配</v>
      </c>
      <c r="E1904" s="20">
        <v>0</v>
      </c>
    </row>
    <row r="1905" spans="1:5">
      <c r="A1905" s="20" t="str">
        <v>00:00:00</v>
      </c>
      <c r="B1905" s="19">
        <v>0</v>
      </c>
      <c r="C1905" s="21">
        <v>0</v>
      </c>
      <c r="D1905" s="20" t="str">
        <v>未匹配</v>
      </c>
      <c r="E1905" s="20">
        <v>0</v>
      </c>
    </row>
    <row r="1906" spans="1:5">
      <c r="A1906" s="20" t="str">
        <v>00:00:00</v>
      </c>
      <c r="B1906" s="19">
        <v>0</v>
      </c>
      <c r="C1906" s="21">
        <v>0</v>
      </c>
      <c r="D1906" s="20" t="str">
        <v>未匹配</v>
      </c>
      <c r="E1906" s="20">
        <v>0</v>
      </c>
    </row>
    <row r="1907" spans="1:5">
      <c r="A1907" s="20" t="str">
        <v>00:00:00</v>
      </c>
      <c r="B1907" s="19">
        <v>0</v>
      </c>
      <c r="C1907" s="21">
        <v>0</v>
      </c>
      <c r="D1907" s="20" t="str">
        <v>未匹配</v>
      </c>
      <c r="E1907" s="20">
        <v>0</v>
      </c>
    </row>
    <row r="1908" spans="1:5">
      <c r="A1908" s="20" t="str">
        <v>00:00:00</v>
      </c>
      <c r="B1908" s="19">
        <v>0</v>
      </c>
      <c r="C1908" s="21">
        <v>0</v>
      </c>
      <c r="D1908" s="20" t="str">
        <v>未匹配</v>
      </c>
      <c r="E1908" s="20">
        <v>0</v>
      </c>
    </row>
    <row r="1909" spans="1:5">
      <c r="A1909" s="20" t="str">
        <v>00:00:00</v>
      </c>
      <c r="B1909" s="19">
        <v>0</v>
      </c>
      <c r="C1909" s="21">
        <v>0</v>
      </c>
      <c r="D1909" s="20" t="str">
        <v>未匹配</v>
      </c>
      <c r="E1909" s="20">
        <v>0</v>
      </c>
    </row>
    <row r="1910" spans="1:5">
      <c r="A1910" s="20" t="str">
        <v>00:00:00</v>
      </c>
      <c r="B1910" s="19">
        <v>0</v>
      </c>
      <c r="C1910" s="21">
        <v>0</v>
      </c>
      <c r="D1910" s="20" t="str">
        <v>未匹配</v>
      </c>
      <c r="E1910" s="20">
        <v>0</v>
      </c>
    </row>
    <row r="1911" spans="1:5">
      <c r="A1911" s="20" t="str">
        <v>00:00:00</v>
      </c>
      <c r="B1911" s="19">
        <v>0</v>
      </c>
      <c r="C1911" s="21">
        <v>0</v>
      </c>
      <c r="D1911" s="20" t="str">
        <v>未匹配</v>
      </c>
      <c r="E1911" s="20">
        <v>0</v>
      </c>
    </row>
    <row r="1912" spans="1:5">
      <c r="A1912" s="20" t="str">
        <v>00:00:00</v>
      </c>
      <c r="B1912" s="19">
        <v>0</v>
      </c>
      <c r="C1912" s="21">
        <v>0</v>
      </c>
      <c r="D1912" s="20" t="str">
        <v>未匹配</v>
      </c>
      <c r="E1912" s="20">
        <v>0</v>
      </c>
    </row>
    <row r="1913" spans="1:5">
      <c r="A1913" s="20" t="str">
        <v>00:00:00</v>
      </c>
      <c r="B1913" s="19">
        <v>0</v>
      </c>
      <c r="C1913" s="21">
        <v>0</v>
      </c>
      <c r="D1913" s="20" t="str">
        <v>未匹配</v>
      </c>
      <c r="E1913" s="20">
        <v>0</v>
      </c>
    </row>
    <row r="1914" spans="1:5">
      <c r="A1914" s="20" t="str">
        <v>00:00:00</v>
      </c>
      <c r="B1914" s="19">
        <v>0</v>
      </c>
      <c r="C1914" s="21">
        <v>0</v>
      </c>
      <c r="D1914" s="20" t="str">
        <v>未匹配</v>
      </c>
      <c r="E1914" s="20">
        <v>0</v>
      </c>
    </row>
    <row r="1915" spans="1:5">
      <c r="A1915" s="20" t="str">
        <v>00:00:00</v>
      </c>
      <c r="B1915" s="19">
        <v>0</v>
      </c>
      <c r="C1915" s="21">
        <v>0</v>
      </c>
      <c r="D1915" s="20" t="str">
        <v>未匹配</v>
      </c>
      <c r="E1915" s="20">
        <v>0</v>
      </c>
    </row>
    <row r="1916" spans="1:5">
      <c r="A1916" s="20" t="str">
        <v>00:00:00</v>
      </c>
      <c r="B1916" s="19">
        <v>0</v>
      </c>
      <c r="C1916" s="21">
        <v>0</v>
      </c>
      <c r="D1916" s="20" t="str">
        <v>未匹配</v>
      </c>
      <c r="E1916" s="20">
        <v>0</v>
      </c>
    </row>
    <row r="1917" spans="1:5">
      <c r="A1917" s="20" t="str">
        <v>00:00:00</v>
      </c>
      <c r="B1917" s="19">
        <v>0</v>
      </c>
      <c r="C1917" s="21">
        <v>0</v>
      </c>
      <c r="D1917" s="20" t="str">
        <v>未匹配</v>
      </c>
      <c r="E1917" s="20">
        <v>0</v>
      </c>
    </row>
    <row r="1918" spans="1:5">
      <c r="A1918" s="20" t="str">
        <v>00:00:00</v>
      </c>
      <c r="B1918" s="19">
        <v>0</v>
      </c>
      <c r="C1918" s="21">
        <v>0</v>
      </c>
      <c r="D1918" s="20" t="str">
        <v>未匹配</v>
      </c>
      <c r="E1918" s="20">
        <v>0</v>
      </c>
    </row>
    <row r="1919" spans="1:5">
      <c r="A1919" s="20" t="str">
        <v>00:00:00</v>
      </c>
      <c r="B1919" s="19">
        <v>0</v>
      </c>
      <c r="C1919" s="21">
        <v>0</v>
      </c>
      <c r="D1919" s="20" t="str">
        <v>未匹配</v>
      </c>
      <c r="E1919" s="20">
        <v>0</v>
      </c>
    </row>
    <row r="1920" spans="1:5">
      <c r="A1920" s="20" t="str">
        <v>00:00:00</v>
      </c>
      <c r="B1920" s="19">
        <v>0</v>
      </c>
      <c r="C1920" s="21">
        <v>0</v>
      </c>
      <c r="D1920" s="20" t="str">
        <v>未匹配</v>
      </c>
      <c r="E1920" s="20">
        <v>0</v>
      </c>
    </row>
    <row r="1921" spans="1:5">
      <c r="A1921" s="20" t="str">
        <v>00:00:00</v>
      </c>
      <c r="B1921" s="19">
        <v>0</v>
      </c>
      <c r="C1921" s="21">
        <v>0</v>
      </c>
      <c r="D1921" s="20" t="str">
        <v>未匹配</v>
      </c>
      <c r="E1921" s="20">
        <v>0</v>
      </c>
    </row>
    <row r="1922" spans="1:5">
      <c r="A1922" s="20" t="str">
        <v>00:00:00</v>
      </c>
      <c r="B1922" s="19">
        <v>0</v>
      </c>
      <c r="C1922" s="21">
        <v>0</v>
      </c>
      <c r="D1922" s="20" t="str">
        <v>未匹配</v>
      </c>
      <c r="E1922" s="20">
        <v>0</v>
      </c>
    </row>
    <row r="1923" spans="1:5">
      <c r="A1923" s="20" t="str">
        <v>00:00:00</v>
      </c>
      <c r="B1923" s="19">
        <v>0</v>
      </c>
      <c r="C1923" s="21">
        <v>0</v>
      </c>
      <c r="D1923" s="20" t="str">
        <v>未匹配</v>
      </c>
      <c r="E1923" s="20">
        <v>0</v>
      </c>
    </row>
    <row r="1924" spans="1:5">
      <c r="A1924" s="20" t="str">
        <v>00:00:00</v>
      </c>
      <c r="B1924" s="19">
        <v>0</v>
      </c>
      <c r="C1924" s="21">
        <v>0</v>
      </c>
      <c r="D1924" s="20" t="str">
        <v>未匹配</v>
      </c>
      <c r="E1924" s="20">
        <v>0</v>
      </c>
    </row>
    <row r="1925" spans="1:5">
      <c r="A1925" s="20" t="str">
        <v>00:00:00</v>
      </c>
      <c r="B1925" s="19">
        <v>0</v>
      </c>
      <c r="C1925" s="21">
        <v>0</v>
      </c>
      <c r="D1925" s="20" t="str">
        <v>未匹配</v>
      </c>
      <c r="E1925" s="20">
        <v>0</v>
      </c>
    </row>
    <row r="1926" spans="1:5">
      <c r="A1926" s="20" t="str">
        <v>00:00:00</v>
      </c>
      <c r="B1926" s="19">
        <v>0</v>
      </c>
      <c r="C1926" s="21">
        <v>0</v>
      </c>
      <c r="D1926" s="20" t="str">
        <v>未匹配</v>
      </c>
      <c r="E1926" s="20">
        <v>0</v>
      </c>
    </row>
    <row r="1927" spans="1:5">
      <c r="A1927" s="20" t="str">
        <v>00:00:00</v>
      </c>
      <c r="B1927" s="19">
        <v>0</v>
      </c>
      <c r="C1927" s="21">
        <v>0</v>
      </c>
      <c r="D1927" s="20" t="str">
        <v>未匹配</v>
      </c>
      <c r="E1927" s="20">
        <v>0</v>
      </c>
    </row>
    <row r="1928" spans="1:5">
      <c r="A1928" s="20" t="str">
        <v>00:00:00</v>
      </c>
      <c r="B1928" s="19">
        <v>0</v>
      </c>
      <c r="C1928" s="21">
        <v>0</v>
      </c>
      <c r="D1928" s="20" t="str">
        <v>未匹配</v>
      </c>
      <c r="E1928" s="20">
        <v>0</v>
      </c>
    </row>
    <row r="1929" spans="1:5">
      <c r="A1929" s="20" t="str">
        <v>00:00:00</v>
      </c>
      <c r="B1929" s="19">
        <v>0</v>
      </c>
      <c r="C1929" s="21">
        <v>0</v>
      </c>
      <c r="D1929" s="20" t="str">
        <v>未匹配</v>
      </c>
      <c r="E1929" s="20">
        <v>0</v>
      </c>
    </row>
    <row r="1930" spans="1:5">
      <c r="A1930" s="20" t="str">
        <v>00:00:00</v>
      </c>
      <c r="B1930" s="19">
        <v>0</v>
      </c>
      <c r="C1930" s="21">
        <v>0</v>
      </c>
      <c r="D1930" s="20" t="str">
        <v>未匹配</v>
      </c>
      <c r="E1930" s="20">
        <v>0</v>
      </c>
    </row>
    <row r="1931" spans="1:5">
      <c r="A1931" s="20" t="str">
        <v>00:00:00</v>
      </c>
      <c r="B1931" s="19">
        <v>0</v>
      </c>
      <c r="C1931" s="21">
        <v>0</v>
      </c>
      <c r="D1931" s="20" t="str">
        <v>未匹配</v>
      </c>
      <c r="E1931" s="20">
        <v>0</v>
      </c>
    </row>
    <row r="1932" spans="1:5">
      <c r="A1932" s="20" t="str">
        <v>00:00:00</v>
      </c>
      <c r="B1932" s="19">
        <v>0</v>
      </c>
      <c r="C1932" s="21">
        <v>0</v>
      </c>
      <c r="D1932" s="20" t="str">
        <v>未匹配</v>
      </c>
      <c r="E1932" s="20">
        <v>0</v>
      </c>
    </row>
    <row r="1933" spans="1:5">
      <c r="A1933" s="20" t="str">
        <v>00:00:00</v>
      </c>
      <c r="B1933" s="19">
        <v>0</v>
      </c>
      <c r="C1933" s="21">
        <v>0</v>
      </c>
      <c r="D1933" s="20" t="str">
        <v>未匹配</v>
      </c>
      <c r="E1933" s="20">
        <v>0</v>
      </c>
    </row>
    <row r="1934" spans="1:5">
      <c r="A1934" s="20" t="str">
        <v>00:00:00</v>
      </c>
      <c r="B1934" s="19">
        <v>0</v>
      </c>
      <c r="C1934" s="21">
        <v>0</v>
      </c>
      <c r="D1934" s="20" t="str">
        <v>未匹配</v>
      </c>
      <c r="E1934" s="20">
        <v>0</v>
      </c>
    </row>
    <row r="1935" spans="1:5">
      <c r="A1935" s="20" t="str">
        <v>00:00:00</v>
      </c>
      <c r="B1935" s="19">
        <v>0</v>
      </c>
      <c r="C1935" s="21">
        <v>0</v>
      </c>
      <c r="D1935" s="20" t="str">
        <v>未匹配</v>
      </c>
      <c r="E1935" s="20">
        <v>0</v>
      </c>
    </row>
    <row r="1936" spans="1:5">
      <c r="A1936" s="20" t="str">
        <v>00:00:00</v>
      </c>
      <c r="B1936" s="19">
        <v>0</v>
      </c>
      <c r="C1936" s="21">
        <v>0</v>
      </c>
      <c r="D1936" s="20" t="str">
        <v>未匹配</v>
      </c>
      <c r="E1936" s="20">
        <v>0</v>
      </c>
    </row>
    <row r="1937" spans="1:5">
      <c r="A1937" s="20" t="str">
        <v>00:00:00</v>
      </c>
      <c r="B1937" s="19">
        <v>0</v>
      </c>
      <c r="C1937" s="21">
        <v>0</v>
      </c>
      <c r="D1937" s="20" t="str">
        <v>未匹配</v>
      </c>
      <c r="E1937" s="20">
        <v>0</v>
      </c>
    </row>
    <row r="1938" spans="1:5">
      <c r="A1938" s="20" t="str">
        <v>00:00:00</v>
      </c>
      <c r="B1938" s="19">
        <v>0</v>
      </c>
      <c r="C1938" s="21">
        <v>0</v>
      </c>
      <c r="D1938" s="20" t="str">
        <v>未匹配</v>
      </c>
      <c r="E1938" s="20">
        <v>0</v>
      </c>
    </row>
    <row r="1939" spans="1:5">
      <c r="A1939" s="20" t="str">
        <v>00:00:00</v>
      </c>
      <c r="B1939" s="19">
        <v>0</v>
      </c>
      <c r="C1939" s="21">
        <v>0</v>
      </c>
      <c r="D1939" s="20" t="str">
        <v>未匹配</v>
      </c>
      <c r="E1939" s="20">
        <v>0</v>
      </c>
    </row>
    <row r="1940" spans="1:5">
      <c r="A1940" s="20" t="str">
        <v>00:00:00</v>
      </c>
      <c r="B1940" s="19">
        <v>0</v>
      </c>
      <c r="C1940" s="21">
        <v>0</v>
      </c>
      <c r="D1940" s="20" t="str">
        <v>未匹配</v>
      </c>
      <c r="E1940" s="20">
        <v>0</v>
      </c>
    </row>
    <row r="1941" spans="1:5">
      <c r="A1941" s="20" t="str">
        <v>00:00:00</v>
      </c>
      <c r="B1941" s="19">
        <v>0</v>
      </c>
      <c r="C1941" s="21">
        <v>0</v>
      </c>
      <c r="D1941" s="20" t="str">
        <v>未匹配</v>
      </c>
      <c r="E1941" s="20">
        <v>0</v>
      </c>
    </row>
    <row r="1942" spans="1:5">
      <c r="A1942" s="20" t="str">
        <v>00:00:00</v>
      </c>
      <c r="B1942" s="19">
        <v>0</v>
      </c>
      <c r="C1942" s="21">
        <v>0</v>
      </c>
      <c r="D1942" s="20" t="str">
        <v>未匹配</v>
      </c>
      <c r="E1942" s="20">
        <v>0</v>
      </c>
    </row>
    <row r="1943" spans="1:5">
      <c r="A1943" s="20" t="str">
        <v>00:00:00</v>
      </c>
      <c r="B1943" s="19">
        <v>0</v>
      </c>
      <c r="C1943" s="21">
        <v>0</v>
      </c>
      <c r="D1943" s="20" t="str">
        <v>未匹配</v>
      </c>
      <c r="E1943" s="20">
        <v>0</v>
      </c>
    </row>
    <row r="1944" spans="1:5">
      <c r="A1944" s="20" t="str">
        <v>00:00:00</v>
      </c>
      <c r="B1944" s="19">
        <v>0</v>
      </c>
      <c r="C1944" s="21">
        <v>0</v>
      </c>
      <c r="D1944" s="20" t="str">
        <v>未匹配</v>
      </c>
      <c r="E1944" s="20">
        <v>0</v>
      </c>
    </row>
    <row r="1945" spans="1:5">
      <c r="A1945" s="20" t="str">
        <v>00:00:00</v>
      </c>
      <c r="B1945" s="19">
        <v>0</v>
      </c>
      <c r="C1945" s="21">
        <v>0</v>
      </c>
      <c r="D1945" s="20" t="str">
        <v>未匹配</v>
      </c>
      <c r="E1945" s="20">
        <v>0</v>
      </c>
    </row>
    <row r="1946" spans="1:5">
      <c r="A1946" s="20" t="str">
        <v>00:00:00</v>
      </c>
      <c r="B1946" s="19">
        <v>0</v>
      </c>
      <c r="C1946" s="21">
        <v>0</v>
      </c>
      <c r="D1946" s="20" t="str">
        <v>未匹配</v>
      </c>
      <c r="E1946" s="20">
        <v>0</v>
      </c>
    </row>
    <row r="1947" spans="1:5">
      <c r="A1947" s="20" t="str">
        <v>00:00:00</v>
      </c>
      <c r="B1947" s="19">
        <v>0</v>
      </c>
      <c r="C1947" s="21">
        <v>0</v>
      </c>
      <c r="D1947" s="20" t="str">
        <v>未匹配</v>
      </c>
      <c r="E1947" s="20">
        <v>0</v>
      </c>
    </row>
    <row r="1948" spans="1:5">
      <c r="A1948" s="20" t="str">
        <v>00:00:00</v>
      </c>
      <c r="B1948" s="19">
        <v>0</v>
      </c>
      <c r="C1948" s="21">
        <v>0</v>
      </c>
      <c r="D1948" s="20" t="str">
        <v>未匹配</v>
      </c>
      <c r="E1948" s="20">
        <v>0</v>
      </c>
    </row>
    <row r="1949" spans="1:5">
      <c r="A1949" s="20" t="str">
        <v>00:00:00</v>
      </c>
      <c r="B1949" s="19">
        <v>0</v>
      </c>
      <c r="C1949" s="21">
        <v>0</v>
      </c>
      <c r="D1949" s="20" t="str">
        <v>未匹配</v>
      </c>
      <c r="E1949" s="20">
        <v>0</v>
      </c>
    </row>
    <row r="1950" spans="1:5">
      <c r="A1950" s="20" t="str">
        <v>00:00:00</v>
      </c>
      <c r="B1950" s="19">
        <v>0</v>
      </c>
      <c r="C1950" s="21">
        <v>0</v>
      </c>
      <c r="D1950" s="20" t="str">
        <v>未匹配</v>
      </c>
      <c r="E1950" s="20">
        <v>0</v>
      </c>
    </row>
    <row r="1951" spans="1:5">
      <c r="A1951" s="20" t="str">
        <v>00:00:00</v>
      </c>
      <c r="B1951" s="19">
        <v>0</v>
      </c>
      <c r="C1951" s="21">
        <v>0</v>
      </c>
      <c r="D1951" s="20" t="str">
        <v>未匹配</v>
      </c>
      <c r="E1951" s="20">
        <v>0</v>
      </c>
    </row>
    <row r="1952" spans="1:5">
      <c r="A1952" s="20" t="str">
        <v>00:00:00</v>
      </c>
      <c r="B1952" s="19">
        <v>0</v>
      </c>
      <c r="C1952" s="21">
        <v>0</v>
      </c>
      <c r="D1952" s="20" t="str">
        <v>未匹配</v>
      </c>
      <c r="E1952" s="20">
        <v>0</v>
      </c>
    </row>
    <row r="1953" spans="1:5">
      <c r="A1953" s="20" t="str">
        <v>00:00:00</v>
      </c>
      <c r="B1953" s="19">
        <v>0</v>
      </c>
      <c r="C1953" s="21">
        <v>0</v>
      </c>
      <c r="D1953" s="20" t="str">
        <v>未匹配</v>
      </c>
      <c r="E1953" s="20">
        <v>0</v>
      </c>
    </row>
    <row r="1954" spans="1:5">
      <c r="A1954" s="20" t="str">
        <v>00:00:00</v>
      </c>
      <c r="B1954" s="19">
        <v>0</v>
      </c>
      <c r="C1954" s="21">
        <v>0</v>
      </c>
      <c r="D1954" s="20" t="str">
        <v>未匹配</v>
      </c>
      <c r="E1954" s="20">
        <v>0</v>
      </c>
    </row>
    <row r="1955" spans="1:5">
      <c r="A1955" s="20" t="str">
        <v>00:00:00</v>
      </c>
      <c r="B1955" s="19">
        <v>0</v>
      </c>
      <c r="C1955" s="21">
        <v>0</v>
      </c>
      <c r="D1955" s="20" t="str">
        <v>未匹配</v>
      </c>
      <c r="E1955" s="20">
        <v>0</v>
      </c>
    </row>
    <row r="1956" spans="1:5">
      <c r="A1956" s="20" t="str">
        <v>00:00:00</v>
      </c>
      <c r="B1956" s="19">
        <v>0</v>
      </c>
      <c r="C1956" s="21">
        <v>0</v>
      </c>
      <c r="D1956" s="20" t="str">
        <v>未匹配</v>
      </c>
      <c r="E1956" s="20">
        <v>0</v>
      </c>
    </row>
    <row r="1957" spans="1:5">
      <c r="A1957" s="20" t="str">
        <v>00:00:00</v>
      </c>
      <c r="B1957" s="19">
        <v>0</v>
      </c>
      <c r="C1957" s="21">
        <v>0</v>
      </c>
      <c r="D1957" s="20" t="str">
        <v>未匹配</v>
      </c>
      <c r="E1957" s="20">
        <v>0</v>
      </c>
    </row>
    <row r="1958" spans="1:5">
      <c r="A1958" s="20" t="str">
        <v>00:00:00</v>
      </c>
      <c r="B1958" s="19">
        <v>0</v>
      </c>
      <c r="C1958" s="21">
        <v>0</v>
      </c>
      <c r="D1958" s="20" t="str">
        <v>未匹配</v>
      </c>
      <c r="E1958" s="20">
        <v>0</v>
      </c>
    </row>
    <row r="1959" spans="1:5">
      <c r="A1959" s="20" t="str">
        <v>00:00:00</v>
      </c>
      <c r="B1959" s="19">
        <v>0</v>
      </c>
      <c r="C1959" s="21">
        <v>0</v>
      </c>
      <c r="D1959" s="20" t="str">
        <v>未匹配</v>
      </c>
      <c r="E1959" s="20">
        <v>0</v>
      </c>
    </row>
    <row r="1960" spans="1:5">
      <c r="A1960" s="20" t="str">
        <v>00:00:00</v>
      </c>
      <c r="B1960" s="19">
        <v>0</v>
      </c>
      <c r="C1960" s="21">
        <v>0</v>
      </c>
      <c r="D1960" s="20" t="str">
        <v>未匹配</v>
      </c>
      <c r="E1960" s="20">
        <v>0</v>
      </c>
    </row>
    <row r="1961" spans="1:5">
      <c r="A1961" s="20" t="str">
        <v>00:00:00</v>
      </c>
      <c r="B1961" s="19">
        <v>0</v>
      </c>
      <c r="C1961" s="21">
        <v>0</v>
      </c>
      <c r="D1961" s="20" t="str">
        <v>未匹配</v>
      </c>
      <c r="E1961" s="20">
        <v>0</v>
      </c>
    </row>
    <row r="1962" spans="1:5">
      <c r="A1962" s="20" t="str">
        <v>00:00:00</v>
      </c>
      <c r="B1962" s="19">
        <v>0</v>
      </c>
      <c r="C1962" s="21">
        <v>0</v>
      </c>
      <c r="D1962" s="20" t="str">
        <v>未匹配</v>
      </c>
      <c r="E1962" s="20">
        <v>0</v>
      </c>
    </row>
    <row r="1963" spans="1:5">
      <c r="A1963" s="20" t="str">
        <v>00:00:00</v>
      </c>
      <c r="B1963" s="19">
        <v>0</v>
      </c>
      <c r="C1963" s="21">
        <v>0</v>
      </c>
      <c r="D1963" s="20" t="str">
        <v>未匹配</v>
      </c>
      <c r="E1963" s="20">
        <v>0</v>
      </c>
    </row>
    <row r="1964" spans="1:5">
      <c r="A1964" s="20" t="str">
        <v>00:00:00</v>
      </c>
      <c r="B1964" s="19">
        <v>0</v>
      </c>
      <c r="C1964" s="21">
        <v>0</v>
      </c>
      <c r="D1964" s="20" t="str">
        <v>未匹配</v>
      </c>
      <c r="E1964" s="20">
        <v>0</v>
      </c>
    </row>
    <row r="1965" spans="1:5">
      <c r="A1965" s="20" t="str">
        <v>00:00:00</v>
      </c>
      <c r="B1965" s="19">
        <v>0</v>
      </c>
      <c r="C1965" s="21">
        <v>0</v>
      </c>
      <c r="D1965" s="20" t="str">
        <v>未匹配</v>
      </c>
      <c r="E1965" s="20">
        <v>0</v>
      </c>
    </row>
    <row r="1966" spans="1:5">
      <c r="A1966" s="20" t="str">
        <v>00:00:00</v>
      </c>
      <c r="B1966" s="19">
        <v>0</v>
      </c>
      <c r="C1966" s="21">
        <v>0</v>
      </c>
      <c r="D1966" s="20" t="str">
        <v>未匹配</v>
      </c>
      <c r="E1966" s="20">
        <v>0</v>
      </c>
    </row>
    <row r="1967" spans="1:5">
      <c r="A1967" s="20" t="str">
        <v>00:00:00</v>
      </c>
      <c r="B1967" s="19">
        <v>0</v>
      </c>
      <c r="C1967" s="21">
        <v>0</v>
      </c>
      <c r="D1967" s="20" t="str">
        <v>未匹配</v>
      </c>
      <c r="E1967" s="20">
        <v>0</v>
      </c>
    </row>
    <row r="1968" spans="1:5">
      <c r="A1968" s="20" t="str">
        <v>00:00:00</v>
      </c>
      <c r="B1968" s="19">
        <v>0</v>
      </c>
      <c r="C1968" s="21">
        <v>0</v>
      </c>
      <c r="D1968" s="20" t="str">
        <v>未匹配</v>
      </c>
      <c r="E1968" s="20">
        <v>0</v>
      </c>
    </row>
    <row r="1969" spans="1:5">
      <c r="A1969" s="20" t="str">
        <v>00:00:00</v>
      </c>
      <c r="B1969" s="19">
        <v>0</v>
      </c>
      <c r="C1969" s="21">
        <v>0</v>
      </c>
      <c r="D1969" s="20" t="str">
        <v>未匹配</v>
      </c>
      <c r="E1969" s="20">
        <v>0</v>
      </c>
    </row>
    <row r="1970" spans="1:5">
      <c r="A1970" s="20" t="str">
        <v>00:00:00</v>
      </c>
      <c r="B1970" s="19">
        <v>0</v>
      </c>
      <c r="C1970" s="21">
        <v>0</v>
      </c>
      <c r="D1970" s="20" t="str">
        <v>未匹配</v>
      </c>
      <c r="E1970" s="20">
        <v>0</v>
      </c>
    </row>
    <row r="1971" spans="1:5">
      <c r="A1971" s="20" t="str">
        <v>00:00:00</v>
      </c>
      <c r="B1971" s="19">
        <v>0</v>
      </c>
      <c r="C1971" s="21">
        <v>0</v>
      </c>
      <c r="D1971" s="20" t="str">
        <v>未匹配</v>
      </c>
      <c r="E1971" s="20">
        <v>0</v>
      </c>
    </row>
    <row r="1972" spans="1:5">
      <c r="A1972" s="20" t="str">
        <v>00:00:00</v>
      </c>
      <c r="B1972" s="19">
        <v>0</v>
      </c>
      <c r="C1972" s="21">
        <v>0</v>
      </c>
      <c r="D1972" s="20" t="str">
        <v>未匹配</v>
      </c>
      <c r="E1972" s="20">
        <v>0</v>
      </c>
    </row>
    <row r="1973" spans="1:5">
      <c r="A1973" s="20" t="str">
        <v>00:00:00</v>
      </c>
      <c r="B1973" s="19">
        <v>0</v>
      </c>
      <c r="C1973" s="21">
        <v>0</v>
      </c>
      <c r="D1973" s="20" t="str">
        <v>未匹配</v>
      </c>
      <c r="E1973" s="20">
        <v>0</v>
      </c>
    </row>
    <row r="1974" spans="1:5">
      <c r="A1974" s="20" t="str">
        <v>00:00:00</v>
      </c>
      <c r="B1974" s="19">
        <v>0</v>
      </c>
      <c r="C1974" s="21">
        <v>0</v>
      </c>
      <c r="D1974" s="20" t="str">
        <v>未匹配</v>
      </c>
      <c r="E1974" s="20">
        <v>0</v>
      </c>
    </row>
    <row r="1975" spans="1:5">
      <c r="A1975" s="20" t="str">
        <v>00:00:00</v>
      </c>
      <c r="B1975" s="19">
        <v>0</v>
      </c>
      <c r="C1975" s="21">
        <v>0</v>
      </c>
      <c r="D1975" s="20" t="str">
        <v>未匹配</v>
      </c>
      <c r="E1975" s="20">
        <v>0</v>
      </c>
    </row>
    <row r="1976" spans="1:5">
      <c r="A1976" s="20" t="str">
        <v>00:00:00</v>
      </c>
      <c r="B1976" s="19">
        <v>0</v>
      </c>
      <c r="C1976" s="21">
        <v>0</v>
      </c>
      <c r="D1976" s="20" t="str">
        <v>未匹配</v>
      </c>
      <c r="E1976" s="20">
        <v>0</v>
      </c>
    </row>
    <row r="1977" spans="1:5">
      <c r="A1977" s="20" t="str">
        <v>00:00:00</v>
      </c>
      <c r="B1977" s="19">
        <v>0</v>
      </c>
      <c r="C1977" s="21">
        <v>0</v>
      </c>
      <c r="D1977" s="20" t="str">
        <v>未匹配</v>
      </c>
      <c r="E1977" s="20">
        <v>0</v>
      </c>
    </row>
    <row r="1978" spans="1:5">
      <c r="A1978" s="20" t="str">
        <v>00:00:00</v>
      </c>
      <c r="B1978" s="19">
        <v>0</v>
      </c>
      <c r="C1978" s="21">
        <v>0</v>
      </c>
      <c r="D1978" s="20" t="str">
        <v>未匹配</v>
      </c>
      <c r="E1978" s="20">
        <v>0</v>
      </c>
    </row>
    <row r="1979" spans="1:5">
      <c r="A1979" s="20" t="str">
        <v>00:00:00</v>
      </c>
      <c r="B1979" s="19">
        <v>0</v>
      </c>
      <c r="C1979" s="21">
        <v>0</v>
      </c>
      <c r="D1979" s="20" t="str">
        <v>未匹配</v>
      </c>
      <c r="E1979" s="20">
        <v>0</v>
      </c>
    </row>
    <row r="1980" spans="1:5">
      <c r="A1980" s="20" t="str">
        <v>00:00:00</v>
      </c>
      <c r="B1980" s="19">
        <v>0</v>
      </c>
      <c r="C1980" s="21">
        <v>0</v>
      </c>
      <c r="D1980" s="20" t="str">
        <v>未匹配</v>
      </c>
      <c r="E1980" s="20">
        <v>0</v>
      </c>
    </row>
    <row r="1981" spans="1:5">
      <c r="A1981" s="20" t="str">
        <v>00:00:00</v>
      </c>
      <c r="B1981" s="19">
        <v>0</v>
      </c>
      <c r="C1981" s="21">
        <v>0</v>
      </c>
      <c r="D1981" s="20" t="str">
        <v>未匹配</v>
      </c>
      <c r="E1981" s="20">
        <v>0</v>
      </c>
    </row>
    <row r="1982" spans="1:5">
      <c r="A1982" s="20" t="str">
        <v>00:00:00</v>
      </c>
      <c r="B1982" s="19">
        <v>0</v>
      </c>
      <c r="C1982" s="21">
        <v>0</v>
      </c>
      <c r="D1982" s="20" t="str">
        <v>未匹配</v>
      </c>
      <c r="E1982" s="20">
        <v>0</v>
      </c>
    </row>
    <row r="1983" spans="1:5">
      <c r="A1983" s="20" t="str">
        <v>00:00:00</v>
      </c>
      <c r="B1983" s="19">
        <v>0</v>
      </c>
      <c r="C1983" s="21">
        <v>0</v>
      </c>
      <c r="D1983" s="20" t="str">
        <v>未匹配</v>
      </c>
      <c r="E1983" s="20">
        <v>0</v>
      </c>
    </row>
    <row r="1984" spans="1:5">
      <c r="A1984" s="20" t="str">
        <v>00:00:00</v>
      </c>
      <c r="B1984" s="19">
        <v>0</v>
      </c>
      <c r="C1984" s="21">
        <v>0</v>
      </c>
      <c r="D1984" s="20" t="str">
        <v>未匹配</v>
      </c>
      <c r="E1984" s="20">
        <v>0</v>
      </c>
    </row>
    <row r="1985" spans="1:5">
      <c r="A1985" s="20" t="str">
        <v>00:00:00</v>
      </c>
      <c r="B1985" s="19">
        <v>0</v>
      </c>
      <c r="C1985" s="21">
        <v>0</v>
      </c>
      <c r="D1985" s="20" t="str">
        <v>未匹配</v>
      </c>
      <c r="E1985" s="20">
        <v>0</v>
      </c>
    </row>
    <row r="1986" spans="1:5">
      <c r="A1986" s="20" t="str">
        <v>00:00:00</v>
      </c>
      <c r="B1986" s="19">
        <v>0</v>
      </c>
      <c r="C1986" s="21">
        <v>0</v>
      </c>
      <c r="D1986" s="20" t="str">
        <v>未匹配</v>
      </c>
      <c r="E1986" s="20">
        <v>0</v>
      </c>
    </row>
    <row r="1987" spans="1:5">
      <c r="A1987" s="20" t="str">
        <v>00:00:00</v>
      </c>
      <c r="B1987" s="19">
        <v>0</v>
      </c>
      <c r="C1987" s="21">
        <v>0</v>
      </c>
      <c r="D1987" s="20" t="str">
        <v>未匹配</v>
      </c>
      <c r="E1987" s="20">
        <v>0</v>
      </c>
    </row>
    <row r="1988" spans="1:5">
      <c r="A1988" s="20" t="str">
        <v>00:00:00</v>
      </c>
      <c r="B1988" s="19">
        <v>0</v>
      </c>
      <c r="C1988" s="21">
        <v>0</v>
      </c>
      <c r="D1988" s="20" t="str">
        <v>未匹配</v>
      </c>
      <c r="E1988" s="20">
        <v>0</v>
      </c>
    </row>
    <row r="1989" spans="1:5">
      <c r="A1989" s="20" t="str">
        <v>00:00:00</v>
      </c>
      <c r="B1989" s="19">
        <v>0</v>
      </c>
      <c r="C1989" s="21">
        <v>0</v>
      </c>
      <c r="D1989" s="20" t="str">
        <v>未匹配</v>
      </c>
      <c r="E1989" s="20">
        <v>0</v>
      </c>
    </row>
    <row r="1990" spans="1:5">
      <c r="A1990" s="20" t="str">
        <v>00:00:00</v>
      </c>
      <c r="B1990" s="19">
        <v>0</v>
      </c>
      <c r="C1990" s="21">
        <v>0</v>
      </c>
      <c r="D1990" s="20" t="str">
        <v>未匹配</v>
      </c>
      <c r="E1990" s="20">
        <v>0</v>
      </c>
    </row>
    <row r="1991" spans="1:5">
      <c r="A1991" s="20" t="str">
        <v>00:00:00</v>
      </c>
      <c r="B1991" s="19">
        <v>0</v>
      </c>
      <c r="C1991" s="21">
        <v>0</v>
      </c>
      <c r="D1991" s="20" t="str">
        <v>未匹配</v>
      </c>
      <c r="E1991" s="20">
        <v>0</v>
      </c>
    </row>
    <row r="1992" spans="1:5">
      <c r="A1992" s="20" t="str">
        <v>00:00:00</v>
      </c>
      <c r="B1992" s="19">
        <v>0</v>
      </c>
      <c r="C1992" s="21">
        <v>0</v>
      </c>
      <c r="D1992" s="20" t="str">
        <v>未匹配</v>
      </c>
      <c r="E1992" s="20">
        <v>0</v>
      </c>
    </row>
    <row r="1993" spans="1:5">
      <c r="A1993" s="20" t="str">
        <v>00:00:00</v>
      </c>
      <c r="B1993" s="19">
        <v>0</v>
      </c>
      <c r="C1993" s="21">
        <v>0</v>
      </c>
      <c r="D1993" s="20" t="str">
        <v>未匹配</v>
      </c>
      <c r="E1993" s="20">
        <v>0</v>
      </c>
    </row>
    <row r="1994" spans="1:5">
      <c r="A1994" s="20" t="str">
        <v>00:00:00</v>
      </c>
      <c r="B1994" s="19">
        <v>0</v>
      </c>
      <c r="C1994" s="21">
        <v>0</v>
      </c>
      <c r="D1994" s="20" t="str">
        <v>未匹配</v>
      </c>
      <c r="E1994" s="20">
        <v>0</v>
      </c>
    </row>
    <row r="1995" spans="1:5">
      <c r="A1995" s="20" t="str">
        <v>00:00:00</v>
      </c>
      <c r="B1995" s="19">
        <v>0</v>
      </c>
      <c r="C1995" s="21">
        <v>0</v>
      </c>
      <c r="D1995" s="20" t="str">
        <v>未匹配</v>
      </c>
      <c r="E1995" s="20">
        <v>0</v>
      </c>
    </row>
    <row r="1996" spans="1:5">
      <c r="A1996" s="20" t="str">
        <v>00:00:00</v>
      </c>
      <c r="B1996" s="19">
        <v>0</v>
      </c>
      <c r="C1996" s="21">
        <v>0</v>
      </c>
      <c r="D1996" s="20" t="str">
        <v>未匹配</v>
      </c>
      <c r="E1996" s="20">
        <v>0</v>
      </c>
    </row>
    <row r="1997" spans="1:5">
      <c r="A1997" s="20" t="str">
        <v>00:00:00</v>
      </c>
      <c r="B1997" s="19">
        <v>0</v>
      </c>
      <c r="C1997" s="21">
        <v>0</v>
      </c>
      <c r="D1997" s="20" t="str">
        <v>未匹配</v>
      </c>
      <c r="E1997" s="20">
        <v>0</v>
      </c>
    </row>
    <row r="1998" spans="1:5">
      <c r="A1998" s="20" t="str">
        <v>00:00:00</v>
      </c>
      <c r="B1998" s="19">
        <v>0</v>
      </c>
      <c r="C1998" s="21">
        <v>0</v>
      </c>
      <c r="D1998" s="20" t="str">
        <v>未匹配</v>
      </c>
      <c r="E1998" s="20">
        <v>0</v>
      </c>
    </row>
    <row r="1999" spans="1:5">
      <c r="A1999" s="20" t="str">
        <v>00:00:00</v>
      </c>
      <c r="B1999" s="19">
        <v>0</v>
      </c>
      <c r="C1999" s="21">
        <v>0</v>
      </c>
      <c r="D1999" s="20" t="str">
        <v>未匹配</v>
      </c>
      <c r="E1999" s="20">
        <v>0</v>
      </c>
    </row>
    <row r="2000" spans="1:5">
      <c r="A2000" s="20" t="str">
        <v>00:00:00</v>
      </c>
      <c r="B2000" s="19">
        <v>0</v>
      </c>
      <c r="C2000" s="21">
        <v>0</v>
      </c>
      <c r="D2000" s="20" t="str">
        <v>未匹配</v>
      </c>
      <c r="E2000" s="20">
        <v>0</v>
      </c>
    </row>
    <row r="2001" spans="1:5">
      <c r="A2001" s="20" t="str">
        <v>00:00:00</v>
      </c>
      <c r="B2001" s="19">
        <v>0</v>
      </c>
      <c r="C2001" s="21">
        <v>0</v>
      </c>
      <c r="D2001" s="20" t="str">
        <v>未匹配</v>
      </c>
      <c r="E2001" s="20">
        <v>0</v>
      </c>
    </row>
    <row r="2002" spans="1:5">
      <c r="A2002" s="20" t="str">
        <v>00:00:00</v>
      </c>
      <c r="B2002" s="19">
        <v>0</v>
      </c>
      <c r="C2002" s="21">
        <v>0</v>
      </c>
      <c r="D2002" s="20" t="str">
        <v>未匹配</v>
      </c>
      <c r="E2002" s="20">
        <v>0</v>
      </c>
    </row>
    <row r="2003" spans="1:5">
      <c r="A2003" s="20" t="str">
        <v>00:00:00</v>
      </c>
      <c r="B2003" s="19">
        <v>0</v>
      </c>
      <c r="C2003" s="21">
        <v>0</v>
      </c>
      <c r="D2003" s="20" t="str">
        <v>未匹配</v>
      </c>
      <c r="E2003" s="20">
        <v>0</v>
      </c>
    </row>
    <row r="2004" spans="1:5">
      <c r="A2004" s="20" t="str">
        <v>00:00:00</v>
      </c>
      <c r="B2004" s="19">
        <v>0</v>
      </c>
      <c r="C2004" s="21">
        <v>0</v>
      </c>
      <c r="D2004" s="20" t="str">
        <v>未匹配</v>
      </c>
      <c r="E2004" s="20">
        <v>0</v>
      </c>
    </row>
    <row r="2005" spans="1:5">
      <c r="A2005" s="20" t="str">
        <v>00:00:00</v>
      </c>
      <c r="B2005" s="19">
        <v>0</v>
      </c>
      <c r="C2005" s="21">
        <v>0</v>
      </c>
      <c r="D2005" s="20" t="str">
        <v>未匹配</v>
      </c>
      <c r="E2005" s="20">
        <v>0</v>
      </c>
    </row>
    <row r="2006" spans="1:5">
      <c r="A2006" s="20" t="str">
        <v>00:00:00</v>
      </c>
      <c r="B2006" s="19">
        <v>0</v>
      </c>
      <c r="C2006" s="21">
        <v>0</v>
      </c>
      <c r="D2006" s="20" t="str">
        <v>未匹配</v>
      </c>
      <c r="E2006" s="20">
        <v>0</v>
      </c>
    </row>
    <row r="2007" spans="1:5">
      <c r="A2007" s="20" t="str">
        <v>00:00:00</v>
      </c>
      <c r="B2007" s="19">
        <v>0</v>
      </c>
      <c r="C2007" s="21">
        <v>0</v>
      </c>
      <c r="D2007" s="20" t="str">
        <v>未匹配</v>
      </c>
      <c r="E2007" s="20">
        <v>0</v>
      </c>
    </row>
    <row r="2008" spans="1:5">
      <c r="A2008" s="20" t="str">
        <v>00:00:00</v>
      </c>
      <c r="B2008" s="19">
        <v>0</v>
      </c>
      <c r="C2008" s="21">
        <v>0</v>
      </c>
      <c r="D2008" s="20" t="str">
        <v>未匹配</v>
      </c>
      <c r="E2008" s="20">
        <v>0</v>
      </c>
    </row>
    <row r="2009" spans="1:5">
      <c r="A2009" s="20" t="str">
        <v>00:00:00</v>
      </c>
      <c r="B2009" s="19">
        <v>0</v>
      </c>
      <c r="C2009" s="21">
        <v>0</v>
      </c>
      <c r="D2009" s="20" t="str">
        <v>未匹配</v>
      </c>
      <c r="E2009" s="20">
        <v>0</v>
      </c>
    </row>
    <row r="2010" spans="1:5">
      <c r="A2010" s="20" t="str">
        <v>00:00:00</v>
      </c>
      <c r="B2010" s="19">
        <v>0</v>
      </c>
      <c r="C2010" s="21">
        <v>0</v>
      </c>
      <c r="D2010" s="20" t="str">
        <v>未匹配</v>
      </c>
      <c r="E2010" s="20">
        <v>0</v>
      </c>
    </row>
    <row r="2011" spans="1:5">
      <c r="A2011" s="20" t="str">
        <v>00:00:00</v>
      </c>
      <c r="B2011" s="19">
        <v>0</v>
      </c>
      <c r="C2011" s="21">
        <v>0</v>
      </c>
      <c r="D2011" s="20" t="str">
        <v>未匹配</v>
      </c>
      <c r="E2011" s="20">
        <v>0</v>
      </c>
    </row>
    <row r="2012" spans="1:5">
      <c r="A2012" s="20" t="str">
        <v>00:00:00</v>
      </c>
      <c r="B2012" s="19">
        <v>0</v>
      </c>
      <c r="C2012" s="21">
        <v>0</v>
      </c>
      <c r="D2012" s="20" t="str">
        <v>未匹配</v>
      </c>
      <c r="E2012" s="20">
        <v>0</v>
      </c>
    </row>
    <row r="2013" spans="1:5">
      <c r="A2013" s="20" t="str">
        <v>00:00:00</v>
      </c>
      <c r="B2013" s="19">
        <v>0</v>
      </c>
      <c r="C2013" s="21">
        <v>0</v>
      </c>
      <c r="D2013" s="20" t="str">
        <v>未匹配</v>
      </c>
      <c r="E2013" s="20">
        <v>0</v>
      </c>
    </row>
    <row r="2014" spans="1:5">
      <c r="A2014" s="20" t="str">
        <v>00:00:00</v>
      </c>
      <c r="B2014" s="19">
        <v>0</v>
      </c>
      <c r="C2014" s="21">
        <v>0</v>
      </c>
      <c r="D2014" s="20" t="str">
        <v>未匹配</v>
      </c>
      <c r="E2014" s="20">
        <v>0</v>
      </c>
    </row>
    <row r="2015" spans="1:5">
      <c r="A2015" s="20" t="str">
        <v>00:00:00</v>
      </c>
      <c r="B2015" s="19">
        <v>0</v>
      </c>
      <c r="C2015" s="21">
        <v>0</v>
      </c>
      <c r="D2015" s="20" t="str">
        <v>未匹配</v>
      </c>
      <c r="E2015" s="20">
        <v>0</v>
      </c>
    </row>
    <row r="2016" spans="1:5">
      <c r="A2016" s="20" t="str">
        <v>00:00:00</v>
      </c>
      <c r="B2016" s="19">
        <v>0</v>
      </c>
      <c r="C2016" s="21">
        <v>0</v>
      </c>
      <c r="D2016" s="20" t="str">
        <v>未匹配</v>
      </c>
      <c r="E2016" s="20">
        <v>0</v>
      </c>
    </row>
    <row r="2017" spans="1:5">
      <c r="A2017" s="20" t="str">
        <v>00:00:00</v>
      </c>
      <c r="B2017" s="19">
        <v>0</v>
      </c>
      <c r="C2017" s="21">
        <v>0</v>
      </c>
      <c r="D2017" s="20" t="str">
        <v>未匹配</v>
      </c>
      <c r="E2017" s="20">
        <v>0</v>
      </c>
    </row>
    <row r="2018" spans="1:5">
      <c r="A2018" s="20" t="str">
        <v>00:00:00</v>
      </c>
      <c r="B2018" s="19">
        <v>0</v>
      </c>
      <c r="C2018" s="21">
        <v>0</v>
      </c>
      <c r="D2018" s="20" t="str">
        <v>未匹配</v>
      </c>
      <c r="E2018" s="20">
        <v>0</v>
      </c>
    </row>
    <row r="2019" spans="1:5">
      <c r="A2019" s="20" t="str">
        <v>00:00:00</v>
      </c>
      <c r="B2019" s="19">
        <v>0</v>
      </c>
      <c r="C2019" s="21">
        <v>0</v>
      </c>
      <c r="D2019" s="20" t="str">
        <v>未匹配</v>
      </c>
      <c r="E2019" s="20">
        <v>0</v>
      </c>
    </row>
    <row r="2020" spans="1:5">
      <c r="A2020" s="20" t="str">
        <v>00:00:00</v>
      </c>
      <c r="B2020" s="19">
        <v>0</v>
      </c>
      <c r="C2020" s="21">
        <v>0</v>
      </c>
      <c r="D2020" s="20" t="str">
        <v>未匹配</v>
      </c>
      <c r="E2020" s="20">
        <v>0</v>
      </c>
    </row>
    <row r="2021" spans="1:5">
      <c r="A2021" s="20" t="str">
        <v>00:00:00</v>
      </c>
      <c r="B2021" s="19">
        <v>0</v>
      </c>
      <c r="C2021" s="21">
        <v>0</v>
      </c>
      <c r="D2021" s="20" t="str">
        <v>未匹配</v>
      </c>
      <c r="E2021" s="20">
        <v>0</v>
      </c>
    </row>
    <row r="2022" spans="1:5">
      <c r="A2022" s="20" t="str">
        <v>00:00:00</v>
      </c>
      <c r="B2022" s="19">
        <v>0</v>
      </c>
      <c r="C2022" s="21">
        <v>0</v>
      </c>
      <c r="D2022" s="20" t="str">
        <v>未匹配</v>
      </c>
      <c r="E2022" s="20">
        <v>0</v>
      </c>
    </row>
    <row r="2023" spans="1:5">
      <c r="A2023" s="20" t="str">
        <v>00:00:00</v>
      </c>
      <c r="B2023" s="19">
        <v>0</v>
      </c>
      <c r="C2023" s="21">
        <v>0</v>
      </c>
      <c r="D2023" s="20" t="str">
        <v>未匹配</v>
      </c>
      <c r="E2023" s="20">
        <v>0</v>
      </c>
    </row>
    <row r="2024" spans="1:5">
      <c r="A2024" s="20" t="str">
        <v>00:00:00</v>
      </c>
      <c r="B2024" s="19">
        <v>0</v>
      </c>
      <c r="C2024" s="21">
        <v>0</v>
      </c>
      <c r="D2024" s="20" t="str">
        <v>未匹配</v>
      </c>
      <c r="E2024" s="20">
        <v>0</v>
      </c>
    </row>
    <row r="2025" spans="1:5">
      <c r="A2025" s="20" t="str">
        <v>00:00:00</v>
      </c>
      <c r="B2025" s="19">
        <v>0</v>
      </c>
      <c r="C2025" s="21">
        <v>0</v>
      </c>
      <c r="D2025" s="20" t="str">
        <v>未匹配</v>
      </c>
      <c r="E2025" s="20">
        <v>0</v>
      </c>
    </row>
    <row r="2026" spans="1:5">
      <c r="A2026" s="20" t="str">
        <v>00:00:00</v>
      </c>
      <c r="B2026" s="19">
        <v>0</v>
      </c>
      <c r="C2026" s="21">
        <v>0</v>
      </c>
      <c r="D2026" s="20" t="str">
        <v>未匹配</v>
      </c>
      <c r="E2026" s="20">
        <v>0</v>
      </c>
    </row>
    <row r="2027" spans="1:5">
      <c r="A2027" s="20" t="str">
        <v>00:00:00</v>
      </c>
      <c r="B2027" s="19">
        <v>0</v>
      </c>
      <c r="C2027" s="21">
        <v>0</v>
      </c>
      <c r="D2027" s="20" t="str">
        <v>未匹配</v>
      </c>
      <c r="E2027" s="20">
        <v>0</v>
      </c>
    </row>
    <row r="2028" spans="1:5">
      <c r="A2028" s="20" t="str">
        <v>00:00:00</v>
      </c>
      <c r="B2028" s="19">
        <v>0</v>
      </c>
      <c r="C2028" s="21">
        <v>0</v>
      </c>
      <c r="D2028" s="20" t="str">
        <v>未匹配</v>
      </c>
      <c r="E2028" s="20">
        <v>0</v>
      </c>
    </row>
    <row r="2029" spans="1:5">
      <c r="A2029" s="20" t="str">
        <v>00:00:00</v>
      </c>
      <c r="B2029" s="19">
        <v>0</v>
      </c>
      <c r="C2029" s="21">
        <v>0</v>
      </c>
      <c r="D2029" s="20" t="str">
        <v>未匹配</v>
      </c>
      <c r="E2029" s="20">
        <v>0</v>
      </c>
    </row>
    <row r="2030" spans="1:5">
      <c r="A2030" s="20" t="str">
        <v>00:00:00</v>
      </c>
      <c r="B2030" s="19">
        <v>0</v>
      </c>
      <c r="C2030" s="21">
        <v>0</v>
      </c>
      <c r="D2030" s="20" t="str">
        <v>未匹配</v>
      </c>
      <c r="E2030" s="20">
        <v>0</v>
      </c>
    </row>
    <row r="2031" spans="1:5">
      <c r="A2031" s="20" t="str">
        <v>00:00:00</v>
      </c>
      <c r="B2031" s="19">
        <v>0</v>
      </c>
      <c r="C2031" s="21">
        <v>0</v>
      </c>
      <c r="D2031" s="20" t="str">
        <v>未匹配</v>
      </c>
      <c r="E2031" s="20">
        <v>0</v>
      </c>
    </row>
    <row r="2032" spans="1:5">
      <c r="A2032" s="20" t="str">
        <v>00:00:00</v>
      </c>
      <c r="B2032" s="19">
        <v>0</v>
      </c>
      <c r="C2032" s="21">
        <v>0</v>
      </c>
      <c r="D2032" s="20" t="str">
        <v>未匹配</v>
      </c>
      <c r="E2032" s="20">
        <v>0</v>
      </c>
    </row>
    <row r="2033" spans="1:5">
      <c r="A2033" s="20" t="str">
        <v>00:00:00</v>
      </c>
      <c r="B2033" s="19">
        <v>0</v>
      </c>
      <c r="C2033" s="21">
        <v>0</v>
      </c>
      <c r="D2033" s="20" t="str">
        <v>未匹配</v>
      </c>
      <c r="E2033" s="20">
        <v>0</v>
      </c>
    </row>
    <row r="2034" spans="1:5">
      <c r="A2034" s="20" t="str">
        <v>00:00:00</v>
      </c>
      <c r="B2034" s="19">
        <v>0</v>
      </c>
      <c r="C2034" s="21">
        <v>0</v>
      </c>
      <c r="D2034" s="20" t="str">
        <v>未匹配</v>
      </c>
      <c r="E2034" s="20">
        <v>0</v>
      </c>
    </row>
    <row r="2035" spans="1:5">
      <c r="A2035" s="20" t="str">
        <v>00:00:00</v>
      </c>
      <c r="B2035" s="19">
        <v>0</v>
      </c>
      <c r="C2035" s="21">
        <v>0</v>
      </c>
      <c r="D2035" s="20" t="str">
        <v>未匹配</v>
      </c>
      <c r="E2035" s="20">
        <v>0</v>
      </c>
    </row>
    <row r="2036" spans="1:5">
      <c r="A2036" s="20" t="str">
        <v>00:00:00</v>
      </c>
      <c r="B2036" s="19">
        <v>0</v>
      </c>
      <c r="C2036" s="21">
        <v>0</v>
      </c>
      <c r="D2036" s="20" t="str">
        <v>未匹配</v>
      </c>
      <c r="E2036" s="20">
        <v>0</v>
      </c>
    </row>
    <row r="2037" spans="1:5">
      <c r="A2037" s="20" t="str">
        <v>00:00:00</v>
      </c>
      <c r="B2037" s="19">
        <v>0</v>
      </c>
      <c r="C2037" s="21">
        <v>0</v>
      </c>
      <c r="D2037" s="20" t="str">
        <v>未匹配</v>
      </c>
      <c r="E2037" s="20">
        <v>0</v>
      </c>
    </row>
    <row r="2038" spans="1:5">
      <c r="A2038" s="20" t="str">
        <v>00:00:00</v>
      </c>
      <c r="B2038" s="19">
        <v>0</v>
      </c>
      <c r="C2038" s="21">
        <v>0</v>
      </c>
      <c r="D2038" s="20" t="str">
        <v>未匹配</v>
      </c>
      <c r="E2038" s="20">
        <v>0</v>
      </c>
    </row>
    <row r="2039" spans="1:5">
      <c r="A2039" s="20" t="str">
        <v>00:00:00</v>
      </c>
      <c r="B2039" s="19">
        <v>0</v>
      </c>
      <c r="C2039" s="21">
        <v>0</v>
      </c>
      <c r="D2039" s="20" t="str">
        <v>未匹配</v>
      </c>
      <c r="E2039" s="20">
        <v>0</v>
      </c>
    </row>
    <row r="2040" spans="1:5">
      <c r="A2040" s="20" t="str">
        <v>00:00:00</v>
      </c>
      <c r="B2040" s="19">
        <v>0</v>
      </c>
      <c r="C2040" s="21">
        <v>0</v>
      </c>
      <c r="D2040" s="20" t="str">
        <v>未匹配</v>
      </c>
      <c r="E2040" s="20">
        <v>0</v>
      </c>
    </row>
    <row r="2041" spans="1:5">
      <c r="A2041" s="20" t="str">
        <v>00:00:00</v>
      </c>
      <c r="B2041" s="19">
        <v>0</v>
      </c>
      <c r="C2041" s="21">
        <v>0</v>
      </c>
      <c r="D2041" s="20" t="str">
        <v>未匹配</v>
      </c>
      <c r="E2041" s="20">
        <v>0</v>
      </c>
    </row>
    <row r="2042" spans="1:5">
      <c r="A2042" s="20" t="str">
        <v>00:00:00</v>
      </c>
      <c r="B2042" s="19">
        <v>0</v>
      </c>
      <c r="C2042" s="21">
        <v>0</v>
      </c>
      <c r="D2042" s="20" t="str">
        <v>未匹配</v>
      </c>
      <c r="E2042" s="20">
        <v>0</v>
      </c>
    </row>
    <row r="2043" spans="1:5">
      <c r="A2043" s="20" t="str">
        <v>00:00:00</v>
      </c>
      <c r="B2043" s="19">
        <v>0</v>
      </c>
      <c r="C2043" s="21">
        <v>0</v>
      </c>
      <c r="D2043" s="20" t="str">
        <v>未匹配</v>
      </c>
      <c r="E2043" s="20">
        <v>0</v>
      </c>
    </row>
    <row r="2044" spans="1:5">
      <c r="A2044" s="20" t="str">
        <v>00:00:00</v>
      </c>
      <c r="B2044" s="19">
        <v>0</v>
      </c>
      <c r="C2044" s="21">
        <v>0</v>
      </c>
      <c r="D2044" s="20" t="str">
        <v>未匹配</v>
      </c>
      <c r="E2044" s="20">
        <v>0</v>
      </c>
    </row>
    <row r="2045" spans="1:5">
      <c r="A2045" s="20" t="str">
        <v>00:00:00</v>
      </c>
      <c r="B2045" s="19">
        <v>0</v>
      </c>
      <c r="C2045" s="21">
        <v>0</v>
      </c>
      <c r="D2045" s="20" t="str">
        <v>未匹配</v>
      </c>
      <c r="E2045" s="20">
        <v>0</v>
      </c>
    </row>
    <row r="2046" spans="1:5">
      <c r="A2046" s="20" t="str">
        <v>00:00:00</v>
      </c>
      <c r="B2046" s="19">
        <v>0</v>
      </c>
      <c r="C2046" s="21">
        <v>0</v>
      </c>
      <c r="D2046" s="20" t="str">
        <v>未匹配</v>
      </c>
      <c r="E2046" s="20">
        <v>0</v>
      </c>
    </row>
    <row r="2047" spans="1:5">
      <c r="A2047" s="20" t="str">
        <v>00:00:00</v>
      </c>
      <c r="B2047" s="19">
        <v>0</v>
      </c>
      <c r="C2047" s="21">
        <v>0</v>
      </c>
      <c r="D2047" s="20" t="str">
        <v>未匹配</v>
      </c>
      <c r="E2047" s="20">
        <v>0</v>
      </c>
    </row>
    <row r="2048" spans="1:5">
      <c r="A2048" s="20" t="str">
        <v>00:00:00</v>
      </c>
      <c r="B2048" s="19">
        <v>0</v>
      </c>
      <c r="C2048" s="21">
        <v>0</v>
      </c>
      <c r="D2048" s="20" t="str">
        <v>未匹配</v>
      </c>
      <c r="E2048" s="20">
        <v>0</v>
      </c>
    </row>
    <row r="2049" spans="1:5">
      <c r="A2049" s="20" t="str">
        <v>00:00:00</v>
      </c>
      <c r="B2049" s="19">
        <v>0</v>
      </c>
      <c r="C2049" s="21">
        <v>0</v>
      </c>
      <c r="D2049" s="20" t="str">
        <v>未匹配</v>
      </c>
      <c r="E2049" s="20">
        <v>0</v>
      </c>
    </row>
    <row r="2050" spans="1:5">
      <c r="A2050" s="20" t="str">
        <v>00:00:00</v>
      </c>
      <c r="B2050" s="19">
        <v>0</v>
      </c>
      <c r="C2050" s="21">
        <v>0</v>
      </c>
      <c r="D2050" s="20" t="str">
        <v>未匹配</v>
      </c>
      <c r="E2050" s="20">
        <v>0</v>
      </c>
    </row>
    <row r="2051" spans="1:5">
      <c r="A2051" s="20" t="str">
        <v>00:00:00</v>
      </c>
      <c r="B2051" s="19">
        <v>0</v>
      </c>
      <c r="C2051" s="21">
        <v>0</v>
      </c>
      <c r="D2051" s="20" t="str">
        <v>未匹配</v>
      </c>
      <c r="E2051" s="20">
        <v>0</v>
      </c>
    </row>
    <row r="2052" spans="1:5">
      <c r="A2052" s="20" t="str">
        <v>00:00:00</v>
      </c>
      <c r="B2052" s="19">
        <v>0</v>
      </c>
      <c r="C2052" s="21">
        <v>0</v>
      </c>
      <c r="D2052" s="20" t="str">
        <v>未匹配</v>
      </c>
      <c r="E2052" s="20">
        <v>0</v>
      </c>
    </row>
    <row r="2053" spans="1:5">
      <c r="A2053" s="20" t="str">
        <v>00:00:00</v>
      </c>
      <c r="B2053" s="19">
        <v>0</v>
      </c>
      <c r="C2053" s="21">
        <v>0</v>
      </c>
      <c r="D2053" s="20" t="str">
        <v>未匹配</v>
      </c>
      <c r="E2053" s="20">
        <v>0</v>
      </c>
    </row>
    <row r="2054" spans="1:5">
      <c r="A2054" s="20" t="str">
        <v>00:00:00</v>
      </c>
      <c r="B2054" s="19">
        <v>0</v>
      </c>
      <c r="C2054" s="21">
        <v>0</v>
      </c>
      <c r="D2054" s="20" t="str">
        <v>未匹配</v>
      </c>
      <c r="E2054" s="20">
        <v>0</v>
      </c>
    </row>
    <row r="2055" spans="1:5">
      <c r="A2055" s="20" t="str">
        <v>00:00:00</v>
      </c>
      <c r="B2055" s="19">
        <v>0</v>
      </c>
      <c r="C2055" s="21">
        <v>0</v>
      </c>
      <c r="D2055" s="20" t="str">
        <v>未匹配</v>
      </c>
      <c r="E2055" s="20">
        <v>0</v>
      </c>
    </row>
    <row r="2056" spans="1:5">
      <c r="A2056" s="20" t="str">
        <v>00:00:00</v>
      </c>
      <c r="B2056" s="19">
        <v>0</v>
      </c>
      <c r="C2056" s="21">
        <v>0</v>
      </c>
      <c r="D2056" s="20" t="str">
        <v>未匹配</v>
      </c>
      <c r="E2056" s="20">
        <v>0</v>
      </c>
    </row>
    <row r="2057" spans="1:5">
      <c r="A2057" s="20" t="str">
        <v>00:00:00</v>
      </c>
      <c r="B2057" s="19">
        <v>0</v>
      </c>
      <c r="C2057" s="21">
        <v>0</v>
      </c>
      <c r="D2057" s="20" t="str">
        <v>未匹配</v>
      </c>
      <c r="E2057" s="20">
        <v>0</v>
      </c>
    </row>
    <row r="2058" spans="1:5">
      <c r="A2058" s="20" t="str">
        <v>00:00:00</v>
      </c>
      <c r="B2058" s="19">
        <v>0</v>
      </c>
      <c r="C2058" s="21">
        <v>0</v>
      </c>
      <c r="D2058" s="20" t="str">
        <v>未匹配</v>
      </c>
      <c r="E2058" s="20">
        <v>0</v>
      </c>
    </row>
    <row r="2059" spans="1:5">
      <c r="A2059" s="20" t="str">
        <v>00:00:00</v>
      </c>
      <c r="B2059" s="19">
        <v>0</v>
      </c>
      <c r="C2059" s="21">
        <v>0</v>
      </c>
      <c r="D2059" s="20" t="str">
        <v>未匹配</v>
      </c>
      <c r="E2059" s="20">
        <v>0</v>
      </c>
    </row>
    <row r="2060" spans="1:5">
      <c r="A2060" s="20" t="str">
        <v>00:00:00</v>
      </c>
      <c r="B2060" s="19">
        <v>0</v>
      </c>
      <c r="C2060" s="21">
        <v>0</v>
      </c>
      <c r="D2060" s="20" t="str">
        <v>未匹配</v>
      </c>
      <c r="E2060" s="20">
        <v>0</v>
      </c>
    </row>
    <row r="2061" spans="1:5">
      <c r="A2061" s="20" t="str">
        <v>00:00:00</v>
      </c>
      <c r="B2061" s="19">
        <v>0</v>
      </c>
      <c r="C2061" s="21">
        <v>0</v>
      </c>
      <c r="D2061" s="20" t="str">
        <v>未匹配</v>
      </c>
      <c r="E2061" s="20">
        <v>0</v>
      </c>
    </row>
    <row r="2062" spans="1:5">
      <c r="A2062" s="20" t="str">
        <v>00:00:00</v>
      </c>
      <c r="B2062" s="19">
        <v>0</v>
      </c>
      <c r="C2062" s="21">
        <v>0</v>
      </c>
      <c r="D2062" s="20" t="str">
        <v>未匹配</v>
      </c>
      <c r="E2062" s="20">
        <v>0</v>
      </c>
    </row>
    <row r="2063" spans="1:5">
      <c r="A2063" s="20" t="str">
        <v>00:00:00</v>
      </c>
      <c r="B2063" s="19">
        <v>0</v>
      </c>
      <c r="C2063" s="21">
        <v>0</v>
      </c>
      <c r="D2063" s="20" t="str">
        <v>未匹配</v>
      </c>
      <c r="E2063" s="20">
        <v>0</v>
      </c>
    </row>
    <row r="2064" spans="1:5">
      <c r="A2064" s="20" t="str">
        <v>00:00:00</v>
      </c>
      <c r="B2064" s="19">
        <v>0</v>
      </c>
      <c r="C2064" s="21">
        <v>0</v>
      </c>
      <c r="D2064" s="20" t="str">
        <v>未匹配</v>
      </c>
      <c r="E2064" s="20">
        <v>0</v>
      </c>
    </row>
    <row r="2065" spans="1:5">
      <c r="A2065" s="20" t="str">
        <v>00:00:00</v>
      </c>
      <c r="B2065" s="19">
        <v>0</v>
      </c>
      <c r="C2065" s="21">
        <v>0</v>
      </c>
      <c r="D2065" s="20" t="str">
        <v>未匹配</v>
      </c>
      <c r="E2065" s="20">
        <v>0</v>
      </c>
    </row>
    <row r="2066" spans="1:5">
      <c r="A2066" s="20" t="str">
        <v>00:00:00</v>
      </c>
      <c r="B2066" s="19">
        <v>0</v>
      </c>
      <c r="C2066" s="21">
        <v>0</v>
      </c>
      <c r="D2066" s="20" t="str">
        <v>未匹配</v>
      </c>
      <c r="E2066" s="20">
        <v>0</v>
      </c>
    </row>
    <row r="2067" spans="1:5">
      <c r="A2067" s="20" t="str">
        <v>00:00:00</v>
      </c>
      <c r="B2067" s="19">
        <v>0</v>
      </c>
      <c r="C2067" s="21">
        <v>0</v>
      </c>
      <c r="D2067" s="20" t="str">
        <v>未匹配</v>
      </c>
      <c r="E2067" s="20">
        <v>0</v>
      </c>
    </row>
    <row r="2068" spans="1:5">
      <c r="A2068" s="20" t="str">
        <v>00:00:00</v>
      </c>
      <c r="B2068" s="19">
        <v>0</v>
      </c>
      <c r="C2068" s="21">
        <v>0</v>
      </c>
      <c r="D2068" s="20" t="str">
        <v>未匹配</v>
      </c>
      <c r="E2068" s="20">
        <v>0</v>
      </c>
    </row>
    <row r="2069" spans="1:5">
      <c r="A2069" s="20" t="str">
        <v>00:00:00</v>
      </c>
      <c r="B2069" s="19">
        <v>0</v>
      </c>
      <c r="C2069" s="21">
        <v>0</v>
      </c>
      <c r="D2069" s="20" t="str">
        <v>未匹配</v>
      </c>
      <c r="E2069" s="20">
        <v>0</v>
      </c>
    </row>
    <row r="2070" spans="1:5">
      <c r="A2070" s="20" t="str">
        <v>00:00:00</v>
      </c>
      <c r="B2070" s="19">
        <v>0</v>
      </c>
      <c r="C2070" s="21">
        <v>0</v>
      </c>
      <c r="D2070" s="20" t="str">
        <v>未匹配</v>
      </c>
      <c r="E2070" s="20">
        <v>0</v>
      </c>
    </row>
    <row r="2071" spans="1:5">
      <c r="A2071" s="20" t="str">
        <v>00:00:00</v>
      </c>
      <c r="B2071" s="19">
        <v>0</v>
      </c>
      <c r="C2071" s="21">
        <v>0</v>
      </c>
      <c r="D2071" s="20" t="str">
        <v>未匹配</v>
      </c>
      <c r="E2071" s="20">
        <v>0</v>
      </c>
    </row>
    <row r="2072" spans="1:5">
      <c r="A2072" s="20" t="str">
        <v>00:00:00</v>
      </c>
      <c r="B2072" s="19">
        <v>0</v>
      </c>
      <c r="C2072" s="21">
        <v>0</v>
      </c>
      <c r="D2072" s="20" t="str">
        <v>未匹配</v>
      </c>
      <c r="E2072" s="20">
        <v>0</v>
      </c>
    </row>
    <row r="2073" spans="1:5">
      <c r="A2073" s="20" t="str">
        <v>00:00:00</v>
      </c>
      <c r="B2073" s="19">
        <v>0</v>
      </c>
      <c r="C2073" s="21">
        <v>0</v>
      </c>
      <c r="D2073" s="20" t="str">
        <v>未匹配</v>
      </c>
      <c r="E2073" s="20">
        <v>0</v>
      </c>
    </row>
    <row r="2074" spans="1:5">
      <c r="A2074" s="20" t="str">
        <v>00:00:00</v>
      </c>
      <c r="B2074" s="19">
        <v>0</v>
      </c>
      <c r="C2074" s="21">
        <v>0</v>
      </c>
      <c r="D2074" s="20" t="str">
        <v>未匹配</v>
      </c>
      <c r="E2074" s="20">
        <v>0</v>
      </c>
    </row>
    <row r="2075" spans="1:5">
      <c r="A2075" s="20" t="str">
        <v>00:00:00</v>
      </c>
      <c r="B2075" s="19">
        <v>0</v>
      </c>
      <c r="C2075" s="21">
        <v>0</v>
      </c>
      <c r="D2075" s="20" t="str">
        <v>未匹配</v>
      </c>
      <c r="E2075" s="20">
        <v>0</v>
      </c>
    </row>
    <row r="2076" spans="1:5">
      <c r="A2076" s="20" t="str">
        <v>00:00:00</v>
      </c>
      <c r="B2076" s="19">
        <v>0</v>
      </c>
      <c r="C2076" s="21">
        <v>0</v>
      </c>
      <c r="D2076" s="20" t="str">
        <v>未匹配</v>
      </c>
      <c r="E2076" s="20">
        <v>0</v>
      </c>
    </row>
    <row r="2077" spans="1:5">
      <c r="A2077" s="20" t="str">
        <v>00:00:00</v>
      </c>
      <c r="B2077" s="19">
        <v>0</v>
      </c>
      <c r="C2077" s="21">
        <v>0</v>
      </c>
      <c r="D2077" s="20" t="str">
        <v>未匹配</v>
      </c>
      <c r="E2077" s="20">
        <v>0</v>
      </c>
    </row>
    <row r="2078" spans="1:5">
      <c r="A2078" s="20" t="str">
        <v>00:00:00</v>
      </c>
      <c r="B2078" s="19">
        <v>0</v>
      </c>
      <c r="C2078" s="21">
        <v>0</v>
      </c>
      <c r="D2078" s="20" t="str">
        <v>未匹配</v>
      </c>
      <c r="E2078" s="20">
        <v>0</v>
      </c>
    </row>
    <row r="2079" spans="1:5">
      <c r="A2079" s="20" t="str">
        <v>00:00:00</v>
      </c>
      <c r="B2079" s="19">
        <v>0</v>
      </c>
      <c r="C2079" s="21">
        <v>0</v>
      </c>
      <c r="D2079" s="20" t="str">
        <v>未匹配</v>
      </c>
      <c r="E2079" s="20">
        <v>0</v>
      </c>
    </row>
    <row r="2080" spans="1:5">
      <c r="A2080" s="20" t="str">
        <v>00:00:00</v>
      </c>
      <c r="B2080" s="19">
        <v>0</v>
      </c>
      <c r="C2080" s="21">
        <v>0</v>
      </c>
      <c r="D2080" s="20" t="str">
        <v>未匹配</v>
      </c>
      <c r="E2080" s="20">
        <v>0</v>
      </c>
    </row>
    <row r="2081" spans="1:5">
      <c r="A2081" s="20" t="str">
        <v>00:00:00</v>
      </c>
      <c r="B2081" s="19">
        <v>0</v>
      </c>
      <c r="C2081" s="21">
        <v>0</v>
      </c>
      <c r="D2081" s="20" t="str">
        <v>未匹配</v>
      </c>
      <c r="E2081" s="20">
        <v>0</v>
      </c>
    </row>
    <row r="2082" spans="1:5">
      <c r="A2082" s="20" t="str">
        <v>00:00:00</v>
      </c>
      <c r="B2082" s="19">
        <v>0</v>
      </c>
      <c r="C2082" s="21">
        <v>0</v>
      </c>
      <c r="D2082" s="20" t="str">
        <v>未匹配</v>
      </c>
      <c r="E2082" s="20">
        <v>0</v>
      </c>
    </row>
    <row r="2083" spans="1:5">
      <c r="A2083" s="20" t="str">
        <v>00:00:00</v>
      </c>
      <c r="B2083" s="19">
        <v>0</v>
      </c>
      <c r="C2083" s="21">
        <v>0</v>
      </c>
      <c r="D2083" s="20" t="str">
        <v>未匹配</v>
      </c>
      <c r="E2083" s="20">
        <v>0</v>
      </c>
    </row>
    <row r="2084" spans="1:5">
      <c r="A2084" s="20" t="str">
        <v>00:00:00</v>
      </c>
      <c r="B2084" s="19">
        <v>0</v>
      </c>
      <c r="C2084" s="21">
        <v>0</v>
      </c>
      <c r="D2084" s="20" t="str">
        <v>未匹配</v>
      </c>
      <c r="E2084" s="20">
        <v>0</v>
      </c>
    </row>
    <row r="2085" spans="1:5">
      <c r="A2085" s="20" t="str">
        <v>00:00:00</v>
      </c>
      <c r="B2085" s="19">
        <v>0</v>
      </c>
      <c r="C2085" s="21">
        <v>0</v>
      </c>
      <c r="D2085" s="20" t="str">
        <v>未匹配</v>
      </c>
      <c r="E2085" s="20">
        <v>0</v>
      </c>
    </row>
    <row r="2086" spans="1:5">
      <c r="A2086" s="20" t="str">
        <v>00:00:00</v>
      </c>
      <c r="B2086" s="19">
        <v>0</v>
      </c>
      <c r="C2086" s="21">
        <v>0</v>
      </c>
      <c r="D2086" s="20" t="str">
        <v>未匹配</v>
      </c>
      <c r="E2086" s="20">
        <v>0</v>
      </c>
    </row>
    <row r="2087" spans="1:5">
      <c r="A2087" s="20" t="str">
        <v>00:00:00</v>
      </c>
      <c r="B2087" s="19">
        <v>0</v>
      </c>
      <c r="C2087" s="21">
        <v>0</v>
      </c>
      <c r="D2087" s="20" t="str">
        <v>未匹配</v>
      </c>
      <c r="E2087" s="20">
        <v>0</v>
      </c>
    </row>
    <row r="2088" spans="1:5">
      <c r="A2088" s="20" t="str">
        <v>00:00:00</v>
      </c>
      <c r="B2088" s="19">
        <v>0</v>
      </c>
      <c r="C2088" s="21">
        <v>0</v>
      </c>
      <c r="D2088" s="20" t="str">
        <v>未匹配</v>
      </c>
      <c r="E2088" s="20">
        <v>0</v>
      </c>
    </row>
    <row r="2089" spans="1:5">
      <c r="A2089" s="20" t="str">
        <v>00:00:00</v>
      </c>
      <c r="B2089" s="19">
        <v>0</v>
      </c>
      <c r="C2089" s="21">
        <v>0</v>
      </c>
      <c r="D2089" s="20" t="str">
        <v>未匹配</v>
      </c>
      <c r="E2089" s="20">
        <v>0</v>
      </c>
    </row>
    <row r="2090" spans="1:5">
      <c r="A2090" s="20" t="str">
        <v>00:00:00</v>
      </c>
      <c r="B2090" s="19">
        <v>0</v>
      </c>
      <c r="C2090" s="21">
        <v>0</v>
      </c>
      <c r="D2090" s="20" t="str">
        <v>未匹配</v>
      </c>
      <c r="E2090" s="20">
        <v>0</v>
      </c>
    </row>
    <row r="2091" spans="1:5">
      <c r="A2091" s="20" t="str">
        <v>00:00:00</v>
      </c>
      <c r="B2091" s="19">
        <v>0</v>
      </c>
      <c r="C2091" s="21">
        <v>0</v>
      </c>
      <c r="D2091" s="20" t="str">
        <v>未匹配</v>
      </c>
      <c r="E2091" s="20">
        <v>0</v>
      </c>
    </row>
    <row r="2092" spans="1:5">
      <c r="A2092" s="20" t="str">
        <v>00:00:00</v>
      </c>
      <c r="B2092" s="19">
        <v>0</v>
      </c>
      <c r="C2092" s="21">
        <v>0</v>
      </c>
      <c r="D2092" s="20" t="str">
        <v>未匹配</v>
      </c>
      <c r="E2092" s="20">
        <v>0</v>
      </c>
    </row>
    <row r="2093" spans="1:5">
      <c r="A2093" s="20" t="str">
        <v>00:00:00</v>
      </c>
      <c r="B2093" s="19">
        <v>0</v>
      </c>
      <c r="C2093" s="21">
        <v>0</v>
      </c>
      <c r="D2093" s="20" t="str">
        <v>未匹配</v>
      </c>
      <c r="E2093" s="20">
        <v>0</v>
      </c>
    </row>
    <row r="2094" spans="1:5">
      <c r="A2094" s="20" t="str">
        <v>00:00:00</v>
      </c>
      <c r="B2094" s="19">
        <v>0</v>
      </c>
      <c r="C2094" s="21">
        <v>0</v>
      </c>
      <c r="D2094" s="20" t="str">
        <v>未匹配</v>
      </c>
      <c r="E2094" s="20">
        <v>0</v>
      </c>
    </row>
    <row r="2095" spans="1:5">
      <c r="A2095" s="20" t="str">
        <v>00:00:00</v>
      </c>
      <c r="B2095" s="19">
        <v>0</v>
      </c>
      <c r="C2095" s="21">
        <v>0</v>
      </c>
      <c r="D2095" s="20" t="str">
        <v>未匹配</v>
      </c>
      <c r="E2095" s="20">
        <v>0</v>
      </c>
    </row>
    <row r="2096" spans="1:5">
      <c r="A2096" s="20" t="str">
        <v>00:00:00</v>
      </c>
      <c r="B2096" s="19">
        <v>0</v>
      </c>
      <c r="C2096" s="21">
        <v>0</v>
      </c>
      <c r="D2096" s="20" t="str">
        <v>未匹配</v>
      </c>
      <c r="E2096" s="20">
        <v>0</v>
      </c>
    </row>
    <row r="2097" spans="1:5">
      <c r="A2097" s="20" t="str">
        <v>00:00:00</v>
      </c>
      <c r="B2097" s="19">
        <v>0</v>
      </c>
      <c r="C2097" s="21">
        <v>0</v>
      </c>
      <c r="D2097" s="20" t="str">
        <v>未匹配</v>
      </c>
      <c r="E2097" s="20">
        <v>0</v>
      </c>
    </row>
    <row r="2098" spans="1:5">
      <c r="A2098" s="20" t="str">
        <v>00:00:00</v>
      </c>
      <c r="B2098" s="19">
        <v>0</v>
      </c>
      <c r="C2098" s="21">
        <v>0</v>
      </c>
      <c r="D2098" s="20" t="str">
        <v>未匹配</v>
      </c>
      <c r="E2098" s="20">
        <v>0</v>
      </c>
    </row>
    <row r="2099" spans="1:5">
      <c r="A2099" s="20" t="str">
        <v>00:00:00</v>
      </c>
      <c r="B2099" s="19">
        <v>0</v>
      </c>
      <c r="C2099" s="21">
        <v>0</v>
      </c>
      <c r="D2099" s="20" t="str">
        <v>未匹配</v>
      </c>
      <c r="E2099" s="20">
        <v>0</v>
      </c>
    </row>
    <row r="2100" spans="1:5">
      <c r="A2100" s="20" t="str">
        <v>00:00:00</v>
      </c>
      <c r="B2100" s="19">
        <v>0</v>
      </c>
      <c r="C2100" s="21">
        <v>0</v>
      </c>
      <c r="D2100" s="20" t="str">
        <v>未匹配</v>
      </c>
      <c r="E2100" s="20">
        <v>0</v>
      </c>
    </row>
    <row r="2101" spans="1:5">
      <c r="A2101" s="20" t="str">
        <v>00:00:00</v>
      </c>
      <c r="B2101" s="19">
        <v>0</v>
      </c>
      <c r="C2101" s="21">
        <v>0</v>
      </c>
      <c r="D2101" s="20" t="str">
        <v>未匹配</v>
      </c>
      <c r="E2101" s="20">
        <v>0</v>
      </c>
    </row>
    <row r="2102" spans="1:5">
      <c r="A2102" s="20" t="str">
        <v>00:00:00</v>
      </c>
      <c r="B2102" s="19">
        <v>0</v>
      </c>
      <c r="C2102" s="21">
        <v>0</v>
      </c>
      <c r="D2102" s="20" t="str">
        <v>未匹配</v>
      </c>
      <c r="E2102" s="20">
        <v>0</v>
      </c>
    </row>
    <row r="2103" spans="1:5">
      <c r="A2103" s="20" t="str">
        <v>00:00:00</v>
      </c>
      <c r="B2103" s="19">
        <v>0</v>
      </c>
      <c r="C2103" s="21">
        <v>0</v>
      </c>
      <c r="D2103" s="20" t="str">
        <v>未匹配</v>
      </c>
      <c r="E2103" s="20">
        <v>0</v>
      </c>
    </row>
    <row r="2104" spans="1:5">
      <c r="A2104" s="20" t="str">
        <v>00:00:00</v>
      </c>
      <c r="B2104" s="19">
        <v>0</v>
      </c>
      <c r="C2104" s="21">
        <v>0</v>
      </c>
      <c r="D2104" s="20" t="str">
        <v>未匹配</v>
      </c>
      <c r="E2104" s="20">
        <v>0</v>
      </c>
    </row>
    <row r="2105" spans="1:5">
      <c r="A2105" s="20" t="str">
        <v>00:00:00</v>
      </c>
      <c r="B2105" s="19">
        <v>0</v>
      </c>
      <c r="C2105" s="21">
        <v>0</v>
      </c>
      <c r="D2105" s="20" t="str">
        <v>未匹配</v>
      </c>
      <c r="E2105" s="20">
        <v>0</v>
      </c>
    </row>
    <row r="2106" spans="1:5">
      <c r="A2106" s="20" t="str">
        <v>00:00:00</v>
      </c>
      <c r="B2106" s="19">
        <v>0</v>
      </c>
      <c r="C2106" s="21">
        <v>0</v>
      </c>
      <c r="D2106" s="20" t="str">
        <v>未匹配</v>
      </c>
      <c r="E2106" s="20">
        <v>0</v>
      </c>
    </row>
    <row r="2107" spans="1:5">
      <c r="A2107" s="20" t="str">
        <v>00:00:00</v>
      </c>
      <c r="B2107" s="19">
        <v>0</v>
      </c>
      <c r="C2107" s="21">
        <v>0</v>
      </c>
      <c r="D2107" s="20" t="str">
        <v>未匹配</v>
      </c>
      <c r="E2107" s="20">
        <v>0</v>
      </c>
    </row>
    <row r="2108" spans="1:5">
      <c r="A2108" s="20" t="str">
        <v>00:00:00</v>
      </c>
      <c r="B2108" s="19">
        <v>0</v>
      </c>
      <c r="C2108" s="21">
        <v>0</v>
      </c>
      <c r="D2108" s="20" t="str">
        <v>未匹配</v>
      </c>
      <c r="E2108" s="20">
        <v>0</v>
      </c>
    </row>
    <row r="2109" spans="1:5">
      <c r="A2109" s="20" t="str">
        <v>00:00:00</v>
      </c>
      <c r="B2109" s="19">
        <v>0</v>
      </c>
      <c r="C2109" s="21">
        <v>0</v>
      </c>
      <c r="D2109" s="20" t="str">
        <v>未匹配</v>
      </c>
      <c r="E2109" s="20">
        <v>0</v>
      </c>
    </row>
    <row r="2110" spans="1:5">
      <c r="A2110" s="20" t="str">
        <v>00:00:00</v>
      </c>
      <c r="B2110" s="19">
        <v>0</v>
      </c>
      <c r="C2110" s="21">
        <v>0</v>
      </c>
      <c r="D2110" s="20" t="str">
        <v>未匹配</v>
      </c>
      <c r="E2110" s="20">
        <v>0</v>
      </c>
    </row>
    <row r="2111" spans="1:5">
      <c r="A2111" s="20" t="str">
        <v>00:00:00</v>
      </c>
      <c r="B2111" s="19">
        <v>0</v>
      </c>
      <c r="C2111" s="21">
        <v>0</v>
      </c>
      <c r="D2111" s="20" t="str">
        <v>未匹配</v>
      </c>
      <c r="E2111" s="20">
        <v>0</v>
      </c>
    </row>
    <row r="2112" spans="1:5">
      <c r="A2112" s="20" t="str">
        <v>00:00:00</v>
      </c>
      <c r="B2112" s="19">
        <v>0</v>
      </c>
      <c r="C2112" s="21">
        <v>0</v>
      </c>
      <c r="D2112" s="20" t="str">
        <v>未匹配</v>
      </c>
      <c r="E2112" s="20">
        <v>0</v>
      </c>
    </row>
    <row r="2113" spans="1:5">
      <c r="A2113" s="20" t="str">
        <v>00:00:00</v>
      </c>
      <c r="B2113" s="19">
        <v>0</v>
      </c>
      <c r="C2113" s="21">
        <v>0</v>
      </c>
      <c r="D2113" s="20" t="str">
        <v>未匹配</v>
      </c>
      <c r="E2113" s="20">
        <v>0</v>
      </c>
    </row>
    <row r="2114" spans="1:5">
      <c r="A2114" s="20" t="str">
        <v>00:00:00</v>
      </c>
      <c r="B2114" s="19">
        <v>0</v>
      </c>
      <c r="C2114" s="21">
        <v>0</v>
      </c>
      <c r="D2114" s="20" t="str">
        <v>未匹配</v>
      </c>
      <c r="E2114" s="20">
        <v>0</v>
      </c>
    </row>
    <row r="2115" spans="1:5">
      <c r="A2115" s="20" t="str">
        <v>00:00:00</v>
      </c>
      <c r="B2115" s="19">
        <v>0</v>
      </c>
      <c r="C2115" s="21">
        <v>0</v>
      </c>
      <c r="D2115" s="20" t="str">
        <v>未匹配</v>
      </c>
      <c r="E2115" s="20">
        <v>0</v>
      </c>
    </row>
    <row r="2116" spans="1:5">
      <c r="A2116" s="20" t="str">
        <v>00:00:00</v>
      </c>
      <c r="B2116" s="19">
        <v>0</v>
      </c>
      <c r="C2116" s="21">
        <v>0</v>
      </c>
      <c r="D2116" s="20" t="str">
        <v>未匹配</v>
      </c>
      <c r="E2116" s="20">
        <v>0</v>
      </c>
    </row>
    <row r="2117" spans="1:5">
      <c r="A2117" s="20" t="str">
        <v>00:00:00</v>
      </c>
      <c r="B2117" s="19">
        <v>0</v>
      </c>
      <c r="C2117" s="21">
        <v>0</v>
      </c>
      <c r="D2117" s="20" t="str">
        <v>未匹配</v>
      </c>
      <c r="E2117" s="20">
        <v>0</v>
      </c>
    </row>
    <row r="2118" spans="1:5">
      <c r="A2118" s="20" t="str">
        <v>00:00:00</v>
      </c>
      <c r="B2118" s="19">
        <v>0</v>
      </c>
      <c r="C2118" s="21">
        <v>0</v>
      </c>
      <c r="D2118" s="20" t="str">
        <v>未匹配</v>
      </c>
      <c r="E2118" s="20">
        <v>0</v>
      </c>
    </row>
    <row r="2119" spans="1:5">
      <c r="A2119" s="20" t="str">
        <v>00:00:00</v>
      </c>
      <c r="B2119" s="19">
        <v>0</v>
      </c>
      <c r="C2119" s="21">
        <v>0</v>
      </c>
      <c r="D2119" s="20" t="str">
        <v>未匹配</v>
      </c>
      <c r="E2119" s="20">
        <v>0</v>
      </c>
    </row>
    <row r="2120" spans="1:5">
      <c r="A2120" s="20" t="str">
        <v>00:00:00</v>
      </c>
      <c r="B2120" s="19">
        <v>0</v>
      </c>
      <c r="C2120" s="21">
        <v>0</v>
      </c>
      <c r="D2120" s="20" t="str">
        <v>未匹配</v>
      </c>
      <c r="E2120" s="20">
        <v>0</v>
      </c>
    </row>
    <row r="2121" spans="1:5">
      <c r="A2121" s="20" t="str">
        <v>00:00:00</v>
      </c>
      <c r="B2121" s="19">
        <v>0</v>
      </c>
      <c r="C2121" s="21">
        <v>0</v>
      </c>
      <c r="D2121" s="20" t="str">
        <v>未匹配</v>
      </c>
      <c r="E2121" s="20">
        <v>0</v>
      </c>
    </row>
    <row r="2122" spans="1:5">
      <c r="A2122" s="20" t="str">
        <v>00:00:00</v>
      </c>
      <c r="B2122" s="19">
        <v>0</v>
      </c>
      <c r="C2122" s="21">
        <v>0</v>
      </c>
      <c r="D2122" s="20" t="str">
        <v>未匹配</v>
      </c>
      <c r="E2122" s="20">
        <v>0</v>
      </c>
    </row>
    <row r="2123" spans="1:5">
      <c r="A2123" s="20" t="str">
        <v>00:00:00</v>
      </c>
      <c r="B2123" s="19">
        <v>0</v>
      </c>
      <c r="C2123" s="21">
        <v>0</v>
      </c>
      <c r="D2123" s="20" t="str">
        <v>未匹配</v>
      </c>
      <c r="E2123" s="20">
        <v>0</v>
      </c>
    </row>
    <row r="2124" spans="1:5">
      <c r="A2124" s="20" t="str">
        <v>00:00:00</v>
      </c>
      <c r="B2124" s="19">
        <v>0</v>
      </c>
      <c r="C2124" s="21">
        <v>0</v>
      </c>
      <c r="D2124" s="20" t="str">
        <v>未匹配</v>
      </c>
      <c r="E2124" s="20">
        <v>0</v>
      </c>
    </row>
    <row r="2125" spans="1:5">
      <c r="A2125" s="20" t="str">
        <v>00:00:00</v>
      </c>
      <c r="B2125" s="19">
        <v>0</v>
      </c>
      <c r="C2125" s="21">
        <v>0</v>
      </c>
      <c r="D2125" s="20" t="str">
        <v>未匹配</v>
      </c>
      <c r="E2125" s="20">
        <v>0</v>
      </c>
    </row>
    <row r="2126" spans="1:5">
      <c r="A2126" s="20" t="str">
        <v>00:00:00</v>
      </c>
      <c r="B2126" s="19">
        <v>0</v>
      </c>
      <c r="C2126" s="21">
        <v>0</v>
      </c>
      <c r="D2126" s="20" t="str">
        <v>未匹配</v>
      </c>
      <c r="E2126" s="20">
        <v>0</v>
      </c>
    </row>
    <row r="2127" spans="1:5">
      <c r="A2127" s="20" t="str">
        <v>00:00:00</v>
      </c>
      <c r="B2127" s="19">
        <v>0</v>
      </c>
      <c r="C2127" s="21">
        <v>0</v>
      </c>
      <c r="D2127" s="20" t="str">
        <v>未匹配</v>
      </c>
      <c r="E2127" s="20">
        <v>0</v>
      </c>
    </row>
    <row r="2128" spans="1:5">
      <c r="A2128" s="20" t="str">
        <v>00:00:00</v>
      </c>
      <c r="B2128" s="19">
        <v>0</v>
      </c>
      <c r="C2128" s="21">
        <v>0</v>
      </c>
      <c r="D2128" s="20" t="str">
        <v>未匹配</v>
      </c>
      <c r="E2128" s="20">
        <v>0</v>
      </c>
    </row>
    <row r="2129" spans="1:5">
      <c r="A2129" s="20" t="str">
        <v>00:00:00</v>
      </c>
      <c r="B2129" s="19">
        <v>0</v>
      </c>
      <c r="C2129" s="21">
        <v>0</v>
      </c>
      <c r="D2129" s="20" t="str">
        <v>未匹配</v>
      </c>
      <c r="E2129" s="20">
        <v>0</v>
      </c>
    </row>
    <row r="2130" spans="1:5">
      <c r="A2130" s="20" t="str">
        <v>00:00:00</v>
      </c>
      <c r="B2130" s="19">
        <v>0</v>
      </c>
      <c r="C2130" s="21">
        <v>0</v>
      </c>
      <c r="D2130" s="20" t="str">
        <v>未匹配</v>
      </c>
      <c r="E2130" s="20">
        <v>0</v>
      </c>
    </row>
    <row r="2131" spans="1:5">
      <c r="A2131" s="20" t="str">
        <v>00:00:00</v>
      </c>
      <c r="B2131" s="19">
        <v>0</v>
      </c>
      <c r="C2131" s="21">
        <v>0</v>
      </c>
      <c r="D2131" s="20" t="str">
        <v>未匹配</v>
      </c>
      <c r="E2131" s="20">
        <v>0</v>
      </c>
    </row>
    <row r="2132" spans="1:5">
      <c r="A2132" s="20" t="str">
        <v>00:00:00</v>
      </c>
      <c r="B2132" s="19">
        <v>0</v>
      </c>
      <c r="C2132" s="21">
        <v>0</v>
      </c>
      <c r="D2132" s="20" t="str">
        <v>未匹配</v>
      </c>
      <c r="E2132" s="20">
        <v>0</v>
      </c>
    </row>
    <row r="2133" spans="1:5">
      <c r="A2133" s="20" t="str">
        <v>00:00:00</v>
      </c>
      <c r="B2133" s="19">
        <v>0</v>
      </c>
      <c r="C2133" s="21">
        <v>0</v>
      </c>
      <c r="D2133" s="20" t="str">
        <v>未匹配</v>
      </c>
      <c r="E2133" s="20">
        <v>0</v>
      </c>
    </row>
    <row r="2134" spans="1:5">
      <c r="A2134" s="20" t="str">
        <v>00:00:00</v>
      </c>
      <c r="B2134" s="19">
        <v>0</v>
      </c>
      <c r="C2134" s="21">
        <v>0</v>
      </c>
      <c r="D2134" s="20" t="str">
        <v>未匹配</v>
      </c>
      <c r="E2134" s="20">
        <v>0</v>
      </c>
    </row>
    <row r="2135" spans="1:5">
      <c r="A2135" s="20" t="str">
        <v>00:00:00</v>
      </c>
      <c r="B2135" s="19">
        <v>0</v>
      </c>
      <c r="C2135" s="21">
        <v>0</v>
      </c>
      <c r="D2135" s="20" t="str">
        <v>未匹配</v>
      </c>
      <c r="E2135" s="20">
        <v>0</v>
      </c>
    </row>
    <row r="2136" spans="1:5">
      <c r="A2136" s="20" t="str">
        <v>00:00:00</v>
      </c>
      <c r="B2136" s="19">
        <v>0</v>
      </c>
      <c r="C2136" s="21">
        <v>0</v>
      </c>
      <c r="D2136" s="20" t="str">
        <v>未匹配</v>
      </c>
      <c r="E2136" s="20">
        <v>0</v>
      </c>
    </row>
    <row r="2137" spans="1:5">
      <c r="A2137" s="20" t="str">
        <v>00:00:00</v>
      </c>
      <c r="B2137" s="19">
        <v>0</v>
      </c>
      <c r="C2137" s="21">
        <v>0</v>
      </c>
      <c r="D2137" s="20" t="str">
        <v>未匹配</v>
      </c>
      <c r="E2137" s="20">
        <v>0</v>
      </c>
    </row>
    <row r="2138" spans="1:5">
      <c r="A2138" s="20" t="str">
        <v>00:00:00</v>
      </c>
      <c r="B2138" s="19">
        <v>0</v>
      </c>
      <c r="C2138" s="21">
        <v>0</v>
      </c>
      <c r="D2138" s="20" t="str">
        <v>未匹配</v>
      </c>
      <c r="E2138" s="20">
        <v>0</v>
      </c>
    </row>
    <row r="2139" spans="1:5">
      <c r="A2139" s="20" t="str">
        <v>00:00:00</v>
      </c>
      <c r="B2139" s="19">
        <v>0</v>
      </c>
      <c r="C2139" s="21">
        <v>0</v>
      </c>
      <c r="D2139" s="20" t="str">
        <v>未匹配</v>
      </c>
      <c r="E2139" s="20">
        <v>0</v>
      </c>
    </row>
    <row r="2140" spans="1:5">
      <c r="A2140" s="20" t="str">
        <v>00:00:00</v>
      </c>
      <c r="B2140" s="19">
        <v>0</v>
      </c>
      <c r="C2140" s="21">
        <v>0</v>
      </c>
      <c r="D2140" s="20" t="str">
        <v>未匹配</v>
      </c>
      <c r="E2140" s="20">
        <v>0</v>
      </c>
    </row>
    <row r="2141" spans="1:5">
      <c r="A2141" s="20" t="str">
        <v>00:00:00</v>
      </c>
      <c r="B2141" s="19">
        <v>0</v>
      </c>
      <c r="C2141" s="21">
        <v>0</v>
      </c>
      <c r="D2141" s="20" t="str">
        <v>未匹配</v>
      </c>
      <c r="E2141" s="20">
        <v>0</v>
      </c>
    </row>
    <row r="2142" spans="1:5">
      <c r="A2142" s="20" t="str">
        <v>00:00:00</v>
      </c>
      <c r="B2142" s="19">
        <v>0</v>
      </c>
      <c r="C2142" s="21">
        <v>0</v>
      </c>
      <c r="D2142" s="20" t="str">
        <v>未匹配</v>
      </c>
      <c r="E2142" s="20">
        <v>0</v>
      </c>
    </row>
    <row r="2143" spans="1:5">
      <c r="A2143" s="20" t="str">
        <v>00:00:00</v>
      </c>
      <c r="B2143" s="19">
        <v>0</v>
      </c>
      <c r="C2143" s="21">
        <v>0</v>
      </c>
      <c r="D2143" s="20" t="str">
        <v>未匹配</v>
      </c>
      <c r="E2143" s="20">
        <v>0</v>
      </c>
    </row>
    <row r="2144" spans="1:5">
      <c r="A2144" s="20" t="str">
        <v>00:00:00</v>
      </c>
      <c r="B2144" s="19">
        <v>0</v>
      </c>
      <c r="C2144" s="21">
        <v>0</v>
      </c>
      <c r="D2144" s="20" t="str">
        <v>未匹配</v>
      </c>
      <c r="E2144" s="20">
        <v>0</v>
      </c>
    </row>
    <row r="2145" spans="1:5">
      <c r="A2145" s="20" t="str">
        <v>00:00:00</v>
      </c>
      <c r="B2145" s="19">
        <v>0</v>
      </c>
      <c r="C2145" s="21">
        <v>0</v>
      </c>
      <c r="D2145" s="20" t="str">
        <v>未匹配</v>
      </c>
      <c r="E2145" s="20">
        <v>0</v>
      </c>
    </row>
    <row r="2146" spans="1:5">
      <c r="A2146" s="20" t="str">
        <v>00:00:00</v>
      </c>
      <c r="B2146" s="19">
        <v>0</v>
      </c>
      <c r="C2146" s="21">
        <v>0</v>
      </c>
      <c r="D2146" s="20" t="str">
        <v>未匹配</v>
      </c>
      <c r="E2146" s="20">
        <v>0</v>
      </c>
    </row>
    <row r="2147" spans="1:5">
      <c r="A2147" s="20" t="str">
        <v>00:00:00</v>
      </c>
      <c r="B2147" s="19">
        <v>0</v>
      </c>
      <c r="C2147" s="21">
        <v>0</v>
      </c>
      <c r="D2147" s="20" t="str">
        <v>未匹配</v>
      </c>
      <c r="E2147" s="20">
        <v>0</v>
      </c>
    </row>
    <row r="2148" spans="1:5">
      <c r="A2148" s="20" t="str">
        <v>00:00:00</v>
      </c>
      <c r="B2148" s="19">
        <v>0</v>
      </c>
      <c r="C2148" s="21">
        <v>0</v>
      </c>
      <c r="D2148" s="20" t="str">
        <v>未匹配</v>
      </c>
      <c r="E2148" s="20">
        <v>0</v>
      </c>
    </row>
    <row r="2149" spans="1:5">
      <c r="A2149" s="20" t="str">
        <v>00:00:00</v>
      </c>
      <c r="B2149" s="19">
        <v>0</v>
      </c>
      <c r="C2149" s="21">
        <v>0</v>
      </c>
      <c r="D2149" s="20" t="str">
        <v>未匹配</v>
      </c>
      <c r="E2149" s="20">
        <v>0</v>
      </c>
    </row>
    <row r="2150" spans="1:5">
      <c r="A2150" s="20" t="str">
        <v>00:00:00</v>
      </c>
      <c r="B2150" s="19">
        <v>0</v>
      </c>
      <c r="C2150" s="21">
        <v>0</v>
      </c>
      <c r="D2150" s="20" t="str">
        <v>未匹配</v>
      </c>
      <c r="E2150" s="20">
        <v>0</v>
      </c>
    </row>
    <row r="2151" spans="1:5">
      <c r="A2151" s="20" t="str">
        <v>00:00:00</v>
      </c>
      <c r="B2151" s="19">
        <v>0</v>
      </c>
      <c r="C2151" s="21">
        <v>0</v>
      </c>
      <c r="D2151" s="20" t="str">
        <v>未匹配</v>
      </c>
      <c r="E2151" s="20">
        <v>0</v>
      </c>
    </row>
    <row r="2152" spans="1:5">
      <c r="A2152" s="20" t="str">
        <v>00:00:00</v>
      </c>
      <c r="B2152" s="19">
        <v>0</v>
      </c>
      <c r="C2152" s="21">
        <v>0</v>
      </c>
      <c r="D2152" s="20" t="str">
        <v>未匹配</v>
      </c>
      <c r="E2152" s="20">
        <v>0</v>
      </c>
    </row>
    <row r="2153" spans="1:5">
      <c r="A2153" s="20" t="str">
        <v>00:00:00</v>
      </c>
      <c r="B2153" s="19">
        <v>0</v>
      </c>
      <c r="C2153" s="21">
        <v>0</v>
      </c>
      <c r="D2153" s="20" t="str">
        <v>未匹配</v>
      </c>
      <c r="E2153" s="20">
        <v>0</v>
      </c>
    </row>
    <row r="2154" spans="1:5">
      <c r="A2154" s="20" t="str">
        <v>00:00:00</v>
      </c>
      <c r="B2154" s="19">
        <v>0</v>
      </c>
      <c r="C2154" s="21">
        <v>0</v>
      </c>
      <c r="D2154" s="20" t="str">
        <v>未匹配</v>
      </c>
      <c r="E2154" s="20">
        <v>0</v>
      </c>
    </row>
    <row r="2155" spans="1:5">
      <c r="A2155" s="20" t="str">
        <v>00:00:00</v>
      </c>
      <c r="B2155" s="19">
        <v>0</v>
      </c>
      <c r="C2155" s="21">
        <v>0</v>
      </c>
      <c r="D2155" s="20" t="str">
        <v>未匹配</v>
      </c>
      <c r="E2155" s="20">
        <v>0</v>
      </c>
    </row>
    <row r="2156" spans="1:5">
      <c r="A2156" s="20" t="str">
        <v>00:00:00</v>
      </c>
      <c r="B2156" s="19">
        <v>0</v>
      </c>
      <c r="C2156" s="21">
        <v>0</v>
      </c>
      <c r="D2156" s="20" t="str">
        <v>未匹配</v>
      </c>
      <c r="E2156" s="20">
        <v>0</v>
      </c>
    </row>
    <row r="2157" spans="1:5">
      <c r="A2157" s="20" t="str">
        <v>00:00:00</v>
      </c>
      <c r="B2157" s="19">
        <v>0</v>
      </c>
      <c r="C2157" s="21">
        <v>0</v>
      </c>
      <c r="D2157" s="20" t="str">
        <v>未匹配</v>
      </c>
      <c r="E2157" s="20">
        <v>0</v>
      </c>
    </row>
    <row r="2158" spans="1:5">
      <c r="A2158" s="20" t="str">
        <v>00:00:00</v>
      </c>
      <c r="B2158" s="19">
        <v>0</v>
      </c>
      <c r="C2158" s="21">
        <v>0</v>
      </c>
      <c r="D2158" s="20" t="str">
        <v>未匹配</v>
      </c>
      <c r="E2158" s="20">
        <v>0</v>
      </c>
    </row>
    <row r="2159" spans="1:5">
      <c r="A2159" s="20" t="str">
        <v>00:00:00</v>
      </c>
      <c r="B2159" s="19">
        <v>0</v>
      </c>
      <c r="C2159" s="21">
        <v>0</v>
      </c>
      <c r="D2159" s="20" t="str">
        <v>未匹配</v>
      </c>
      <c r="E2159" s="20">
        <v>0</v>
      </c>
    </row>
    <row r="2160" spans="1:5">
      <c r="A2160" s="20" t="str">
        <v>00:00:00</v>
      </c>
      <c r="B2160" s="19">
        <v>0</v>
      </c>
      <c r="C2160" s="21">
        <v>0</v>
      </c>
      <c r="D2160" s="20" t="str">
        <v>未匹配</v>
      </c>
      <c r="E2160" s="20">
        <v>0</v>
      </c>
    </row>
    <row r="2161" spans="1:5">
      <c r="A2161" s="20" t="str">
        <v>00:00:00</v>
      </c>
      <c r="B2161" s="19">
        <v>0</v>
      </c>
      <c r="C2161" s="21">
        <v>0</v>
      </c>
      <c r="D2161" s="20" t="str">
        <v>未匹配</v>
      </c>
      <c r="E2161" s="20">
        <v>0</v>
      </c>
    </row>
    <row r="2162" spans="1:5">
      <c r="A2162" s="20" t="str">
        <v>00:00:00</v>
      </c>
      <c r="B2162" s="19">
        <v>0</v>
      </c>
      <c r="C2162" s="21">
        <v>0</v>
      </c>
      <c r="D2162" s="20" t="str">
        <v>未匹配</v>
      </c>
      <c r="E2162" s="20">
        <v>0</v>
      </c>
    </row>
    <row r="2163" spans="1:5">
      <c r="A2163" s="20" t="str">
        <v>00:00:00</v>
      </c>
      <c r="B2163" s="19">
        <v>0</v>
      </c>
      <c r="C2163" s="21">
        <v>0</v>
      </c>
      <c r="D2163" s="20" t="str">
        <v>未匹配</v>
      </c>
      <c r="E2163" s="20">
        <v>0</v>
      </c>
    </row>
    <row r="2164" spans="1:5">
      <c r="A2164" s="20" t="str">
        <v>00:00:00</v>
      </c>
      <c r="B2164" s="19">
        <v>0</v>
      </c>
      <c r="C2164" s="21">
        <v>0</v>
      </c>
      <c r="D2164" s="20" t="str">
        <v>未匹配</v>
      </c>
      <c r="E2164" s="20">
        <v>0</v>
      </c>
    </row>
    <row r="2165" spans="1:5">
      <c r="A2165" s="20" t="str">
        <v>00:00:00</v>
      </c>
      <c r="B2165" s="19">
        <v>0</v>
      </c>
      <c r="C2165" s="21">
        <v>0</v>
      </c>
      <c r="D2165" s="20" t="str">
        <v>未匹配</v>
      </c>
      <c r="E2165" s="20">
        <v>0</v>
      </c>
    </row>
    <row r="2166" spans="1:5">
      <c r="A2166" s="20" t="str">
        <v>00:00:00</v>
      </c>
      <c r="B2166" s="19">
        <v>0</v>
      </c>
      <c r="C2166" s="21">
        <v>0</v>
      </c>
      <c r="D2166" s="20" t="str">
        <v>未匹配</v>
      </c>
      <c r="E2166" s="20">
        <v>0</v>
      </c>
    </row>
    <row r="2167" spans="1:5">
      <c r="A2167" s="20" t="str">
        <v>00:00:00</v>
      </c>
      <c r="B2167" s="19">
        <v>0</v>
      </c>
      <c r="C2167" s="21">
        <v>0</v>
      </c>
      <c r="D2167" s="20" t="str">
        <v>未匹配</v>
      </c>
      <c r="E2167" s="20">
        <v>0</v>
      </c>
    </row>
    <row r="2168" spans="1:5">
      <c r="A2168" s="20" t="str">
        <v>00:00:00</v>
      </c>
      <c r="B2168" s="19">
        <v>0</v>
      </c>
      <c r="C2168" s="21">
        <v>0</v>
      </c>
      <c r="D2168" s="20" t="str">
        <v>未匹配</v>
      </c>
      <c r="E2168" s="20">
        <v>0</v>
      </c>
    </row>
    <row r="2169" spans="1:5">
      <c r="A2169" s="20" t="str">
        <v>00:00:00</v>
      </c>
      <c r="B2169" s="19">
        <v>0</v>
      </c>
      <c r="C2169" s="21">
        <v>0</v>
      </c>
      <c r="D2169" s="20" t="str">
        <v>未匹配</v>
      </c>
      <c r="E2169" s="20">
        <v>0</v>
      </c>
    </row>
    <row r="2170" spans="1:5">
      <c r="A2170" s="20" t="str">
        <v>00:00:00</v>
      </c>
      <c r="B2170" s="19">
        <v>0</v>
      </c>
      <c r="C2170" s="21">
        <v>0</v>
      </c>
      <c r="D2170" s="20" t="str">
        <v>未匹配</v>
      </c>
      <c r="E2170" s="20">
        <v>0</v>
      </c>
    </row>
    <row r="2171" spans="1:5">
      <c r="A2171" s="20" t="str">
        <v>00:00:00</v>
      </c>
      <c r="B2171" s="19">
        <v>0</v>
      </c>
      <c r="C2171" s="21">
        <v>0</v>
      </c>
      <c r="D2171" s="20" t="str">
        <v>未匹配</v>
      </c>
      <c r="E2171" s="20">
        <v>0</v>
      </c>
    </row>
    <row r="2172" spans="1:5">
      <c r="A2172" s="20" t="str">
        <v>00:00:00</v>
      </c>
      <c r="B2172" s="19">
        <v>0</v>
      </c>
      <c r="C2172" s="21">
        <v>0</v>
      </c>
      <c r="D2172" s="20" t="str">
        <v>未匹配</v>
      </c>
      <c r="E2172" s="20">
        <v>0</v>
      </c>
    </row>
    <row r="2173" spans="1:5">
      <c r="A2173" s="20" t="str">
        <v>00:00:00</v>
      </c>
      <c r="B2173" s="19">
        <v>0</v>
      </c>
      <c r="C2173" s="21">
        <v>0</v>
      </c>
      <c r="D2173" s="20" t="str">
        <v>未匹配</v>
      </c>
      <c r="E2173" s="20">
        <v>0</v>
      </c>
    </row>
    <row r="2174" spans="1:5">
      <c r="A2174" s="20" t="str">
        <v>00:00:00</v>
      </c>
      <c r="B2174" s="19">
        <v>0</v>
      </c>
      <c r="C2174" s="21">
        <v>0</v>
      </c>
      <c r="D2174" s="20" t="str">
        <v>未匹配</v>
      </c>
      <c r="E2174" s="20">
        <v>0</v>
      </c>
    </row>
    <row r="2175" spans="1:5">
      <c r="A2175" s="20" t="str">
        <v>00:00:00</v>
      </c>
      <c r="B2175" s="19">
        <v>0</v>
      </c>
      <c r="C2175" s="21">
        <v>0</v>
      </c>
      <c r="D2175" s="20" t="str">
        <v>未匹配</v>
      </c>
      <c r="E2175" s="20">
        <v>0</v>
      </c>
    </row>
    <row r="2176" spans="1:5">
      <c r="A2176" s="20" t="str">
        <v>00:00:00</v>
      </c>
      <c r="B2176" s="19">
        <v>0</v>
      </c>
      <c r="C2176" s="21">
        <v>0</v>
      </c>
      <c r="D2176" s="20" t="str">
        <v>未匹配</v>
      </c>
      <c r="E2176" s="20">
        <v>0</v>
      </c>
    </row>
    <row r="2177" spans="1:5">
      <c r="A2177" s="20" t="str">
        <v>00:00:00</v>
      </c>
      <c r="B2177" s="19">
        <v>0</v>
      </c>
      <c r="C2177" s="21">
        <v>0</v>
      </c>
      <c r="D2177" s="20" t="str">
        <v>未匹配</v>
      </c>
      <c r="E2177" s="20">
        <v>0</v>
      </c>
    </row>
    <row r="2178" spans="1:5">
      <c r="A2178" s="20" t="str">
        <v>00:00:00</v>
      </c>
      <c r="B2178" s="19">
        <v>0</v>
      </c>
      <c r="C2178" s="21">
        <v>0</v>
      </c>
      <c r="D2178" s="20" t="str">
        <v>未匹配</v>
      </c>
      <c r="E2178" s="20">
        <v>0</v>
      </c>
    </row>
    <row r="2179" spans="1:5">
      <c r="A2179" s="20" t="str">
        <v>00:00:00</v>
      </c>
      <c r="B2179" s="19">
        <v>0</v>
      </c>
      <c r="C2179" s="21">
        <v>0</v>
      </c>
      <c r="D2179" s="20" t="str">
        <v>未匹配</v>
      </c>
      <c r="E2179" s="20">
        <v>0</v>
      </c>
    </row>
    <row r="2180" spans="1:5">
      <c r="A2180" s="20" t="str">
        <v>00:00:00</v>
      </c>
      <c r="B2180" s="19">
        <v>0</v>
      </c>
      <c r="C2180" s="21">
        <v>0</v>
      </c>
      <c r="D2180" s="20" t="str">
        <v>未匹配</v>
      </c>
      <c r="E2180" s="20">
        <v>0</v>
      </c>
    </row>
    <row r="2181" spans="1:5">
      <c r="A2181" s="20" t="str">
        <v>00:00:00</v>
      </c>
      <c r="B2181" s="19">
        <v>0</v>
      </c>
      <c r="C2181" s="21">
        <v>0</v>
      </c>
      <c r="D2181" s="20" t="str">
        <v>未匹配</v>
      </c>
      <c r="E2181" s="20">
        <v>0</v>
      </c>
    </row>
    <row r="2182" spans="1:5">
      <c r="A2182" s="20" t="str">
        <v>00:00:00</v>
      </c>
      <c r="B2182" s="19">
        <v>0</v>
      </c>
      <c r="C2182" s="21">
        <v>0</v>
      </c>
      <c r="D2182" s="20" t="str">
        <v>未匹配</v>
      </c>
      <c r="E2182" s="20">
        <v>0</v>
      </c>
    </row>
    <row r="2183" spans="1:5">
      <c r="A2183" s="20" t="str">
        <v>00:00:00</v>
      </c>
      <c r="B2183" s="19">
        <v>0</v>
      </c>
      <c r="C2183" s="21">
        <v>0</v>
      </c>
      <c r="D2183" s="20" t="str">
        <v>未匹配</v>
      </c>
      <c r="E2183" s="20">
        <v>0</v>
      </c>
    </row>
    <row r="2184" spans="1:5">
      <c r="A2184" s="20" t="str">
        <v>00:00:00</v>
      </c>
      <c r="B2184" s="19">
        <v>0</v>
      </c>
      <c r="C2184" s="21">
        <v>0</v>
      </c>
      <c r="D2184" s="20" t="str">
        <v>未匹配</v>
      </c>
      <c r="E2184" s="20">
        <v>0</v>
      </c>
    </row>
    <row r="2185" spans="1:5">
      <c r="A2185" s="20" t="str">
        <v>00:00:00</v>
      </c>
      <c r="B2185" s="19">
        <v>0</v>
      </c>
      <c r="C2185" s="21">
        <v>0</v>
      </c>
      <c r="D2185" s="20" t="str">
        <v>未匹配</v>
      </c>
      <c r="E2185" s="20">
        <v>0</v>
      </c>
    </row>
    <row r="2186" spans="1:5">
      <c r="A2186" s="20" t="str">
        <v>00:00:00</v>
      </c>
      <c r="B2186" s="19">
        <v>0</v>
      </c>
      <c r="C2186" s="21">
        <v>0</v>
      </c>
      <c r="D2186" s="20" t="str">
        <v>未匹配</v>
      </c>
      <c r="E2186" s="20">
        <v>0</v>
      </c>
    </row>
    <row r="2187" spans="1:5">
      <c r="A2187" s="20" t="str">
        <v>00:00:00</v>
      </c>
      <c r="B2187" s="19">
        <v>0</v>
      </c>
      <c r="C2187" s="21">
        <v>0</v>
      </c>
      <c r="D2187" s="20" t="str">
        <v>未匹配</v>
      </c>
      <c r="E2187" s="20">
        <v>0</v>
      </c>
    </row>
    <row r="2188" spans="1:5">
      <c r="A2188" s="20" t="str">
        <v>00:00:00</v>
      </c>
      <c r="B2188" s="19">
        <v>0</v>
      </c>
      <c r="C2188" s="21">
        <v>0</v>
      </c>
      <c r="D2188" s="20" t="str">
        <v>未匹配</v>
      </c>
      <c r="E2188" s="20">
        <v>0</v>
      </c>
    </row>
    <row r="2189" spans="1:5">
      <c r="A2189" s="20" t="str">
        <v>00:00:00</v>
      </c>
      <c r="B2189" s="19">
        <v>0</v>
      </c>
      <c r="C2189" s="21">
        <v>0</v>
      </c>
      <c r="D2189" s="20" t="str">
        <v>未匹配</v>
      </c>
      <c r="E2189" s="20">
        <v>0</v>
      </c>
    </row>
    <row r="2190" spans="1:5">
      <c r="A2190" s="20" t="str">
        <v>00:00:00</v>
      </c>
      <c r="B2190" s="19">
        <v>0</v>
      </c>
      <c r="C2190" s="21">
        <v>0</v>
      </c>
      <c r="D2190" s="20" t="str">
        <v>未匹配</v>
      </c>
      <c r="E2190" s="20">
        <v>0</v>
      </c>
    </row>
    <row r="2191" spans="1:5">
      <c r="A2191" s="20" t="str">
        <v>00:00:00</v>
      </c>
      <c r="B2191" s="19">
        <v>0</v>
      </c>
      <c r="C2191" s="21">
        <v>0</v>
      </c>
      <c r="D2191" s="20" t="str">
        <v>未匹配</v>
      </c>
      <c r="E2191" s="20">
        <v>0</v>
      </c>
    </row>
    <row r="2192" spans="1:5">
      <c r="A2192" s="20" t="str">
        <v>00:00:00</v>
      </c>
      <c r="B2192" s="19">
        <v>0</v>
      </c>
      <c r="C2192" s="21">
        <v>0</v>
      </c>
      <c r="D2192" s="20" t="str">
        <v>未匹配</v>
      </c>
      <c r="E2192" s="20">
        <v>0</v>
      </c>
    </row>
    <row r="2193" spans="1:5">
      <c r="A2193" s="20" t="str">
        <v>00:00:00</v>
      </c>
      <c r="B2193" s="19">
        <v>0</v>
      </c>
      <c r="C2193" s="21">
        <v>0</v>
      </c>
      <c r="D2193" s="20" t="str">
        <v>未匹配</v>
      </c>
      <c r="E2193" s="20">
        <v>0</v>
      </c>
    </row>
    <row r="2194" spans="1:5">
      <c r="A2194" s="20" t="str">
        <v>00:00:00</v>
      </c>
      <c r="B2194" s="19">
        <v>0</v>
      </c>
      <c r="C2194" s="21">
        <v>0</v>
      </c>
      <c r="D2194" s="20" t="str">
        <v>未匹配</v>
      </c>
      <c r="E2194" s="20">
        <v>0</v>
      </c>
    </row>
    <row r="2195" spans="1:5">
      <c r="A2195" s="20" t="str">
        <v>00:00:00</v>
      </c>
      <c r="B2195" s="19">
        <v>0</v>
      </c>
      <c r="C2195" s="21">
        <v>0</v>
      </c>
      <c r="D2195" s="20" t="str">
        <v>未匹配</v>
      </c>
      <c r="E2195" s="20">
        <v>0</v>
      </c>
    </row>
    <row r="2196" spans="1:5">
      <c r="A2196" s="20" t="str">
        <v>00:00:00</v>
      </c>
      <c r="B2196" s="19">
        <v>0</v>
      </c>
      <c r="C2196" s="21">
        <v>0</v>
      </c>
      <c r="D2196" s="20" t="str">
        <v>未匹配</v>
      </c>
      <c r="E2196" s="20">
        <v>0</v>
      </c>
    </row>
    <row r="2197" spans="1:5">
      <c r="A2197" s="20" t="str">
        <v>00:00:00</v>
      </c>
      <c r="B2197" s="19">
        <v>0</v>
      </c>
      <c r="C2197" s="21">
        <v>0</v>
      </c>
      <c r="D2197" s="20" t="str">
        <v>未匹配</v>
      </c>
      <c r="E2197" s="20">
        <v>0</v>
      </c>
    </row>
    <row r="2198" spans="1:5">
      <c r="A2198" s="20" t="str">
        <v>00:00:00</v>
      </c>
      <c r="B2198" s="19">
        <v>0</v>
      </c>
      <c r="C2198" s="21">
        <v>0</v>
      </c>
      <c r="D2198" s="20" t="str">
        <v>未匹配</v>
      </c>
      <c r="E2198" s="20">
        <v>0</v>
      </c>
    </row>
    <row r="2199" spans="1:5">
      <c r="A2199" s="20" t="str">
        <v>00:00:00</v>
      </c>
      <c r="B2199" s="19">
        <v>0</v>
      </c>
      <c r="C2199" s="21">
        <v>0</v>
      </c>
      <c r="D2199" s="20" t="str">
        <v>未匹配</v>
      </c>
      <c r="E2199" s="20">
        <v>0</v>
      </c>
    </row>
    <row r="2200" spans="1:5">
      <c r="A2200" s="20" t="str">
        <v>00:00:00</v>
      </c>
      <c r="B2200" s="19">
        <v>0</v>
      </c>
      <c r="C2200" s="21">
        <v>0</v>
      </c>
      <c r="D2200" s="20" t="str">
        <v>未匹配</v>
      </c>
      <c r="E2200" s="20">
        <v>0</v>
      </c>
    </row>
    <row r="2201" spans="1:5">
      <c r="A2201" s="20" t="str">
        <v>00:00:00</v>
      </c>
      <c r="B2201" s="19">
        <v>0</v>
      </c>
      <c r="C2201" s="21">
        <v>0</v>
      </c>
      <c r="D2201" s="20" t="str">
        <v>未匹配</v>
      </c>
      <c r="E2201" s="20">
        <v>0</v>
      </c>
    </row>
    <row r="2202" spans="1:5">
      <c r="A2202" s="20" t="str">
        <v>00:00:00</v>
      </c>
      <c r="B2202" s="19">
        <v>0</v>
      </c>
      <c r="C2202" s="21">
        <v>0</v>
      </c>
      <c r="D2202" s="20" t="str">
        <v>未匹配</v>
      </c>
      <c r="E2202" s="20">
        <v>0</v>
      </c>
    </row>
    <row r="2203" spans="1:5">
      <c r="A2203" s="20" t="str">
        <v>00:00:00</v>
      </c>
      <c r="B2203" s="19">
        <v>0</v>
      </c>
      <c r="C2203" s="21">
        <v>0</v>
      </c>
      <c r="D2203" s="20" t="str">
        <v>未匹配</v>
      </c>
      <c r="E2203" s="20">
        <v>0</v>
      </c>
    </row>
    <row r="2204" spans="1:5">
      <c r="A2204" s="20" t="str">
        <v>00:00:00</v>
      </c>
      <c r="B2204" s="19">
        <v>0</v>
      </c>
      <c r="C2204" s="21">
        <v>0</v>
      </c>
      <c r="D2204" s="20" t="str">
        <v>未匹配</v>
      </c>
      <c r="E2204" s="20">
        <v>0</v>
      </c>
    </row>
    <row r="2205" spans="1:5">
      <c r="A2205" s="20" t="str">
        <v>00:00:00</v>
      </c>
      <c r="B2205" s="19">
        <v>0</v>
      </c>
      <c r="C2205" s="21">
        <v>0</v>
      </c>
      <c r="D2205" s="20" t="str">
        <v>未匹配</v>
      </c>
      <c r="E2205" s="20">
        <v>0</v>
      </c>
    </row>
    <row r="2206" spans="1:5">
      <c r="A2206" s="20" t="str">
        <v>00:00:00</v>
      </c>
      <c r="B2206" s="19">
        <v>0</v>
      </c>
      <c r="C2206" s="21">
        <v>0</v>
      </c>
      <c r="D2206" s="20" t="str">
        <v>未匹配</v>
      </c>
      <c r="E2206" s="20">
        <v>0</v>
      </c>
    </row>
    <row r="2207" spans="1:5">
      <c r="A2207" s="20" t="str">
        <v>00:00:00</v>
      </c>
      <c r="B2207" s="19">
        <v>0</v>
      </c>
      <c r="C2207" s="21">
        <v>0</v>
      </c>
      <c r="D2207" s="20" t="str">
        <v>未匹配</v>
      </c>
      <c r="E2207" s="20">
        <v>0</v>
      </c>
    </row>
    <row r="2208" spans="1:5">
      <c r="A2208" s="20" t="str">
        <v>00:00:00</v>
      </c>
      <c r="B2208" s="19">
        <v>0</v>
      </c>
      <c r="C2208" s="21">
        <v>0</v>
      </c>
      <c r="D2208" s="20" t="str">
        <v>未匹配</v>
      </c>
      <c r="E2208" s="20">
        <v>0</v>
      </c>
    </row>
    <row r="2209" spans="1:5">
      <c r="A2209" s="20" t="str">
        <v>00:00:00</v>
      </c>
      <c r="B2209" s="19">
        <v>0</v>
      </c>
      <c r="C2209" s="21">
        <v>0</v>
      </c>
      <c r="D2209" s="20" t="str">
        <v>未匹配</v>
      </c>
      <c r="E2209" s="20">
        <v>0</v>
      </c>
    </row>
    <row r="2210" spans="1:5">
      <c r="A2210" s="20" t="str">
        <v>00:00:00</v>
      </c>
      <c r="B2210" s="19">
        <v>0</v>
      </c>
      <c r="C2210" s="21">
        <v>0</v>
      </c>
      <c r="D2210" s="20" t="str">
        <v>未匹配</v>
      </c>
      <c r="E2210" s="20">
        <v>0</v>
      </c>
    </row>
    <row r="2211" spans="1:5">
      <c r="A2211" s="20" t="str">
        <v>00:00:00</v>
      </c>
      <c r="B2211" s="19">
        <v>0</v>
      </c>
      <c r="C2211" s="21">
        <v>0</v>
      </c>
      <c r="D2211" s="20" t="str">
        <v>未匹配</v>
      </c>
      <c r="E2211" s="20">
        <v>0</v>
      </c>
    </row>
    <row r="2212" spans="1:5">
      <c r="A2212" s="20" t="str">
        <v>00:00:00</v>
      </c>
      <c r="B2212" s="19">
        <v>0</v>
      </c>
      <c r="C2212" s="21">
        <v>0</v>
      </c>
      <c r="D2212" s="20" t="str">
        <v>未匹配</v>
      </c>
      <c r="E2212" s="20">
        <v>0</v>
      </c>
    </row>
    <row r="2213" spans="1:5">
      <c r="A2213" s="20" t="str">
        <v>00:00:00</v>
      </c>
      <c r="B2213" s="19">
        <v>0</v>
      </c>
      <c r="C2213" s="21">
        <v>0</v>
      </c>
      <c r="D2213" s="20" t="str">
        <v>未匹配</v>
      </c>
      <c r="E2213" s="20">
        <v>0</v>
      </c>
    </row>
    <row r="2214" spans="1:5">
      <c r="A2214" s="20" t="str">
        <v>00:00:00</v>
      </c>
      <c r="B2214" s="19">
        <v>0</v>
      </c>
      <c r="C2214" s="21">
        <v>0</v>
      </c>
      <c r="D2214" s="20" t="str">
        <v>未匹配</v>
      </c>
      <c r="E2214" s="20">
        <v>0</v>
      </c>
    </row>
    <row r="2215" spans="1:5">
      <c r="A2215" s="20" t="str">
        <v>00:00:00</v>
      </c>
      <c r="B2215" s="19">
        <v>0</v>
      </c>
      <c r="C2215" s="21">
        <v>0</v>
      </c>
      <c r="D2215" s="20" t="str">
        <v>未匹配</v>
      </c>
      <c r="E2215" s="20">
        <v>0</v>
      </c>
    </row>
    <row r="2216" spans="1:5">
      <c r="A2216" s="20" t="str">
        <v>00:00:00</v>
      </c>
      <c r="B2216" s="19">
        <v>0</v>
      </c>
      <c r="C2216" s="21">
        <v>0</v>
      </c>
      <c r="D2216" s="20" t="str">
        <v>未匹配</v>
      </c>
      <c r="E2216" s="20">
        <v>0</v>
      </c>
    </row>
    <row r="2217" spans="1:5">
      <c r="A2217" s="20" t="str">
        <v>00:00:00</v>
      </c>
      <c r="B2217" s="19">
        <v>0</v>
      </c>
      <c r="C2217" s="21">
        <v>0</v>
      </c>
      <c r="D2217" s="20" t="str">
        <v>未匹配</v>
      </c>
      <c r="E2217" s="20">
        <v>0</v>
      </c>
    </row>
    <row r="2218" spans="1:5">
      <c r="A2218" s="20" t="str">
        <v>00:00:00</v>
      </c>
      <c r="B2218" s="19">
        <v>0</v>
      </c>
      <c r="C2218" s="21">
        <v>0</v>
      </c>
      <c r="D2218" s="20" t="str">
        <v>未匹配</v>
      </c>
      <c r="E2218" s="20">
        <v>0</v>
      </c>
    </row>
    <row r="2219" spans="1:5">
      <c r="A2219" s="20" t="str">
        <v>00:00:00</v>
      </c>
      <c r="B2219" s="19">
        <v>0</v>
      </c>
      <c r="C2219" s="21">
        <v>0</v>
      </c>
      <c r="D2219" s="20" t="str">
        <v>未匹配</v>
      </c>
      <c r="E2219" s="20">
        <v>0</v>
      </c>
    </row>
    <row r="2220" spans="1:5">
      <c r="A2220" s="20" t="str">
        <v>00:00:00</v>
      </c>
      <c r="B2220" s="19">
        <v>0</v>
      </c>
      <c r="C2220" s="21">
        <v>0</v>
      </c>
      <c r="D2220" s="20" t="str">
        <v>未匹配</v>
      </c>
      <c r="E2220" s="20">
        <v>0</v>
      </c>
    </row>
    <row r="2221" spans="1:5">
      <c r="A2221" s="20" t="str">
        <v>00:00:00</v>
      </c>
      <c r="B2221" s="19">
        <v>0</v>
      </c>
      <c r="C2221" s="21">
        <v>0</v>
      </c>
      <c r="D2221" s="20" t="str">
        <v>未匹配</v>
      </c>
      <c r="E2221" s="20">
        <v>0</v>
      </c>
    </row>
    <row r="2222" spans="1:5">
      <c r="A2222" s="20" t="str">
        <v>00:00:00</v>
      </c>
      <c r="B2222" s="19">
        <v>0</v>
      </c>
      <c r="C2222" s="21">
        <v>0</v>
      </c>
      <c r="D2222" s="20" t="str">
        <v>未匹配</v>
      </c>
      <c r="E2222" s="20">
        <v>0</v>
      </c>
    </row>
    <row r="2223" spans="1:5">
      <c r="A2223" s="20" t="str">
        <v>00:00:00</v>
      </c>
      <c r="B2223" s="19">
        <v>0</v>
      </c>
      <c r="C2223" s="21">
        <v>0</v>
      </c>
      <c r="D2223" s="20" t="str">
        <v>未匹配</v>
      </c>
      <c r="E2223" s="20">
        <v>0</v>
      </c>
    </row>
    <row r="2224" spans="1:5">
      <c r="A2224" s="20" t="str">
        <v>00:00:00</v>
      </c>
      <c r="B2224" s="19">
        <v>0</v>
      </c>
      <c r="C2224" s="21">
        <v>0</v>
      </c>
      <c r="D2224" s="20" t="str">
        <v>未匹配</v>
      </c>
      <c r="E2224" s="20">
        <v>0</v>
      </c>
    </row>
    <row r="2225" spans="1:5">
      <c r="A2225" s="20" t="str">
        <v>00:00:00</v>
      </c>
      <c r="B2225" s="19">
        <v>0</v>
      </c>
      <c r="C2225" s="21">
        <v>0</v>
      </c>
      <c r="D2225" s="20" t="str">
        <v>未匹配</v>
      </c>
      <c r="E2225" s="20">
        <v>0</v>
      </c>
    </row>
    <row r="2226" spans="1:5">
      <c r="A2226" s="20" t="str">
        <v>00:00:00</v>
      </c>
      <c r="B2226" s="19">
        <v>0</v>
      </c>
      <c r="C2226" s="21">
        <v>0</v>
      </c>
      <c r="D2226" s="20" t="str">
        <v>未匹配</v>
      </c>
      <c r="E2226" s="20">
        <v>0</v>
      </c>
    </row>
    <row r="2227" spans="1:5">
      <c r="A2227" s="20" t="str">
        <v>00:00:00</v>
      </c>
      <c r="B2227" s="19">
        <v>0</v>
      </c>
      <c r="C2227" s="21">
        <v>0</v>
      </c>
      <c r="D2227" s="20" t="str">
        <v>未匹配</v>
      </c>
      <c r="E2227" s="20">
        <v>0</v>
      </c>
    </row>
    <row r="2228" spans="1:5">
      <c r="A2228" s="20" t="str">
        <v>00:00:00</v>
      </c>
      <c r="B2228" s="19">
        <v>0</v>
      </c>
      <c r="C2228" s="21">
        <v>0</v>
      </c>
      <c r="D2228" s="20" t="str">
        <v>未匹配</v>
      </c>
      <c r="E2228" s="20">
        <v>0</v>
      </c>
    </row>
    <row r="2229" spans="1:5">
      <c r="A2229" s="20" t="str">
        <v>00:00:00</v>
      </c>
      <c r="B2229" s="19">
        <v>0</v>
      </c>
      <c r="C2229" s="21">
        <v>0</v>
      </c>
      <c r="D2229" s="20" t="str">
        <v>未匹配</v>
      </c>
      <c r="E2229" s="20">
        <v>0</v>
      </c>
    </row>
    <row r="2230" spans="1:5">
      <c r="A2230" s="20" t="str">
        <v>00:00:00</v>
      </c>
      <c r="B2230" s="19">
        <v>0</v>
      </c>
      <c r="C2230" s="21">
        <v>0</v>
      </c>
      <c r="D2230" s="20" t="str">
        <v>未匹配</v>
      </c>
      <c r="E2230" s="20">
        <v>0</v>
      </c>
    </row>
    <row r="2231" spans="1:5">
      <c r="A2231" s="20" t="str">
        <v>00:00:00</v>
      </c>
      <c r="B2231" s="19">
        <v>0</v>
      </c>
      <c r="C2231" s="21">
        <v>0</v>
      </c>
      <c r="D2231" s="20" t="str">
        <v>未匹配</v>
      </c>
      <c r="E2231" s="20">
        <v>0</v>
      </c>
    </row>
    <row r="2232" spans="1:5">
      <c r="A2232" s="20" t="str">
        <v>00:00:00</v>
      </c>
      <c r="B2232" s="19">
        <v>0</v>
      </c>
      <c r="C2232" s="21">
        <v>0</v>
      </c>
      <c r="D2232" s="20" t="str">
        <v>未匹配</v>
      </c>
      <c r="E2232" s="20">
        <v>0</v>
      </c>
    </row>
    <row r="2233" spans="1:5">
      <c r="A2233" s="20" t="str">
        <v>00:00:00</v>
      </c>
      <c r="B2233" s="19">
        <v>0</v>
      </c>
      <c r="C2233" s="21">
        <v>0</v>
      </c>
      <c r="D2233" s="20" t="str">
        <v>未匹配</v>
      </c>
      <c r="E2233" s="20">
        <v>0</v>
      </c>
    </row>
    <row r="2234" spans="1:5">
      <c r="A2234" s="20" t="str">
        <v>00:00:00</v>
      </c>
      <c r="B2234" s="19">
        <v>0</v>
      </c>
      <c r="C2234" s="21">
        <v>0</v>
      </c>
      <c r="D2234" s="20" t="str">
        <v>未匹配</v>
      </c>
      <c r="E2234" s="20">
        <v>0</v>
      </c>
    </row>
    <row r="2235" spans="1:5">
      <c r="A2235" s="20" t="str">
        <v>00:00:00</v>
      </c>
      <c r="B2235" s="19">
        <v>0</v>
      </c>
      <c r="C2235" s="21">
        <v>0</v>
      </c>
      <c r="D2235" s="20" t="str">
        <v>未匹配</v>
      </c>
      <c r="E2235" s="20">
        <v>0</v>
      </c>
    </row>
    <row r="2236" spans="1:5">
      <c r="A2236" s="20" t="str">
        <v>00:00:00</v>
      </c>
      <c r="B2236" s="19">
        <v>0</v>
      </c>
      <c r="C2236" s="21">
        <v>0</v>
      </c>
      <c r="D2236" s="20" t="str">
        <v>未匹配</v>
      </c>
      <c r="E2236" s="20">
        <v>0</v>
      </c>
    </row>
    <row r="2237" spans="1:5">
      <c r="A2237" s="20" t="str">
        <v>00:00:00</v>
      </c>
      <c r="B2237" s="19">
        <v>0</v>
      </c>
      <c r="C2237" s="21">
        <v>0</v>
      </c>
      <c r="D2237" s="20" t="str">
        <v>未匹配</v>
      </c>
      <c r="E2237" s="20">
        <v>0</v>
      </c>
    </row>
    <row r="2238" spans="1:5">
      <c r="A2238" s="20" t="str">
        <v>00:00:00</v>
      </c>
      <c r="B2238" s="19">
        <v>0</v>
      </c>
      <c r="C2238" s="21">
        <v>0</v>
      </c>
      <c r="D2238" s="20" t="str">
        <v>未匹配</v>
      </c>
      <c r="E2238" s="20">
        <v>0</v>
      </c>
    </row>
    <row r="2239" spans="1:5">
      <c r="A2239" s="20" t="str">
        <v>00:00:00</v>
      </c>
      <c r="B2239" s="19">
        <v>0</v>
      </c>
      <c r="C2239" s="21">
        <v>0</v>
      </c>
      <c r="D2239" s="20" t="str">
        <v>未匹配</v>
      </c>
      <c r="E2239" s="20">
        <v>0</v>
      </c>
    </row>
    <row r="2240" spans="1:5">
      <c r="A2240" s="20" t="str">
        <v>00:00:00</v>
      </c>
      <c r="B2240" s="19">
        <v>0</v>
      </c>
      <c r="C2240" s="21">
        <v>0</v>
      </c>
      <c r="D2240" s="20" t="str">
        <v>未匹配</v>
      </c>
      <c r="E2240" s="20">
        <v>0</v>
      </c>
    </row>
    <row r="2241" spans="1:5">
      <c r="A2241" s="20" t="str">
        <v>00:00:00</v>
      </c>
      <c r="B2241" s="19">
        <v>0</v>
      </c>
      <c r="C2241" s="21">
        <v>0</v>
      </c>
      <c r="D2241" s="20" t="str">
        <v>未匹配</v>
      </c>
      <c r="E2241" s="20">
        <v>0</v>
      </c>
    </row>
    <row r="2242" spans="1:5">
      <c r="A2242" s="20" t="str">
        <v>00:00:00</v>
      </c>
      <c r="B2242" s="19">
        <v>0</v>
      </c>
      <c r="C2242" s="21">
        <v>0</v>
      </c>
      <c r="D2242" s="20" t="str">
        <v>未匹配</v>
      </c>
      <c r="E2242" s="20">
        <v>0</v>
      </c>
    </row>
    <row r="2243" spans="1:5">
      <c r="A2243" s="20" t="str">
        <v>00:00:00</v>
      </c>
      <c r="B2243" s="19">
        <v>0</v>
      </c>
      <c r="C2243" s="21">
        <v>0</v>
      </c>
      <c r="D2243" s="20" t="str">
        <v>未匹配</v>
      </c>
      <c r="E2243" s="20">
        <v>0</v>
      </c>
    </row>
    <row r="2244" spans="1:5">
      <c r="A2244" s="20" t="str">
        <v>00:00:00</v>
      </c>
      <c r="B2244" s="19">
        <v>0</v>
      </c>
      <c r="C2244" s="21">
        <v>0</v>
      </c>
      <c r="D2244" s="20" t="str">
        <v>未匹配</v>
      </c>
      <c r="E2244" s="20">
        <v>0</v>
      </c>
    </row>
    <row r="2245" spans="1:5">
      <c r="A2245" s="20" t="str">
        <v>00:00:00</v>
      </c>
      <c r="B2245" s="19">
        <v>0</v>
      </c>
      <c r="C2245" s="21">
        <v>0</v>
      </c>
      <c r="D2245" s="20" t="str">
        <v>未匹配</v>
      </c>
      <c r="E2245" s="20">
        <v>0</v>
      </c>
    </row>
    <row r="2246" spans="1:5">
      <c r="A2246" s="20" t="str">
        <v>00:00:00</v>
      </c>
      <c r="B2246" s="19">
        <v>0</v>
      </c>
      <c r="C2246" s="21">
        <v>0</v>
      </c>
      <c r="D2246" s="20" t="str">
        <v>未匹配</v>
      </c>
      <c r="E2246" s="20">
        <v>0</v>
      </c>
    </row>
    <row r="2247" spans="1:5">
      <c r="A2247" s="20" t="str">
        <v>00:00:00</v>
      </c>
      <c r="B2247" s="19">
        <v>0</v>
      </c>
      <c r="C2247" s="21">
        <v>0</v>
      </c>
      <c r="D2247" s="20" t="str">
        <v>未匹配</v>
      </c>
      <c r="E2247" s="20">
        <v>0</v>
      </c>
    </row>
    <row r="2248" spans="1:5">
      <c r="A2248" s="20" t="str">
        <v>00:00:00</v>
      </c>
      <c r="B2248" s="19">
        <v>0</v>
      </c>
      <c r="C2248" s="21">
        <v>0</v>
      </c>
      <c r="D2248" s="20" t="str">
        <v>未匹配</v>
      </c>
      <c r="E2248" s="20">
        <v>0</v>
      </c>
    </row>
    <row r="2249" spans="1:5">
      <c r="A2249" s="20" t="str">
        <v>00:00:00</v>
      </c>
      <c r="B2249" s="19">
        <v>0</v>
      </c>
      <c r="C2249" s="21">
        <v>0</v>
      </c>
      <c r="D2249" s="20" t="str">
        <v>未匹配</v>
      </c>
      <c r="E2249" s="20">
        <v>0</v>
      </c>
    </row>
    <row r="2250" spans="1:5">
      <c r="A2250" s="20" t="str">
        <v>00:00:00</v>
      </c>
      <c r="B2250" s="19">
        <v>0</v>
      </c>
      <c r="C2250" s="21">
        <v>0</v>
      </c>
      <c r="D2250" s="20" t="str">
        <v>未匹配</v>
      </c>
      <c r="E2250" s="20">
        <v>0</v>
      </c>
    </row>
    <row r="2251" spans="1:5">
      <c r="A2251" s="20" t="str">
        <v>00:00:00</v>
      </c>
      <c r="B2251" s="19">
        <v>0</v>
      </c>
      <c r="C2251" s="21">
        <v>0</v>
      </c>
      <c r="D2251" s="20" t="str">
        <v>未匹配</v>
      </c>
      <c r="E2251" s="20">
        <v>0</v>
      </c>
    </row>
    <row r="2252" spans="1:5">
      <c r="A2252" s="20" t="str">
        <v>00:00:00</v>
      </c>
      <c r="B2252" s="19">
        <v>0</v>
      </c>
      <c r="C2252" s="21">
        <v>0</v>
      </c>
      <c r="D2252" s="20" t="str">
        <v>未匹配</v>
      </c>
      <c r="E2252" s="20">
        <v>0</v>
      </c>
    </row>
    <row r="2253" spans="1:5">
      <c r="A2253" s="20" t="str">
        <v>00:00:00</v>
      </c>
      <c r="B2253" s="19">
        <v>0</v>
      </c>
      <c r="C2253" s="21">
        <v>0</v>
      </c>
      <c r="D2253" s="20" t="str">
        <v>未匹配</v>
      </c>
      <c r="E2253" s="20">
        <v>0</v>
      </c>
    </row>
    <row r="2254" spans="1:5">
      <c r="A2254" s="20" t="str">
        <v>00:00:00</v>
      </c>
      <c r="B2254" s="19">
        <v>0</v>
      </c>
      <c r="C2254" s="21">
        <v>0</v>
      </c>
      <c r="D2254" s="20" t="str">
        <v>未匹配</v>
      </c>
      <c r="E2254" s="20">
        <v>0</v>
      </c>
    </row>
    <row r="2255" spans="1:5">
      <c r="A2255" s="20" t="str">
        <v>00:00:00</v>
      </c>
      <c r="B2255" s="19">
        <v>0</v>
      </c>
      <c r="C2255" s="21">
        <v>0</v>
      </c>
      <c r="D2255" s="20" t="str">
        <v>未匹配</v>
      </c>
      <c r="E2255" s="20">
        <v>0</v>
      </c>
    </row>
    <row r="2256" spans="1:5">
      <c r="A2256" s="20" t="str">
        <v>00:00:00</v>
      </c>
      <c r="B2256" s="19">
        <v>0</v>
      </c>
      <c r="C2256" s="21">
        <v>0</v>
      </c>
      <c r="D2256" s="20" t="str">
        <v>未匹配</v>
      </c>
      <c r="E2256" s="20">
        <v>0</v>
      </c>
    </row>
    <row r="2257" spans="1:5">
      <c r="A2257" s="20" t="str">
        <v>00:00:00</v>
      </c>
      <c r="B2257" s="19">
        <v>0</v>
      </c>
      <c r="C2257" s="21">
        <v>0</v>
      </c>
      <c r="D2257" s="20" t="str">
        <v>未匹配</v>
      </c>
      <c r="E2257" s="20">
        <v>0</v>
      </c>
    </row>
    <row r="2258" spans="1:5">
      <c r="A2258" s="20" t="str">
        <v>00:00:00</v>
      </c>
      <c r="B2258" s="19">
        <v>0</v>
      </c>
      <c r="C2258" s="21">
        <v>0</v>
      </c>
      <c r="D2258" s="20" t="str">
        <v>未匹配</v>
      </c>
      <c r="E2258" s="20">
        <v>0</v>
      </c>
    </row>
    <row r="2259" spans="1:5">
      <c r="A2259" s="20" t="str">
        <v>00:00:00</v>
      </c>
      <c r="B2259" s="19">
        <v>0</v>
      </c>
      <c r="C2259" s="21">
        <v>0</v>
      </c>
      <c r="D2259" s="20" t="str">
        <v>未匹配</v>
      </c>
      <c r="E2259" s="20">
        <v>0</v>
      </c>
    </row>
    <row r="2260" spans="1:5">
      <c r="A2260" s="20" t="str">
        <v>00:00:00</v>
      </c>
      <c r="B2260" s="19">
        <v>0</v>
      </c>
      <c r="C2260" s="21">
        <v>0</v>
      </c>
      <c r="D2260" s="20" t="str">
        <v>未匹配</v>
      </c>
      <c r="E2260" s="20">
        <v>0</v>
      </c>
    </row>
    <row r="2261" spans="1:5">
      <c r="A2261" s="20" t="str">
        <v>00:00:00</v>
      </c>
      <c r="B2261" s="19">
        <v>0</v>
      </c>
      <c r="C2261" s="21">
        <v>0</v>
      </c>
      <c r="D2261" s="20" t="str">
        <v>未匹配</v>
      </c>
      <c r="E2261" s="20">
        <v>0</v>
      </c>
    </row>
    <row r="2262" spans="1:5">
      <c r="A2262" s="20" t="str">
        <v>00:00:00</v>
      </c>
      <c r="B2262" s="19">
        <v>0</v>
      </c>
      <c r="C2262" s="21">
        <v>0</v>
      </c>
      <c r="D2262" s="20" t="str">
        <v>未匹配</v>
      </c>
      <c r="E2262" s="20">
        <v>0</v>
      </c>
    </row>
    <row r="2263" spans="1:5">
      <c r="A2263" s="20" t="str">
        <v>00:00:00</v>
      </c>
      <c r="B2263" s="19">
        <v>0</v>
      </c>
      <c r="C2263" s="21">
        <v>0</v>
      </c>
      <c r="D2263" s="20" t="str">
        <v>未匹配</v>
      </c>
      <c r="E2263" s="20">
        <v>0</v>
      </c>
    </row>
    <row r="2264" spans="1:5">
      <c r="A2264" s="20" t="str">
        <v>00:00:00</v>
      </c>
      <c r="B2264" s="19">
        <v>0</v>
      </c>
      <c r="C2264" s="21">
        <v>0</v>
      </c>
      <c r="D2264" s="20" t="str">
        <v>未匹配</v>
      </c>
      <c r="E2264" s="20">
        <v>0</v>
      </c>
    </row>
    <row r="2265" spans="1:5">
      <c r="A2265" s="20" t="str">
        <v>00:00:00</v>
      </c>
      <c r="B2265" s="19">
        <v>0</v>
      </c>
      <c r="C2265" s="21">
        <v>0</v>
      </c>
      <c r="D2265" s="20" t="str">
        <v>未匹配</v>
      </c>
      <c r="E2265" s="20">
        <v>0</v>
      </c>
    </row>
    <row r="2266" spans="1:5">
      <c r="A2266" s="20" t="str">
        <v>00:00:00</v>
      </c>
      <c r="B2266" s="19">
        <v>0</v>
      </c>
      <c r="C2266" s="21">
        <v>0</v>
      </c>
      <c r="D2266" s="20" t="str">
        <v>未匹配</v>
      </c>
      <c r="E2266" s="20">
        <v>0</v>
      </c>
    </row>
    <row r="2267" spans="1:5">
      <c r="A2267" s="20" t="str">
        <v>00:00:00</v>
      </c>
      <c r="B2267" s="19">
        <v>0</v>
      </c>
      <c r="C2267" s="21">
        <v>0</v>
      </c>
      <c r="D2267" s="20" t="str">
        <v>未匹配</v>
      </c>
      <c r="E2267" s="20">
        <v>0</v>
      </c>
    </row>
    <row r="2268" spans="1:5">
      <c r="A2268" s="20" t="str">
        <v>00:00:00</v>
      </c>
      <c r="B2268" s="19">
        <v>0</v>
      </c>
      <c r="C2268" s="21">
        <v>0</v>
      </c>
      <c r="D2268" s="20" t="str">
        <v>未匹配</v>
      </c>
      <c r="E2268" s="20">
        <v>0</v>
      </c>
    </row>
    <row r="2269" spans="1:5">
      <c r="A2269" s="20" t="str">
        <v>00:00:00</v>
      </c>
      <c r="B2269" s="19">
        <v>0</v>
      </c>
      <c r="C2269" s="21">
        <v>0</v>
      </c>
      <c r="D2269" s="20" t="str">
        <v>未匹配</v>
      </c>
      <c r="E2269" s="20">
        <v>0</v>
      </c>
    </row>
    <row r="2270" spans="1:5">
      <c r="A2270" s="20" t="str">
        <v>00:00:00</v>
      </c>
      <c r="B2270" s="19">
        <v>0</v>
      </c>
      <c r="C2270" s="21">
        <v>0</v>
      </c>
      <c r="D2270" s="20" t="str">
        <v>未匹配</v>
      </c>
      <c r="E2270" s="20">
        <v>0</v>
      </c>
    </row>
    <row r="2271" spans="1:5">
      <c r="A2271" s="20" t="str">
        <v>00:00:00</v>
      </c>
      <c r="B2271" s="19">
        <v>0</v>
      </c>
      <c r="C2271" s="21">
        <v>0</v>
      </c>
      <c r="D2271" s="20" t="str">
        <v>未匹配</v>
      </c>
      <c r="E2271" s="20">
        <v>0</v>
      </c>
    </row>
    <row r="2272" spans="1:5">
      <c r="A2272" s="20" t="str">
        <v>00:00:00</v>
      </c>
      <c r="B2272" s="19">
        <v>0</v>
      </c>
      <c r="C2272" s="21">
        <v>0</v>
      </c>
      <c r="D2272" s="20" t="str">
        <v>未匹配</v>
      </c>
      <c r="E2272" s="20">
        <v>0</v>
      </c>
    </row>
    <row r="2273" spans="1:5">
      <c r="A2273" s="20" t="str">
        <v>00:00:00</v>
      </c>
      <c r="B2273" s="19">
        <v>0</v>
      </c>
      <c r="C2273" s="21">
        <v>0</v>
      </c>
      <c r="D2273" s="20" t="str">
        <v>未匹配</v>
      </c>
      <c r="E2273" s="20">
        <v>0</v>
      </c>
    </row>
    <row r="2274" spans="1:5">
      <c r="A2274" s="20" t="str">
        <v>00:00:00</v>
      </c>
      <c r="B2274" s="19">
        <v>0</v>
      </c>
      <c r="C2274" s="21">
        <v>0</v>
      </c>
      <c r="D2274" s="20" t="str">
        <v>未匹配</v>
      </c>
      <c r="E2274" s="20">
        <v>0</v>
      </c>
    </row>
    <row r="2275" spans="1:5">
      <c r="A2275" s="20" t="str">
        <v>00:00:00</v>
      </c>
      <c r="B2275" s="19">
        <v>0</v>
      </c>
      <c r="C2275" s="21">
        <v>0</v>
      </c>
      <c r="D2275" s="20" t="str">
        <v>未匹配</v>
      </c>
      <c r="E2275" s="20">
        <v>0</v>
      </c>
    </row>
    <row r="2276" spans="1:5">
      <c r="A2276" s="20" t="str">
        <v>00:00:00</v>
      </c>
      <c r="B2276" s="19">
        <v>0</v>
      </c>
      <c r="C2276" s="21">
        <v>0</v>
      </c>
      <c r="D2276" s="20" t="str">
        <v>未匹配</v>
      </c>
      <c r="E2276" s="20">
        <v>0</v>
      </c>
    </row>
    <row r="2277" spans="1:5">
      <c r="A2277" s="20" t="str">
        <v>00:00:00</v>
      </c>
      <c r="B2277" s="19">
        <v>0</v>
      </c>
      <c r="C2277" s="21">
        <v>0</v>
      </c>
      <c r="D2277" s="20" t="str">
        <v>未匹配</v>
      </c>
      <c r="E2277" s="20">
        <v>0</v>
      </c>
    </row>
    <row r="2278" spans="1:5">
      <c r="A2278" s="20" t="str">
        <v>00:00:00</v>
      </c>
      <c r="B2278" s="19">
        <v>0</v>
      </c>
      <c r="C2278" s="21">
        <v>0</v>
      </c>
      <c r="D2278" s="20" t="str">
        <v>未匹配</v>
      </c>
      <c r="E2278" s="20">
        <v>0</v>
      </c>
    </row>
    <row r="2279" spans="1:5">
      <c r="A2279" s="20" t="str">
        <v>00:00:00</v>
      </c>
      <c r="B2279" s="19">
        <v>0</v>
      </c>
      <c r="C2279" s="21">
        <v>0</v>
      </c>
      <c r="D2279" s="20" t="str">
        <v>未匹配</v>
      </c>
      <c r="E2279" s="20">
        <v>0</v>
      </c>
    </row>
    <row r="2280" spans="1:5">
      <c r="A2280" s="20" t="str">
        <v>00:00:00</v>
      </c>
      <c r="B2280" s="19">
        <v>0</v>
      </c>
      <c r="C2280" s="21">
        <v>0</v>
      </c>
      <c r="D2280" s="20" t="str">
        <v>未匹配</v>
      </c>
      <c r="E2280" s="20">
        <v>0</v>
      </c>
    </row>
    <row r="2281" spans="1:5">
      <c r="A2281" s="20" t="str">
        <v>00:00:00</v>
      </c>
      <c r="B2281" s="19">
        <v>0</v>
      </c>
      <c r="C2281" s="21">
        <v>0</v>
      </c>
      <c r="D2281" s="20" t="str">
        <v>未匹配</v>
      </c>
      <c r="E2281" s="20">
        <v>0</v>
      </c>
    </row>
    <row r="2282" spans="1:5">
      <c r="A2282" s="20" t="str">
        <v>00:00:00</v>
      </c>
      <c r="B2282" s="19">
        <v>0</v>
      </c>
      <c r="C2282" s="21">
        <v>0</v>
      </c>
      <c r="D2282" s="20" t="str">
        <v>未匹配</v>
      </c>
      <c r="E2282" s="20">
        <v>0</v>
      </c>
    </row>
    <row r="2283" spans="1:5">
      <c r="A2283" s="20" t="str">
        <v>00:00:00</v>
      </c>
      <c r="B2283" s="19">
        <v>0</v>
      </c>
      <c r="C2283" s="21">
        <v>0</v>
      </c>
      <c r="D2283" s="20" t="str">
        <v>未匹配</v>
      </c>
      <c r="E2283" s="20">
        <v>0</v>
      </c>
    </row>
    <row r="2284" spans="1:5">
      <c r="A2284" s="20" t="str">
        <v>00:00:00</v>
      </c>
      <c r="B2284" s="19">
        <v>0</v>
      </c>
      <c r="C2284" s="21">
        <v>0</v>
      </c>
      <c r="D2284" s="20" t="str">
        <v>未匹配</v>
      </c>
      <c r="E2284" s="20">
        <v>0</v>
      </c>
    </row>
    <row r="2285" spans="1:5">
      <c r="A2285" s="20" t="str">
        <v>00:00:00</v>
      </c>
      <c r="B2285" s="19">
        <v>0</v>
      </c>
      <c r="C2285" s="21">
        <v>0</v>
      </c>
      <c r="D2285" s="20" t="str">
        <v>未匹配</v>
      </c>
      <c r="E2285" s="20">
        <v>0</v>
      </c>
    </row>
    <row r="2286" spans="1:5">
      <c r="A2286" s="20" t="str">
        <v>00:00:00</v>
      </c>
      <c r="B2286" s="19">
        <v>0</v>
      </c>
      <c r="C2286" s="21">
        <v>0</v>
      </c>
      <c r="D2286" s="20" t="str">
        <v>未匹配</v>
      </c>
      <c r="E2286" s="20">
        <v>0</v>
      </c>
    </row>
    <row r="2287" spans="1:5">
      <c r="A2287" s="20" t="str">
        <v>00:00:00</v>
      </c>
      <c r="B2287" s="19">
        <v>0</v>
      </c>
      <c r="C2287" s="21">
        <v>0</v>
      </c>
      <c r="D2287" s="20" t="str">
        <v>未匹配</v>
      </c>
      <c r="E2287" s="20">
        <v>0</v>
      </c>
    </row>
    <row r="2288" spans="1:5">
      <c r="A2288" s="20" t="str">
        <v>00:00:00</v>
      </c>
      <c r="B2288" s="19">
        <v>0</v>
      </c>
      <c r="C2288" s="21">
        <v>0</v>
      </c>
      <c r="D2288" s="20" t="str">
        <v>未匹配</v>
      </c>
      <c r="E2288" s="20">
        <v>0</v>
      </c>
    </row>
    <row r="2289" spans="1:5">
      <c r="A2289" s="20" t="str">
        <v>00:00:00</v>
      </c>
      <c r="B2289" s="19">
        <v>0</v>
      </c>
      <c r="C2289" s="21">
        <v>0</v>
      </c>
      <c r="D2289" s="20" t="str">
        <v>未匹配</v>
      </c>
      <c r="E2289" s="20">
        <v>0</v>
      </c>
    </row>
    <row r="2290" spans="1:5">
      <c r="A2290" s="20" t="str">
        <v>00:00:00</v>
      </c>
      <c r="B2290" s="19">
        <v>0</v>
      </c>
      <c r="C2290" s="21">
        <v>0</v>
      </c>
      <c r="D2290" s="20" t="str">
        <v>未匹配</v>
      </c>
      <c r="E2290" s="20">
        <v>0</v>
      </c>
    </row>
    <row r="2291" spans="1:5">
      <c r="A2291" s="20" t="str">
        <v>00:00:00</v>
      </c>
      <c r="B2291" s="19">
        <v>0</v>
      </c>
      <c r="C2291" s="21">
        <v>0</v>
      </c>
      <c r="D2291" s="20" t="str">
        <v>未匹配</v>
      </c>
      <c r="E2291" s="20">
        <v>0</v>
      </c>
    </row>
    <row r="2292" spans="1:5">
      <c r="A2292" s="20" t="str">
        <v>00:00:00</v>
      </c>
      <c r="B2292" s="19">
        <v>0</v>
      </c>
      <c r="C2292" s="21">
        <v>0</v>
      </c>
      <c r="D2292" s="20" t="str">
        <v>未匹配</v>
      </c>
      <c r="E2292" s="20">
        <v>0</v>
      </c>
    </row>
    <row r="2293" spans="1:5">
      <c r="A2293" s="20" t="str">
        <v>00:00:00</v>
      </c>
      <c r="B2293" s="19">
        <v>0</v>
      </c>
      <c r="C2293" s="21">
        <v>0</v>
      </c>
      <c r="D2293" s="20" t="str">
        <v>未匹配</v>
      </c>
      <c r="E2293" s="20">
        <v>0</v>
      </c>
    </row>
    <row r="2294" spans="1:5">
      <c r="A2294" s="20" t="str">
        <v>00:00:00</v>
      </c>
      <c r="B2294" s="19">
        <v>0</v>
      </c>
      <c r="C2294" s="21">
        <v>0</v>
      </c>
      <c r="D2294" s="20" t="str">
        <v>未匹配</v>
      </c>
      <c r="E2294" s="20">
        <v>0</v>
      </c>
    </row>
    <row r="2295" spans="1:5">
      <c r="A2295" s="20" t="str">
        <v>00:00:00</v>
      </c>
      <c r="B2295" s="19">
        <v>0</v>
      </c>
      <c r="C2295" s="21">
        <v>0</v>
      </c>
      <c r="D2295" s="20" t="str">
        <v>未匹配</v>
      </c>
      <c r="E2295" s="20">
        <v>0</v>
      </c>
    </row>
    <row r="2296" spans="1:5">
      <c r="A2296" s="20" t="str">
        <v>00:00:00</v>
      </c>
      <c r="B2296" s="19">
        <v>0</v>
      </c>
      <c r="C2296" s="21">
        <v>0</v>
      </c>
      <c r="D2296" s="20" t="str">
        <v>未匹配</v>
      </c>
      <c r="E2296" s="20">
        <v>0</v>
      </c>
    </row>
    <row r="2297" spans="1:5">
      <c r="A2297" s="20" t="str">
        <v>00:00:00</v>
      </c>
      <c r="B2297" s="19">
        <v>0</v>
      </c>
      <c r="C2297" s="21">
        <v>0</v>
      </c>
      <c r="D2297" s="20" t="str">
        <v>未匹配</v>
      </c>
      <c r="E2297" s="20">
        <v>0</v>
      </c>
    </row>
    <row r="2298" spans="1:5">
      <c r="A2298" s="20" t="str">
        <v>00:00:00</v>
      </c>
      <c r="B2298" s="19">
        <v>0</v>
      </c>
      <c r="C2298" s="21">
        <v>0</v>
      </c>
      <c r="D2298" s="20" t="str">
        <v>未匹配</v>
      </c>
      <c r="E2298" s="20">
        <v>0</v>
      </c>
    </row>
    <row r="2299" spans="1:5">
      <c r="A2299" s="20" t="str">
        <v>00:00:00</v>
      </c>
      <c r="B2299" s="19">
        <v>0</v>
      </c>
      <c r="C2299" s="21">
        <v>0</v>
      </c>
      <c r="D2299" s="20" t="str">
        <v>未匹配</v>
      </c>
      <c r="E2299" s="20">
        <v>0</v>
      </c>
    </row>
    <row r="2300" spans="1:5">
      <c r="A2300" s="20" t="str">
        <v>00:00:00</v>
      </c>
      <c r="B2300" s="19">
        <v>0</v>
      </c>
      <c r="C2300" s="21">
        <v>0</v>
      </c>
      <c r="D2300" s="20" t="str">
        <v>未匹配</v>
      </c>
      <c r="E2300" s="20">
        <v>0</v>
      </c>
    </row>
    <row r="2301" spans="1:5">
      <c r="A2301" s="20" t="str">
        <v>00:00:00</v>
      </c>
      <c r="B2301" s="19">
        <v>0</v>
      </c>
      <c r="C2301" s="21">
        <v>0</v>
      </c>
      <c r="D2301" s="20" t="str">
        <v>未匹配</v>
      </c>
      <c r="E2301" s="20">
        <v>0</v>
      </c>
    </row>
    <row r="2302" spans="1:5">
      <c r="A2302" s="20" t="str">
        <v>00:00:00</v>
      </c>
      <c r="B2302" s="19">
        <v>0</v>
      </c>
      <c r="C2302" s="21">
        <v>0</v>
      </c>
      <c r="D2302" s="20" t="str">
        <v>未匹配</v>
      </c>
      <c r="E2302" s="20">
        <v>0</v>
      </c>
    </row>
    <row r="2303" spans="1:5">
      <c r="A2303" s="20" t="str">
        <v>00:00:00</v>
      </c>
      <c r="B2303" s="19">
        <v>0</v>
      </c>
      <c r="C2303" s="21">
        <v>0</v>
      </c>
      <c r="D2303" s="20" t="str">
        <v>未匹配</v>
      </c>
      <c r="E2303" s="20">
        <v>0</v>
      </c>
    </row>
    <row r="2304" spans="1:5">
      <c r="A2304" s="20" t="str">
        <v>00:00:00</v>
      </c>
      <c r="B2304" s="19">
        <v>0</v>
      </c>
      <c r="C2304" s="21">
        <v>0</v>
      </c>
      <c r="D2304" s="20" t="str">
        <v>未匹配</v>
      </c>
      <c r="E2304" s="20">
        <v>0</v>
      </c>
    </row>
    <row r="2305" spans="1:5">
      <c r="A2305" s="20" t="str">
        <v>00:00:00</v>
      </c>
      <c r="B2305" s="19">
        <v>0</v>
      </c>
      <c r="C2305" s="21">
        <v>0</v>
      </c>
      <c r="D2305" s="20" t="str">
        <v>未匹配</v>
      </c>
      <c r="E2305" s="20">
        <v>0</v>
      </c>
    </row>
    <row r="2306" spans="1:5">
      <c r="A2306" s="20" t="str">
        <v>00:00:00</v>
      </c>
      <c r="B2306" s="19">
        <v>0</v>
      </c>
      <c r="C2306" s="21">
        <v>0</v>
      </c>
      <c r="D2306" s="20" t="str">
        <v>未匹配</v>
      </c>
      <c r="E2306" s="20">
        <v>0</v>
      </c>
    </row>
    <row r="2307" spans="1:5">
      <c r="A2307" s="20" t="str">
        <v>00:00:00</v>
      </c>
      <c r="B2307" s="19">
        <v>0</v>
      </c>
      <c r="C2307" s="21">
        <v>0</v>
      </c>
      <c r="D2307" s="20" t="str">
        <v>未匹配</v>
      </c>
      <c r="E2307" s="20">
        <v>0</v>
      </c>
    </row>
    <row r="2308" spans="1:5">
      <c r="A2308" s="20" t="str">
        <v>00:00:00</v>
      </c>
      <c r="B2308" s="19">
        <v>0</v>
      </c>
      <c r="C2308" s="21">
        <v>0</v>
      </c>
      <c r="D2308" s="20" t="str">
        <v>未匹配</v>
      </c>
      <c r="E2308" s="20">
        <v>0</v>
      </c>
    </row>
    <row r="2309" spans="1:5">
      <c r="A2309" s="20" t="str">
        <v>00:00:00</v>
      </c>
      <c r="B2309" s="19">
        <v>0</v>
      </c>
      <c r="C2309" s="21">
        <v>0</v>
      </c>
      <c r="D2309" s="20" t="str">
        <v>未匹配</v>
      </c>
      <c r="E2309" s="20">
        <v>0</v>
      </c>
    </row>
    <row r="2310" spans="1:5">
      <c r="A2310" s="20" t="str">
        <v>00:00:00</v>
      </c>
      <c r="B2310" s="19">
        <v>0</v>
      </c>
      <c r="C2310" s="21">
        <v>0</v>
      </c>
      <c r="D2310" s="20" t="str">
        <v>未匹配</v>
      </c>
      <c r="E2310" s="20">
        <v>0</v>
      </c>
    </row>
    <row r="2311" spans="1:5">
      <c r="A2311" s="20" t="str">
        <v>00:00:00</v>
      </c>
      <c r="B2311" s="19">
        <v>0</v>
      </c>
      <c r="C2311" s="21">
        <v>0</v>
      </c>
      <c r="D2311" s="20" t="str">
        <v>未匹配</v>
      </c>
      <c r="E2311" s="20">
        <v>0</v>
      </c>
    </row>
    <row r="2312" spans="1:5">
      <c r="A2312" s="20" t="str">
        <v>00:00:00</v>
      </c>
      <c r="B2312" s="19">
        <v>0</v>
      </c>
      <c r="C2312" s="21">
        <v>0</v>
      </c>
      <c r="D2312" s="20" t="str">
        <v>未匹配</v>
      </c>
      <c r="E2312" s="20">
        <v>0</v>
      </c>
    </row>
    <row r="2313" spans="1:5">
      <c r="A2313" s="20" t="str">
        <v>00:00:00</v>
      </c>
      <c r="B2313" s="19">
        <v>0</v>
      </c>
      <c r="C2313" s="21">
        <v>0</v>
      </c>
      <c r="D2313" s="20" t="str">
        <v>未匹配</v>
      </c>
      <c r="E2313" s="20">
        <v>0</v>
      </c>
    </row>
    <row r="2314" spans="1:5">
      <c r="A2314" s="20" t="str">
        <v>00:00:00</v>
      </c>
      <c r="B2314" s="19">
        <v>0</v>
      </c>
      <c r="C2314" s="21">
        <v>0</v>
      </c>
      <c r="D2314" s="20" t="str">
        <v>未匹配</v>
      </c>
      <c r="E2314" s="20">
        <v>0</v>
      </c>
    </row>
    <row r="2315" spans="1:5">
      <c r="A2315" s="20" t="str">
        <v>00:00:00</v>
      </c>
      <c r="B2315" s="19">
        <v>0</v>
      </c>
      <c r="C2315" s="21">
        <v>0</v>
      </c>
      <c r="D2315" s="20" t="str">
        <v>未匹配</v>
      </c>
      <c r="E2315" s="20">
        <v>0</v>
      </c>
    </row>
    <row r="2316" spans="1:5">
      <c r="A2316" s="20" t="str">
        <v>00:00:00</v>
      </c>
      <c r="B2316" s="19">
        <v>0</v>
      </c>
      <c r="C2316" s="21">
        <v>0</v>
      </c>
      <c r="D2316" s="20" t="str">
        <v>未匹配</v>
      </c>
      <c r="E2316" s="20">
        <v>0</v>
      </c>
    </row>
    <row r="2317" spans="1:5">
      <c r="A2317" s="20" t="str">
        <v>00:00:00</v>
      </c>
      <c r="B2317" s="19">
        <v>0</v>
      </c>
      <c r="C2317" s="21">
        <v>0</v>
      </c>
      <c r="D2317" s="20" t="str">
        <v>未匹配</v>
      </c>
      <c r="E2317" s="20">
        <v>0</v>
      </c>
    </row>
    <row r="2318" spans="1:5">
      <c r="A2318" s="20" t="str">
        <v>00:00:00</v>
      </c>
      <c r="B2318" s="19">
        <v>0</v>
      </c>
      <c r="C2318" s="21">
        <v>0</v>
      </c>
      <c r="D2318" s="20" t="str">
        <v>未匹配</v>
      </c>
      <c r="E2318" s="20">
        <v>0</v>
      </c>
    </row>
    <row r="2319" spans="1:5">
      <c r="A2319" s="20" t="str">
        <v>00:00:00</v>
      </c>
      <c r="B2319" s="19">
        <v>0</v>
      </c>
      <c r="C2319" s="21">
        <v>0</v>
      </c>
      <c r="D2319" s="20" t="str">
        <v>未匹配</v>
      </c>
      <c r="E2319" s="20">
        <v>0</v>
      </c>
    </row>
    <row r="2320" spans="1:5">
      <c r="A2320" s="20" t="str">
        <v>00:00:00</v>
      </c>
      <c r="B2320" s="19">
        <v>0</v>
      </c>
      <c r="C2320" s="21">
        <v>0</v>
      </c>
      <c r="D2320" s="20" t="str">
        <v>未匹配</v>
      </c>
      <c r="E2320" s="20">
        <v>0</v>
      </c>
    </row>
    <row r="2321" spans="1:5">
      <c r="A2321" s="20" t="str">
        <v>00:00:00</v>
      </c>
      <c r="B2321" s="19">
        <v>0</v>
      </c>
      <c r="C2321" s="21">
        <v>0</v>
      </c>
      <c r="D2321" s="20" t="str">
        <v>未匹配</v>
      </c>
      <c r="E2321" s="20">
        <v>0</v>
      </c>
    </row>
    <row r="2322" spans="1:5">
      <c r="A2322" s="20" t="str">
        <v>00:00:00</v>
      </c>
      <c r="B2322" s="19">
        <v>0</v>
      </c>
      <c r="C2322" s="21">
        <v>0</v>
      </c>
      <c r="D2322" s="20" t="str">
        <v>未匹配</v>
      </c>
      <c r="E2322" s="20">
        <v>0</v>
      </c>
    </row>
    <row r="2323" spans="1:5">
      <c r="A2323" s="20" t="str">
        <v>00:00:00</v>
      </c>
      <c r="B2323" s="19">
        <v>0</v>
      </c>
      <c r="C2323" s="21">
        <v>0</v>
      </c>
      <c r="D2323" s="20" t="str">
        <v>未匹配</v>
      </c>
      <c r="E2323" s="20">
        <v>0</v>
      </c>
    </row>
    <row r="2324" spans="1:5">
      <c r="A2324" s="20" t="str">
        <v>00:00:00</v>
      </c>
      <c r="B2324" s="19">
        <v>0</v>
      </c>
      <c r="C2324" s="21">
        <v>0</v>
      </c>
      <c r="D2324" s="20" t="str">
        <v>未匹配</v>
      </c>
      <c r="E2324" s="20">
        <v>0</v>
      </c>
    </row>
    <row r="2325" spans="1:5">
      <c r="A2325" s="20" t="str">
        <v>00:00:00</v>
      </c>
      <c r="B2325" s="19">
        <v>0</v>
      </c>
      <c r="C2325" s="21">
        <v>0</v>
      </c>
      <c r="D2325" s="20" t="str">
        <v>未匹配</v>
      </c>
      <c r="E2325" s="20">
        <v>0</v>
      </c>
    </row>
    <row r="2326" spans="1:5">
      <c r="A2326" s="20" t="str">
        <v>00:00:00</v>
      </c>
      <c r="B2326" s="19">
        <v>0</v>
      </c>
      <c r="C2326" s="21">
        <v>0</v>
      </c>
      <c r="D2326" s="20" t="str">
        <v>未匹配</v>
      </c>
      <c r="E2326" s="20">
        <v>0</v>
      </c>
    </row>
    <row r="2327" spans="1:5">
      <c r="A2327" s="20" t="str">
        <v>00:00:00</v>
      </c>
      <c r="B2327" s="19">
        <v>0</v>
      </c>
      <c r="C2327" s="21">
        <v>0</v>
      </c>
      <c r="D2327" s="20" t="str">
        <v>未匹配</v>
      </c>
      <c r="E2327" s="20">
        <v>0</v>
      </c>
    </row>
    <row r="2328" spans="1:5">
      <c r="A2328" s="20" t="str">
        <v>00:00:00</v>
      </c>
      <c r="B2328" s="19">
        <v>0</v>
      </c>
      <c r="C2328" s="21">
        <v>0</v>
      </c>
      <c r="D2328" s="20" t="str">
        <v>未匹配</v>
      </c>
      <c r="E2328" s="20">
        <v>0</v>
      </c>
    </row>
    <row r="2329" spans="1:5">
      <c r="A2329" s="20" t="str">
        <v>00:00:00</v>
      </c>
      <c r="B2329" s="19">
        <v>0</v>
      </c>
      <c r="C2329" s="21">
        <v>0</v>
      </c>
      <c r="D2329" s="20" t="str">
        <v>未匹配</v>
      </c>
      <c r="E2329" s="20">
        <v>0</v>
      </c>
    </row>
    <row r="2330" spans="1:5">
      <c r="A2330" s="20" t="str">
        <v>00:00:00</v>
      </c>
      <c r="B2330" s="19">
        <v>0</v>
      </c>
      <c r="C2330" s="21">
        <v>0</v>
      </c>
      <c r="D2330" s="20" t="str">
        <v>未匹配</v>
      </c>
      <c r="E2330" s="20">
        <v>0</v>
      </c>
    </row>
    <row r="2331" spans="1:5">
      <c r="A2331" s="20" t="str">
        <v>00:00:00</v>
      </c>
      <c r="B2331" s="19">
        <v>0</v>
      </c>
      <c r="C2331" s="21">
        <v>0</v>
      </c>
      <c r="D2331" s="20" t="str">
        <v>未匹配</v>
      </c>
      <c r="E2331" s="20">
        <v>0</v>
      </c>
    </row>
    <row r="2332" spans="1:5">
      <c r="A2332" s="20" t="str">
        <v>00:00:00</v>
      </c>
      <c r="B2332" s="19">
        <v>0</v>
      </c>
      <c r="C2332" s="21">
        <v>0</v>
      </c>
      <c r="D2332" s="20" t="str">
        <v>未匹配</v>
      </c>
      <c r="E2332" s="20">
        <v>0</v>
      </c>
    </row>
    <row r="2333" spans="1:5">
      <c r="A2333" s="20" t="str">
        <v>00:00:00</v>
      </c>
      <c r="B2333" s="19">
        <v>0</v>
      </c>
      <c r="C2333" s="21">
        <v>0</v>
      </c>
      <c r="D2333" s="20" t="str">
        <v>未匹配</v>
      </c>
      <c r="E2333" s="20">
        <v>0</v>
      </c>
    </row>
    <row r="2334" spans="1:5">
      <c r="A2334" s="20" t="str">
        <v>00:00:00</v>
      </c>
      <c r="B2334" s="19">
        <v>0</v>
      </c>
      <c r="C2334" s="21">
        <v>0</v>
      </c>
      <c r="D2334" s="20" t="str">
        <v>未匹配</v>
      </c>
      <c r="E2334" s="20">
        <v>0</v>
      </c>
    </row>
    <row r="2335" spans="1:5">
      <c r="A2335" s="20" t="str">
        <v>00:00:00</v>
      </c>
      <c r="B2335" s="19">
        <v>0</v>
      </c>
      <c r="C2335" s="21">
        <v>0</v>
      </c>
      <c r="D2335" s="20" t="str">
        <v>未匹配</v>
      </c>
      <c r="E2335" s="20">
        <v>0</v>
      </c>
    </row>
    <row r="2336" spans="1:5">
      <c r="A2336" s="20" t="str">
        <v>00:00:00</v>
      </c>
      <c r="B2336" s="19">
        <v>0</v>
      </c>
      <c r="C2336" s="21">
        <v>0</v>
      </c>
      <c r="D2336" s="20" t="str">
        <v>未匹配</v>
      </c>
      <c r="E2336" s="20">
        <v>0</v>
      </c>
    </row>
    <row r="2337" spans="1:5">
      <c r="A2337" s="20" t="str">
        <v>00:00:00</v>
      </c>
      <c r="B2337" s="19">
        <v>0</v>
      </c>
      <c r="C2337" s="21">
        <v>0</v>
      </c>
      <c r="D2337" s="20" t="str">
        <v>未匹配</v>
      </c>
      <c r="E2337" s="20">
        <v>0</v>
      </c>
    </row>
    <row r="2338" spans="1:5">
      <c r="A2338" s="20" t="str">
        <v>00:00:00</v>
      </c>
      <c r="B2338" s="19">
        <v>0</v>
      </c>
      <c r="C2338" s="21">
        <v>0</v>
      </c>
      <c r="D2338" s="20" t="str">
        <v>未匹配</v>
      </c>
      <c r="E2338" s="20">
        <v>0</v>
      </c>
    </row>
    <row r="2339" spans="1:5">
      <c r="A2339" s="20" t="str">
        <v>00:00:00</v>
      </c>
      <c r="B2339" s="19">
        <v>0</v>
      </c>
      <c r="C2339" s="21">
        <v>0</v>
      </c>
      <c r="D2339" s="20" t="str">
        <v>未匹配</v>
      </c>
      <c r="E2339" s="20">
        <v>0</v>
      </c>
    </row>
    <row r="2340" spans="1:5">
      <c r="A2340" s="20" t="str">
        <v>00:00:00</v>
      </c>
      <c r="B2340" s="19">
        <v>0</v>
      </c>
      <c r="C2340" s="21">
        <v>0</v>
      </c>
      <c r="D2340" s="20" t="str">
        <v>未匹配</v>
      </c>
      <c r="E2340" s="20">
        <v>0</v>
      </c>
    </row>
    <row r="2341" spans="1:5">
      <c r="A2341" s="20" t="str">
        <v>00:00:00</v>
      </c>
      <c r="B2341" s="19">
        <v>0</v>
      </c>
      <c r="C2341" s="21">
        <v>0</v>
      </c>
      <c r="D2341" s="20" t="str">
        <v>未匹配</v>
      </c>
      <c r="E2341" s="20">
        <v>0</v>
      </c>
    </row>
    <row r="2342" spans="1:5">
      <c r="A2342" s="20" t="str">
        <v>00:00:00</v>
      </c>
      <c r="B2342" s="19">
        <v>0</v>
      </c>
      <c r="C2342" s="21">
        <v>0</v>
      </c>
      <c r="D2342" s="20" t="str">
        <v>未匹配</v>
      </c>
      <c r="E2342" s="20">
        <v>0</v>
      </c>
    </row>
    <row r="2343" spans="1:5">
      <c r="A2343" s="20" t="str">
        <v>00:00:00</v>
      </c>
      <c r="B2343" s="19">
        <v>0</v>
      </c>
      <c r="C2343" s="21">
        <v>0</v>
      </c>
      <c r="D2343" s="20" t="str">
        <v>未匹配</v>
      </c>
      <c r="E2343" s="20">
        <v>0</v>
      </c>
    </row>
    <row r="2344" spans="1:5">
      <c r="A2344" s="20" t="str">
        <v>00:00:00</v>
      </c>
      <c r="B2344" s="19">
        <v>0</v>
      </c>
      <c r="C2344" s="21">
        <v>0</v>
      </c>
      <c r="D2344" s="20" t="str">
        <v>未匹配</v>
      </c>
      <c r="E2344" s="20">
        <v>0</v>
      </c>
    </row>
    <row r="2345" spans="1:5">
      <c r="A2345" s="20" t="str">
        <v>00:00:00</v>
      </c>
      <c r="B2345" s="19">
        <v>0</v>
      </c>
      <c r="C2345" s="21">
        <v>0</v>
      </c>
      <c r="D2345" s="20" t="str">
        <v>未匹配</v>
      </c>
      <c r="E2345" s="20">
        <v>0</v>
      </c>
    </row>
    <row r="2346" spans="1:5">
      <c r="A2346" s="20" t="str">
        <v>00:00:00</v>
      </c>
      <c r="B2346" s="19">
        <v>0</v>
      </c>
      <c r="C2346" s="21">
        <v>0</v>
      </c>
      <c r="D2346" s="20" t="str">
        <v>未匹配</v>
      </c>
      <c r="E2346" s="20">
        <v>0</v>
      </c>
    </row>
    <row r="2347" spans="1:5">
      <c r="A2347" s="20" t="str">
        <v>00:00:00</v>
      </c>
      <c r="B2347" s="19">
        <v>0</v>
      </c>
      <c r="C2347" s="21">
        <v>0</v>
      </c>
      <c r="D2347" s="20" t="str">
        <v>未匹配</v>
      </c>
      <c r="E2347" s="20">
        <v>0</v>
      </c>
    </row>
    <row r="2348" spans="1:5">
      <c r="A2348" s="20" t="str">
        <v>00:00:00</v>
      </c>
      <c r="B2348" s="19">
        <v>0</v>
      </c>
      <c r="C2348" s="21">
        <v>0</v>
      </c>
      <c r="D2348" s="20" t="str">
        <v>未匹配</v>
      </c>
      <c r="E2348" s="20">
        <v>0</v>
      </c>
    </row>
    <row r="2349" spans="1:5">
      <c r="A2349" s="20" t="str">
        <v>00:00:00</v>
      </c>
      <c r="B2349" s="19">
        <v>0</v>
      </c>
      <c r="C2349" s="21">
        <v>0</v>
      </c>
      <c r="D2349" s="20" t="str">
        <v>未匹配</v>
      </c>
      <c r="E2349" s="20">
        <v>0</v>
      </c>
    </row>
    <row r="2350" spans="1:5">
      <c r="A2350" s="20" t="str">
        <v>00:00:00</v>
      </c>
      <c r="B2350" s="19">
        <v>0</v>
      </c>
      <c r="C2350" s="21">
        <v>0</v>
      </c>
      <c r="D2350" s="20" t="str">
        <v>未匹配</v>
      </c>
      <c r="E2350" s="20">
        <v>0</v>
      </c>
    </row>
    <row r="2351" spans="1:5">
      <c r="A2351" s="20" t="str">
        <v>00:00:00</v>
      </c>
      <c r="B2351" s="19">
        <v>0</v>
      </c>
      <c r="C2351" s="21">
        <v>0</v>
      </c>
      <c r="D2351" s="20" t="str">
        <v>未匹配</v>
      </c>
      <c r="E2351" s="20">
        <v>0</v>
      </c>
    </row>
    <row r="2352" spans="1:5">
      <c r="A2352" s="20" t="str">
        <v>00:00:00</v>
      </c>
      <c r="B2352" s="19">
        <v>0</v>
      </c>
      <c r="C2352" s="21">
        <v>0</v>
      </c>
      <c r="D2352" s="20" t="str">
        <v>未匹配</v>
      </c>
      <c r="E2352" s="20">
        <v>0</v>
      </c>
    </row>
    <row r="2353" spans="1:5">
      <c r="A2353" s="20" t="str">
        <v>00:00:00</v>
      </c>
      <c r="B2353" s="19">
        <v>0</v>
      </c>
      <c r="C2353" s="21">
        <v>0</v>
      </c>
      <c r="D2353" s="20" t="str">
        <v>未匹配</v>
      </c>
      <c r="E2353" s="20">
        <v>0</v>
      </c>
    </row>
    <row r="2354" spans="1:5">
      <c r="A2354" s="20" t="str">
        <v>00:00:00</v>
      </c>
      <c r="B2354" s="19">
        <v>0</v>
      </c>
      <c r="C2354" s="21">
        <v>0</v>
      </c>
      <c r="D2354" s="20" t="str">
        <v>未匹配</v>
      </c>
      <c r="E2354" s="20">
        <v>0</v>
      </c>
    </row>
    <row r="2355" spans="1:5">
      <c r="A2355" s="20" t="str">
        <v>00:00:00</v>
      </c>
      <c r="B2355" s="19">
        <v>0</v>
      </c>
      <c r="C2355" s="21">
        <v>0</v>
      </c>
      <c r="D2355" s="20" t="str">
        <v>未匹配</v>
      </c>
      <c r="E2355" s="20">
        <v>0</v>
      </c>
    </row>
    <row r="2356" spans="1:5">
      <c r="A2356" s="20" t="str">
        <v>00:00:00</v>
      </c>
      <c r="B2356" s="19">
        <v>0</v>
      </c>
      <c r="C2356" s="21">
        <v>0</v>
      </c>
      <c r="D2356" s="20" t="str">
        <v>未匹配</v>
      </c>
      <c r="E2356" s="20">
        <v>0</v>
      </c>
    </row>
    <row r="2357" spans="1:5">
      <c r="A2357" s="20" t="str">
        <v>00:00:00</v>
      </c>
      <c r="B2357" s="19">
        <v>0</v>
      </c>
      <c r="C2357" s="21">
        <v>0</v>
      </c>
      <c r="D2357" s="20" t="str">
        <v>未匹配</v>
      </c>
      <c r="E2357" s="20">
        <v>0</v>
      </c>
    </row>
    <row r="2358" spans="1:5">
      <c r="A2358" s="20" t="str">
        <v>00:00:00</v>
      </c>
      <c r="B2358" s="19">
        <v>0</v>
      </c>
      <c r="C2358" s="21">
        <v>0</v>
      </c>
      <c r="D2358" s="20" t="str">
        <v>未匹配</v>
      </c>
      <c r="E2358" s="20">
        <v>0</v>
      </c>
    </row>
    <row r="2359" spans="1:5">
      <c r="A2359" s="20" t="str">
        <v>00:00:00</v>
      </c>
      <c r="B2359" s="19">
        <v>0</v>
      </c>
      <c r="C2359" s="21">
        <v>0</v>
      </c>
      <c r="D2359" s="20" t="str">
        <v>未匹配</v>
      </c>
      <c r="E2359" s="20">
        <v>0</v>
      </c>
    </row>
    <row r="2360" spans="1:5">
      <c r="A2360" s="20" t="str">
        <v>00:00:00</v>
      </c>
      <c r="B2360" s="19">
        <v>0</v>
      </c>
      <c r="C2360" s="21">
        <v>0</v>
      </c>
      <c r="D2360" s="20" t="str">
        <v>未匹配</v>
      </c>
      <c r="E2360" s="20">
        <v>0</v>
      </c>
    </row>
    <row r="2361" spans="1:5">
      <c r="A2361" s="20" t="str">
        <v>00:00:00</v>
      </c>
      <c r="B2361" s="19">
        <v>0</v>
      </c>
      <c r="C2361" s="21">
        <v>0</v>
      </c>
      <c r="D2361" s="20" t="str">
        <v>未匹配</v>
      </c>
      <c r="E2361" s="20">
        <v>0</v>
      </c>
    </row>
    <row r="2362" spans="1:5">
      <c r="A2362" s="20" t="str">
        <v>00:00:00</v>
      </c>
      <c r="B2362" s="19">
        <v>0</v>
      </c>
      <c r="C2362" s="21">
        <v>0</v>
      </c>
      <c r="D2362" s="20" t="str">
        <v>未匹配</v>
      </c>
      <c r="E2362" s="20">
        <v>0</v>
      </c>
    </row>
    <row r="2363" spans="1:5">
      <c r="A2363" s="20" t="str">
        <v>00:00:00</v>
      </c>
      <c r="B2363" s="19">
        <v>0</v>
      </c>
      <c r="C2363" s="21">
        <v>0</v>
      </c>
      <c r="D2363" s="20" t="str">
        <v>未匹配</v>
      </c>
      <c r="E2363" s="20">
        <v>0</v>
      </c>
    </row>
    <row r="2364" spans="1:5">
      <c r="A2364" s="20" t="str">
        <v>00:00:00</v>
      </c>
      <c r="B2364" s="19">
        <v>0</v>
      </c>
      <c r="C2364" s="21">
        <v>0</v>
      </c>
      <c r="D2364" s="20" t="str">
        <v>未匹配</v>
      </c>
      <c r="E2364" s="20">
        <v>0</v>
      </c>
    </row>
    <row r="2365" spans="1:5">
      <c r="A2365" s="20" t="str">
        <v>00:00:00</v>
      </c>
      <c r="B2365" s="19">
        <v>0</v>
      </c>
      <c r="C2365" s="21">
        <v>0</v>
      </c>
      <c r="D2365" s="20" t="str">
        <v>未匹配</v>
      </c>
      <c r="E2365" s="20">
        <v>0</v>
      </c>
    </row>
    <row r="2366" spans="1:5">
      <c r="A2366" s="20" t="str">
        <v>00:00:00</v>
      </c>
      <c r="B2366" s="19">
        <v>0</v>
      </c>
      <c r="C2366" s="21">
        <v>0</v>
      </c>
      <c r="D2366" s="20" t="str">
        <v>未匹配</v>
      </c>
      <c r="E2366" s="20">
        <v>0</v>
      </c>
    </row>
    <row r="2367" spans="1:5">
      <c r="A2367" s="20" t="str">
        <v>00:00:00</v>
      </c>
      <c r="B2367" s="19">
        <v>0</v>
      </c>
      <c r="C2367" s="21">
        <v>0</v>
      </c>
      <c r="D2367" s="20" t="str">
        <v>未匹配</v>
      </c>
      <c r="E2367" s="20">
        <v>0</v>
      </c>
    </row>
    <row r="2368" spans="1:5">
      <c r="A2368" s="20" t="str">
        <v>00:00:00</v>
      </c>
      <c r="B2368" s="19">
        <v>0</v>
      </c>
      <c r="C2368" s="21">
        <v>0</v>
      </c>
      <c r="D2368" s="20" t="str">
        <v>未匹配</v>
      </c>
      <c r="E2368" s="20">
        <v>0</v>
      </c>
    </row>
    <row r="2369" spans="1:5">
      <c r="A2369" s="20" t="str">
        <v>00:00:00</v>
      </c>
      <c r="B2369" s="19">
        <v>0</v>
      </c>
      <c r="C2369" s="21">
        <v>0</v>
      </c>
      <c r="D2369" s="20" t="str">
        <v>未匹配</v>
      </c>
      <c r="E2369" s="20">
        <v>0</v>
      </c>
    </row>
    <row r="2370" spans="1:5">
      <c r="A2370" s="20" t="str">
        <v>00:00:00</v>
      </c>
      <c r="B2370" s="19">
        <v>0</v>
      </c>
      <c r="C2370" s="21">
        <v>0</v>
      </c>
      <c r="D2370" s="20" t="str">
        <v>未匹配</v>
      </c>
      <c r="E2370" s="20">
        <v>0</v>
      </c>
    </row>
    <row r="2371" spans="1:5">
      <c r="A2371" s="20" t="str">
        <v>00:00:00</v>
      </c>
      <c r="B2371" s="19">
        <v>0</v>
      </c>
      <c r="C2371" s="21">
        <v>0</v>
      </c>
      <c r="D2371" s="20" t="str">
        <v>未匹配</v>
      </c>
      <c r="E2371" s="20">
        <v>0</v>
      </c>
    </row>
    <row r="2372" spans="1:5">
      <c r="A2372" s="20" t="str">
        <v>00:00:00</v>
      </c>
      <c r="B2372" s="19">
        <v>0</v>
      </c>
      <c r="C2372" s="21">
        <v>0</v>
      </c>
      <c r="D2372" s="20" t="str">
        <v>未匹配</v>
      </c>
      <c r="E2372" s="20">
        <v>0</v>
      </c>
    </row>
    <row r="2373" spans="1:5">
      <c r="A2373" s="20" t="str">
        <v>00:00:00</v>
      </c>
      <c r="B2373" s="19">
        <v>0</v>
      </c>
      <c r="C2373" s="21">
        <v>0</v>
      </c>
      <c r="D2373" s="20" t="str">
        <v>未匹配</v>
      </c>
      <c r="E2373" s="20">
        <v>0</v>
      </c>
    </row>
    <row r="2374" spans="1:5">
      <c r="A2374" s="20" t="str">
        <v>00:00:00</v>
      </c>
      <c r="B2374" s="19">
        <v>0</v>
      </c>
      <c r="C2374" s="21">
        <v>0</v>
      </c>
      <c r="D2374" s="20" t="str">
        <v>未匹配</v>
      </c>
      <c r="E2374" s="20">
        <v>0</v>
      </c>
    </row>
    <row r="2375" spans="1:5">
      <c r="A2375" s="20" t="str">
        <v>00:00:00</v>
      </c>
      <c r="B2375" s="19">
        <v>0</v>
      </c>
      <c r="C2375" s="21">
        <v>0</v>
      </c>
      <c r="D2375" s="20" t="str">
        <v>未匹配</v>
      </c>
      <c r="E2375" s="20">
        <v>0</v>
      </c>
    </row>
    <row r="2376" spans="1:5">
      <c r="A2376" s="20" t="str">
        <v>00:00:00</v>
      </c>
      <c r="B2376" s="19">
        <v>0</v>
      </c>
      <c r="C2376" s="21">
        <v>0</v>
      </c>
      <c r="D2376" s="20" t="str">
        <v>未匹配</v>
      </c>
      <c r="E2376" s="20">
        <v>0</v>
      </c>
    </row>
    <row r="2377" spans="1:5">
      <c r="A2377" s="20" t="str">
        <v>00:00:00</v>
      </c>
      <c r="B2377" s="19">
        <v>0</v>
      </c>
      <c r="C2377" s="21">
        <v>0</v>
      </c>
      <c r="D2377" s="20" t="str">
        <v>未匹配</v>
      </c>
      <c r="E2377" s="20">
        <v>0</v>
      </c>
    </row>
    <row r="2378" spans="1:5">
      <c r="A2378" s="20" t="str">
        <v>00:00:00</v>
      </c>
      <c r="B2378" s="19">
        <v>0</v>
      </c>
      <c r="C2378" s="21">
        <v>0</v>
      </c>
      <c r="D2378" s="20" t="str">
        <v>未匹配</v>
      </c>
      <c r="E2378" s="20">
        <v>0</v>
      </c>
    </row>
    <row r="2379" spans="1:5">
      <c r="A2379" s="20" t="str">
        <v>00:00:00</v>
      </c>
      <c r="B2379" s="19">
        <v>0</v>
      </c>
      <c r="C2379" s="21">
        <v>0</v>
      </c>
      <c r="D2379" s="20" t="str">
        <v>未匹配</v>
      </c>
      <c r="E2379" s="20">
        <v>0</v>
      </c>
    </row>
    <row r="2380" spans="1:5">
      <c r="A2380" s="20" t="str">
        <v>00:00:00</v>
      </c>
      <c r="B2380" s="19">
        <v>0</v>
      </c>
      <c r="C2380" s="21">
        <v>0</v>
      </c>
      <c r="D2380" s="20" t="str">
        <v>未匹配</v>
      </c>
      <c r="E2380" s="20">
        <v>0</v>
      </c>
    </row>
    <row r="2381" spans="1:5">
      <c r="A2381" s="20" t="str">
        <v>00:00:00</v>
      </c>
      <c r="B2381" s="19">
        <v>0</v>
      </c>
      <c r="C2381" s="21">
        <v>0</v>
      </c>
      <c r="D2381" s="20" t="str">
        <v>未匹配</v>
      </c>
      <c r="E2381" s="20">
        <v>0</v>
      </c>
    </row>
    <row r="2382" spans="1:5">
      <c r="A2382" s="20" t="str">
        <v>00:00:00</v>
      </c>
      <c r="B2382" s="19">
        <v>0</v>
      </c>
      <c r="C2382" s="21">
        <v>0</v>
      </c>
      <c r="D2382" s="20" t="str">
        <v>未匹配</v>
      </c>
      <c r="E2382" s="20">
        <v>0</v>
      </c>
    </row>
    <row r="2383" spans="1:5">
      <c r="A2383" s="20" t="str">
        <v>00:00:00</v>
      </c>
      <c r="B2383" s="19">
        <v>0</v>
      </c>
      <c r="C2383" s="21">
        <v>0</v>
      </c>
      <c r="D2383" s="20" t="str">
        <v>未匹配</v>
      </c>
      <c r="E2383" s="20">
        <v>0</v>
      </c>
    </row>
    <row r="2384" spans="1:5">
      <c r="A2384" s="20" t="str">
        <v>00:00:00</v>
      </c>
      <c r="B2384" s="19">
        <v>0</v>
      </c>
      <c r="C2384" s="21">
        <v>0</v>
      </c>
      <c r="D2384" s="20" t="str">
        <v>未匹配</v>
      </c>
      <c r="E2384" s="20">
        <v>0</v>
      </c>
    </row>
    <row r="2385" spans="1:5">
      <c r="A2385" s="20" t="str">
        <v>00:00:00</v>
      </c>
      <c r="B2385" s="19">
        <v>0</v>
      </c>
      <c r="C2385" s="21">
        <v>0</v>
      </c>
      <c r="D2385" s="20" t="str">
        <v>未匹配</v>
      </c>
      <c r="E2385" s="20">
        <v>0</v>
      </c>
    </row>
    <row r="2386" spans="1:5">
      <c r="A2386" s="20" t="str">
        <v>00:00:00</v>
      </c>
      <c r="B2386" s="19">
        <v>0</v>
      </c>
      <c r="C2386" s="21">
        <v>0</v>
      </c>
      <c r="D2386" s="20" t="str">
        <v>未匹配</v>
      </c>
      <c r="E2386" s="20">
        <v>0</v>
      </c>
    </row>
    <row r="2387" spans="1:5">
      <c r="A2387" s="20" t="str">
        <v>00:00:00</v>
      </c>
      <c r="B2387" s="19">
        <v>0</v>
      </c>
      <c r="C2387" s="21">
        <v>0</v>
      </c>
      <c r="D2387" s="20" t="str">
        <v>未匹配</v>
      </c>
      <c r="E2387" s="20">
        <v>0</v>
      </c>
    </row>
    <row r="2388" spans="1:5">
      <c r="A2388" s="20" t="str">
        <v>00:00:00</v>
      </c>
      <c r="B2388" s="19">
        <v>0</v>
      </c>
      <c r="C2388" s="21">
        <v>0</v>
      </c>
      <c r="D2388" s="20" t="str">
        <v>未匹配</v>
      </c>
      <c r="E2388" s="20">
        <v>0</v>
      </c>
    </row>
    <row r="2389" spans="1:5">
      <c r="A2389" s="20" t="str">
        <v>00:00:00</v>
      </c>
      <c r="B2389" s="19">
        <v>0</v>
      </c>
      <c r="C2389" s="21">
        <v>0</v>
      </c>
      <c r="D2389" s="20" t="str">
        <v>未匹配</v>
      </c>
      <c r="E2389" s="20">
        <v>0</v>
      </c>
    </row>
    <row r="2390" spans="1:5">
      <c r="A2390" s="20" t="str">
        <v>00:00:00</v>
      </c>
      <c r="B2390" s="19">
        <v>0</v>
      </c>
      <c r="C2390" s="21">
        <v>0</v>
      </c>
      <c r="D2390" s="20" t="str">
        <v>未匹配</v>
      </c>
      <c r="E2390" s="20">
        <v>0</v>
      </c>
    </row>
    <row r="2391" spans="1:5">
      <c r="A2391" s="20" t="str">
        <v>00:00:00</v>
      </c>
      <c r="B2391" s="19">
        <v>0</v>
      </c>
      <c r="C2391" s="21">
        <v>0</v>
      </c>
      <c r="D2391" s="20" t="str">
        <v>未匹配</v>
      </c>
      <c r="E2391" s="20">
        <v>0</v>
      </c>
    </row>
    <row r="2392" spans="1:5">
      <c r="A2392" s="20" t="str">
        <v>00:00:00</v>
      </c>
      <c r="B2392" s="19">
        <v>0</v>
      </c>
      <c r="C2392" s="21">
        <v>0</v>
      </c>
      <c r="D2392" s="20" t="str">
        <v>未匹配</v>
      </c>
      <c r="E2392" s="20">
        <v>0</v>
      </c>
    </row>
    <row r="2393" spans="1:5">
      <c r="A2393" s="20" t="str">
        <v>00:00:00</v>
      </c>
      <c r="B2393" s="19">
        <v>0</v>
      </c>
      <c r="C2393" s="21">
        <v>0</v>
      </c>
      <c r="D2393" s="20" t="str">
        <v>未匹配</v>
      </c>
      <c r="E2393" s="20">
        <v>0</v>
      </c>
    </row>
    <row r="2394" spans="1:5">
      <c r="A2394" s="20" t="str">
        <v>00:00:00</v>
      </c>
      <c r="B2394" s="19">
        <v>0</v>
      </c>
      <c r="C2394" s="21">
        <v>0</v>
      </c>
      <c r="D2394" s="20" t="str">
        <v>未匹配</v>
      </c>
      <c r="E2394" s="20">
        <v>0</v>
      </c>
    </row>
    <row r="2395" spans="1:5">
      <c r="A2395" s="20" t="str">
        <v>00:00:00</v>
      </c>
      <c r="B2395" s="19">
        <v>0</v>
      </c>
      <c r="C2395" s="21">
        <v>0</v>
      </c>
      <c r="D2395" s="20" t="str">
        <v>未匹配</v>
      </c>
      <c r="E2395" s="20">
        <v>0</v>
      </c>
    </row>
    <row r="2396" spans="1:5">
      <c r="A2396" s="20" t="str">
        <v>00:00:00</v>
      </c>
      <c r="B2396" s="19">
        <v>0</v>
      </c>
      <c r="C2396" s="21">
        <v>0</v>
      </c>
      <c r="D2396" s="20" t="str">
        <v>未匹配</v>
      </c>
      <c r="E2396" s="20">
        <v>0</v>
      </c>
    </row>
    <row r="2397" spans="1:5">
      <c r="A2397" s="20" t="str">
        <v>00:00:00</v>
      </c>
      <c r="B2397" s="19">
        <v>0</v>
      </c>
      <c r="C2397" s="21">
        <v>0</v>
      </c>
      <c r="D2397" s="20" t="str">
        <v>未匹配</v>
      </c>
      <c r="E2397" s="20">
        <v>0</v>
      </c>
    </row>
    <row r="2398" spans="1:5">
      <c r="A2398" s="20" t="str">
        <v>00:00:00</v>
      </c>
      <c r="B2398" s="19">
        <v>0</v>
      </c>
      <c r="C2398" s="21">
        <v>0</v>
      </c>
      <c r="D2398" s="20" t="str">
        <v>未匹配</v>
      </c>
      <c r="E2398" s="20">
        <v>0</v>
      </c>
    </row>
    <row r="2399" spans="1:5">
      <c r="A2399" s="20" t="str">
        <v>00:00:00</v>
      </c>
      <c r="B2399" s="19">
        <v>0</v>
      </c>
      <c r="C2399" s="21">
        <v>0</v>
      </c>
      <c r="D2399" s="20" t="str">
        <v>未匹配</v>
      </c>
      <c r="E2399" s="20">
        <v>0</v>
      </c>
    </row>
    <row r="2400" spans="1:5">
      <c r="A2400" s="20" t="str">
        <v>00:00:00</v>
      </c>
      <c r="B2400" s="19">
        <v>0</v>
      </c>
      <c r="C2400" s="21">
        <v>0</v>
      </c>
      <c r="D2400" s="20" t="str">
        <v>未匹配</v>
      </c>
      <c r="E2400" s="20">
        <v>0</v>
      </c>
    </row>
    <row r="2401" spans="1:5">
      <c r="A2401" s="20" t="str">
        <v>00:00:00</v>
      </c>
      <c r="B2401" s="19">
        <v>0</v>
      </c>
      <c r="C2401" s="21">
        <v>0</v>
      </c>
      <c r="D2401" s="20" t="str">
        <v>未匹配</v>
      </c>
      <c r="E2401" s="20">
        <v>0</v>
      </c>
    </row>
    <row r="2402" spans="1:5">
      <c r="A2402" s="20" t="str">
        <v>00:00:00</v>
      </c>
      <c r="B2402" s="19">
        <v>0</v>
      </c>
      <c r="C2402" s="21">
        <v>0</v>
      </c>
      <c r="D2402" s="20" t="str">
        <v>未匹配</v>
      </c>
      <c r="E2402" s="20">
        <v>0</v>
      </c>
    </row>
    <row r="2403" spans="1:5">
      <c r="A2403" s="20" t="str">
        <v>00:00:00</v>
      </c>
      <c r="B2403" s="19">
        <v>0</v>
      </c>
      <c r="C2403" s="21">
        <v>0</v>
      </c>
      <c r="D2403" s="20" t="str">
        <v>未匹配</v>
      </c>
      <c r="E2403" s="20">
        <v>0</v>
      </c>
    </row>
    <row r="2404" spans="1:5">
      <c r="A2404" s="20" t="str">
        <v>00:00:00</v>
      </c>
      <c r="B2404" s="19">
        <v>0</v>
      </c>
      <c r="C2404" s="21">
        <v>0</v>
      </c>
      <c r="D2404" s="20" t="str">
        <v>未匹配</v>
      </c>
      <c r="E2404" s="20">
        <v>0</v>
      </c>
    </row>
    <row r="2405" spans="1:5">
      <c r="A2405" s="20" t="str">
        <v>00:00:00</v>
      </c>
      <c r="B2405" s="19">
        <v>0</v>
      </c>
      <c r="C2405" s="21">
        <v>0</v>
      </c>
      <c r="D2405" s="20" t="str">
        <v>未匹配</v>
      </c>
      <c r="E2405" s="20">
        <v>0</v>
      </c>
    </row>
    <row r="2406" spans="1:5">
      <c r="A2406" s="20" t="str">
        <v>00:00:00</v>
      </c>
      <c r="B2406" s="19">
        <v>0</v>
      </c>
      <c r="C2406" s="21">
        <v>0</v>
      </c>
      <c r="D2406" s="20" t="str">
        <v>未匹配</v>
      </c>
      <c r="E2406" s="20">
        <v>0</v>
      </c>
    </row>
    <row r="2407" spans="1:5">
      <c r="A2407" s="20" t="str">
        <v>00:00:00</v>
      </c>
      <c r="B2407" s="19">
        <v>0</v>
      </c>
      <c r="C2407" s="21">
        <v>0</v>
      </c>
      <c r="D2407" s="20" t="str">
        <v>未匹配</v>
      </c>
      <c r="E2407" s="20">
        <v>0</v>
      </c>
    </row>
    <row r="2408" spans="1:5">
      <c r="A2408" s="20" t="str">
        <v>00:00:00</v>
      </c>
      <c r="B2408" s="19">
        <v>0</v>
      </c>
      <c r="C2408" s="21">
        <v>0</v>
      </c>
      <c r="D2408" s="20" t="str">
        <v>未匹配</v>
      </c>
      <c r="E2408" s="20">
        <v>0</v>
      </c>
    </row>
    <row r="2409" spans="1:5">
      <c r="A2409" s="20" t="str">
        <v>00:00:00</v>
      </c>
      <c r="B2409" s="19">
        <v>0</v>
      </c>
      <c r="C2409" s="21">
        <v>0</v>
      </c>
      <c r="D2409" s="20" t="str">
        <v>未匹配</v>
      </c>
      <c r="E2409" s="20">
        <v>0</v>
      </c>
    </row>
    <row r="2410" spans="1:5">
      <c r="A2410" s="20" t="str">
        <v>00:00:00</v>
      </c>
      <c r="B2410" s="19">
        <v>0</v>
      </c>
      <c r="C2410" s="21">
        <v>0</v>
      </c>
      <c r="D2410" s="20" t="str">
        <v>未匹配</v>
      </c>
      <c r="E2410" s="20">
        <v>0</v>
      </c>
    </row>
    <row r="2411" spans="1:5">
      <c r="A2411" s="20" t="str">
        <v>00:00:00</v>
      </c>
      <c r="B2411" s="19">
        <v>0</v>
      </c>
      <c r="C2411" s="21">
        <v>0</v>
      </c>
      <c r="D2411" s="20" t="str">
        <v>未匹配</v>
      </c>
      <c r="E2411" s="20">
        <v>0</v>
      </c>
    </row>
    <row r="2412" spans="1:5">
      <c r="A2412" s="20" t="str">
        <v>00:00:00</v>
      </c>
      <c r="B2412" s="19">
        <v>0</v>
      </c>
      <c r="C2412" s="21">
        <v>0</v>
      </c>
      <c r="D2412" s="20" t="str">
        <v>未匹配</v>
      </c>
      <c r="E2412" s="20">
        <v>0</v>
      </c>
    </row>
    <row r="2413" spans="1:5">
      <c r="A2413" s="20" t="str">
        <v>00:00:00</v>
      </c>
      <c r="B2413" s="19">
        <v>0</v>
      </c>
      <c r="C2413" s="21">
        <v>0</v>
      </c>
      <c r="D2413" s="20" t="str">
        <v>未匹配</v>
      </c>
      <c r="E2413" s="20">
        <v>0</v>
      </c>
    </row>
    <row r="2414" spans="1:5">
      <c r="A2414" s="20" t="str">
        <v>00:00:00</v>
      </c>
      <c r="B2414" s="19">
        <v>0</v>
      </c>
      <c r="C2414" s="21">
        <v>0</v>
      </c>
      <c r="D2414" s="20" t="str">
        <v>未匹配</v>
      </c>
      <c r="E2414" s="20">
        <v>0</v>
      </c>
    </row>
    <row r="2415" spans="1:5">
      <c r="A2415" s="20" t="str">
        <v>00:00:00</v>
      </c>
      <c r="B2415" s="19">
        <v>0</v>
      </c>
      <c r="C2415" s="21">
        <v>0</v>
      </c>
      <c r="D2415" s="20" t="str">
        <v>未匹配</v>
      </c>
      <c r="E2415" s="20">
        <v>0</v>
      </c>
    </row>
    <row r="2416" spans="1:5">
      <c r="A2416" s="20" t="str">
        <v>00:00:00</v>
      </c>
      <c r="B2416" s="19">
        <v>0</v>
      </c>
      <c r="C2416" s="21">
        <v>0</v>
      </c>
      <c r="D2416" s="20" t="str">
        <v>未匹配</v>
      </c>
      <c r="E2416" s="20">
        <v>0</v>
      </c>
    </row>
    <row r="2417" spans="1:5">
      <c r="A2417" s="20" t="str">
        <v>00:00:00</v>
      </c>
      <c r="B2417" s="19">
        <v>0</v>
      </c>
      <c r="C2417" s="21">
        <v>0</v>
      </c>
      <c r="D2417" s="20" t="str">
        <v>未匹配</v>
      </c>
      <c r="E2417" s="20">
        <v>0</v>
      </c>
    </row>
    <row r="2418" spans="1:5">
      <c r="A2418" s="20" t="str">
        <v>00:00:00</v>
      </c>
      <c r="B2418" s="19">
        <v>0</v>
      </c>
      <c r="C2418" s="21">
        <v>0</v>
      </c>
      <c r="D2418" s="20" t="str">
        <v>未匹配</v>
      </c>
      <c r="E2418" s="20">
        <v>0</v>
      </c>
    </row>
    <row r="2419" spans="1:5">
      <c r="A2419" s="20" t="str">
        <v>00:00:00</v>
      </c>
      <c r="B2419" s="19">
        <v>0</v>
      </c>
      <c r="C2419" s="21">
        <v>0</v>
      </c>
      <c r="D2419" s="20" t="str">
        <v>未匹配</v>
      </c>
      <c r="E2419" s="20">
        <v>0</v>
      </c>
    </row>
    <row r="2420" spans="1:5">
      <c r="A2420" s="20" t="str">
        <v>00:00:00</v>
      </c>
      <c r="B2420" s="19">
        <v>0</v>
      </c>
      <c r="C2420" s="21">
        <v>0</v>
      </c>
      <c r="D2420" s="20" t="str">
        <v>未匹配</v>
      </c>
      <c r="E2420" s="20">
        <v>0</v>
      </c>
    </row>
    <row r="2421" spans="1:5">
      <c r="A2421" s="20" t="str">
        <v>00:00:00</v>
      </c>
      <c r="B2421" s="19">
        <v>0</v>
      </c>
      <c r="C2421" s="21">
        <v>0</v>
      </c>
      <c r="D2421" s="20" t="str">
        <v>未匹配</v>
      </c>
      <c r="E2421" s="20">
        <v>0</v>
      </c>
    </row>
    <row r="2422" spans="1:5">
      <c r="A2422" s="20" t="str">
        <v>00:00:00</v>
      </c>
      <c r="B2422" s="19">
        <v>0</v>
      </c>
      <c r="C2422" s="21">
        <v>0</v>
      </c>
      <c r="D2422" s="20" t="str">
        <v>未匹配</v>
      </c>
      <c r="E2422" s="20">
        <v>0</v>
      </c>
    </row>
    <row r="2423" spans="1:5">
      <c r="A2423" s="20" t="str">
        <v>00:00:00</v>
      </c>
      <c r="B2423" s="19">
        <v>0</v>
      </c>
      <c r="C2423" s="21">
        <v>0</v>
      </c>
      <c r="D2423" s="20" t="str">
        <v>未匹配</v>
      </c>
      <c r="E2423" s="20">
        <v>0</v>
      </c>
    </row>
    <row r="2424" spans="1:5">
      <c r="A2424" s="20" t="str">
        <v>00:00:00</v>
      </c>
      <c r="B2424" s="19">
        <v>0</v>
      </c>
      <c r="C2424" s="21">
        <v>0</v>
      </c>
      <c r="D2424" s="20" t="str">
        <v>未匹配</v>
      </c>
      <c r="E2424" s="20">
        <v>0</v>
      </c>
    </row>
    <row r="2425" spans="1:5">
      <c r="A2425" s="20" t="str">
        <v>00:00:00</v>
      </c>
      <c r="B2425" s="19">
        <v>0</v>
      </c>
      <c r="C2425" s="21">
        <v>0</v>
      </c>
      <c r="D2425" s="20" t="str">
        <v>未匹配</v>
      </c>
      <c r="E2425" s="20">
        <v>0</v>
      </c>
    </row>
    <row r="2426" spans="1:5">
      <c r="A2426" s="20" t="str">
        <v>00:00:00</v>
      </c>
      <c r="B2426" s="19">
        <v>0</v>
      </c>
      <c r="C2426" s="21">
        <v>0</v>
      </c>
      <c r="D2426" s="20" t="str">
        <v>未匹配</v>
      </c>
      <c r="E2426" s="20">
        <v>0</v>
      </c>
    </row>
    <row r="2427" spans="1:5">
      <c r="A2427" s="20" t="str">
        <v>00:00:00</v>
      </c>
      <c r="B2427" s="19">
        <v>0</v>
      </c>
      <c r="C2427" s="21">
        <v>0</v>
      </c>
      <c r="D2427" s="20" t="str">
        <v>未匹配</v>
      </c>
      <c r="E2427" s="20">
        <v>0</v>
      </c>
    </row>
    <row r="2428" spans="1:5">
      <c r="A2428" s="20" t="str">
        <v>00:00:00</v>
      </c>
      <c r="B2428" s="19">
        <v>0</v>
      </c>
      <c r="C2428" s="21">
        <v>0</v>
      </c>
      <c r="D2428" s="20" t="str">
        <v>未匹配</v>
      </c>
      <c r="E2428" s="20">
        <v>0</v>
      </c>
    </row>
    <row r="2429" spans="1:5">
      <c r="A2429" s="20" t="str">
        <v>00:00:00</v>
      </c>
      <c r="B2429" s="19">
        <v>0</v>
      </c>
      <c r="C2429" s="21">
        <v>0</v>
      </c>
      <c r="D2429" s="20" t="str">
        <v>未匹配</v>
      </c>
      <c r="E2429" s="20">
        <v>0</v>
      </c>
    </row>
    <row r="2430" spans="1:5">
      <c r="A2430" s="20" t="str">
        <v>00:00:00</v>
      </c>
      <c r="B2430" s="19">
        <v>0</v>
      </c>
      <c r="C2430" s="21">
        <v>0</v>
      </c>
      <c r="D2430" s="20" t="str">
        <v>未匹配</v>
      </c>
      <c r="E2430" s="20">
        <v>0</v>
      </c>
    </row>
    <row r="2431" spans="1:5">
      <c r="A2431" s="20" t="str">
        <v>00:00:00</v>
      </c>
      <c r="B2431" s="19">
        <v>0</v>
      </c>
      <c r="C2431" s="21">
        <v>0</v>
      </c>
      <c r="D2431" s="20" t="str">
        <v>未匹配</v>
      </c>
      <c r="E2431" s="20">
        <v>0</v>
      </c>
    </row>
    <row r="2432" spans="1:5">
      <c r="A2432" s="20" t="str">
        <v>00:00:00</v>
      </c>
      <c r="B2432" s="19">
        <v>0</v>
      </c>
      <c r="C2432" s="21">
        <v>0</v>
      </c>
      <c r="D2432" s="20" t="str">
        <v>未匹配</v>
      </c>
      <c r="E2432" s="20">
        <v>0</v>
      </c>
    </row>
    <row r="2433" spans="1:5">
      <c r="A2433" s="20" t="str">
        <v>00:00:00</v>
      </c>
      <c r="B2433" s="19">
        <v>0</v>
      </c>
      <c r="C2433" s="21">
        <v>0</v>
      </c>
      <c r="D2433" s="20" t="str">
        <v>未匹配</v>
      </c>
      <c r="E2433" s="20">
        <v>0</v>
      </c>
    </row>
    <row r="2434" spans="1:5">
      <c r="A2434" s="20" t="str">
        <v>00:00:00</v>
      </c>
      <c r="B2434" s="19">
        <v>0</v>
      </c>
      <c r="C2434" s="21">
        <v>0</v>
      </c>
      <c r="D2434" s="20" t="str">
        <v>未匹配</v>
      </c>
      <c r="E2434" s="20">
        <v>0</v>
      </c>
    </row>
    <row r="2435" spans="1:5">
      <c r="A2435" s="20" t="str">
        <v>00:00:00</v>
      </c>
      <c r="B2435" s="19">
        <v>0</v>
      </c>
      <c r="C2435" s="21">
        <v>0</v>
      </c>
      <c r="D2435" s="20" t="str">
        <v>未匹配</v>
      </c>
      <c r="E2435" s="20">
        <v>0</v>
      </c>
    </row>
    <row r="2436" spans="1:5">
      <c r="A2436" s="20" t="str">
        <v>00:00:00</v>
      </c>
      <c r="B2436" s="19">
        <v>0</v>
      </c>
      <c r="C2436" s="21">
        <v>0</v>
      </c>
      <c r="D2436" s="20" t="str">
        <v>未匹配</v>
      </c>
      <c r="E2436" s="20">
        <v>0</v>
      </c>
    </row>
    <row r="2437" spans="1:5">
      <c r="A2437" s="20" t="str">
        <v>00:00:00</v>
      </c>
      <c r="B2437" s="19">
        <v>0</v>
      </c>
      <c r="C2437" s="21">
        <v>0</v>
      </c>
      <c r="D2437" s="20" t="str">
        <v>未匹配</v>
      </c>
      <c r="E2437" s="20">
        <v>0</v>
      </c>
    </row>
    <row r="2438" spans="1:5">
      <c r="A2438" s="20" t="str">
        <v>00:00:00</v>
      </c>
      <c r="B2438" s="19">
        <v>0</v>
      </c>
      <c r="C2438" s="21">
        <v>0</v>
      </c>
      <c r="D2438" s="20" t="str">
        <v>未匹配</v>
      </c>
      <c r="E2438" s="20">
        <v>0</v>
      </c>
    </row>
    <row r="2439" spans="1:5">
      <c r="A2439" s="20" t="str">
        <v>00:00:00</v>
      </c>
      <c r="B2439" s="19">
        <v>0</v>
      </c>
      <c r="C2439" s="21">
        <v>0</v>
      </c>
      <c r="D2439" s="20" t="str">
        <v>未匹配</v>
      </c>
      <c r="E2439" s="20">
        <v>0</v>
      </c>
    </row>
    <row r="2440" spans="1:5">
      <c r="A2440" s="20" t="str">
        <v>00:00:00</v>
      </c>
      <c r="B2440" s="19">
        <v>0</v>
      </c>
      <c r="C2440" s="21">
        <v>0</v>
      </c>
      <c r="D2440" s="20" t="str">
        <v>未匹配</v>
      </c>
      <c r="E2440" s="20">
        <v>0</v>
      </c>
    </row>
    <row r="2441" spans="1:5">
      <c r="A2441" s="20" t="str">
        <v>00:00:00</v>
      </c>
      <c r="B2441" s="19">
        <v>0</v>
      </c>
      <c r="C2441" s="21">
        <v>0</v>
      </c>
      <c r="D2441" s="20" t="str">
        <v>未匹配</v>
      </c>
      <c r="E2441" s="20">
        <v>0</v>
      </c>
    </row>
    <row r="2442" spans="1:5">
      <c r="A2442" s="20" t="str">
        <v>00:00:00</v>
      </c>
      <c r="B2442" s="19">
        <v>0</v>
      </c>
      <c r="C2442" s="21">
        <v>0</v>
      </c>
      <c r="D2442" s="20" t="str">
        <v>未匹配</v>
      </c>
      <c r="E2442" s="20">
        <v>0</v>
      </c>
    </row>
    <row r="2443" spans="1:5">
      <c r="A2443" s="20" t="str">
        <v>00:00:00</v>
      </c>
      <c r="B2443" s="19">
        <v>0</v>
      </c>
      <c r="C2443" s="21">
        <v>0</v>
      </c>
      <c r="D2443" s="20" t="str">
        <v>未匹配</v>
      </c>
      <c r="E2443" s="20">
        <v>0</v>
      </c>
    </row>
    <row r="2444" spans="1:5">
      <c r="A2444" s="20" t="str">
        <v>00:00:00</v>
      </c>
      <c r="B2444" s="19">
        <v>0</v>
      </c>
      <c r="C2444" s="21">
        <v>0</v>
      </c>
      <c r="D2444" s="20" t="str">
        <v>未匹配</v>
      </c>
      <c r="E2444" s="20">
        <v>0</v>
      </c>
    </row>
    <row r="2445" spans="1:5">
      <c r="A2445" s="20" t="str">
        <v>00:00:00</v>
      </c>
      <c r="B2445" s="19">
        <v>0</v>
      </c>
      <c r="C2445" s="21">
        <v>0</v>
      </c>
      <c r="D2445" s="20" t="str">
        <v>未匹配</v>
      </c>
      <c r="E2445" s="20">
        <v>0</v>
      </c>
    </row>
    <row r="2446" spans="1:5">
      <c r="A2446" s="20" t="str">
        <v>00:00:00</v>
      </c>
      <c r="B2446" s="19">
        <v>0</v>
      </c>
      <c r="C2446" s="21">
        <v>0</v>
      </c>
      <c r="D2446" s="20" t="str">
        <v>未匹配</v>
      </c>
      <c r="E2446" s="20">
        <v>0</v>
      </c>
    </row>
    <row r="2447" spans="1:5">
      <c r="A2447" s="20" t="str">
        <v>00:00:00</v>
      </c>
      <c r="B2447" s="19">
        <v>0</v>
      </c>
      <c r="C2447" s="21">
        <v>0</v>
      </c>
      <c r="D2447" s="20" t="str">
        <v>未匹配</v>
      </c>
      <c r="E2447" s="20">
        <v>0</v>
      </c>
    </row>
    <row r="2448" spans="1:5">
      <c r="A2448" s="20" t="str">
        <v>00:00:00</v>
      </c>
      <c r="B2448" s="19">
        <v>0</v>
      </c>
      <c r="C2448" s="21">
        <v>0</v>
      </c>
      <c r="D2448" s="20" t="str">
        <v>未匹配</v>
      </c>
      <c r="E2448" s="20">
        <v>0</v>
      </c>
    </row>
    <row r="2449" spans="1:5">
      <c r="A2449" s="20" t="str">
        <v>00:00:00</v>
      </c>
      <c r="B2449" s="19">
        <v>0</v>
      </c>
      <c r="C2449" s="21">
        <v>0</v>
      </c>
      <c r="D2449" s="20" t="str">
        <v>未匹配</v>
      </c>
      <c r="E2449" s="20">
        <v>0</v>
      </c>
    </row>
    <row r="2450" spans="1:5">
      <c r="A2450" s="20" t="str">
        <v>00:00:00</v>
      </c>
      <c r="B2450" s="19">
        <v>0</v>
      </c>
      <c r="C2450" s="21">
        <v>0</v>
      </c>
      <c r="D2450" s="20" t="str">
        <v>未匹配</v>
      </c>
      <c r="E2450" s="20">
        <v>0</v>
      </c>
    </row>
    <row r="2451" spans="1:5">
      <c r="A2451" s="20" t="str">
        <v>00:00:00</v>
      </c>
      <c r="B2451" s="19">
        <v>0</v>
      </c>
      <c r="C2451" s="21">
        <v>0</v>
      </c>
      <c r="D2451" s="20" t="str">
        <v>未匹配</v>
      </c>
      <c r="E2451" s="20">
        <v>0</v>
      </c>
    </row>
    <row r="2452" spans="1:5">
      <c r="A2452" s="20" t="str">
        <v>00:00:00</v>
      </c>
      <c r="B2452" s="19">
        <v>0</v>
      </c>
      <c r="C2452" s="21">
        <v>0</v>
      </c>
      <c r="D2452" s="20" t="str">
        <v>未匹配</v>
      </c>
      <c r="E2452" s="20">
        <v>0</v>
      </c>
    </row>
    <row r="2453" spans="1:5">
      <c r="A2453" s="20" t="str">
        <v>00:00:00</v>
      </c>
      <c r="B2453" s="19">
        <v>0</v>
      </c>
      <c r="C2453" s="21">
        <v>0</v>
      </c>
      <c r="D2453" s="20" t="str">
        <v>未匹配</v>
      </c>
      <c r="E2453" s="20">
        <v>0</v>
      </c>
    </row>
    <row r="2454" spans="1:5">
      <c r="A2454" s="20" t="str">
        <v>00:00:00</v>
      </c>
      <c r="B2454" s="19">
        <v>0</v>
      </c>
      <c r="C2454" s="21">
        <v>0</v>
      </c>
      <c r="D2454" s="20" t="str">
        <v>未匹配</v>
      </c>
      <c r="E2454" s="20">
        <v>0</v>
      </c>
    </row>
    <row r="2455" spans="1:5">
      <c r="A2455" s="20" t="str">
        <v>00:00:00</v>
      </c>
      <c r="B2455" s="19">
        <v>0</v>
      </c>
      <c r="C2455" s="21">
        <v>0</v>
      </c>
      <c r="D2455" s="20" t="str">
        <v>未匹配</v>
      </c>
      <c r="E2455" s="20">
        <v>0</v>
      </c>
    </row>
    <row r="2456" spans="1:5">
      <c r="A2456" s="20" t="str">
        <v>00:00:00</v>
      </c>
      <c r="B2456" s="19">
        <v>0</v>
      </c>
      <c r="C2456" s="21">
        <v>0</v>
      </c>
      <c r="D2456" s="20" t="str">
        <v>未匹配</v>
      </c>
      <c r="E2456" s="20">
        <v>0</v>
      </c>
    </row>
    <row r="2457" spans="1:5">
      <c r="A2457" s="20" t="str">
        <v>00:00:00</v>
      </c>
      <c r="B2457" s="19">
        <v>0</v>
      </c>
      <c r="C2457" s="21">
        <v>0</v>
      </c>
      <c r="D2457" s="20" t="str">
        <v>未匹配</v>
      </c>
      <c r="E2457" s="20">
        <v>0</v>
      </c>
    </row>
    <row r="2458" spans="1:5">
      <c r="A2458" s="20" t="str">
        <v>00:00:00</v>
      </c>
      <c r="B2458" s="19">
        <v>0</v>
      </c>
      <c r="C2458" s="21">
        <v>0</v>
      </c>
      <c r="D2458" s="20" t="str">
        <v>未匹配</v>
      </c>
      <c r="E2458" s="20">
        <v>0</v>
      </c>
    </row>
    <row r="2459" spans="1:5">
      <c r="A2459" s="20" t="str">
        <v>00:00:00</v>
      </c>
      <c r="B2459" s="19">
        <v>0</v>
      </c>
      <c r="C2459" s="21">
        <v>0</v>
      </c>
      <c r="D2459" s="20" t="str">
        <v>未匹配</v>
      </c>
      <c r="E2459" s="20">
        <v>0</v>
      </c>
    </row>
    <row r="2460" spans="1:5">
      <c r="A2460" s="20" t="str">
        <v>00:00:00</v>
      </c>
      <c r="B2460" s="19">
        <v>0</v>
      </c>
      <c r="C2460" s="21">
        <v>0</v>
      </c>
      <c r="D2460" s="20" t="str">
        <v>未匹配</v>
      </c>
      <c r="E2460" s="20">
        <v>0</v>
      </c>
    </row>
    <row r="2461" spans="1:5">
      <c r="A2461" s="20" t="str">
        <v>00:00:00</v>
      </c>
      <c r="B2461" s="19">
        <v>0</v>
      </c>
      <c r="C2461" s="21">
        <v>0</v>
      </c>
      <c r="D2461" s="20" t="str">
        <v>未匹配</v>
      </c>
      <c r="E2461" s="20">
        <v>0</v>
      </c>
    </row>
    <row r="2462" spans="1:5">
      <c r="A2462" s="20" t="str">
        <v>00:00:00</v>
      </c>
      <c r="B2462" s="19">
        <v>0</v>
      </c>
      <c r="C2462" s="21">
        <v>0</v>
      </c>
      <c r="D2462" s="20" t="str">
        <v>未匹配</v>
      </c>
      <c r="E2462" s="20">
        <v>0</v>
      </c>
    </row>
    <row r="2463" spans="1:5">
      <c r="A2463" s="20" t="str">
        <v>00:00:00</v>
      </c>
      <c r="B2463" s="19">
        <v>0</v>
      </c>
      <c r="C2463" s="21">
        <v>0</v>
      </c>
      <c r="D2463" s="20" t="str">
        <v>未匹配</v>
      </c>
      <c r="E2463" s="20">
        <v>0</v>
      </c>
    </row>
    <row r="2464" spans="1:5">
      <c r="A2464" s="20" t="str">
        <v>00:00:00</v>
      </c>
      <c r="B2464" s="19">
        <v>0</v>
      </c>
      <c r="C2464" s="21">
        <v>0</v>
      </c>
      <c r="D2464" s="20" t="str">
        <v>未匹配</v>
      </c>
      <c r="E2464" s="20">
        <v>0</v>
      </c>
    </row>
    <row r="2465" spans="1:5">
      <c r="A2465" s="20" t="str">
        <v>00:00:00</v>
      </c>
      <c r="B2465" s="19">
        <v>0</v>
      </c>
      <c r="C2465" s="21">
        <v>0</v>
      </c>
      <c r="D2465" s="20" t="str">
        <v>未匹配</v>
      </c>
      <c r="E2465" s="20">
        <v>0</v>
      </c>
    </row>
    <row r="2466" spans="1:5">
      <c r="A2466" s="20" t="str">
        <v>00:00:00</v>
      </c>
      <c r="B2466" s="19">
        <v>0</v>
      </c>
      <c r="C2466" s="21">
        <v>0</v>
      </c>
      <c r="D2466" s="20" t="str">
        <v>未匹配</v>
      </c>
      <c r="E2466" s="20">
        <v>0</v>
      </c>
    </row>
    <row r="2467" spans="1:5">
      <c r="A2467" s="20" t="str">
        <v>00:00:00</v>
      </c>
      <c r="B2467" s="19">
        <v>0</v>
      </c>
      <c r="C2467" s="21">
        <v>0</v>
      </c>
      <c r="D2467" s="20" t="str">
        <v>未匹配</v>
      </c>
      <c r="E2467" s="20">
        <v>0</v>
      </c>
    </row>
    <row r="2468" spans="1:5">
      <c r="A2468" s="20" t="str">
        <v>00:00:00</v>
      </c>
      <c r="B2468" s="19">
        <v>0</v>
      </c>
      <c r="C2468" s="21">
        <v>0</v>
      </c>
      <c r="D2468" s="20" t="str">
        <v>未匹配</v>
      </c>
      <c r="E2468" s="20">
        <v>0</v>
      </c>
    </row>
    <row r="2469" spans="1:5">
      <c r="A2469" s="20" t="str">
        <v>00:00:00</v>
      </c>
      <c r="B2469" s="19">
        <v>0</v>
      </c>
      <c r="C2469" s="21">
        <v>0</v>
      </c>
      <c r="D2469" s="20" t="str">
        <v>未匹配</v>
      </c>
      <c r="E2469" s="20">
        <v>0</v>
      </c>
    </row>
    <row r="2470" spans="1:5">
      <c r="A2470" s="20" t="str">
        <v>00:00:00</v>
      </c>
      <c r="B2470" s="19">
        <v>0</v>
      </c>
      <c r="C2470" s="21">
        <v>0</v>
      </c>
      <c r="D2470" s="20" t="str">
        <v>未匹配</v>
      </c>
      <c r="E2470" s="20">
        <v>0</v>
      </c>
    </row>
    <row r="2471" spans="1:5">
      <c r="A2471" s="20" t="str">
        <v>00:00:00</v>
      </c>
      <c r="B2471" s="19">
        <v>0</v>
      </c>
      <c r="C2471" s="21">
        <v>0</v>
      </c>
      <c r="D2471" s="20" t="str">
        <v>未匹配</v>
      </c>
      <c r="E2471" s="20">
        <v>0</v>
      </c>
    </row>
    <row r="2472" spans="1:5">
      <c r="A2472" s="20" t="str">
        <v>00:00:00</v>
      </c>
      <c r="B2472" s="19">
        <v>0</v>
      </c>
      <c r="C2472" s="21">
        <v>0</v>
      </c>
      <c r="D2472" s="20" t="str">
        <v>未匹配</v>
      </c>
      <c r="E2472" s="20">
        <v>0</v>
      </c>
    </row>
    <row r="2473" spans="1:5">
      <c r="A2473" s="20" t="str">
        <v>00:00:00</v>
      </c>
      <c r="B2473" s="19">
        <v>0</v>
      </c>
      <c r="C2473" s="21">
        <v>0</v>
      </c>
      <c r="D2473" s="20" t="str">
        <v>未匹配</v>
      </c>
      <c r="E2473" s="20">
        <v>0</v>
      </c>
    </row>
    <row r="2474" spans="1:5">
      <c r="A2474" s="20" t="str">
        <v>00:00:00</v>
      </c>
      <c r="B2474" s="19">
        <v>0</v>
      </c>
      <c r="C2474" s="21">
        <v>0</v>
      </c>
      <c r="D2474" s="20" t="str">
        <v>未匹配</v>
      </c>
      <c r="E2474" s="20">
        <v>0</v>
      </c>
    </row>
    <row r="2475" spans="1:5">
      <c r="A2475" s="20" t="str">
        <v>00:00:00</v>
      </c>
      <c r="B2475" s="19">
        <v>0</v>
      </c>
      <c r="C2475" s="21">
        <v>0</v>
      </c>
      <c r="D2475" s="20" t="str">
        <v>未匹配</v>
      </c>
      <c r="E2475" s="20">
        <v>0</v>
      </c>
    </row>
    <row r="2476" spans="1:5">
      <c r="A2476" s="20" t="str">
        <v>00:00:00</v>
      </c>
      <c r="B2476" s="19">
        <v>0</v>
      </c>
      <c r="C2476" s="21">
        <v>0</v>
      </c>
      <c r="D2476" s="20" t="str">
        <v>未匹配</v>
      </c>
      <c r="E2476" s="20">
        <v>0</v>
      </c>
    </row>
    <row r="2477" spans="1:5">
      <c r="A2477" s="20" t="str">
        <v>00:00:00</v>
      </c>
      <c r="B2477" s="19">
        <v>0</v>
      </c>
      <c r="C2477" s="21">
        <v>0</v>
      </c>
      <c r="D2477" s="20" t="str">
        <v>未匹配</v>
      </c>
      <c r="E2477" s="20">
        <v>0</v>
      </c>
    </row>
    <row r="2478" spans="1:5">
      <c r="A2478" s="20" t="str">
        <v>00:00:00</v>
      </c>
      <c r="B2478" s="19">
        <v>0</v>
      </c>
      <c r="C2478" s="21">
        <v>0</v>
      </c>
      <c r="D2478" s="20" t="str">
        <v>未匹配</v>
      </c>
      <c r="E2478" s="20">
        <v>0</v>
      </c>
    </row>
    <row r="2479" spans="1:5">
      <c r="A2479" s="20" t="str">
        <v>00:00:00</v>
      </c>
      <c r="B2479" s="19">
        <v>0</v>
      </c>
      <c r="C2479" s="21">
        <v>0</v>
      </c>
      <c r="D2479" s="20" t="str">
        <v>未匹配</v>
      </c>
      <c r="E2479" s="20">
        <v>0</v>
      </c>
    </row>
    <row r="2480" spans="1:5">
      <c r="A2480" s="20" t="str">
        <v>00:00:00</v>
      </c>
      <c r="B2480" s="19">
        <v>0</v>
      </c>
      <c r="C2480" s="21">
        <v>0</v>
      </c>
      <c r="D2480" s="20" t="str">
        <v>未匹配</v>
      </c>
      <c r="E2480" s="20">
        <v>0</v>
      </c>
    </row>
    <row r="2481" spans="1:5">
      <c r="A2481" s="20" t="str">
        <v>00:00:00</v>
      </c>
      <c r="B2481" s="19">
        <v>0</v>
      </c>
      <c r="C2481" s="21">
        <v>0</v>
      </c>
      <c r="D2481" s="20" t="str">
        <v>未匹配</v>
      </c>
      <c r="E2481" s="20">
        <v>0</v>
      </c>
    </row>
    <row r="2482" spans="1:5">
      <c r="A2482" s="20" t="str">
        <v>00:00:00</v>
      </c>
      <c r="B2482" s="19">
        <v>0</v>
      </c>
      <c r="C2482" s="21">
        <v>0</v>
      </c>
      <c r="D2482" s="20" t="str">
        <v>未匹配</v>
      </c>
      <c r="E2482" s="20">
        <v>0</v>
      </c>
    </row>
    <row r="2483" spans="1:5">
      <c r="A2483" s="20" t="str">
        <v>00:00:00</v>
      </c>
      <c r="B2483" s="19">
        <v>0</v>
      </c>
      <c r="C2483" s="21">
        <v>0</v>
      </c>
      <c r="D2483" s="20" t="str">
        <v>未匹配</v>
      </c>
      <c r="E2483" s="20">
        <v>0</v>
      </c>
    </row>
    <row r="2484" spans="1:5">
      <c r="A2484" s="20" t="str">
        <v>00:00:00</v>
      </c>
      <c r="B2484" s="19">
        <v>0</v>
      </c>
      <c r="C2484" s="21">
        <v>0</v>
      </c>
      <c r="D2484" s="20" t="str">
        <v>未匹配</v>
      </c>
      <c r="E2484" s="20">
        <v>0</v>
      </c>
    </row>
    <row r="2485" spans="1:5">
      <c r="A2485" s="20" t="str">
        <v>00:00:00</v>
      </c>
      <c r="B2485" s="19">
        <v>0</v>
      </c>
      <c r="C2485" s="21">
        <v>0</v>
      </c>
      <c r="D2485" s="20" t="str">
        <v>未匹配</v>
      </c>
      <c r="E2485" s="20">
        <v>0</v>
      </c>
    </row>
    <row r="2486" spans="1:5">
      <c r="A2486" s="20" t="str">
        <v>00:00:00</v>
      </c>
      <c r="B2486" s="19">
        <v>0</v>
      </c>
      <c r="C2486" s="21">
        <v>0</v>
      </c>
      <c r="D2486" s="20" t="str">
        <v>未匹配</v>
      </c>
      <c r="E2486" s="20">
        <v>0</v>
      </c>
    </row>
    <row r="2487" spans="1:5">
      <c r="A2487" s="20" t="str">
        <v>00:00:00</v>
      </c>
      <c r="B2487" s="19">
        <v>0</v>
      </c>
      <c r="C2487" s="21">
        <v>0</v>
      </c>
      <c r="D2487" s="20" t="str">
        <v>未匹配</v>
      </c>
      <c r="E2487" s="20">
        <v>0</v>
      </c>
    </row>
    <row r="2488" spans="1:5">
      <c r="A2488" s="20" t="str">
        <v>00:00:00</v>
      </c>
      <c r="B2488" s="19">
        <v>0</v>
      </c>
      <c r="C2488" s="21">
        <v>0</v>
      </c>
      <c r="D2488" s="20" t="str">
        <v>未匹配</v>
      </c>
      <c r="E2488" s="20">
        <v>0</v>
      </c>
    </row>
    <row r="2489" spans="1:5">
      <c r="A2489" s="20" t="str">
        <v>00:00:00</v>
      </c>
      <c r="B2489" s="19">
        <v>0</v>
      </c>
      <c r="C2489" s="21">
        <v>0</v>
      </c>
      <c r="D2489" s="20" t="str">
        <v>未匹配</v>
      </c>
      <c r="E2489" s="20">
        <v>0</v>
      </c>
    </row>
    <row r="2490" spans="1:5">
      <c r="A2490" s="20" t="str">
        <v>00:00:00</v>
      </c>
      <c r="B2490" s="19">
        <v>0</v>
      </c>
      <c r="C2490" s="21">
        <v>0</v>
      </c>
      <c r="D2490" s="20" t="str">
        <v>未匹配</v>
      </c>
      <c r="E2490" s="20">
        <v>0</v>
      </c>
    </row>
    <row r="2491" spans="1:5">
      <c r="A2491" s="20" t="str">
        <v>00:00:00</v>
      </c>
      <c r="B2491" s="19">
        <v>0</v>
      </c>
      <c r="C2491" s="21">
        <v>0</v>
      </c>
      <c r="D2491" s="20" t="str">
        <v>未匹配</v>
      </c>
      <c r="E2491" s="20">
        <v>0</v>
      </c>
    </row>
    <row r="2492" spans="1:5">
      <c r="A2492" s="20" t="str">
        <v>00:00:00</v>
      </c>
      <c r="B2492" s="19">
        <v>0</v>
      </c>
      <c r="C2492" s="21">
        <v>0</v>
      </c>
      <c r="D2492" s="20" t="str">
        <v>未匹配</v>
      </c>
      <c r="E2492" s="20">
        <v>0</v>
      </c>
    </row>
    <row r="2493" spans="1:5">
      <c r="A2493" s="20" t="str">
        <v>00:00:00</v>
      </c>
      <c r="B2493" s="19">
        <v>0</v>
      </c>
      <c r="C2493" s="21">
        <v>0</v>
      </c>
      <c r="D2493" s="20" t="str">
        <v>未匹配</v>
      </c>
      <c r="E2493" s="20">
        <v>0</v>
      </c>
    </row>
    <row r="2494" spans="1:5">
      <c r="A2494" s="20" t="str">
        <v>00:00:00</v>
      </c>
      <c r="B2494" s="19">
        <v>0</v>
      </c>
      <c r="C2494" s="21">
        <v>0</v>
      </c>
      <c r="D2494" s="20" t="str">
        <v>未匹配</v>
      </c>
      <c r="E2494" s="20">
        <v>0</v>
      </c>
    </row>
    <row r="2495" spans="1:5">
      <c r="A2495" s="20" t="str">
        <v>00:00:00</v>
      </c>
      <c r="B2495" s="19">
        <v>0</v>
      </c>
      <c r="C2495" s="21">
        <v>0</v>
      </c>
      <c r="D2495" s="20" t="str">
        <v>未匹配</v>
      </c>
      <c r="E2495" s="20">
        <v>0</v>
      </c>
    </row>
    <row r="2496" spans="1:5">
      <c r="A2496" s="20" t="str">
        <v>00:00:00</v>
      </c>
      <c r="B2496" s="19">
        <v>0</v>
      </c>
      <c r="C2496" s="21">
        <v>0</v>
      </c>
      <c r="D2496" s="20" t="str">
        <v>未匹配</v>
      </c>
      <c r="E2496" s="20">
        <v>0</v>
      </c>
    </row>
    <row r="2497" spans="1:5">
      <c r="A2497" s="20" t="str">
        <v>00:00:00</v>
      </c>
      <c r="B2497" s="19">
        <v>0</v>
      </c>
      <c r="C2497" s="21">
        <v>0</v>
      </c>
      <c r="D2497" s="20" t="str">
        <v>未匹配</v>
      </c>
      <c r="E2497" s="20">
        <v>0</v>
      </c>
    </row>
    <row r="2498" spans="1:5">
      <c r="A2498" s="20" t="str">
        <v>00:00:00</v>
      </c>
      <c r="B2498" s="19">
        <v>0</v>
      </c>
      <c r="C2498" s="21">
        <v>0</v>
      </c>
      <c r="D2498" s="20" t="str">
        <v>未匹配</v>
      </c>
      <c r="E2498" s="20">
        <v>0</v>
      </c>
    </row>
    <row r="2499" spans="1:5">
      <c r="A2499" s="20" t="str">
        <v>00:00:00</v>
      </c>
      <c r="B2499" s="19">
        <v>0</v>
      </c>
      <c r="C2499" s="21">
        <v>0</v>
      </c>
      <c r="D2499" s="20" t="str">
        <v>未匹配</v>
      </c>
      <c r="E2499" s="20">
        <v>0</v>
      </c>
    </row>
    <row r="2500" spans="1:5">
      <c r="A2500" s="20" t="str">
        <v>00:00:00</v>
      </c>
      <c r="B2500" s="19">
        <v>0</v>
      </c>
      <c r="C2500" s="21">
        <v>0</v>
      </c>
      <c r="D2500" s="20" t="str">
        <v>未匹配</v>
      </c>
      <c r="E2500" s="20">
        <v>0</v>
      </c>
    </row>
    <row r="2501" spans="1:5">
      <c r="A2501" s="20" t="str">
        <v>00:00:00</v>
      </c>
      <c r="B2501" s="19">
        <v>0</v>
      </c>
      <c r="C2501" s="21">
        <v>0</v>
      </c>
      <c r="D2501" s="20" t="str">
        <v>未匹配</v>
      </c>
      <c r="E2501" s="20">
        <v>0</v>
      </c>
    </row>
    <row r="2502" spans="1:5">
      <c r="A2502" s="20" t="str">
        <v>00:00:00</v>
      </c>
      <c r="B2502" s="19">
        <v>0</v>
      </c>
      <c r="C2502" s="21">
        <v>0</v>
      </c>
      <c r="D2502" s="20" t="str">
        <v>未匹配</v>
      </c>
      <c r="E2502" s="20">
        <v>0</v>
      </c>
    </row>
    <row r="2503" spans="1:5">
      <c r="A2503" s="20" t="str">
        <v>00:00:00</v>
      </c>
      <c r="B2503" s="19">
        <v>0</v>
      </c>
      <c r="C2503" s="21">
        <v>0</v>
      </c>
      <c r="D2503" s="20" t="str">
        <v>未匹配</v>
      </c>
      <c r="E2503" s="20">
        <v>0</v>
      </c>
    </row>
    <row r="2504" spans="1:5">
      <c r="A2504" s="20" t="str">
        <v>00:00:00</v>
      </c>
      <c r="B2504" s="19">
        <v>0</v>
      </c>
      <c r="C2504" s="21">
        <v>0</v>
      </c>
      <c r="D2504" s="20" t="str">
        <v>未匹配</v>
      </c>
      <c r="E2504" s="20">
        <v>0</v>
      </c>
    </row>
    <row r="2505" spans="1:5">
      <c r="A2505" s="20" t="str">
        <v>00:00:00</v>
      </c>
      <c r="B2505" s="19">
        <v>0</v>
      </c>
      <c r="C2505" s="21">
        <v>0</v>
      </c>
      <c r="D2505" s="20" t="str">
        <v>未匹配</v>
      </c>
      <c r="E2505" s="20">
        <v>0</v>
      </c>
    </row>
    <row r="2506" spans="1:5">
      <c r="A2506" s="20" t="str">
        <v>00:00:00</v>
      </c>
      <c r="B2506" s="19">
        <v>0</v>
      </c>
      <c r="C2506" s="21">
        <v>0</v>
      </c>
      <c r="D2506" s="20" t="str">
        <v>未匹配</v>
      </c>
      <c r="E2506" s="20">
        <v>0</v>
      </c>
    </row>
    <row r="2507" spans="1:5">
      <c r="A2507" s="20" t="str">
        <v>00:00:00</v>
      </c>
      <c r="B2507" s="19">
        <v>0</v>
      </c>
      <c r="C2507" s="21">
        <v>0</v>
      </c>
      <c r="D2507" s="20" t="str">
        <v>未匹配</v>
      </c>
      <c r="E2507" s="20">
        <v>0</v>
      </c>
    </row>
    <row r="2508" spans="1:5">
      <c r="A2508" s="20" t="str">
        <v>00:00:00</v>
      </c>
      <c r="B2508" s="19">
        <v>0</v>
      </c>
      <c r="C2508" s="21">
        <v>0</v>
      </c>
      <c r="D2508" s="20" t="str">
        <v>未匹配</v>
      </c>
      <c r="E2508" s="20">
        <v>0</v>
      </c>
    </row>
    <row r="2509" spans="1:5">
      <c r="A2509" s="20" t="str">
        <v>00:00:00</v>
      </c>
      <c r="B2509" s="19">
        <v>0</v>
      </c>
      <c r="C2509" s="21">
        <v>0</v>
      </c>
      <c r="D2509" s="20" t="str">
        <v>未匹配</v>
      </c>
      <c r="E2509" s="20">
        <v>0</v>
      </c>
    </row>
    <row r="2510" spans="1:5">
      <c r="A2510" s="20" t="str">
        <v>00:00:00</v>
      </c>
      <c r="B2510" s="19">
        <v>0</v>
      </c>
      <c r="C2510" s="21">
        <v>0</v>
      </c>
      <c r="D2510" s="20" t="str">
        <v>未匹配</v>
      </c>
      <c r="E2510" s="20">
        <v>0</v>
      </c>
    </row>
    <row r="2511" spans="1:5">
      <c r="A2511" s="20" t="str">
        <v>00:00:00</v>
      </c>
      <c r="B2511" s="19">
        <v>0</v>
      </c>
      <c r="C2511" s="21">
        <v>0</v>
      </c>
      <c r="D2511" s="20" t="str">
        <v>未匹配</v>
      </c>
      <c r="E2511" s="20">
        <v>0</v>
      </c>
    </row>
    <row r="2512" spans="1:5">
      <c r="A2512" s="20" t="str">
        <v>00:00:00</v>
      </c>
      <c r="B2512" s="19">
        <v>0</v>
      </c>
      <c r="C2512" s="21">
        <v>0</v>
      </c>
      <c r="D2512" s="20" t="str">
        <v>未匹配</v>
      </c>
      <c r="E2512" s="20">
        <v>0</v>
      </c>
    </row>
    <row r="2513" spans="1:5">
      <c r="A2513" s="20" t="str">
        <v>00:00:00</v>
      </c>
      <c r="B2513" s="19">
        <v>0</v>
      </c>
      <c r="C2513" s="21">
        <v>0</v>
      </c>
      <c r="D2513" s="20" t="str">
        <v>未匹配</v>
      </c>
      <c r="E2513" s="20">
        <v>0</v>
      </c>
    </row>
    <row r="2514" spans="1:5">
      <c r="A2514" s="20" t="str">
        <v>00:00:00</v>
      </c>
      <c r="B2514" s="19">
        <v>0</v>
      </c>
      <c r="C2514" s="21">
        <v>0</v>
      </c>
      <c r="D2514" s="20" t="str">
        <v>未匹配</v>
      </c>
      <c r="E2514" s="20">
        <v>0</v>
      </c>
    </row>
    <row r="2515" spans="1:5">
      <c r="A2515" s="20" t="str">
        <v>00:00:00</v>
      </c>
      <c r="B2515" s="19">
        <v>0</v>
      </c>
      <c r="C2515" s="21">
        <v>0</v>
      </c>
      <c r="D2515" s="20" t="str">
        <v>未匹配</v>
      </c>
      <c r="E2515" s="20">
        <v>0</v>
      </c>
    </row>
    <row r="2516" spans="1:5">
      <c r="A2516" s="20" t="str">
        <v>00:00:00</v>
      </c>
      <c r="B2516" s="19">
        <v>0</v>
      </c>
      <c r="C2516" s="21">
        <v>0</v>
      </c>
      <c r="D2516" s="20" t="str">
        <v>未匹配</v>
      </c>
      <c r="E2516" s="20">
        <v>0</v>
      </c>
    </row>
    <row r="2517" spans="1:5">
      <c r="A2517" s="20" t="str">
        <v>00:00:00</v>
      </c>
      <c r="B2517" s="19">
        <v>0</v>
      </c>
      <c r="C2517" s="21">
        <v>0</v>
      </c>
      <c r="D2517" s="20" t="str">
        <v>未匹配</v>
      </c>
      <c r="E2517" s="20">
        <v>0</v>
      </c>
    </row>
    <row r="2518" spans="1:5">
      <c r="A2518" s="20" t="str">
        <v>00:00:00</v>
      </c>
      <c r="B2518" s="19">
        <v>0</v>
      </c>
      <c r="C2518" s="21">
        <v>0</v>
      </c>
      <c r="D2518" s="20" t="str">
        <v>未匹配</v>
      </c>
      <c r="E2518" s="20">
        <v>0</v>
      </c>
    </row>
    <row r="2519" spans="1:5">
      <c r="A2519" s="20" t="str">
        <v>00:00:00</v>
      </c>
      <c r="B2519" s="19">
        <v>0</v>
      </c>
      <c r="C2519" s="21">
        <v>0</v>
      </c>
      <c r="D2519" s="20" t="str">
        <v>未匹配</v>
      </c>
      <c r="E2519" s="20">
        <v>0</v>
      </c>
    </row>
    <row r="2520" spans="1:5">
      <c r="A2520" s="20" t="str">
        <v>00:00:00</v>
      </c>
      <c r="B2520" s="19">
        <v>0</v>
      </c>
      <c r="C2520" s="21">
        <v>0</v>
      </c>
      <c r="D2520" s="20" t="str">
        <v>未匹配</v>
      </c>
      <c r="E2520" s="20">
        <v>0</v>
      </c>
    </row>
    <row r="2521" spans="1:5">
      <c r="A2521" s="20" t="str">
        <v>00:00:00</v>
      </c>
      <c r="B2521" s="19">
        <v>0</v>
      </c>
      <c r="C2521" s="21">
        <v>0</v>
      </c>
      <c r="D2521" s="20" t="str">
        <v>未匹配</v>
      </c>
      <c r="E2521" s="20">
        <v>0</v>
      </c>
    </row>
    <row r="2522" spans="1:5">
      <c r="A2522" s="20" t="str">
        <v>00:00:00</v>
      </c>
      <c r="B2522" s="19">
        <v>0</v>
      </c>
      <c r="C2522" s="21">
        <v>0</v>
      </c>
      <c r="D2522" s="20" t="str">
        <v>未匹配</v>
      </c>
      <c r="E2522" s="20">
        <v>0</v>
      </c>
    </row>
    <row r="2523" spans="1:5">
      <c r="A2523" s="20" t="str">
        <v>00:00:00</v>
      </c>
      <c r="B2523" s="19">
        <v>0</v>
      </c>
      <c r="C2523" s="21">
        <v>0</v>
      </c>
      <c r="D2523" s="20" t="str">
        <v>未匹配</v>
      </c>
      <c r="E2523" s="20">
        <v>0</v>
      </c>
    </row>
    <row r="2524" spans="1:5">
      <c r="A2524" s="20" t="str">
        <v>00:00:00</v>
      </c>
      <c r="B2524" s="19">
        <v>0</v>
      </c>
      <c r="C2524" s="21">
        <v>0</v>
      </c>
      <c r="D2524" s="20" t="str">
        <v>未匹配</v>
      </c>
      <c r="E2524" s="20">
        <v>0</v>
      </c>
    </row>
    <row r="2525" spans="1:5">
      <c r="A2525" s="20" t="str">
        <v>00:00:00</v>
      </c>
      <c r="B2525" s="19">
        <v>0</v>
      </c>
      <c r="C2525" s="21">
        <v>0</v>
      </c>
      <c r="D2525" s="20" t="str">
        <v>未匹配</v>
      </c>
      <c r="E2525" s="20">
        <v>0</v>
      </c>
    </row>
    <row r="2526" spans="1:5">
      <c r="A2526" s="20" t="str">
        <v>00:00:00</v>
      </c>
      <c r="B2526" s="19">
        <v>0</v>
      </c>
      <c r="C2526" s="21">
        <v>0</v>
      </c>
      <c r="D2526" s="20" t="str">
        <v>未匹配</v>
      </c>
      <c r="E2526" s="20">
        <v>0</v>
      </c>
    </row>
    <row r="2527" spans="1:5">
      <c r="A2527" s="20" t="str">
        <v>00:00:00</v>
      </c>
      <c r="B2527" s="19">
        <v>0</v>
      </c>
      <c r="C2527" s="21">
        <v>0</v>
      </c>
      <c r="D2527" s="20" t="str">
        <v>未匹配</v>
      </c>
      <c r="E2527" s="20">
        <v>0</v>
      </c>
    </row>
    <row r="2528" spans="1:5">
      <c r="A2528" s="20" t="str">
        <v>00:00:00</v>
      </c>
      <c r="B2528" s="19">
        <v>0</v>
      </c>
      <c r="C2528" s="21">
        <v>0</v>
      </c>
      <c r="D2528" s="20" t="str">
        <v>未匹配</v>
      </c>
      <c r="E2528" s="20">
        <v>0</v>
      </c>
    </row>
    <row r="2529" spans="1:5">
      <c r="A2529" s="20" t="str">
        <v>00:00:00</v>
      </c>
      <c r="B2529" s="19">
        <v>0</v>
      </c>
      <c r="C2529" s="21">
        <v>0</v>
      </c>
      <c r="D2529" s="20" t="str">
        <v>未匹配</v>
      </c>
      <c r="E2529" s="20">
        <v>0</v>
      </c>
    </row>
    <row r="2530" spans="1:5">
      <c r="A2530" s="20" t="str">
        <v>00:00:00</v>
      </c>
      <c r="B2530" s="19">
        <v>0</v>
      </c>
      <c r="C2530" s="21">
        <v>0</v>
      </c>
      <c r="D2530" s="20" t="str">
        <v>未匹配</v>
      </c>
      <c r="E2530" s="20">
        <v>0</v>
      </c>
    </row>
    <row r="2531" spans="1:5">
      <c r="A2531" s="20" t="str">
        <v>00:00:00</v>
      </c>
      <c r="B2531" s="19">
        <v>0</v>
      </c>
      <c r="C2531" s="21">
        <v>0</v>
      </c>
      <c r="D2531" s="20" t="str">
        <v>未匹配</v>
      </c>
      <c r="E2531" s="20">
        <v>0</v>
      </c>
    </row>
    <row r="2532" spans="1:5">
      <c r="A2532" s="20" t="str">
        <v>00:00:00</v>
      </c>
      <c r="B2532" s="19">
        <v>0</v>
      </c>
      <c r="C2532" s="21">
        <v>0</v>
      </c>
      <c r="D2532" s="20" t="str">
        <v>未匹配</v>
      </c>
      <c r="E2532" s="20">
        <v>0</v>
      </c>
    </row>
    <row r="2533" spans="1:5">
      <c r="A2533" s="20" t="str">
        <v>00:00:00</v>
      </c>
      <c r="B2533" s="19">
        <v>0</v>
      </c>
      <c r="C2533" s="21">
        <v>0</v>
      </c>
      <c r="D2533" s="20" t="str">
        <v>未匹配</v>
      </c>
      <c r="E2533" s="20">
        <v>0</v>
      </c>
    </row>
    <row r="2534" spans="1:5">
      <c r="A2534" s="20" t="str">
        <v>00:00:00</v>
      </c>
      <c r="B2534" s="19">
        <v>0</v>
      </c>
      <c r="C2534" s="21">
        <v>0</v>
      </c>
      <c r="D2534" s="20" t="str">
        <v>未匹配</v>
      </c>
      <c r="E2534" s="20">
        <v>0</v>
      </c>
    </row>
    <row r="2535" spans="1:5">
      <c r="A2535" s="20" t="str">
        <v>00:00:00</v>
      </c>
      <c r="B2535" s="19">
        <v>0</v>
      </c>
      <c r="C2535" s="21">
        <v>0</v>
      </c>
      <c r="D2535" s="20" t="str">
        <v>未匹配</v>
      </c>
      <c r="E2535" s="20">
        <v>0</v>
      </c>
    </row>
    <row r="2536" spans="1:5">
      <c r="A2536" s="20" t="str">
        <v>00:00:00</v>
      </c>
      <c r="B2536" s="19">
        <v>0</v>
      </c>
      <c r="C2536" s="21">
        <v>0</v>
      </c>
      <c r="D2536" s="20" t="str">
        <v>未匹配</v>
      </c>
      <c r="E2536" s="20">
        <v>0</v>
      </c>
    </row>
    <row r="2537" spans="1:5">
      <c r="A2537" s="20" t="str">
        <v>00:00:00</v>
      </c>
      <c r="B2537" s="19">
        <v>0</v>
      </c>
      <c r="C2537" s="21">
        <v>0</v>
      </c>
      <c r="D2537" s="20" t="str">
        <v>未匹配</v>
      </c>
      <c r="E2537" s="20">
        <v>0</v>
      </c>
    </row>
    <row r="2538" spans="1:5">
      <c r="A2538" s="20" t="str">
        <v>00:00:00</v>
      </c>
      <c r="B2538" s="19">
        <v>0</v>
      </c>
      <c r="C2538" s="21">
        <v>0</v>
      </c>
      <c r="D2538" s="20" t="str">
        <v>未匹配</v>
      </c>
      <c r="E2538" s="20">
        <v>0</v>
      </c>
    </row>
    <row r="2539" spans="1:5">
      <c r="A2539" s="20" t="str">
        <v>00:00:00</v>
      </c>
      <c r="B2539" s="19">
        <v>0</v>
      </c>
      <c r="C2539" s="21">
        <v>0</v>
      </c>
      <c r="D2539" s="20" t="str">
        <v>未匹配</v>
      </c>
      <c r="E2539" s="20">
        <v>0</v>
      </c>
    </row>
    <row r="2540" spans="1:5">
      <c r="A2540" s="20" t="str">
        <v>00:00:00</v>
      </c>
      <c r="B2540" s="19">
        <v>0</v>
      </c>
      <c r="C2540" s="21">
        <v>0</v>
      </c>
      <c r="D2540" s="20" t="str">
        <v>未匹配</v>
      </c>
      <c r="E2540" s="20">
        <v>0</v>
      </c>
    </row>
    <row r="2541" spans="1:5">
      <c r="A2541" s="20" t="str">
        <v>00:00:00</v>
      </c>
      <c r="B2541" s="19">
        <v>0</v>
      </c>
      <c r="C2541" s="21">
        <v>0</v>
      </c>
      <c r="D2541" s="20" t="str">
        <v>未匹配</v>
      </c>
      <c r="E2541" s="20">
        <v>0</v>
      </c>
    </row>
    <row r="2542" spans="1:5">
      <c r="A2542" s="20" t="str">
        <v>00:00:00</v>
      </c>
      <c r="B2542" s="19">
        <v>0</v>
      </c>
      <c r="C2542" s="21">
        <v>0</v>
      </c>
      <c r="D2542" s="20" t="str">
        <v>未匹配</v>
      </c>
      <c r="E2542" s="20">
        <v>0</v>
      </c>
    </row>
    <row r="2543" spans="1:5">
      <c r="A2543" s="20" t="str">
        <v>00:00:00</v>
      </c>
      <c r="B2543" s="19">
        <v>0</v>
      </c>
      <c r="C2543" s="21">
        <v>0</v>
      </c>
      <c r="D2543" s="20" t="str">
        <v>未匹配</v>
      </c>
      <c r="E2543" s="20">
        <v>0</v>
      </c>
    </row>
    <row r="2544" spans="1:5">
      <c r="A2544" s="20" t="str">
        <v>00:00:00</v>
      </c>
      <c r="B2544" s="19">
        <v>0</v>
      </c>
      <c r="C2544" s="21">
        <v>0</v>
      </c>
      <c r="D2544" s="20" t="str">
        <v>未匹配</v>
      </c>
      <c r="E2544" s="20">
        <v>0</v>
      </c>
    </row>
    <row r="2545" spans="1:5">
      <c r="A2545" s="20" t="str">
        <v>00:00:00</v>
      </c>
      <c r="B2545" s="19">
        <v>0</v>
      </c>
      <c r="C2545" s="21">
        <v>0</v>
      </c>
      <c r="D2545" s="20" t="str">
        <v>未匹配</v>
      </c>
      <c r="E2545" s="20">
        <v>0</v>
      </c>
    </row>
    <row r="2546" spans="1:5">
      <c r="A2546" s="20" t="str">
        <v>00:00:00</v>
      </c>
      <c r="B2546" s="19">
        <v>0</v>
      </c>
      <c r="C2546" s="21">
        <v>0</v>
      </c>
      <c r="D2546" s="20" t="str">
        <v>未匹配</v>
      </c>
      <c r="E2546" s="20">
        <v>0</v>
      </c>
    </row>
    <row r="2547" spans="1:5">
      <c r="A2547" s="20" t="str">
        <v>00:00:00</v>
      </c>
      <c r="B2547" s="19">
        <v>0</v>
      </c>
      <c r="C2547" s="21">
        <v>0</v>
      </c>
      <c r="D2547" s="20" t="str">
        <v>未匹配</v>
      </c>
      <c r="E2547" s="20">
        <v>0</v>
      </c>
    </row>
    <row r="2548" spans="1:5">
      <c r="A2548" s="20" t="str">
        <v>00:00:00</v>
      </c>
      <c r="B2548" s="19">
        <v>0</v>
      </c>
      <c r="C2548" s="21">
        <v>0</v>
      </c>
      <c r="D2548" s="20" t="str">
        <v>未匹配</v>
      </c>
      <c r="E2548" s="20">
        <v>0</v>
      </c>
    </row>
    <row r="2549" spans="1:5">
      <c r="A2549" s="20" t="str">
        <v>00:00:00</v>
      </c>
      <c r="B2549" s="19">
        <v>0</v>
      </c>
      <c r="C2549" s="21">
        <v>0</v>
      </c>
      <c r="D2549" s="20" t="str">
        <v>未匹配</v>
      </c>
      <c r="E2549" s="20">
        <v>0</v>
      </c>
    </row>
    <row r="2550" spans="1:5">
      <c r="A2550" s="20" t="str">
        <v>00:00:00</v>
      </c>
      <c r="B2550" s="19">
        <v>0</v>
      </c>
      <c r="C2550" s="21">
        <v>0</v>
      </c>
      <c r="D2550" s="20" t="str">
        <v>未匹配</v>
      </c>
      <c r="E2550" s="20">
        <v>0</v>
      </c>
    </row>
    <row r="2551" spans="1:5">
      <c r="A2551" s="20" t="str">
        <v>00:00:00</v>
      </c>
      <c r="B2551" s="19">
        <v>0</v>
      </c>
      <c r="C2551" s="21">
        <v>0</v>
      </c>
      <c r="D2551" s="20" t="str">
        <v>未匹配</v>
      </c>
      <c r="E2551" s="20">
        <v>0</v>
      </c>
    </row>
    <row r="2552" spans="1:5">
      <c r="A2552" s="20" t="str">
        <v>00:00:00</v>
      </c>
      <c r="B2552" s="19">
        <v>0</v>
      </c>
      <c r="C2552" s="21">
        <v>0</v>
      </c>
      <c r="D2552" s="20" t="str">
        <v>未匹配</v>
      </c>
      <c r="E2552" s="20">
        <v>0</v>
      </c>
    </row>
    <row r="2553" spans="1:5">
      <c r="A2553" s="20" t="str">
        <v>00:00:00</v>
      </c>
      <c r="B2553" s="19">
        <v>0</v>
      </c>
      <c r="C2553" s="21">
        <v>0</v>
      </c>
      <c r="D2553" s="20" t="str">
        <v>未匹配</v>
      </c>
      <c r="E2553" s="20">
        <v>0</v>
      </c>
    </row>
    <row r="2554" spans="1:5">
      <c r="A2554" s="20" t="str">
        <v>00:00:00</v>
      </c>
      <c r="B2554" s="19">
        <v>0</v>
      </c>
      <c r="C2554" s="21">
        <v>0</v>
      </c>
      <c r="D2554" s="20" t="str">
        <v>未匹配</v>
      </c>
      <c r="E2554" s="20">
        <v>0</v>
      </c>
    </row>
    <row r="2555" spans="1:5">
      <c r="A2555" s="20" t="str">
        <v>00:00:00</v>
      </c>
      <c r="B2555" s="19">
        <v>0</v>
      </c>
      <c r="C2555" s="21">
        <v>0</v>
      </c>
      <c r="D2555" s="20" t="str">
        <v>未匹配</v>
      </c>
      <c r="E2555" s="20">
        <v>0</v>
      </c>
    </row>
    <row r="2556" spans="1:5">
      <c r="A2556" s="20" t="str">
        <v>00:00:00</v>
      </c>
      <c r="B2556" s="19">
        <v>0</v>
      </c>
      <c r="C2556" s="21">
        <v>0</v>
      </c>
      <c r="D2556" s="20" t="str">
        <v>未匹配</v>
      </c>
      <c r="E2556" s="20">
        <v>0</v>
      </c>
    </row>
    <row r="2557" spans="1:5">
      <c r="A2557" s="20" t="str">
        <v>00:00:00</v>
      </c>
      <c r="B2557" s="19">
        <v>0</v>
      </c>
      <c r="C2557" s="21">
        <v>0</v>
      </c>
      <c r="D2557" s="20" t="str">
        <v>未匹配</v>
      </c>
      <c r="E2557" s="20">
        <v>0</v>
      </c>
    </row>
    <row r="2558" spans="1:5">
      <c r="A2558" s="20" t="str">
        <v>00:00:00</v>
      </c>
      <c r="B2558" s="19">
        <v>0</v>
      </c>
      <c r="C2558" s="21">
        <v>0</v>
      </c>
      <c r="D2558" s="20" t="str">
        <v>未匹配</v>
      </c>
      <c r="E2558" s="20">
        <v>0</v>
      </c>
    </row>
    <row r="2559" spans="1:5">
      <c r="A2559" s="20" t="str">
        <v>00:00:00</v>
      </c>
      <c r="B2559" s="19">
        <v>0</v>
      </c>
      <c r="C2559" s="21">
        <v>0</v>
      </c>
      <c r="D2559" s="20" t="str">
        <v>未匹配</v>
      </c>
      <c r="E2559" s="20">
        <v>0</v>
      </c>
    </row>
    <row r="2560" spans="1:5">
      <c r="A2560" s="20" t="str">
        <v>00:00:00</v>
      </c>
      <c r="B2560" s="19">
        <v>0</v>
      </c>
      <c r="C2560" s="21">
        <v>0</v>
      </c>
      <c r="D2560" s="20" t="str">
        <v>未匹配</v>
      </c>
      <c r="E2560" s="20">
        <v>0</v>
      </c>
    </row>
    <row r="2561" spans="1:5">
      <c r="A2561" s="20" t="str">
        <v>00:00:00</v>
      </c>
      <c r="B2561" s="19">
        <v>0</v>
      </c>
      <c r="C2561" s="21">
        <v>0</v>
      </c>
      <c r="D2561" s="20" t="str">
        <v>未匹配</v>
      </c>
      <c r="E2561" s="20">
        <v>0</v>
      </c>
    </row>
    <row r="2562" spans="1:5">
      <c r="A2562" s="20" t="str">
        <v>00:00:00</v>
      </c>
      <c r="B2562" s="19">
        <v>0</v>
      </c>
      <c r="C2562" s="21">
        <v>0</v>
      </c>
      <c r="D2562" s="20" t="str">
        <v>未匹配</v>
      </c>
      <c r="E2562" s="20">
        <v>0</v>
      </c>
    </row>
    <row r="2563" spans="1:5">
      <c r="A2563" s="20" t="str">
        <v>00:00:00</v>
      </c>
      <c r="B2563" s="19">
        <v>0</v>
      </c>
      <c r="C2563" s="21">
        <v>0</v>
      </c>
      <c r="D2563" s="20" t="str">
        <v>未匹配</v>
      </c>
      <c r="E2563" s="20">
        <v>0</v>
      </c>
    </row>
    <row r="2564" spans="1:5">
      <c r="A2564" s="20" t="str">
        <v>00:00:00</v>
      </c>
      <c r="B2564" s="19">
        <v>0</v>
      </c>
      <c r="C2564" s="21">
        <v>0</v>
      </c>
      <c r="D2564" s="20" t="str">
        <v>未匹配</v>
      </c>
      <c r="E2564" s="20">
        <v>0</v>
      </c>
    </row>
    <row r="2565" spans="1:5">
      <c r="A2565" s="20" t="str">
        <v>00:00:00</v>
      </c>
      <c r="B2565" s="19">
        <v>0</v>
      </c>
      <c r="C2565" s="21">
        <v>0</v>
      </c>
      <c r="D2565" s="20" t="str">
        <v>未匹配</v>
      </c>
      <c r="E2565" s="20">
        <v>0</v>
      </c>
    </row>
    <row r="2566" spans="1:5">
      <c r="A2566" s="20" t="str">
        <v>00:00:00</v>
      </c>
      <c r="B2566" s="19">
        <v>0</v>
      </c>
      <c r="C2566" s="21">
        <v>0</v>
      </c>
      <c r="D2566" s="20" t="str">
        <v>未匹配</v>
      </c>
      <c r="E2566" s="20">
        <v>0</v>
      </c>
    </row>
    <row r="2567" spans="1:5">
      <c r="A2567" s="20" t="str">
        <v>00:00:00</v>
      </c>
      <c r="B2567" s="19">
        <v>0</v>
      </c>
      <c r="C2567" s="21">
        <v>0</v>
      </c>
      <c r="D2567" s="20" t="str">
        <v>未匹配</v>
      </c>
      <c r="E2567" s="20">
        <v>0</v>
      </c>
    </row>
    <row r="2568" spans="1:5">
      <c r="A2568" s="20" t="str">
        <v>00:00:00</v>
      </c>
      <c r="B2568" s="19">
        <v>0</v>
      </c>
      <c r="C2568" s="21">
        <v>0</v>
      </c>
      <c r="D2568" s="20" t="str">
        <v>未匹配</v>
      </c>
      <c r="E2568" s="20">
        <v>0</v>
      </c>
    </row>
    <row r="2569" spans="1:5">
      <c r="A2569" s="20" t="str">
        <v>00:00:00</v>
      </c>
      <c r="B2569" s="19">
        <v>0</v>
      </c>
      <c r="C2569" s="21">
        <v>0</v>
      </c>
      <c r="D2569" s="20" t="str">
        <v>未匹配</v>
      </c>
      <c r="E2569" s="20">
        <v>0</v>
      </c>
    </row>
    <row r="2570" spans="1:5">
      <c r="A2570" s="20" t="str">
        <v>00:00:00</v>
      </c>
      <c r="B2570" s="19">
        <v>0</v>
      </c>
      <c r="C2570" s="21">
        <v>0</v>
      </c>
      <c r="D2570" s="20" t="str">
        <v>未匹配</v>
      </c>
      <c r="E2570" s="20">
        <v>0</v>
      </c>
    </row>
    <row r="2571" spans="1:5">
      <c r="A2571" s="20" t="str">
        <v>00:00:00</v>
      </c>
      <c r="B2571" s="19">
        <v>0</v>
      </c>
      <c r="C2571" s="21">
        <v>0</v>
      </c>
      <c r="D2571" s="20" t="str">
        <v>未匹配</v>
      </c>
      <c r="E2571" s="20">
        <v>0</v>
      </c>
    </row>
    <row r="2572" spans="1:5">
      <c r="A2572" s="20" t="str">
        <v>00:00:00</v>
      </c>
      <c r="B2572" s="19">
        <v>0</v>
      </c>
      <c r="C2572" s="21">
        <v>0</v>
      </c>
      <c r="D2572" s="20" t="str">
        <v>未匹配</v>
      </c>
      <c r="E2572" s="20">
        <v>0</v>
      </c>
    </row>
    <row r="2573" spans="1:5">
      <c r="A2573" s="20" t="str">
        <v>00:00:00</v>
      </c>
      <c r="B2573" s="19">
        <v>0</v>
      </c>
      <c r="C2573" s="21">
        <v>0</v>
      </c>
      <c r="D2573" s="20" t="str">
        <v>未匹配</v>
      </c>
      <c r="E2573" s="20">
        <v>0</v>
      </c>
    </row>
    <row r="2574" spans="1:5">
      <c r="A2574" s="20" t="str">
        <v>00:00:00</v>
      </c>
      <c r="B2574" s="19">
        <v>0</v>
      </c>
      <c r="C2574" s="21">
        <v>0</v>
      </c>
      <c r="D2574" s="20" t="str">
        <v>未匹配</v>
      </c>
      <c r="E2574" s="20">
        <v>0</v>
      </c>
    </row>
    <row r="2575" spans="1:5">
      <c r="A2575" s="20" t="str">
        <v>00:00:00</v>
      </c>
      <c r="B2575" s="19">
        <v>0</v>
      </c>
      <c r="C2575" s="21">
        <v>0</v>
      </c>
      <c r="D2575" s="20" t="str">
        <v>未匹配</v>
      </c>
      <c r="E2575" s="20">
        <v>0</v>
      </c>
    </row>
    <row r="2576" spans="1:5">
      <c r="A2576" s="20" t="str">
        <v>00:00:00</v>
      </c>
      <c r="B2576" s="19">
        <v>0</v>
      </c>
      <c r="C2576" s="21">
        <v>0</v>
      </c>
      <c r="D2576" s="20" t="str">
        <v>未匹配</v>
      </c>
      <c r="E2576" s="20">
        <v>0</v>
      </c>
    </row>
    <row r="2577" spans="1:5">
      <c r="A2577" s="20" t="str">
        <v>00:00:00</v>
      </c>
      <c r="B2577" s="19">
        <v>0</v>
      </c>
      <c r="C2577" s="21">
        <v>0</v>
      </c>
      <c r="D2577" s="20" t="str">
        <v>未匹配</v>
      </c>
      <c r="E2577" s="20">
        <v>0</v>
      </c>
    </row>
    <row r="2578" spans="1:5">
      <c r="A2578" s="20" t="str">
        <v>00:00:00</v>
      </c>
      <c r="B2578" s="19">
        <v>0</v>
      </c>
      <c r="C2578" s="21">
        <v>0</v>
      </c>
      <c r="D2578" s="20" t="str">
        <v>未匹配</v>
      </c>
      <c r="E2578" s="20">
        <v>0</v>
      </c>
    </row>
    <row r="2579" spans="1:5">
      <c r="A2579" s="20" t="str">
        <v>00:00:00</v>
      </c>
      <c r="B2579" s="19">
        <v>0</v>
      </c>
      <c r="C2579" s="21">
        <v>0</v>
      </c>
      <c r="D2579" s="20" t="str">
        <v>未匹配</v>
      </c>
      <c r="E2579" s="20">
        <v>0</v>
      </c>
    </row>
    <row r="2580" spans="1:5">
      <c r="A2580" s="20" t="str">
        <v>00:00:00</v>
      </c>
      <c r="B2580" s="19">
        <v>0</v>
      </c>
      <c r="C2580" s="21">
        <v>0</v>
      </c>
      <c r="D2580" s="20" t="str">
        <v>未匹配</v>
      </c>
      <c r="E2580" s="20">
        <v>0</v>
      </c>
    </row>
    <row r="2581" spans="1:5">
      <c r="A2581" s="20" t="str">
        <v>00:00:00</v>
      </c>
      <c r="B2581" s="19">
        <v>0</v>
      </c>
      <c r="C2581" s="21">
        <v>0</v>
      </c>
      <c r="D2581" s="20" t="str">
        <v>未匹配</v>
      </c>
      <c r="E2581" s="20">
        <v>0</v>
      </c>
    </row>
    <row r="2582" spans="1:5">
      <c r="A2582" s="20" t="str">
        <v>00:00:00</v>
      </c>
      <c r="B2582" s="19">
        <v>0</v>
      </c>
      <c r="C2582" s="21">
        <v>0</v>
      </c>
      <c r="D2582" s="20" t="str">
        <v>未匹配</v>
      </c>
      <c r="E2582" s="20">
        <v>0</v>
      </c>
    </row>
    <row r="2583" spans="1:5">
      <c r="A2583" s="20" t="str">
        <v>00:00:00</v>
      </c>
      <c r="B2583" s="19">
        <v>0</v>
      </c>
      <c r="C2583" s="21">
        <v>0</v>
      </c>
      <c r="D2583" s="20" t="str">
        <v>未匹配</v>
      </c>
      <c r="E2583" s="20">
        <v>0</v>
      </c>
    </row>
    <row r="2584" spans="1:5">
      <c r="A2584" s="20" t="str">
        <v>00:00:00</v>
      </c>
      <c r="B2584" s="19">
        <v>0</v>
      </c>
      <c r="C2584" s="21">
        <v>0</v>
      </c>
      <c r="D2584" s="20" t="str">
        <v>未匹配</v>
      </c>
      <c r="E2584" s="20">
        <v>0</v>
      </c>
    </row>
    <row r="2585" spans="1:5">
      <c r="A2585" s="20" t="str">
        <v>00:00:00</v>
      </c>
      <c r="B2585" s="19">
        <v>0</v>
      </c>
      <c r="C2585" s="21">
        <v>0</v>
      </c>
      <c r="D2585" s="20" t="str">
        <v>未匹配</v>
      </c>
      <c r="E2585" s="20">
        <v>0</v>
      </c>
    </row>
    <row r="2586" spans="1:5">
      <c r="A2586" s="20" t="str">
        <v>00:00:00</v>
      </c>
      <c r="B2586" s="19">
        <v>0</v>
      </c>
      <c r="C2586" s="21">
        <v>0</v>
      </c>
      <c r="D2586" s="20" t="str">
        <v>未匹配</v>
      </c>
      <c r="E2586" s="20">
        <v>0</v>
      </c>
    </row>
    <row r="2587" spans="1:5">
      <c r="A2587" s="20" t="str">
        <v>00:00:00</v>
      </c>
      <c r="B2587" s="19">
        <v>0</v>
      </c>
      <c r="C2587" s="21">
        <v>0</v>
      </c>
      <c r="D2587" s="20" t="str">
        <v>未匹配</v>
      </c>
      <c r="E2587" s="20">
        <v>0</v>
      </c>
    </row>
    <row r="2588" spans="1:5">
      <c r="A2588" s="20" t="str">
        <v>00:00:00</v>
      </c>
      <c r="B2588" s="19">
        <v>0</v>
      </c>
      <c r="C2588" s="21">
        <v>0</v>
      </c>
      <c r="D2588" s="20" t="str">
        <v>未匹配</v>
      </c>
      <c r="E2588" s="20">
        <v>0</v>
      </c>
    </row>
    <row r="2589" spans="1:5">
      <c r="A2589" s="20" t="str">
        <v>00:00:00</v>
      </c>
      <c r="B2589" s="19">
        <v>0</v>
      </c>
      <c r="C2589" s="21">
        <v>0</v>
      </c>
      <c r="D2589" s="20" t="str">
        <v>未匹配</v>
      </c>
      <c r="E2589" s="20">
        <v>0</v>
      </c>
    </row>
    <row r="2590" spans="1:5">
      <c r="A2590" s="20" t="str">
        <v>00:00:00</v>
      </c>
      <c r="B2590" s="19">
        <v>0</v>
      </c>
      <c r="C2590" s="21">
        <v>0</v>
      </c>
      <c r="D2590" s="20" t="str">
        <v>未匹配</v>
      </c>
      <c r="E2590" s="20">
        <v>0</v>
      </c>
    </row>
    <row r="2591" spans="1:5">
      <c r="A2591" s="20" t="str">
        <v>00:00:00</v>
      </c>
      <c r="B2591" s="19">
        <v>0</v>
      </c>
      <c r="C2591" s="21">
        <v>0</v>
      </c>
      <c r="D2591" s="20" t="str">
        <v>未匹配</v>
      </c>
      <c r="E2591" s="20">
        <v>0</v>
      </c>
    </row>
    <row r="2592" spans="1:5">
      <c r="A2592" s="20" t="str">
        <v>00:00:00</v>
      </c>
      <c r="B2592" s="19">
        <v>0</v>
      </c>
      <c r="C2592" s="21">
        <v>0</v>
      </c>
      <c r="D2592" s="20" t="str">
        <v>未匹配</v>
      </c>
      <c r="E2592" s="20">
        <v>0</v>
      </c>
    </row>
    <row r="2593" spans="1:5">
      <c r="A2593" s="20" t="str">
        <v>00:00:00</v>
      </c>
      <c r="B2593" s="19">
        <v>0</v>
      </c>
      <c r="C2593" s="21">
        <v>0</v>
      </c>
      <c r="D2593" s="20" t="str">
        <v>未匹配</v>
      </c>
      <c r="E2593" s="20">
        <v>0</v>
      </c>
    </row>
    <row r="2594" spans="1:5">
      <c r="A2594" s="20" t="str">
        <v>00:00:00</v>
      </c>
      <c r="B2594" s="19">
        <v>0</v>
      </c>
      <c r="C2594" s="21">
        <v>0</v>
      </c>
      <c r="D2594" s="20" t="str">
        <v>未匹配</v>
      </c>
      <c r="E2594" s="20">
        <v>0</v>
      </c>
    </row>
    <row r="2595" spans="1:5">
      <c r="A2595" s="20" t="str">
        <v>00:00:00</v>
      </c>
      <c r="B2595" s="19">
        <v>0</v>
      </c>
      <c r="C2595" s="21">
        <v>0</v>
      </c>
      <c r="D2595" s="20" t="str">
        <v>未匹配</v>
      </c>
      <c r="E2595" s="20">
        <v>0</v>
      </c>
    </row>
    <row r="2596" spans="1:5">
      <c r="A2596" s="20" t="str">
        <v>00:00:00</v>
      </c>
      <c r="B2596" s="19">
        <v>0</v>
      </c>
      <c r="C2596" s="21">
        <v>0</v>
      </c>
      <c r="D2596" s="20" t="str">
        <v>未匹配</v>
      </c>
      <c r="E2596" s="20">
        <v>0</v>
      </c>
    </row>
    <row r="2597" spans="1:5">
      <c r="A2597" s="20" t="str">
        <v>00:00:00</v>
      </c>
      <c r="B2597" s="19">
        <v>0</v>
      </c>
      <c r="C2597" s="21">
        <v>0</v>
      </c>
      <c r="D2597" s="20" t="str">
        <v>未匹配</v>
      </c>
      <c r="E2597" s="20">
        <v>0</v>
      </c>
    </row>
    <row r="2598" spans="1:5">
      <c r="A2598" s="20" t="str">
        <v>00:00:00</v>
      </c>
      <c r="B2598" s="19">
        <v>0</v>
      </c>
      <c r="C2598" s="21">
        <v>0</v>
      </c>
      <c r="D2598" s="20" t="str">
        <v>未匹配</v>
      </c>
      <c r="E2598" s="20">
        <v>0</v>
      </c>
    </row>
    <row r="2599" spans="1:5">
      <c r="A2599" s="20" t="str">
        <v>00:00:00</v>
      </c>
      <c r="B2599" s="19">
        <v>0</v>
      </c>
      <c r="C2599" s="21">
        <v>0</v>
      </c>
      <c r="D2599" s="20" t="str">
        <v>未匹配</v>
      </c>
      <c r="E2599" s="20">
        <v>0</v>
      </c>
    </row>
    <row r="2600" spans="1:5">
      <c r="A2600" s="20" t="str">
        <v>00:00:00</v>
      </c>
      <c r="B2600" s="19">
        <v>0</v>
      </c>
      <c r="C2600" s="21">
        <v>0</v>
      </c>
      <c r="D2600" s="20" t="str">
        <v>未匹配</v>
      </c>
      <c r="E2600" s="20">
        <v>0</v>
      </c>
    </row>
    <row r="2601" spans="1:5">
      <c r="A2601" s="20" t="str">
        <v>00:00:00</v>
      </c>
      <c r="B2601" s="19">
        <v>0</v>
      </c>
      <c r="C2601" s="21">
        <v>0</v>
      </c>
      <c r="D2601" s="20" t="str">
        <v>未匹配</v>
      </c>
      <c r="E2601" s="20">
        <v>0</v>
      </c>
    </row>
    <row r="2602" spans="1:5">
      <c r="A2602" s="20" t="str">
        <v>00:00:00</v>
      </c>
      <c r="B2602" s="19">
        <v>0</v>
      </c>
      <c r="C2602" s="21">
        <v>0</v>
      </c>
      <c r="D2602" s="20" t="str">
        <v>未匹配</v>
      </c>
      <c r="E2602" s="20">
        <v>0</v>
      </c>
    </row>
    <row r="2603" spans="1:5">
      <c r="A2603" s="20" t="str">
        <v>00:00:00</v>
      </c>
      <c r="B2603" s="19">
        <v>0</v>
      </c>
      <c r="C2603" s="21">
        <v>0</v>
      </c>
      <c r="D2603" s="20" t="str">
        <v>未匹配</v>
      </c>
      <c r="E2603" s="20">
        <v>0</v>
      </c>
    </row>
    <row r="2604" spans="1:5">
      <c r="A2604" s="20" t="str">
        <v>00:00:00</v>
      </c>
      <c r="B2604" s="19">
        <v>0</v>
      </c>
      <c r="C2604" s="21">
        <v>0</v>
      </c>
      <c r="D2604" s="20" t="str">
        <v>未匹配</v>
      </c>
      <c r="E2604" s="20">
        <v>0</v>
      </c>
    </row>
    <row r="2605" spans="1:5">
      <c r="A2605" s="20" t="str">
        <v>00:00:00</v>
      </c>
      <c r="B2605" s="19">
        <v>0</v>
      </c>
      <c r="C2605" s="21">
        <v>0</v>
      </c>
      <c r="D2605" s="20" t="str">
        <v>未匹配</v>
      </c>
      <c r="E2605" s="20">
        <v>0</v>
      </c>
    </row>
    <row r="2606" spans="1:5">
      <c r="A2606" s="20" t="str">
        <v>00:00:00</v>
      </c>
      <c r="B2606" s="19">
        <v>0</v>
      </c>
      <c r="C2606" s="21">
        <v>0</v>
      </c>
      <c r="D2606" s="20" t="str">
        <v>未匹配</v>
      </c>
      <c r="E2606" s="20">
        <v>0</v>
      </c>
    </row>
    <row r="2607" spans="1:5">
      <c r="A2607" s="20" t="str">
        <v>00:00:00</v>
      </c>
      <c r="B2607" s="19">
        <v>0</v>
      </c>
      <c r="C2607" s="21">
        <v>0</v>
      </c>
      <c r="D2607" s="20" t="str">
        <v>未匹配</v>
      </c>
      <c r="E2607" s="20">
        <v>0</v>
      </c>
    </row>
    <row r="2608" spans="1:5">
      <c r="A2608" s="20" t="str">
        <v>00:00:00</v>
      </c>
      <c r="B2608" s="19">
        <v>0</v>
      </c>
      <c r="C2608" s="21">
        <v>0</v>
      </c>
      <c r="D2608" s="20" t="str">
        <v>未匹配</v>
      </c>
      <c r="E2608" s="20">
        <v>0</v>
      </c>
    </row>
    <row r="2609" spans="1:5">
      <c r="A2609" s="20" t="str">
        <v>00:00:00</v>
      </c>
      <c r="B2609" s="19">
        <v>0</v>
      </c>
      <c r="C2609" s="21">
        <v>0</v>
      </c>
      <c r="D2609" s="20" t="str">
        <v>未匹配</v>
      </c>
      <c r="E2609" s="20">
        <v>0</v>
      </c>
    </row>
    <row r="2610" spans="1:5">
      <c r="A2610" s="20" t="str">
        <v>00:00:00</v>
      </c>
      <c r="B2610" s="19">
        <v>0</v>
      </c>
      <c r="C2610" s="21">
        <v>0</v>
      </c>
      <c r="D2610" s="20" t="str">
        <v>未匹配</v>
      </c>
      <c r="E2610" s="20">
        <v>0</v>
      </c>
    </row>
    <row r="2611" spans="1:5">
      <c r="A2611" s="20" t="str">
        <v>00:00:00</v>
      </c>
      <c r="B2611" s="19">
        <v>0</v>
      </c>
      <c r="C2611" s="21">
        <v>0</v>
      </c>
      <c r="D2611" s="20" t="str">
        <v>未匹配</v>
      </c>
      <c r="E2611" s="20">
        <v>0</v>
      </c>
    </row>
    <row r="2612" spans="1:5">
      <c r="A2612" s="20" t="str">
        <v>00:00:00</v>
      </c>
      <c r="B2612" s="19">
        <v>0</v>
      </c>
      <c r="C2612" s="21">
        <v>0</v>
      </c>
      <c r="D2612" s="20" t="str">
        <v>未匹配</v>
      </c>
      <c r="E2612" s="20">
        <v>0</v>
      </c>
    </row>
    <row r="2613" spans="1:5">
      <c r="A2613" s="20" t="str">
        <v>00:00:00</v>
      </c>
      <c r="B2613" s="19">
        <v>0</v>
      </c>
      <c r="C2613" s="21">
        <v>0</v>
      </c>
      <c r="D2613" s="20" t="str">
        <v>未匹配</v>
      </c>
      <c r="E2613" s="20">
        <v>0</v>
      </c>
    </row>
    <row r="2614" spans="1:5">
      <c r="A2614" s="20" t="str">
        <v>00:00:00</v>
      </c>
      <c r="B2614" s="19">
        <v>0</v>
      </c>
      <c r="C2614" s="21">
        <v>0</v>
      </c>
      <c r="D2614" s="20" t="str">
        <v>未匹配</v>
      </c>
      <c r="E2614" s="20">
        <v>0</v>
      </c>
    </row>
    <row r="2615" spans="1:5">
      <c r="A2615" s="20" t="str">
        <v>00:00:00</v>
      </c>
      <c r="B2615" s="19">
        <v>0</v>
      </c>
      <c r="C2615" s="21">
        <v>0</v>
      </c>
      <c r="D2615" s="20" t="str">
        <v>未匹配</v>
      </c>
      <c r="E2615" s="20">
        <v>0</v>
      </c>
    </row>
    <row r="2616" spans="1:5">
      <c r="A2616" s="20" t="str">
        <v>00:00:00</v>
      </c>
      <c r="B2616" s="19">
        <v>0</v>
      </c>
      <c r="C2616" s="21">
        <v>0</v>
      </c>
      <c r="D2616" s="20" t="str">
        <v>未匹配</v>
      </c>
      <c r="E2616" s="20">
        <v>0</v>
      </c>
    </row>
    <row r="2617" spans="1:5">
      <c r="A2617" s="20" t="str">
        <v>00:00:00</v>
      </c>
      <c r="B2617" s="19">
        <v>0</v>
      </c>
      <c r="C2617" s="21">
        <v>0</v>
      </c>
      <c r="D2617" s="20" t="str">
        <v>未匹配</v>
      </c>
      <c r="E2617" s="20">
        <v>0</v>
      </c>
    </row>
    <row r="2618" spans="1:5">
      <c r="A2618" s="20" t="str">
        <v>00:00:00</v>
      </c>
      <c r="B2618" s="19">
        <v>0</v>
      </c>
      <c r="C2618" s="21">
        <v>0</v>
      </c>
      <c r="D2618" s="20" t="str">
        <v>未匹配</v>
      </c>
      <c r="E2618" s="20">
        <v>0</v>
      </c>
    </row>
    <row r="2619" spans="1:5">
      <c r="A2619" s="20" t="str">
        <v>00:00:00</v>
      </c>
      <c r="B2619" s="19">
        <v>0</v>
      </c>
      <c r="C2619" s="21">
        <v>0</v>
      </c>
      <c r="D2619" s="20" t="str">
        <v>未匹配</v>
      </c>
      <c r="E2619" s="20">
        <v>0</v>
      </c>
    </row>
    <row r="2620" spans="1:5">
      <c r="A2620" s="20" t="str">
        <v>00:00:00</v>
      </c>
      <c r="B2620" s="19">
        <v>0</v>
      </c>
      <c r="C2620" s="21">
        <v>0</v>
      </c>
      <c r="D2620" s="20" t="str">
        <v>未匹配</v>
      </c>
      <c r="E2620" s="20">
        <v>0</v>
      </c>
    </row>
    <row r="2621" spans="1:5">
      <c r="A2621" s="20" t="str">
        <v>00:00:00</v>
      </c>
      <c r="B2621" s="19">
        <v>0</v>
      </c>
      <c r="C2621" s="21">
        <v>0</v>
      </c>
      <c r="D2621" s="20" t="str">
        <v>未匹配</v>
      </c>
      <c r="E2621" s="20">
        <v>0</v>
      </c>
    </row>
    <row r="2622" spans="1:5">
      <c r="A2622" s="20" t="str">
        <v>00:00:00</v>
      </c>
      <c r="B2622" s="19">
        <v>0</v>
      </c>
      <c r="C2622" s="21">
        <v>0</v>
      </c>
      <c r="D2622" s="20" t="str">
        <v>未匹配</v>
      </c>
      <c r="E2622" s="20">
        <v>0</v>
      </c>
    </row>
    <row r="2623" spans="1:5">
      <c r="A2623" s="20" t="str">
        <v>00:00:00</v>
      </c>
      <c r="B2623" s="19">
        <v>0</v>
      </c>
      <c r="C2623" s="21">
        <v>0</v>
      </c>
      <c r="D2623" s="20" t="str">
        <v>未匹配</v>
      </c>
      <c r="E2623" s="20">
        <v>0</v>
      </c>
    </row>
    <row r="2624" spans="1:5">
      <c r="A2624" s="20" t="str">
        <v>00:00:00</v>
      </c>
      <c r="B2624" s="19">
        <v>0</v>
      </c>
      <c r="C2624" s="21">
        <v>0</v>
      </c>
      <c r="D2624" s="20" t="str">
        <v>未匹配</v>
      </c>
      <c r="E2624" s="20">
        <v>0</v>
      </c>
    </row>
    <row r="2625" spans="1:5">
      <c r="A2625" s="20" t="str">
        <v>00:00:00</v>
      </c>
      <c r="B2625" s="19">
        <v>0</v>
      </c>
      <c r="C2625" s="21">
        <v>0</v>
      </c>
      <c r="D2625" s="20" t="str">
        <v>未匹配</v>
      </c>
      <c r="E2625" s="20">
        <v>0</v>
      </c>
    </row>
    <row r="2626" spans="1:5">
      <c r="A2626" s="20" t="str">
        <v>00:00:00</v>
      </c>
      <c r="B2626" s="19">
        <v>0</v>
      </c>
      <c r="C2626" s="21">
        <v>0</v>
      </c>
      <c r="D2626" s="20" t="str">
        <v>未匹配</v>
      </c>
      <c r="E2626" s="20">
        <v>0</v>
      </c>
    </row>
    <row r="2627" spans="1:5">
      <c r="A2627" s="20" t="str">
        <v>00:00:00</v>
      </c>
      <c r="B2627" s="19">
        <v>0</v>
      </c>
      <c r="C2627" s="21">
        <v>0</v>
      </c>
      <c r="D2627" s="20" t="str">
        <v>未匹配</v>
      </c>
      <c r="E2627" s="20">
        <v>0</v>
      </c>
    </row>
    <row r="2628" spans="1:5">
      <c r="A2628" s="20" t="str">
        <v>00:00:00</v>
      </c>
      <c r="B2628" s="19">
        <v>0</v>
      </c>
      <c r="C2628" s="21">
        <v>0</v>
      </c>
      <c r="D2628" s="20" t="str">
        <v>未匹配</v>
      </c>
      <c r="E2628" s="20">
        <v>0</v>
      </c>
    </row>
    <row r="2629" spans="1:5">
      <c r="A2629" s="20" t="str">
        <v>00:00:00</v>
      </c>
      <c r="B2629" s="19">
        <v>0</v>
      </c>
      <c r="C2629" s="21">
        <v>0</v>
      </c>
      <c r="D2629" s="20" t="str">
        <v>未匹配</v>
      </c>
      <c r="E2629" s="20">
        <v>0</v>
      </c>
    </row>
    <row r="2630" spans="1:5">
      <c r="A2630" s="20" t="str">
        <v>00:00:00</v>
      </c>
      <c r="B2630" s="19">
        <v>0</v>
      </c>
      <c r="C2630" s="21">
        <v>0</v>
      </c>
      <c r="D2630" s="20" t="str">
        <v>未匹配</v>
      </c>
      <c r="E2630" s="20">
        <v>0</v>
      </c>
    </row>
    <row r="2631" spans="1:5">
      <c r="A2631" s="20" t="str">
        <v>00:00:00</v>
      </c>
      <c r="B2631" s="19">
        <v>0</v>
      </c>
      <c r="C2631" s="21">
        <v>0</v>
      </c>
      <c r="D2631" s="20" t="str">
        <v>未匹配</v>
      </c>
      <c r="E2631" s="20">
        <v>0</v>
      </c>
    </row>
    <row r="2632" spans="1:5">
      <c r="A2632" s="20" t="str">
        <v>00:00:00</v>
      </c>
      <c r="B2632" s="19">
        <v>0</v>
      </c>
      <c r="C2632" s="21">
        <v>0</v>
      </c>
      <c r="D2632" s="20" t="str">
        <v>未匹配</v>
      </c>
      <c r="E2632" s="20">
        <v>0</v>
      </c>
    </row>
    <row r="2633" spans="1:5">
      <c r="A2633" s="20" t="str">
        <v>00:00:00</v>
      </c>
      <c r="B2633" s="19">
        <v>0</v>
      </c>
      <c r="C2633" s="21">
        <v>0</v>
      </c>
      <c r="D2633" s="20" t="str">
        <v>未匹配</v>
      </c>
      <c r="E2633" s="20">
        <v>0</v>
      </c>
    </row>
    <row r="2634" spans="1:5">
      <c r="A2634" s="20" t="str">
        <v>00:00:00</v>
      </c>
      <c r="B2634" s="19">
        <v>0</v>
      </c>
      <c r="C2634" s="21">
        <v>0</v>
      </c>
      <c r="D2634" s="20" t="str">
        <v>未匹配</v>
      </c>
      <c r="E2634" s="20">
        <v>0</v>
      </c>
    </row>
    <row r="2635" spans="1:5">
      <c r="A2635" s="20" t="str">
        <v>00:00:00</v>
      </c>
      <c r="B2635" s="19">
        <v>0</v>
      </c>
      <c r="C2635" s="21">
        <v>0</v>
      </c>
      <c r="D2635" s="20" t="str">
        <v>未匹配</v>
      </c>
      <c r="E2635" s="20">
        <v>0</v>
      </c>
    </row>
    <row r="2636" spans="1:5">
      <c r="A2636" s="20" t="str">
        <v>00:00:00</v>
      </c>
      <c r="B2636" s="19">
        <v>0</v>
      </c>
      <c r="C2636" s="21">
        <v>0</v>
      </c>
      <c r="D2636" s="20" t="str">
        <v>未匹配</v>
      </c>
      <c r="E2636" s="20">
        <v>0</v>
      </c>
    </row>
    <row r="2637" spans="1:5">
      <c r="A2637" s="20" t="str">
        <v>00:00:00</v>
      </c>
      <c r="B2637" s="19">
        <v>0</v>
      </c>
      <c r="C2637" s="21">
        <v>0</v>
      </c>
      <c r="D2637" s="20" t="str">
        <v>未匹配</v>
      </c>
      <c r="E2637" s="20">
        <v>0</v>
      </c>
    </row>
    <row r="2638" spans="1:5">
      <c r="A2638" s="20" t="str">
        <v>00:00:00</v>
      </c>
      <c r="B2638" s="19">
        <v>0</v>
      </c>
      <c r="C2638" s="21">
        <v>0</v>
      </c>
      <c r="D2638" s="20" t="str">
        <v>未匹配</v>
      </c>
      <c r="E2638" s="20">
        <v>0</v>
      </c>
    </row>
    <row r="2639" spans="1:5">
      <c r="A2639" s="20" t="str">
        <v>00:00:00</v>
      </c>
      <c r="B2639" s="19">
        <v>0</v>
      </c>
      <c r="C2639" s="21">
        <v>0</v>
      </c>
      <c r="D2639" s="20" t="str">
        <v>未匹配</v>
      </c>
      <c r="E2639" s="20">
        <v>0</v>
      </c>
    </row>
    <row r="2640" spans="1:5">
      <c r="A2640" s="20" t="str">
        <v>00:00:00</v>
      </c>
      <c r="B2640" s="19">
        <v>0</v>
      </c>
      <c r="C2640" s="21">
        <v>0</v>
      </c>
      <c r="D2640" s="20" t="str">
        <v>未匹配</v>
      </c>
      <c r="E2640" s="20">
        <v>0</v>
      </c>
    </row>
    <row r="2641" spans="1:5">
      <c r="A2641" s="20" t="str">
        <v>00:00:00</v>
      </c>
      <c r="B2641" s="19">
        <v>0</v>
      </c>
      <c r="C2641" s="21">
        <v>0</v>
      </c>
      <c r="D2641" s="20" t="str">
        <v>未匹配</v>
      </c>
      <c r="E2641" s="20">
        <v>0</v>
      </c>
    </row>
    <row r="2642" spans="1:5">
      <c r="A2642" s="20" t="str">
        <v>00:00:00</v>
      </c>
      <c r="B2642" s="19">
        <v>0</v>
      </c>
      <c r="C2642" s="21">
        <v>0</v>
      </c>
      <c r="D2642" s="20" t="str">
        <v>未匹配</v>
      </c>
      <c r="E2642" s="20">
        <v>0</v>
      </c>
    </row>
    <row r="2643" spans="1:5">
      <c r="A2643" s="20" t="str">
        <v>00:00:00</v>
      </c>
      <c r="B2643" s="19">
        <v>0</v>
      </c>
      <c r="C2643" s="21">
        <v>0</v>
      </c>
      <c r="D2643" s="20" t="str">
        <v>未匹配</v>
      </c>
      <c r="E2643" s="20">
        <v>0</v>
      </c>
    </row>
    <row r="2644" spans="1:5">
      <c r="A2644" s="20" t="str">
        <v>00:00:00</v>
      </c>
      <c r="B2644" s="19">
        <v>0</v>
      </c>
      <c r="C2644" s="21">
        <v>0</v>
      </c>
      <c r="D2644" s="20" t="str">
        <v>未匹配</v>
      </c>
      <c r="E2644" s="20">
        <v>0</v>
      </c>
    </row>
    <row r="2645" spans="1:5">
      <c r="A2645" s="20" t="str">
        <v>00:00:00</v>
      </c>
      <c r="B2645" s="19">
        <v>0</v>
      </c>
      <c r="C2645" s="21">
        <v>0</v>
      </c>
      <c r="D2645" s="20" t="str">
        <v>未匹配</v>
      </c>
      <c r="E2645" s="20">
        <v>0</v>
      </c>
    </row>
    <row r="2646" spans="1:5">
      <c r="A2646" s="20" t="str">
        <v>00:00:00</v>
      </c>
      <c r="B2646" s="19">
        <v>0</v>
      </c>
      <c r="C2646" s="21">
        <v>0</v>
      </c>
      <c r="D2646" s="20" t="str">
        <v>未匹配</v>
      </c>
      <c r="E2646" s="20">
        <v>0</v>
      </c>
    </row>
    <row r="2647" spans="1:5">
      <c r="A2647" s="20" t="str">
        <v>00:00:00</v>
      </c>
      <c r="B2647" s="19">
        <v>0</v>
      </c>
      <c r="C2647" s="21">
        <v>0</v>
      </c>
      <c r="D2647" s="20" t="str">
        <v>未匹配</v>
      </c>
      <c r="E2647" s="20">
        <v>0</v>
      </c>
    </row>
    <row r="2648" spans="1:5">
      <c r="A2648" s="20" t="str">
        <v>00:00:00</v>
      </c>
      <c r="B2648" s="19">
        <v>0</v>
      </c>
      <c r="C2648" s="21">
        <v>0</v>
      </c>
      <c r="D2648" s="20" t="str">
        <v>未匹配</v>
      </c>
      <c r="E2648" s="20">
        <v>0</v>
      </c>
    </row>
    <row r="2649" spans="1:5">
      <c r="A2649" s="20" t="str">
        <v>00:00:00</v>
      </c>
      <c r="B2649" s="19">
        <v>0</v>
      </c>
      <c r="C2649" s="21">
        <v>0</v>
      </c>
      <c r="D2649" s="20" t="str">
        <v>未匹配</v>
      </c>
      <c r="E2649" s="20">
        <v>0</v>
      </c>
    </row>
    <row r="2650" spans="1:5">
      <c r="A2650" s="20" t="str">
        <v>00:00:00</v>
      </c>
      <c r="B2650" s="19">
        <v>0</v>
      </c>
      <c r="C2650" s="21">
        <v>0</v>
      </c>
      <c r="D2650" s="20" t="str">
        <v>未匹配</v>
      </c>
      <c r="E2650" s="20">
        <v>0</v>
      </c>
    </row>
    <row r="2651" spans="1:5">
      <c r="A2651" s="20" t="str">
        <v>00:00:00</v>
      </c>
      <c r="B2651" s="19">
        <v>0</v>
      </c>
      <c r="C2651" s="21">
        <v>0</v>
      </c>
      <c r="D2651" s="20" t="str">
        <v>未匹配</v>
      </c>
      <c r="E2651" s="20">
        <v>0</v>
      </c>
    </row>
    <row r="2652" spans="1:5">
      <c r="A2652" s="20" t="str">
        <v>00:00:00</v>
      </c>
      <c r="B2652" s="19">
        <v>0</v>
      </c>
      <c r="C2652" s="21">
        <v>0</v>
      </c>
      <c r="D2652" s="20" t="str">
        <v>未匹配</v>
      </c>
      <c r="E2652" s="20">
        <v>0</v>
      </c>
    </row>
    <row r="2653" spans="1:5">
      <c r="A2653" s="20" t="str">
        <v>00:00:00</v>
      </c>
      <c r="B2653" s="19">
        <v>0</v>
      </c>
      <c r="C2653" s="21">
        <v>0</v>
      </c>
      <c r="D2653" s="20" t="str">
        <v>未匹配</v>
      </c>
      <c r="E2653" s="20">
        <v>0</v>
      </c>
    </row>
    <row r="2654" spans="1:5">
      <c r="A2654" s="20" t="str">
        <v>00:00:00</v>
      </c>
      <c r="B2654" s="19">
        <v>0</v>
      </c>
      <c r="C2654" s="21">
        <v>0</v>
      </c>
      <c r="D2654" s="20" t="str">
        <v>未匹配</v>
      </c>
      <c r="E2654" s="20">
        <v>0</v>
      </c>
    </row>
    <row r="2655" spans="1:5">
      <c r="A2655" s="20" t="str">
        <v>00:00:00</v>
      </c>
      <c r="B2655" s="19">
        <v>0</v>
      </c>
      <c r="C2655" s="21">
        <v>0</v>
      </c>
      <c r="D2655" s="20" t="str">
        <v>未匹配</v>
      </c>
      <c r="E2655" s="20">
        <v>0</v>
      </c>
    </row>
    <row r="2656" spans="1:5">
      <c r="A2656" s="20" t="str">
        <v>00:00:00</v>
      </c>
      <c r="B2656" s="19">
        <v>0</v>
      </c>
      <c r="C2656" s="21">
        <v>0</v>
      </c>
      <c r="D2656" s="20" t="str">
        <v>未匹配</v>
      </c>
      <c r="E2656" s="20">
        <v>0</v>
      </c>
    </row>
    <row r="2657" spans="1:5">
      <c r="A2657" s="20" t="str">
        <v>00:00:00</v>
      </c>
      <c r="B2657" s="19">
        <v>0</v>
      </c>
      <c r="C2657" s="21">
        <v>0</v>
      </c>
      <c r="D2657" s="20" t="str">
        <v>未匹配</v>
      </c>
      <c r="E2657" s="20">
        <v>0</v>
      </c>
    </row>
    <row r="2658" spans="1:5">
      <c r="A2658" s="20" t="str">
        <v>00:00:00</v>
      </c>
      <c r="B2658" s="19">
        <v>0</v>
      </c>
      <c r="C2658" s="21">
        <v>0</v>
      </c>
      <c r="D2658" s="20" t="str">
        <v>未匹配</v>
      </c>
      <c r="E2658" s="20">
        <v>0</v>
      </c>
    </row>
    <row r="2659" spans="1:5">
      <c r="A2659" s="20" t="str">
        <v>00:00:00</v>
      </c>
      <c r="B2659" s="19">
        <v>0</v>
      </c>
      <c r="C2659" s="21">
        <v>0</v>
      </c>
      <c r="D2659" s="20" t="str">
        <v>未匹配</v>
      </c>
      <c r="E2659" s="20">
        <v>0</v>
      </c>
    </row>
    <row r="2660" spans="1:5">
      <c r="A2660" s="20" t="str">
        <v>00:00:00</v>
      </c>
      <c r="B2660" s="19">
        <v>0</v>
      </c>
      <c r="C2660" s="21">
        <v>0</v>
      </c>
      <c r="D2660" s="20" t="str">
        <v>未匹配</v>
      </c>
      <c r="E2660" s="20">
        <v>0</v>
      </c>
    </row>
    <row r="2661" spans="1:5">
      <c r="A2661" s="20" t="str">
        <v>00:00:00</v>
      </c>
      <c r="B2661" s="19">
        <v>0</v>
      </c>
      <c r="C2661" s="21">
        <v>0</v>
      </c>
      <c r="D2661" s="20" t="str">
        <v>未匹配</v>
      </c>
      <c r="E2661" s="20">
        <v>0</v>
      </c>
    </row>
    <row r="2662" spans="1:5">
      <c r="A2662" s="20" t="str">
        <v>00:00:00</v>
      </c>
      <c r="B2662" s="19">
        <v>0</v>
      </c>
      <c r="C2662" s="21">
        <v>0</v>
      </c>
      <c r="D2662" s="20" t="str">
        <v>未匹配</v>
      </c>
      <c r="E2662" s="20">
        <v>0</v>
      </c>
    </row>
    <row r="2663" spans="1:5">
      <c r="A2663" s="20" t="str">
        <v>00:00:00</v>
      </c>
      <c r="B2663" s="19">
        <v>0</v>
      </c>
      <c r="C2663" s="21">
        <v>0</v>
      </c>
      <c r="D2663" s="20" t="str">
        <v>未匹配</v>
      </c>
      <c r="E2663" s="20">
        <v>0</v>
      </c>
    </row>
    <row r="2664" spans="1:5">
      <c r="A2664" s="20" t="str">
        <v>00:00:00</v>
      </c>
      <c r="B2664" s="19">
        <v>0</v>
      </c>
      <c r="C2664" s="21">
        <v>0</v>
      </c>
      <c r="D2664" s="20" t="str">
        <v>未匹配</v>
      </c>
      <c r="E2664" s="20">
        <v>0</v>
      </c>
    </row>
    <row r="2665" spans="1:5">
      <c r="A2665" s="20" t="str">
        <v>00:00:00</v>
      </c>
      <c r="B2665" s="19">
        <v>0</v>
      </c>
      <c r="C2665" s="21">
        <v>0</v>
      </c>
      <c r="D2665" s="20" t="str">
        <v>未匹配</v>
      </c>
      <c r="E2665" s="20">
        <v>0</v>
      </c>
    </row>
    <row r="2666" spans="1:5">
      <c r="A2666" s="20" t="str">
        <v>00:00:00</v>
      </c>
      <c r="B2666" s="19">
        <v>0</v>
      </c>
      <c r="C2666" s="21">
        <v>0</v>
      </c>
      <c r="D2666" s="20" t="str">
        <v>未匹配</v>
      </c>
      <c r="E2666" s="20">
        <v>0</v>
      </c>
    </row>
    <row r="2667" spans="1:5">
      <c r="A2667" s="20" t="str">
        <v>00:00:00</v>
      </c>
      <c r="B2667" s="19">
        <v>0</v>
      </c>
      <c r="C2667" s="21">
        <v>0</v>
      </c>
      <c r="D2667" s="20" t="str">
        <v>未匹配</v>
      </c>
      <c r="E2667" s="20">
        <v>0</v>
      </c>
    </row>
    <row r="2668" spans="1:5">
      <c r="A2668" s="20" t="str">
        <v>00:00:00</v>
      </c>
      <c r="B2668" s="19">
        <v>0</v>
      </c>
      <c r="C2668" s="21">
        <v>0</v>
      </c>
      <c r="D2668" s="20" t="str">
        <v>未匹配</v>
      </c>
      <c r="E2668" s="20">
        <v>0</v>
      </c>
    </row>
    <row r="2669" spans="1:5">
      <c r="A2669" s="20" t="str">
        <v>00:00:00</v>
      </c>
      <c r="B2669" s="19">
        <v>0</v>
      </c>
      <c r="C2669" s="21">
        <v>0</v>
      </c>
      <c r="D2669" s="20" t="str">
        <v>未匹配</v>
      </c>
      <c r="E2669" s="20">
        <v>0</v>
      </c>
    </row>
    <row r="2670" spans="1:5">
      <c r="A2670" s="20" t="str">
        <v>00:00:00</v>
      </c>
      <c r="B2670" s="19">
        <v>0</v>
      </c>
      <c r="C2670" s="21">
        <v>0</v>
      </c>
      <c r="D2670" s="20" t="str">
        <v>未匹配</v>
      </c>
      <c r="E2670" s="20">
        <v>0</v>
      </c>
    </row>
    <row r="2671" spans="1:5">
      <c r="A2671" s="20" t="str">
        <v>00:00:00</v>
      </c>
      <c r="B2671" s="19">
        <v>0</v>
      </c>
      <c r="C2671" s="21">
        <v>0</v>
      </c>
      <c r="D2671" s="20" t="str">
        <v>未匹配</v>
      </c>
      <c r="E2671" s="20">
        <v>0</v>
      </c>
    </row>
    <row r="2672" spans="1:5">
      <c r="A2672" s="20" t="str">
        <v>00:00:00</v>
      </c>
      <c r="B2672" s="19">
        <v>0</v>
      </c>
      <c r="C2672" s="21">
        <v>0</v>
      </c>
      <c r="D2672" s="20" t="str">
        <v>未匹配</v>
      </c>
      <c r="E2672" s="20">
        <v>0</v>
      </c>
    </row>
    <row r="2673" spans="1:5">
      <c r="A2673" s="20" t="str">
        <v>00:00:00</v>
      </c>
      <c r="B2673" s="19">
        <v>0</v>
      </c>
      <c r="C2673" s="21">
        <v>0</v>
      </c>
      <c r="D2673" s="20" t="str">
        <v>未匹配</v>
      </c>
      <c r="E2673" s="20">
        <v>0</v>
      </c>
    </row>
    <row r="2674" spans="1:5">
      <c r="A2674" s="20" t="str">
        <v>00:00:00</v>
      </c>
      <c r="B2674" s="19">
        <v>0</v>
      </c>
      <c r="C2674" s="21">
        <v>0</v>
      </c>
      <c r="D2674" s="20" t="str">
        <v>未匹配</v>
      </c>
      <c r="E2674" s="20">
        <v>0</v>
      </c>
    </row>
    <row r="2675" spans="1:5">
      <c r="A2675" s="20" t="str">
        <v>00:00:00</v>
      </c>
      <c r="B2675" s="19">
        <v>0</v>
      </c>
      <c r="C2675" s="21">
        <v>0</v>
      </c>
      <c r="D2675" s="20" t="str">
        <v>未匹配</v>
      </c>
      <c r="E2675" s="20">
        <v>0</v>
      </c>
    </row>
    <row r="2676" spans="1:5">
      <c r="A2676" s="20" t="str">
        <v>00:00:00</v>
      </c>
      <c r="B2676" s="19">
        <v>0</v>
      </c>
      <c r="C2676" s="21">
        <v>0</v>
      </c>
      <c r="D2676" s="20" t="str">
        <v>未匹配</v>
      </c>
      <c r="E2676" s="20">
        <v>0</v>
      </c>
    </row>
    <row r="2677" spans="1:5">
      <c r="A2677" s="20" t="str">
        <v>00:00:00</v>
      </c>
      <c r="B2677" s="19">
        <v>0</v>
      </c>
      <c r="C2677" s="21">
        <v>0</v>
      </c>
      <c r="D2677" s="20" t="str">
        <v>未匹配</v>
      </c>
      <c r="E2677" s="20">
        <v>0</v>
      </c>
    </row>
    <row r="2678" spans="1:5">
      <c r="A2678" s="20" t="str">
        <v>00:00:00</v>
      </c>
      <c r="B2678" s="19">
        <v>0</v>
      </c>
      <c r="C2678" s="21">
        <v>0</v>
      </c>
      <c r="D2678" s="20" t="str">
        <v>未匹配</v>
      </c>
      <c r="E2678" s="20">
        <v>0</v>
      </c>
    </row>
    <row r="2679" spans="1:5">
      <c r="A2679" s="20" t="str">
        <v>00:00:00</v>
      </c>
      <c r="B2679" s="19">
        <v>0</v>
      </c>
      <c r="C2679" s="21">
        <v>0</v>
      </c>
      <c r="D2679" s="20" t="str">
        <v>未匹配</v>
      </c>
      <c r="E2679" s="20">
        <v>0</v>
      </c>
    </row>
    <row r="2680" spans="1:5">
      <c r="A2680" s="20" t="str">
        <v>00:00:00</v>
      </c>
      <c r="B2680" s="19">
        <v>0</v>
      </c>
      <c r="C2680" s="21">
        <v>0</v>
      </c>
      <c r="D2680" s="20" t="str">
        <v>未匹配</v>
      </c>
      <c r="E2680" s="20">
        <v>0</v>
      </c>
    </row>
    <row r="2681" spans="1:5">
      <c r="A2681" s="20" t="str">
        <v>00:00:00</v>
      </c>
      <c r="B2681" s="19">
        <v>0</v>
      </c>
      <c r="C2681" s="21">
        <v>0</v>
      </c>
      <c r="D2681" s="20" t="str">
        <v>未匹配</v>
      </c>
      <c r="E2681" s="20">
        <v>0</v>
      </c>
    </row>
    <row r="2682" spans="1:5">
      <c r="A2682" s="20" t="str">
        <v>00:00:00</v>
      </c>
      <c r="B2682" s="19">
        <v>0</v>
      </c>
      <c r="C2682" s="21">
        <v>0</v>
      </c>
      <c r="D2682" s="20" t="str">
        <v>未匹配</v>
      </c>
      <c r="E2682" s="20">
        <v>0</v>
      </c>
    </row>
    <row r="2683" spans="1:5">
      <c r="A2683" s="20" t="str">
        <v>00:00:00</v>
      </c>
      <c r="B2683" s="19">
        <v>0</v>
      </c>
      <c r="C2683" s="21">
        <v>0</v>
      </c>
      <c r="D2683" s="20" t="str">
        <v>未匹配</v>
      </c>
      <c r="E2683" s="20">
        <v>0</v>
      </c>
    </row>
    <row r="2684" spans="1:5">
      <c r="A2684" s="20" t="str">
        <v>00:00:00</v>
      </c>
      <c r="B2684" s="19">
        <v>0</v>
      </c>
      <c r="C2684" s="21">
        <v>0</v>
      </c>
      <c r="D2684" s="20" t="str">
        <v>未匹配</v>
      </c>
      <c r="E2684" s="20">
        <v>0</v>
      </c>
    </row>
    <row r="2685" spans="1:5">
      <c r="A2685" s="20" t="str">
        <v>00:00:00</v>
      </c>
      <c r="B2685" s="19">
        <v>0</v>
      </c>
      <c r="C2685" s="21">
        <v>0</v>
      </c>
      <c r="D2685" s="20" t="str">
        <v>未匹配</v>
      </c>
      <c r="E2685" s="20">
        <v>0</v>
      </c>
    </row>
    <row r="2686" spans="1:5">
      <c r="A2686" s="20" t="str">
        <v>00:00:00</v>
      </c>
      <c r="B2686" s="19">
        <v>0</v>
      </c>
      <c r="C2686" s="21">
        <v>0</v>
      </c>
      <c r="D2686" s="20" t="str">
        <v>未匹配</v>
      </c>
      <c r="E2686" s="20">
        <v>0</v>
      </c>
    </row>
    <row r="2687" spans="1:5">
      <c r="A2687" s="20" t="str">
        <v>00:00:00</v>
      </c>
      <c r="B2687" s="19">
        <v>0</v>
      </c>
      <c r="C2687" s="21">
        <v>0</v>
      </c>
      <c r="D2687" s="20" t="str">
        <v>未匹配</v>
      </c>
      <c r="E2687" s="20">
        <v>0</v>
      </c>
    </row>
    <row r="2688" spans="1:5">
      <c r="A2688" s="20" t="str">
        <v>00:00:00</v>
      </c>
      <c r="B2688" s="19">
        <v>0</v>
      </c>
      <c r="C2688" s="21">
        <v>0</v>
      </c>
      <c r="D2688" s="20" t="str">
        <v>未匹配</v>
      </c>
      <c r="E2688" s="20">
        <v>0</v>
      </c>
    </row>
    <row r="2689" spans="1:5">
      <c r="A2689" s="20" t="str">
        <v>00:00:00</v>
      </c>
      <c r="B2689" s="19">
        <v>0</v>
      </c>
      <c r="C2689" s="21">
        <v>0</v>
      </c>
      <c r="D2689" s="20" t="str">
        <v>未匹配</v>
      </c>
      <c r="E2689" s="20">
        <v>0</v>
      </c>
    </row>
    <row r="2690" spans="1:5">
      <c r="A2690" s="20" t="str">
        <v>00:00:00</v>
      </c>
      <c r="B2690" s="19">
        <v>0</v>
      </c>
      <c r="C2690" s="21">
        <v>0</v>
      </c>
      <c r="D2690" s="20" t="str">
        <v>未匹配</v>
      </c>
      <c r="E2690" s="20">
        <v>0</v>
      </c>
    </row>
    <row r="2691" spans="1:5">
      <c r="A2691" s="20" t="str">
        <v>00:00:00</v>
      </c>
      <c r="B2691" s="19">
        <v>0</v>
      </c>
      <c r="C2691" s="21">
        <v>0</v>
      </c>
      <c r="D2691" s="20" t="str">
        <v>未匹配</v>
      </c>
      <c r="E2691" s="20">
        <v>0</v>
      </c>
    </row>
    <row r="2692" spans="1:5">
      <c r="A2692" s="20" t="str">
        <v>00:00:00</v>
      </c>
      <c r="B2692" s="19">
        <v>0</v>
      </c>
      <c r="C2692" s="21">
        <v>0</v>
      </c>
      <c r="D2692" s="20" t="str">
        <v>未匹配</v>
      </c>
      <c r="E2692" s="20">
        <v>0</v>
      </c>
    </row>
    <row r="2693" spans="1:5">
      <c r="A2693" s="20" t="str">
        <v>00:00:00</v>
      </c>
      <c r="B2693" s="19">
        <v>0</v>
      </c>
      <c r="C2693" s="21">
        <v>0</v>
      </c>
      <c r="D2693" s="20" t="str">
        <v>未匹配</v>
      </c>
      <c r="E2693" s="20">
        <v>0</v>
      </c>
    </row>
    <row r="2694" spans="1:5">
      <c r="A2694" s="20" t="str">
        <v>00:00:00</v>
      </c>
      <c r="B2694" s="19">
        <v>0</v>
      </c>
      <c r="C2694" s="21">
        <v>0</v>
      </c>
      <c r="D2694" s="20" t="str">
        <v>未匹配</v>
      </c>
      <c r="E2694" s="20">
        <v>0</v>
      </c>
    </row>
    <row r="2695" spans="1:5">
      <c r="A2695" s="20" t="str">
        <v>00:00:00</v>
      </c>
      <c r="B2695" s="19">
        <v>0</v>
      </c>
      <c r="C2695" s="21">
        <v>0</v>
      </c>
      <c r="D2695" s="20" t="str">
        <v>未匹配</v>
      </c>
      <c r="E2695" s="20">
        <v>0</v>
      </c>
    </row>
    <row r="2696" spans="1:5">
      <c r="A2696" s="20" t="str">
        <v>00:00:00</v>
      </c>
      <c r="B2696" s="19">
        <v>0</v>
      </c>
      <c r="C2696" s="21">
        <v>0</v>
      </c>
      <c r="D2696" s="20" t="str">
        <v>未匹配</v>
      </c>
      <c r="E2696" s="20">
        <v>0</v>
      </c>
    </row>
    <row r="2697" spans="1:5">
      <c r="A2697" s="20" t="str">
        <v>00:00:00</v>
      </c>
      <c r="B2697" s="19">
        <v>0</v>
      </c>
      <c r="C2697" s="21">
        <v>0</v>
      </c>
      <c r="D2697" s="20" t="str">
        <v>未匹配</v>
      </c>
      <c r="E2697" s="20">
        <v>0</v>
      </c>
    </row>
    <row r="2698" spans="1:5">
      <c r="A2698" s="20" t="str">
        <v>00:00:00</v>
      </c>
      <c r="B2698" s="19">
        <v>0</v>
      </c>
      <c r="C2698" s="21">
        <v>0</v>
      </c>
      <c r="D2698" s="20" t="str">
        <v>未匹配</v>
      </c>
      <c r="E2698" s="20">
        <v>0</v>
      </c>
    </row>
    <row r="2699" spans="1:5">
      <c r="A2699" s="20" t="str">
        <v>00:00:00</v>
      </c>
      <c r="B2699" s="19">
        <v>0</v>
      </c>
      <c r="C2699" s="21">
        <v>0</v>
      </c>
      <c r="D2699" s="20" t="str">
        <v>未匹配</v>
      </c>
      <c r="E2699" s="20">
        <v>0</v>
      </c>
    </row>
    <row r="2700" spans="1:5">
      <c r="A2700" s="20" t="str">
        <v>00:00:00</v>
      </c>
      <c r="B2700" s="19">
        <v>0</v>
      </c>
      <c r="C2700" s="21">
        <v>0</v>
      </c>
      <c r="D2700" s="20" t="str">
        <v>未匹配</v>
      </c>
      <c r="E2700" s="20">
        <v>0</v>
      </c>
    </row>
    <row r="2701" spans="1:5">
      <c r="A2701" s="20" t="str">
        <v>00:00:00</v>
      </c>
      <c r="B2701" s="19">
        <v>0</v>
      </c>
      <c r="C2701" s="21">
        <v>0</v>
      </c>
      <c r="D2701" s="20" t="str">
        <v>未匹配</v>
      </c>
      <c r="E2701" s="20">
        <v>0</v>
      </c>
    </row>
    <row r="2702" spans="1:5">
      <c r="A2702" s="20" t="str">
        <v>00:00:00</v>
      </c>
      <c r="B2702" s="19">
        <v>0</v>
      </c>
      <c r="C2702" s="21">
        <v>0</v>
      </c>
      <c r="D2702" s="20" t="str">
        <v>未匹配</v>
      </c>
      <c r="E2702" s="20">
        <v>0</v>
      </c>
    </row>
    <row r="2703" spans="1:5">
      <c r="A2703" s="20" t="str">
        <v>00:00:00</v>
      </c>
      <c r="B2703" s="19">
        <v>0</v>
      </c>
      <c r="C2703" s="21">
        <v>0</v>
      </c>
      <c r="D2703" s="20" t="str">
        <v>未匹配</v>
      </c>
      <c r="E2703" s="20">
        <v>0</v>
      </c>
    </row>
    <row r="2704" spans="1:5">
      <c r="A2704" s="20" t="str">
        <v>00:00:00</v>
      </c>
      <c r="B2704" s="19">
        <v>0</v>
      </c>
      <c r="C2704" s="21">
        <v>0</v>
      </c>
      <c r="D2704" s="20" t="str">
        <v>未匹配</v>
      </c>
      <c r="E2704" s="20">
        <v>0</v>
      </c>
    </row>
    <row r="2705" spans="1:5">
      <c r="A2705" s="20" t="str">
        <v>00:00:00</v>
      </c>
      <c r="B2705" s="19">
        <v>0</v>
      </c>
      <c r="C2705" s="21">
        <v>0</v>
      </c>
      <c r="D2705" s="20" t="str">
        <v>未匹配</v>
      </c>
      <c r="E2705" s="20">
        <v>0</v>
      </c>
    </row>
    <row r="2706" spans="1:5">
      <c r="A2706" s="20" t="str">
        <v>00:00:00</v>
      </c>
      <c r="B2706" s="19">
        <v>0</v>
      </c>
      <c r="C2706" s="21">
        <v>0</v>
      </c>
      <c r="D2706" s="20" t="str">
        <v>未匹配</v>
      </c>
      <c r="E2706" s="20">
        <v>0</v>
      </c>
    </row>
    <row r="2707" spans="1:5">
      <c r="A2707" s="20" t="str">
        <v>00:00:00</v>
      </c>
      <c r="B2707" s="19">
        <v>0</v>
      </c>
      <c r="C2707" s="21">
        <v>0</v>
      </c>
      <c r="D2707" s="20" t="str">
        <v>未匹配</v>
      </c>
      <c r="E2707" s="20">
        <v>0</v>
      </c>
    </row>
    <row r="2708" spans="1:5">
      <c r="A2708" s="20" t="str">
        <v>00:00:00</v>
      </c>
      <c r="B2708" s="19">
        <v>0</v>
      </c>
      <c r="C2708" s="21">
        <v>0</v>
      </c>
      <c r="D2708" s="20" t="str">
        <v>未匹配</v>
      </c>
      <c r="E2708" s="20">
        <v>0</v>
      </c>
    </row>
    <row r="2709" spans="1:5">
      <c r="A2709" s="20" t="str">
        <v>00:00:00</v>
      </c>
      <c r="B2709" s="19">
        <v>0</v>
      </c>
      <c r="C2709" s="21">
        <v>0</v>
      </c>
      <c r="D2709" s="20" t="str">
        <v>未匹配</v>
      </c>
      <c r="E2709" s="20">
        <v>0</v>
      </c>
    </row>
    <row r="2710" spans="1:5">
      <c r="A2710" s="20" t="str">
        <v>00:00:00</v>
      </c>
      <c r="B2710" s="19">
        <v>0</v>
      </c>
      <c r="C2710" s="21">
        <v>0</v>
      </c>
      <c r="D2710" s="20" t="str">
        <v>未匹配</v>
      </c>
      <c r="E2710" s="20">
        <v>0</v>
      </c>
    </row>
    <row r="2711" spans="1:5">
      <c r="A2711" s="20" t="str">
        <v>00:00:00</v>
      </c>
      <c r="B2711" s="19">
        <v>0</v>
      </c>
      <c r="C2711" s="21">
        <v>0</v>
      </c>
      <c r="D2711" s="20" t="str">
        <v>未匹配</v>
      </c>
      <c r="E2711" s="20">
        <v>0</v>
      </c>
    </row>
    <row r="2712" spans="1:5">
      <c r="A2712" s="20" t="str">
        <v>00:00:00</v>
      </c>
      <c r="B2712" s="19">
        <v>0</v>
      </c>
      <c r="C2712" s="21">
        <v>0</v>
      </c>
      <c r="D2712" s="20" t="str">
        <v>未匹配</v>
      </c>
      <c r="E2712" s="20">
        <v>0</v>
      </c>
    </row>
    <row r="2713" spans="1:5">
      <c r="A2713" s="20" t="str">
        <v>00:00:00</v>
      </c>
      <c r="B2713" s="19">
        <v>0</v>
      </c>
      <c r="C2713" s="21">
        <v>0</v>
      </c>
      <c r="D2713" s="20" t="str">
        <v>未匹配</v>
      </c>
      <c r="E2713" s="20">
        <v>0</v>
      </c>
    </row>
    <row r="2714" spans="1:5">
      <c r="A2714" s="20" t="str">
        <v>00:00:00</v>
      </c>
      <c r="B2714" s="19">
        <v>0</v>
      </c>
      <c r="C2714" s="21">
        <v>0</v>
      </c>
      <c r="D2714" s="20" t="str">
        <v>未匹配</v>
      </c>
      <c r="E2714" s="20">
        <v>0</v>
      </c>
    </row>
    <row r="2715" spans="1:5">
      <c r="A2715" s="20" t="str">
        <v>00:00:00</v>
      </c>
      <c r="B2715" s="19">
        <v>0</v>
      </c>
      <c r="C2715" s="21">
        <v>0</v>
      </c>
      <c r="D2715" s="20" t="str">
        <v>未匹配</v>
      </c>
      <c r="E2715" s="20">
        <v>0</v>
      </c>
    </row>
    <row r="2716" spans="1:5">
      <c r="A2716" s="20" t="str">
        <v>00:00:00</v>
      </c>
      <c r="B2716" s="19">
        <v>0</v>
      </c>
      <c r="C2716" s="21">
        <v>0</v>
      </c>
      <c r="D2716" s="20" t="str">
        <v>未匹配</v>
      </c>
      <c r="E2716" s="20">
        <v>0</v>
      </c>
    </row>
    <row r="2717" spans="1:5">
      <c r="A2717" s="20" t="str">
        <v>00:00:00</v>
      </c>
      <c r="B2717" s="19">
        <v>0</v>
      </c>
      <c r="C2717" s="21">
        <v>0</v>
      </c>
      <c r="D2717" s="20" t="str">
        <v>未匹配</v>
      </c>
      <c r="E2717" s="20">
        <v>0</v>
      </c>
    </row>
    <row r="2718" spans="1:5">
      <c r="A2718" s="20" t="str">
        <v>00:00:00</v>
      </c>
      <c r="B2718" s="19">
        <v>0</v>
      </c>
      <c r="C2718" s="21">
        <v>0</v>
      </c>
      <c r="D2718" s="20" t="str">
        <v>未匹配</v>
      </c>
      <c r="E2718" s="20">
        <v>0</v>
      </c>
    </row>
    <row r="2719" spans="1:5">
      <c r="A2719" s="20" t="str">
        <v>00:00:00</v>
      </c>
      <c r="B2719" s="19">
        <v>0</v>
      </c>
      <c r="C2719" s="21">
        <v>0</v>
      </c>
      <c r="D2719" s="20" t="str">
        <v>未匹配</v>
      </c>
      <c r="E2719" s="20">
        <v>0</v>
      </c>
    </row>
    <row r="2720" spans="1:5">
      <c r="A2720" s="20" t="str">
        <v>00:00:00</v>
      </c>
      <c r="B2720" s="19">
        <v>0</v>
      </c>
      <c r="C2720" s="21">
        <v>0</v>
      </c>
      <c r="D2720" s="20" t="str">
        <v>未匹配</v>
      </c>
      <c r="E2720" s="20">
        <v>0</v>
      </c>
    </row>
    <row r="2721" spans="1:5">
      <c r="A2721" s="20" t="str">
        <v>00:00:00</v>
      </c>
      <c r="B2721" s="19">
        <v>0</v>
      </c>
      <c r="C2721" s="21">
        <v>0</v>
      </c>
      <c r="D2721" s="20" t="str">
        <v>未匹配</v>
      </c>
      <c r="E2721" s="20">
        <v>0</v>
      </c>
    </row>
    <row r="2722" spans="1:5">
      <c r="A2722" s="20" t="str">
        <v>00:00:00</v>
      </c>
      <c r="B2722" s="19">
        <v>0</v>
      </c>
      <c r="C2722" s="21">
        <v>0</v>
      </c>
      <c r="D2722" s="20" t="str">
        <v>未匹配</v>
      </c>
      <c r="E2722" s="20">
        <v>0</v>
      </c>
    </row>
    <row r="2723" spans="1:5">
      <c r="A2723" s="20" t="str">
        <v>00:00:00</v>
      </c>
      <c r="B2723" s="19">
        <v>0</v>
      </c>
      <c r="C2723" s="21">
        <v>0</v>
      </c>
      <c r="D2723" s="20" t="str">
        <v>未匹配</v>
      </c>
      <c r="E2723" s="20">
        <v>0</v>
      </c>
    </row>
    <row r="2724" spans="1:5">
      <c r="A2724" s="20" t="str">
        <v>00:00:00</v>
      </c>
      <c r="B2724" s="19">
        <v>0</v>
      </c>
      <c r="C2724" s="21">
        <v>0</v>
      </c>
      <c r="D2724" s="20" t="str">
        <v>未匹配</v>
      </c>
      <c r="E2724" s="20">
        <v>0</v>
      </c>
    </row>
    <row r="2725" spans="1:5">
      <c r="A2725" s="20" t="str">
        <v>00:00:00</v>
      </c>
      <c r="B2725" s="19">
        <v>0</v>
      </c>
      <c r="C2725" s="21">
        <v>0</v>
      </c>
      <c r="D2725" s="20" t="str">
        <v>未匹配</v>
      </c>
      <c r="E2725" s="20">
        <v>0</v>
      </c>
    </row>
    <row r="2726" spans="1:5">
      <c r="A2726" s="20" t="str">
        <v>00:00:00</v>
      </c>
      <c r="B2726" s="19">
        <v>0</v>
      </c>
      <c r="C2726" s="21">
        <v>0</v>
      </c>
      <c r="D2726" s="20" t="str">
        <v>未匹配</v>
      </c>
      <c r="E2726" s="20">
        <v>0</v>
      </c>
    </row>
    <row r="2727" spans="1:5">
      <c r="A2727" s="20" t="str">
        <v>00:00:00</v>
      </c>
      <c r="B2727" s="19">
        <v>0</v>
      </c>
      <c r="C2727" s="21">
        <v>0</v>
      </c>
      <c r="D2727" s="20" t="str">
        <v>未匹配</v>
      </c>
      <c r="E2727" s="20">
        <v>0</v>
      </c>
    </row>
    <row r="2728" spans="1:5">
      <c r="A2728" s="20" t="str">
        <v>00:00:00</v>
      </c>
      <c r="B2728" s="19">
        <v>0</v>
      </c>
      <c r="C2728" s="21">
        <v>0</v>
      </c>
      <c r="D2728" s="20" t="str">
        <v>未匹配</v>
      </c>
      <c r="E2728" s="20">
        <v>0</v>
      </c>
    </row>
    <row r="2729" spans="1:5">
      <c r="A2729" s="20" t="str">
        <v>00:00:00</v>
      </c>
      <c r="B2729" s="19">
        <v>0</v>
      </c>
      <c r="C2729" s="21">
        <v>0</v>
      </c>
      <c r="D2729" s="20" t="str">
        <v>未匹配</v>
      </c>
      <c r="E2729" s="20">
        <v>0</v>
      </c>
    </row>
    <row r="2730" spans="1:5">
      <c r="A2730" s="20" t="str">
        <v>00:00:00</v>
      </c>
      <c r="B2730" s="19">
        <v>0</v>
      </c>
      <c r="C2730" s="21">
        <v>0</v>
      </c>
      <c r="D2730" s="20" t="str">
        <v>未匹配</v>
      </c>
      <c r="E2730" s="20">
        <v>0</v>
      </c>
    </row>
    <row r="2731" spans="1:5">
      <c r="A2731" s="20" t="str">
        <v>00:00:00</v>
      </c>
      <c r="B2731" s="19">
        <v>0</v>
      </c>
      <c r="C2731" s="21">
        <v>0</v>
      </c>
      <c r="D2731" s="20" t="str">
        <v>未匹配</v>
      </c>
      <c r="E2731" s="20">
        <v>0</v>
      </c>
    </row>
    <row r="2732" spans="1:5">
      <c r="A2732" s="20" t="str">
        <v>00:00:00</v>
      </c>
      <c r="B2732" s="19">
        <v>0</v>
      </c>
      <c r="C2732" s="21">
        <v>0</v>
      </c>
      <c r="D2732" s="20" t="str">
        <v>未匹配</v>
      </c>
      <c r="E2732" s="20">
        <v>0</v>
      </c>
    </row>
    <row r="2733" spans="1:5">
      <c r="A2733" s="20" t="str">
        <v>00:00:00</v>
      </c>
      <c r="B2733" s="19">
        <v>0</v>
      </c>
      <c r="C2733" s="21">
        <v>0</v>
      </c>
      <c r="D2733" s="20" t="str">
        <v>未匹配</v>
      </c>
      <c r="E2733" s="20">
        <v>0</v>
      </c>
    </row>
    <row r="2734" spans="1:5">
      <c r="A2734" s="20" t="str">
        <v>00:00:00</v>
      </c>
      <c r="B2734" s="19">
        <v>0</v>
      </c>
      <c r="C2734" s="21">
        <v>0</v>
      </c>
      <c r="D2734" s="20" t="str">
        <v>未匹配</v>
      </c>
      <c r="E2734" s="20">
        <v>0</v>
      </c>
    </row>
    <row r="2735" spans="1:5">
      <c r="A2735" s="20" t="str">
        <v>00:00:00</v>
      </c>
      <c r="B2735" s="19">
        <v>0</v>
      </c>
      <c r="C2735" s="21">
        <v>0</v>
      </c>
      <c r="D2735" s="20" t="str">
        <v>未匹配</v>
      </c>
      <c r="E2735" s="20">
        <v>0</v>
      </c>
    </row>
    <row r="2736" spans="1:5">
      <c r="A2736" s="20" t="str">
        <v>00:00:00</v>
      </c>
      <c r="B2736" s="19">
        <v>0</v>
      </c>
      <c r="C2736" s="21">
        <v>0</v>
      </c>
      <c r="D2736" s="20" t="str">
        <v>未匹配</v>
      </c>
      <c r="E2736" s="20">
        <v>0</v>
      </c>
    </row>
    <row r="2737" spans="1:5">
      <c r="A2737" s="20" t="str">
        <v>00:00:00</v>
      </c>
      <c r="B2737" s="19">
        <v>0</v>
      </c>
      <c r="C2737" s="21">
        <v>0</v>
      </c>
      <c r="D2737" s="20" t="str">
        <v>未匹配</v>
      </c>
      <c r="E2737" s="20">
        <v>0</v>
      </c>
    </row>
    <row r="2738" spans="1:5">
      <c r="A2738" s="20" t="str">
        <v>00:00:00</v>
      </c>
      <c r="B2738" s="19">
        <v>0</v>
      </c>
      <c r="C2738" s="21">
        <v>0</v>
      </c>
      <c r="D2738" s="20" t="str">
        <v>未匹配</v>
      </c>
      <c r="E2738" s="20">
        <v>0</v>
      </c>
    </row>
    <row r="2739" spans="1:5">
      <c r="A2739" s="20" t="str">
        <v>00:00:00</v>
      </c>
      <c r="B2739" s="19">
        <v>0</v>
      </c>
      <c r="C2739" s="21">
        <v>0</v>
      </c>
      <c r="D2739" s="20" t="str">
        <v>未匹配</v>
      </c>
      <c r="E2739" s="20">
        <v>0</v>
      </c>
    </row>
    <row r="2740" spans="1:5">
      <c r="A2740" s="20" t="str">
        <v>00:00:00</v>
      </c>
      <c r="B2740" s="19">
        <v>0</v>
      </c>
      <c r="C2740" s="21">
        <v>0</v>
      </c>
      <c r="D2740" s="20" t="str">
        <v>未匹配</v>
      </c>
      <c r="E2740" s="20">
        <v>0</v>
      </c>
    </row>
    <row r="2741" spans="1:5">
      <c r="A2741" s="20" t="str">
        <v>00:00:00</v>
      </c>
      <c r="B2741" s="19">
        <v>0</v>
      </c>
      <c r="C2741" s="21">
        <v>0</v>
      </c>
      <c r="D2741" s="20" t="str">
        <v>未匹配</v>
      </c>
      <c r="E2741" s="20">
        <v>0</v>
      </c>
    </row>
    <row r="2742" spans="1:5">
      <c r="A2742" s="20" t="str">
        <v>00:00:00</v>
      </c>
      <c r="B2742" s="19">
        <v>0</v>
      </c>
      <c r="C2742" s="21">
        <v>0</v>
      </c>
      <c r="D2742" s="20" t="str">
        <v>未匹配</v>
      </c>
      <c r="E2742" s="20">
        <v>0</v>
      </c>
    </row>
    <row r="2743" spans="1:5">
      <c r="A2743" s="20" t="str">
        <v>00:00:00</v>
      </c>
      <c r="B2743" s="19">
        <v>0</v>
      </c>
      <c r="C2743" s="21">
        <v>0</v>
      </c>
      <c r="D2743" s="20" t="str">
        <v>未匹配</v>
      </c>
      <c r="E2743" s="20">
        <v>0</v>
      </c>
    </row>
    <row r="2744" spans="1:5">
      <c r="A2744" s="20" t="str">
        <v>00:00:00</v>
      </c>
      <c r="B2744" s="19">
        <v>0</v>
      </c>
      <c r="C2744" s="21">
        <v>0</v>
      </c>
      <c r="D2744" s="20" t="str">
        <v>未匹配</v>
      </c>
      <c r="E2744" s="20">
        <v>0</v>
      </c>
    </row>
    <row r="2745" spans="1:5">
      <c r="A2745" s="20" t="str">
        <v>00:00:00</v>
      </c>
      <c r="B2745" s="19">
        <v>0</v>
      </c>
      <c r="C2745" s="21">
        <v>0</v>
      </c>
      <c r="D2745" s="20" t="str">
        <v>未匹配</v>
      </c>
      <c r="E2745" s="20">
        <v>0</v>
      </c>
    </row>
    <row r="2746" spans="1:5">
      <c r="A2746" s="20" t="str">
        <v>00:00:00</v>
      </c>
      <c r="B2746" s="19">
        <v>0</v>
      </c>
      <c r="C2746" s="21">
        <v>0</v>
      </c>
      <c r="D2746" s="20" t="str">
        <v>未匹配</v>
      </c>
      <c r="E2746" s="20">
        <v>0</v>
      </c>
    </row>
    <row r="2747" spans="1:5">
      <c r="A2747" s="20" t="str">
        <v>00:00:00</v>
      </c>
      <c r="B2747" s="19">
        <v>0</v>
      </c>
      <c r="C2747" s="21">
        <v>0</v>
      </c>
      <c r="D2747" s="20" t="str">
        <v>未匹配</v>
      </c>
      <c r="E2747" s="20">
        <v>0</v>
      </c>
    </row>
    <row r="2748" spans="1:5">
      <c r="A2748" s="20" t="str">
        <v>00:00:00</v>
      </c>
      <c r="B2748" s="19">
        <v>0</v>
      </c>
      <c r="C2748" s="21">
        <v>0</v>
      </c>
      <c r="D2748" s="20" t="str">
        <v>未匹配</v>
      </c>
      <c r="E2748" s="20">
        <v>0</v>
      </c>
    </row>
    <row r="2749" spans="1:5">
      <c r="A2749" s="20" t="str">
        <v>00:00:00</v>
      </c>
      <c r="B2749" s="19">
        <v>0</v>
      </c>
      <c r="C2749" s="21">
        <v>0</v>
      </c>
      <c r="D2749" s="20" t="str">
        <v>未匹配</v>
      </c>
      <c r="E2749" s="20">
        <v>0</v>
      </c>
    </row>
    <row r="2750" spans="1:5">
      <c r="A2750" s="20" t="str">
        <v>00:00:00</v>
      </c>
      <c r="B2750" s="19">
        <v>0</v>
      </c>
      <c r="C2750" s="21">
        <v>0</v>
      </c>
      <c r="D2750" s="20" t="str">
        <v>未匹配</v>
      </c>
      <c r="E2750" s="20">
        <v>0</v>
      </c>
    </row>
    <row r="2751" spans="1:5">
      <c r="A2751" s="20" t="str">
        <v>00:00:00</v>
      </c>
      <c r="B2751" s="19">
        <v>0</v>
      </c>
      <c r="C2751" s="21">
        <v>0</v>
      </c>
      <c r="D2751" s="20" t="str">
        <v>未匹配</v>
      </c>
      <c r="E2751" s="20">
        <v>0</v>
      </c>
    </row>
    <row r="2752" spans="1:5">
      <c r="A2752" s="20" t="str">
        <v>00:00:00</v>
      </c>
      <c r="B2752" s="19">
        <v>0</v>
      </c>
      <c r="C2752" s="21">
        <v>0</v>
      </c>
      <c r="D2752" s="20" t="str">
        <v>未匹配</v>
      </c>
      <c r="E2752" s="20">
        <v>0</v>
      </c>
    </row>
    <row r="2753" spans="1:5">
      <c r="A2753" s="20" t="str">
        <v>00:00:00</v>
      </c>
      <c r="B2753" s="19">
        <v>0</v>
      </c>
      <c r="C2753" s="21">
        <v>0</v>
      </c>
      <c r="D2753" s="20" t="str">
        <v>未匹配</v>
      </c>
      <c r="E2753" s="20">
        <v>0</v>
      </c>
    </row>
    <row r="2754" spans="1:5">
      <c r="A2754" s="20" t="str">
        <v>00:00:00</v>
      </c>
      <c r="B2754" s="19">
        <v>0</v>
      </c>
      <c r="C2754" s="21">
        <v>0</v>
      </c>
      <c r="D2754" s="20" t="str">
        <v>未匹配</v>
      </c>
      <c r="E2754" s="20">
        <v>0</v>
      </c>
    </row>
    <row r="2755" spans="1:5">
      <c r="A2755" s="20" t="str">
        <v>00:00:00</v>
      </c>
      <c r="B2755" s="19">
        <v>0</v>
      </c>
      <c r="C2755" s="21">
        <v>0</v>
      </c>
      <c r="D2755" s="20" t="str">
        <v>未匹配</v>
      </c>
      <c r="E2755" s="20">
        <v>0</v>
      </c>
    </row>
    <row r="2756" spans="1:5">
      <c r="A2756" s="20" t="str">
        <v>00:00:00</v>
      </c>
      <c r="B2756" s="19">
        <v>0</v>
      </c>
      <c r="C2756" s="21">
        <v>0</v>
      </c>
      <c r="D2756" s="20" t="str">
        <v>未匹配</v>
      </c>
      <c r="E2756" s="20">
        <v>0</v>
      </c>
    </row>
    <row r="2757" spans="1:5">
      <c r="A2757" s="20" t="str">
        <v>00:00:00</v>
      </c>
      <c r="B2757" s="19">
        <v>0</v>
      </c>
      <c r="C2757" s="21">
        <v>0</v>
      </c>
      <c r="D2757" s="20" t="str">
        <v>未匹配</v>
      </c>
      <c r="E2757" s="20">
        <v>0</v>
      </c>
    </row>
    <row r="2758" spans="1:5">
      <c r="A2758" s="20" t="str">
        <v>00:00:00</v>
      </c>
      <c r="B2758" s="19">
        <v>0</v>
      </c>
      <c r="C2758" s="21">
        <v>0</v>
      </c>
      <c r="D2758" s="20" t="str">
        <v>未匹配</v>
      </c>
      <c r="E2758" s="20">
        <v>0</v>
      </c>
    </row>
    <row r="2759" spans="1:5">
      <c r="A2759" s="20" t="str">
        <v>00:00:00</v>
      </c>
      <c r="B2759" s="19">
        <v>0</v>
      </c>
      <c r="C2759" s="21">
        <v>0</v>
      </c>
      <c r="D2759" s="20" t="str">
        <v>未匹配</v>
      </c>
      <c r="E2759" s="20">
        <v>0</v>
      </c>
    </row>
    <row r="2760" spans="1:5">
      <c r="A2760" s="20" t="str">
        <v>00:00:00</v>
      </c>
      <c r="B2760" s="19">
        <v>0</v>
      </c>
      <c r="C2760" s="21">
        <v>0</v>
      </c>
      <c r="D2760" s="20" t="str">
        <v>未匹配</v>
      </c>
      <c r="E2760" s="20">
        <v>0</v>
      </c>
    </row>
    <row r="2761" spans="1:5">
      <c r="A2761" s="20" t="str">
        <v>00:00:00</v>
      </c>
      <c r="B2761" s="19">
        <v>0</v>
      </c>
      <c r="C2761" s="21">
        <v>0</v>
      </c>
      <c r="D2761" s="20" t="str">
        <v>未匹配</v>
      </c>
      <c r="E2761" s="20">
        <v>0</v>
      </c>
    </row>
    <row r="2762" spans="1:5">
      <c r="A2762" s="20" t="str">
        <v>00:00:00</v>
      </c>
      <c r="B2762" s="19">
        <v>0</v>
      </c>
      <c r="C2762" s="21">
        <v>0</v>
      </c>
      <c r="D2762" s="20" t="str">
        <v>未匹配</v>
      </c>
      <c r="E2762" s="20">
        <v>0</v>
      </c>
    </row>
    <row r="2763" spans="1:5">
      <c r="A2763" s="20" t="str">
        <v>00:00:00</v>
      </c>
      <c r="B2763" s="19">
        <v>0</v>
      </c>
      <c r="C2763" s="21">
        <v>0</v>
      </c>
      <c r="D2763" s="20" t="str">
        <v>未匹配</v>
      </c>
      <c r="E2763" s="20">
        <v>0</v>
      </c>
    </row>
    <row r="2764" spans="1:5">
      <c r="A2764" s="20" t="str">
        <v>00:00:00</v>
      </c>
      <c r="B2764" s="19">
        <v>0</v>
      </c>
      <c r="C2764" s="21">
        <v>0</v>
      </c>
      <c r="D2764" s="20" t="str">
        <v>未匹配</v>
      </c>
      <c r="E2764" s="20">
        <v>0</v>
      </c>
    </row>
    <row r="2765" spans="1:5">
      <c r="A2765" s="20" t="str">
        <v>00:00:00</v>
      </c>
      <c r="B2765" s="19">
        <v>0</v>
      </c>
      <c r="C2765" s="21">
        <v>0</v>
      </c>
      <c r="D2765" s="20" t="str">
        <v>未匹配</v>
      </c>
      <c r="E2765" s="20">
        <v>0</v>
      </c>
    </row>
    <row r="2766" spans="1:5">
      <c r="A2766" s="20" t="str">
        <v>00:00:00</v>
      </c>
      <c r="B2766" s="19">
        <v>0</v>
      </c>
      <c r="C2766" s="21">
        <v>0</v>
      </c>
      <c r="D2766" s="20" t="str">
        <v>未匹配</v>
      </c>
      <c r="E2766" s="20">
        <v>0</v>
      </c>
    </row>
    <row r="2767" spans="1:5">
      <c r="A2767" s="20" t="str">
        <v>00:00:00</v>
      </c>
      <c r="B2767" s="19">
        <v>0</v>
      </c>
      <c r="C2767" s="21">
        <v>0</v>
      </c>
      <c r="D2767" s="20" t="str">
        <v>未匹配</v>
      </c>
      <c r="E2767" s="20">
        <v>0</v>
      </c>
    </row>
    <row r="2768" spans="1:5">
      <c r="A2768" s="20" t="str">
        <v>00:00:00</v>
      </c>
      <c r="B2768" s="19">
        <v>0</v>
      </c>
      <c r="C2768" s="21">
        <v>0</v>
      </c>
      <c r="D2768" s="20" t="str">
        <v>未匹配</v>
      </c>
      <c r="E2768" s="20">
        <v>0</v>
      </c>
    </row>
    <row r="2769" spans="1:5">
      <c r="A2769" s="20" t="str">
        <v>00:00:00</v>
      </c>
      <c r="B2769" s="19">
        <v>0</v>
      </c>
      <c r="C2769" s="21">
        <v>0</v>
      </c>
      <c r="D2769" s="20" t="str">
        <v>未匹配</v>
      </c>
      <c r="E2769" s="20">
        <v>0</v>
      </c>
    </row>
    <row r="2770" spans="1:5">
      <c r="A2770" s="20" t="str">
        <v>00:00:00</v>
      </c>
      <c r="B2770" s="19">
        <v>0</v>
      </c>
      <c r="C2770" s="21">
        <v>0</v>
      </c>
      <c r="D2770" s="20" t="str">
        <v>未匹配</v>
      </c>
      <c r="E2770" s="20">
        <v>0</v>
      </c>
    </row>
    <row r="2771" spans="1:5">
      <c r="A2771" s="20" t="str">
        <v>00:00:00</v>
      </c>
      <c r="B2771" s="19">
        <v>0</v>
      </c>
      <c r="C2771" s="21">
        <v>0</v>
      </c>
      <c r="D2771" s="20" t="str">
        <v>未匹配</v>
      </c>
      <c r="E2771" s="20">
        <v>0</v>
      </c>
    </row>
    <row r="2772" spans="1:5">
      <c r="A2772" s="20" t="str">
        <v>00:00:00</v>
      </c>
      <c r="B2772" s="19">
        <v>0</v>
      </c>
      <c r="C2772" s="21">
        <v>0</v>
      </c>
      <c r="D2772" s="20" t="str">
        <v>未匹配</v>
      </c>
      <c r="E2772" s="20">
        <v>0</v>
      </c>
    </row>
    <row r="2773" spans="1:5">
      <c r="A2773" s="20" t="str">
        <v>00:00:00</v>
      </c>
      <c r="B2773" s="19">
        <v>0</v>
      </c>
      <c r="C2773" s="21">
        <v>0</v>
      </c>
      <c r="D2773" s="20" t="str">
        <v>未匹配</v>
      </c>
      <c r="E2773" s="20">
        <v>0</v>
      </c>
    </row>
    <row r="2774" spans="1:5">
      <c r="A2774" s="20" t="str">
        <v>00:00:00</v>
      </c>
      <c r="B2774" s="19">
        <v>0</v>
      </c>
      <c r="C2774" s="21">
        <v>0</v>
      </c>
      <c r="D2774" s="20" t="str">
        <v>未匹配</v>
      </c>
      <c r="E2774" s="20">
        <v>0</v>
      </c>
    </row>
    <row r="2775" spans="1:5">
      <c r="A2775" s="20" t="str">
        <v>00:00:00</v>
      </c>
      <c r="B2775" s="19">
        <v>0</v>
      </c>
      <c r="C2775" s="21">
        <v>0</v>
      </c>
      <c r="D2775" s="20" t="str">
        <v>未匹配</v>
      </c>
      <c r="E2775" s="20">
        <v>0</v>
      </c>
    </row>
    <row r="2776" spans="1:5">
      <c r="A2776" s="20" t="str">
        <v>00:00:00</v>
      </c>
      <c r="B2776" s="19">
        <v>0</v>
      </c>
      <c r="C2776" s="21">
        <v>0</v>
      </c>
      <c r="D2776" s="20" t="str">
        <v>未匹配</v>
      </c>
      <c r="E2776" s="20">
        <v>0</v>
      </c>
    </row>
    <row r="2777" spans="1:5">
      <c r="A2777" s="20" t="str">
        <v>00:00:00</v>
      </c>
      <c r="B2777" s="19">
        <v>0</v>
      </c>
      <c r="C2777" s="21">
        <v>0</v>
      </c>
      <c r="D2777" s="20" t="str">
        <v>未匹配</v>
      </c>
      <c r="E2777" s="20">
        <v>0</v>
      </c>
    </row>
    <row r="2778" spans="1:5">
      <c r="A2778" s="20" t="str">
        <v>00:00:00</v>
      </c>
      <c r="B2778" s="19">
        <v>0</v>
      </c>
      <c r="C2778" s="21">
        <v>0</v>
      </c>
      <c r="D2778" s="20" t="str">
        <v>未匹配</v>
      </c>
      <c r="E2778" s="20">
        <v>0</v>
      </c>
    </row>
    <row r="2779" spans="1:5">
      <c r="A2779" s="20" t="str">
        <v>00:00:00</v>
      </c>
      <c r="B2779" s="19">
        <v>0</v>
      </c>
      <c r="C2779" s="21">
        <v>0</v>
      </c>
      <c r="D2779" s="20" t="str">
        <v>未匹配</v>
      </c>
      <c r="E2779" s="20">
        <v>0</v>
      </c>
    </row>
    <row r="2780" spans="1:5">
      <c r="A2780" s="20" t="str">
        <v>00:00:00</v>
      </c>
      <c r="B2780" s="19">
        <v>0</v>
      </c>
      <c r="C2780" s="21">
        <v>0</v>
      </c>
      <c r="D2780" s="20" t="str">
        <v>未匹配</v>
      </c>
      <c r="E2780" s="20">
        <v>0</v>
      </c>
    </row>
    <row r="2781" spans="1:5">
      <c r="A2781" s="20" t="str">
        <v>00:00:00</v>
      </c>
      <c r="B2781" s="19">
        <v>0</v>
      </c>
      <c r="C2781" s="21">
        <v>0</v>
      </c>
      <c r="D2781" s="20" t="str">
        <v>未匹配</v>
      </c>
      <c r="E2781" s="20">
        <v>0</v>
      </c>
    </row>
    <row r="2782" spans="1:5">
      <c r="A2782" s="20" t="str">
        <v>00:00:00</v>
      </c>
      <c r="B2782" s="19">
        <v>0</v>
      </c>
      <c r="C2782" s="21">
        <v>0</v>
      </c>
      <c r="D2782" s="20" t="str">
        <v>未匹配</v>
      </c>
      <c r="E2782" s="20">
        <v>0</v>
      </c>
    </row>
    <row r="2783" spans="1:5">
      <c r="A2783" s="20" t="str">
        <v>00:00:00</v>
      </c>
      <c r="B2783" s="19">
        <v>0</v>
      </c>
      <c r="C2783" s="21">
        <v>0</v>
      </c>
      <c r="D2783" s="20" t="str">
        <v>未匹配</v>
      </c>
      <c r="E2783" s="20">
        <v>0</v>
      </c>
    </row>
    <row r="2784" spans="1:5">
      <c r="A2784" s="20" t="str">
        <v>00:00:00</v>
      </c>
      <c r="B2784" s="19">
        <v>0</v>
      </c>
      <c r="C2784" s="21">
        <v>0</v>
      </c>
      <c r="D2784" s="20" t="str">
        <v>未匹配</v>
      </c>
      <c r="E2784" s="20">
        <v>0</v>
      </c>
    </row>
    <row r="2785" spans="1:5">
      <c r="A2785" s="20" t="str">
        <v>00:00:00</v>
      </c>
      <c r="B2785" s="19">
        <v>0</v>
      </c>
      <c r="C2785" s="21">
        <v>0</v>
      </c>
      <c r="D2785" s="20" t="str">
        <v>未匹配</v>
      </c>
      <c r="E2785" s="20">
        <v>0</v>
      </c>
    </row>
    <row r="2786" spans="1:5">
      <c r="A2786" s="20" t="str">
        <v>00:00:00</v>
      </c>
      <c r="B2786" s="19">
        <v>0</v>
      </c>
      <c r="C2786" s="21">
        <v>0</v>
      </c>
      <c r="D2786" s="20" t="str">
        <v>未匹配</v>
      </c>
      <c r="E2786" s="20">
        <v>0</v>
      </c>
    </row>
    <row r="2787" spans="1:5">
      <c r="A2787" s="20" t="str">
        <v>00:00:00</v>
      </c>
      <c r="B2787" s="19">
        <v>0</v>
      </c>
      <c r="C2787" s="21">
        <v>0</v>
      </c>
      <c r="D2787" s="20" t="str">
        <v>未匹配</v>
      </c>
      <c r="E2787" s="20">
        <v>0</v>
      </c>
    </row>
    <row r="2788" spans="1:5">
      <c r="A2788" s="20" t="str">
        <v>00:00:00</v>
      </c>
      <c r="B2788" s="19">
        <v>0</v>
      </c>
      <c r="C2788" s="21">
        <v>0</v>
      </c>
      <c r="D2788" s="20" t="str">
        <v>未匹配</v>
      </c>
      <c r="E2788" s="20">
        <v>0</v>
      </c>
    </row>
    <row r="2789" spans="1:5">
      <c r="A2789" s="20" t="str">
        <v>00:00:00</v>
      </c>
      <c r="B2789" s="19">
        <v>0</v>
      </c>
      <c r="C2789" s="21">
        <v>0</v>
      </c>
      <c r="D2789" s="20" t="str">
        <v>未匹配</v>
      </c>
      <c r="E2789" s="20">
        <v>0</v>
      </c>
    </row>
    <row r="2790" spans="1:5">
      <c r="A2790" s="20" t="str">
        <v>00:00:00</v>
      </c>
      <c r="B2790" s="19">
        <v>0</v>
      </c>
      <c r="C2790" s="21">
        <v>0</v>
      </c>
      <c r="D2790" s="20" t="str">
        <v>未匹配</v>
      </c>
      <c r="E2790" s="20">
        <v>0</v>
      </c>
    </row>
    <row r="2791" spans="1:5">
      <c r="A2791" s="20" t="str">
        <v>00:00:00</v>
      </c>
      <c r="B2791" s="19">
        <v>0</v>
      </c>
      <c r="C2791" s="21">
        <v>0</v>
      </c>
      <c r="D2791" s="20" t="str">
        <v>未匹配</v>
      </c>
      <c r="E2791" s="20">
        <v>0</v>
      </c>
    </row>
    <row r="2792" spans="1:5">
      <c r="A2792" s="20" t="str">
        <v>00:00:00</v>
      </c>
      <c r="B2792" s="19">
        <v>0</v>
      </c>
      <c r="C2792" s="21">
        <v>0</v>
      </c>
      <c r="D2792" s="20" t="str">
        <v>未匹配</v>
      </c>
      <c r="E2792" s="20">
        <v>0</v>
      </c>
    </row>
    <row r="2793" spans="1:5">
      <c r="A2793" s="20" t="str">
        <v>00:00:00</v>
      </c>
      <c r="B2793" s="19">
        <v>0</v>
      </c>
      <c r="C2793" s="21">
        <v>0</v>
      </c>
      <c r="D2793" s="20" t="str">
        <v>未匹配</v>
      </c>
      <c r="E2793" s="20">
        <v>0</v>
      </c>
    </row>
    <row r="2794" spans="1:5">
      <c r="A2794" s="20" t="str">
        <v>00:00:00</v>
      </c>
      <c r="B2794" s="19">
        <v>0</v>
      </c>
      <c r="C2794" s="21">
        <v>0</v>
      </c>
      <c r="D2794" s="20" t="str">
        <v>未匹配</v>
      </c>
      <c r="E2794" s="20">
        <v>0</v>
      </c>
    </row>
    <row r="2795" spans="1:5">
      <c r="A2795" s="20" t="str">
        <v>00:00:00</v>
      </c>
      <c r="B2795" s="19">
        <v>0</v>
      </c>
      <c r="C2795" s="21">
        <v>0</v>
      </c>
      <c r="D2795" s="20" t="str">
        <v>未匹配</v>
      </c>
      <c r="E2795" s="20">
        <v>0</v>
      </c>
    </row>
    <row r="2796" spans="1:5">
      <c r="A2796" s="20" t="str">
        <v>00:00:00</v>
      </c>
      <c r="B2796" s="19">
        <v>0</v>
      </c>
      <c r="C2796" s="21">
        <v>0</v>
      </c>
      <c r="D2796" s="20" t="str">
        <v>未匹配</v>
      </c>
      <c r="E2796" s="20">
        <v>0</v>
      </c>
    </row>
    <row r="2797" spans="1:5">
      <c r="A2797" s="20" t="str">
        <v>00:00:00</v>
      </c>
      <c r="B2797" s="19">
        <v>0</v>
      </c>
      <c r="C2797" s="21">
        <v>0</v>
      </c>
      <c r="D2797" s="20" t="str">
        <v>未匹配</v>
      </c>
      <c r="E2797" s="20">
        <v>0</v>
      </c>
    </row>
    <row r="2798" spans="1:5">
      <c r="A2798" s="20" t="str">
        <v>00:00:00</v>
      </c>
      <c r="B2798" s="19">
        <v>0</v>
      </c>
      <c r="C2798" s="21">
        <v>0</v>
      </c>
      <c r="D2798" s="20" t="str">
        <v>未匹配</v>
      </c>
      <c r="E2798" s="20">
        <v>0</v>
      </c>
    </row>
    <row r="2799" spans="1:5">
      <c r="A2799" s="20" t="str">
        <v>00:00:00</v>
      </c>
      <c r="B2799" s="19">
        <v>0</v>
      </c>
      <c r="C2799" s="21">
        <v>0</v>
      </c>
      <c r="D2799" s="20" t="str">
        <v>未匹配</v>
      </c>
      <c r="E2799" s="20">
        <v>0</v>
      </c>
    </row>
    <row r="2800" spans="1:5">
      <c r="A2800" s="20" t="str">
        <v>00:00:00</v>
      </c>
      <c r="B2800" s="19">
        <v>0</v>
      </c>
      <c r="C2800" s="21">
        <v>0</v>
      </c>
      <c r="D2800" s="20" t="str">
        <v>未匹配</v>
      </c>
      <c r="E2800" s="20">
        <v>0</v>
      </c>
    </row>
    <row r="2801" spans="1:5">
      <c r="A2801" s="20" t="str">
        <v>00:00:00</v>
      </c>
      <c r="B2801" s="19">
        <v>0</v>
      </c>
      <c r="C2801" s="21">
        <v>0</v>
      </c>
      <c r="D2801" s="20" t="str">
        <v>未匹配</v>
      </c>
      <c r="E2801" s="20">
        <v>0</v>
      </c>
    </row>
    <row r="2802" spans="1:5">
      <c r="A2802" s="20" t="str">
        <v>00:00:00</v>
      </c>
      <c r="B2802" s="19">
        <v>0</v>
      </c>
      <c r="C2802" s="21">
        <v>0</v>
      </c>
      <c r="D2802" s="20" t="str">
        <v>未匹配</v>
      </c>
      <c r="E2802" s="20">
        <v>0</v>
      </c>
    </row>
    <row r="2803" spans="1:5">
      <c r="A2803" s="20" t="str">
        <v>00:00:00</v>
      </c>
      <c r="B2803" s="19">
        <v>0</v>
      </c>
      <c r="C2803" s="21">
        <v>0</v>
      </c>
      <c r="D2803" s="20" t="str">
        <v>未匹配</v>
      </c>
      <c r="E2803" s="20">
        <v>0</v>
      </c>
    </row>
    <row r="2804" spans="1:5">
      <c r="A2804" s="20" t="str">
        <v>00:00:00</v>
      </c>
      <c r="B2804" s="19">
        <v>0</v>
      </c>
      <c r="C2804" s="21">
        <v>0</v>
      </c>
      <c r="D2804" s="20" t="str">
        <v>未匹配</v>
      </c>
      <c r="E2804" s="20">
        <v>0</v>
      </c>
    </row>
    <row r="2805" spans="1:5">
      <c r="A2805" s="20" t="str">
        <v>00:00:00</v>
      </c>
      <c r="B2805" s="19">
        <v>0</v>
      </c>
      <c r="C2805" s="21">
        <v>0</v>
      </c>
      <c r="D2805" s="20" t="str">
        <v>未匹配</v>
      </c>
      <c r="E2805" s="20">
        <v>0</v>
      </c>
    </row>
    <row r="2806" spans="1:5">
      <c r="A2806" s="20" t="str">
        <v>00:00:00</v>
      </c>
      <c r="B2806" s="19">
        <v>0</v>
      </c>
      <c r="C2806" s="21">
        <v>0</v>
      </c>
      <c r="D2806" s="20" t="str">
        <v>未匹配</v>
      </c>
      <c r="E2806" s="20">
        <v>0</v>
      </c>
    </row>
    <row r="2807" spans="1:5">
      <c r="A2807" s="20" t="str">
        <v>00:00:00</v>
      </c>
      <c r="B2807" s="19">
        <v>0</v>
      </c>
      <c r="C2807" s="21">
        <v>0</v>
      </c>
      <c r="D2807" s="20" t="str">
        <v>未匹配</v>
      </c>
      <c r="E2807" s="20">
        <v>0</v>
      </c>
    </row>
    <row r="2808" spans="1:5">
      <c r="A2808" s="20" t="str">
        <v>00:00:00</v>
      </c>
      <c r="B2808" s="19">
        <v>0</v>
      </c>
      <c r="C2808" s="21">
        <v>0</v>
      </c>
      <c r="D2808" s="20" t="str">
        <v>未匹配</v>
      </c>
      <c r="E2808" s="20">
        <v>0</v>
      </c>
    </row>
    <row r="2809" spans="1:5">
      <c r="A2809" s="20" t="str">
        <v>00:00:00</v>
      </c>
      <c r="B2809" s="19">
        <v>0</v>
      </c>
      <c r="C2809" s="21">
        <v>0</v>
      </c>
      <c r="D2809" s="20" t="str">
        <v>未匹配</v>
      </c>
      <c r="E2809" s="20">
        <v>0</v>
      </c>
    </row>
    <row r="2810" spans="1:5">
      <c r="A2810" s="20" t="str">
        <v>00:00:00</v>
      </c>
      <c r="B2810" s="19">
        <v>0</v>
      </c>
      <c r="C2810" s="21">
        <v>0</v>
      </c>
      <c r="D2810" s="20" t="str">
        <v>未匹配</v>
      </c>
      <c r="E2810" s="20">
        <v>0</v>
      </c>
    </row>
    <row r="2811" spans="1:5">
      <c r="A2811" s="20" t="str">
        <v>00:00:00</v>
      </c>
      <c r="B2811" s="19">
        <v>0</v>
      </c>
      <c r="C2811" s="21">
        <v>0</v>
      </c>
      <c r="D2811" s="20" t="str">
        <v>未匹配</v>
      </c>
      <c r="E2811" s="20">
        <v>0</v>
      </c>
    </row>
    <row r="2812" spans="1:5">
      <c r="A2812" s="20" t="str">
        <v>00:00:00</v>
      </c>
      <c r="B2812" s="19">
        <v>0</v>
      </c>
      <c r="C2812" s="21">
        <v>0</v>
      </c>
      <c r="D2812" s="20" t="str">
        <v>未匹配</v>
      </c>
      <c r="E2812" s="20">
        <v>0</v>
      </c>
    </row>
    <row r="2813" spans="1:5">
      <c r="A2813" s="20" t="str">
        <v>00:00:00</v>
      </c>
      <c r="B2813" s="19">
        <v>0</v>
      </c>
      <c r="C2813" s="21">
        <v>0</v>
      </c>
      <c r="D2813" s="20" t="str">
        <v>未匹配</v>
      </c>
      <c r="E2813" s="20">
        <v>0</v>
      </c>
    </row>
    <row r="2814" spans="1:5">
      <c r="A2814" s="20" t="str">
        <v>00:00:00</v>
      </c>
      <c r="B2814" s="19">
        <v>0</v>
      </c>
      <c r="C2814" s="21">
        <v>0</v>
      </c>
      <c r="D2814" s="20" t="str">
        <v>未匹配</v>
      </c>
      <c r="E2814" s="20">
        <v>0</v>
      </c>
    </row>
    <row r="2815" spans="1:5">
      <c r="A2815" s="20" t="str">
        <v>00:00:00</v>
      </c>
      <c r="B2815" s="19">
        <v>0</v>
      </c>
      <c r="C2815" s="21">
        <v>0</v>
      </c>
      <c r="D2815" s="20" t="str">
        <v>未匹配</v>
      </c>
      <c r="E2815" s="20">
        <v>0</v>
      </c>
    </row>
    <row r="2816" spans="1:5">
      <c r="A2816" s="20" t="str">
        <v>00:00:00</v>
      </c>
      <c r="B2816" s="19">
        <v>0</v>
      </c>
      <c r="C2816" s="21">
        <v>0</v>
      </c>
      <c r="D2816" s="20" t="str">
        <v>未匹配</v>
      </c>
      <c r="E2816" s="20">
        <v>0</v>
      </c>
    </row>
    <row r="2817" spans="1:5">
      <c r="A2817" s="20" t="str">
        <v>00:00:00</v>
      </c>
      <c r="B2817" s="19">
        <v>0</v>
      </c>
      <c r="C2817" s="21">
        <v>0</v>
      </c>
      <c r="D2817" s="20" t="str">
        <v>未匹配</v>
      </c>
      <c r="E2817" s="20">
        <v>0</v>
      </c>
    </row>
    <row r="2818" spans="1:5">
      <c r="A2818" s="20" t="str">
        <v>00:00:00</v>
      </c>
      <c r="B2818" s="19">
        <v>0</v>
      </c>
      <c r="C2818" s="21">
        <v>0</v>
      </c>
      <c r="D2818" s="20" t="str">
        <v>未匹配</v>
      </c>
      <c r="E2818" s="20">
        <v>0</v>
      </c>
    </row>
    <row r="2819" spans="1:5">
      <c r="A2819" s="20" t="str">
        <v>00:00:00</v>
      </c>
      <c r="B2819" s="19">
        <v>0</v>
      </c>
      <c r="C2819" s="21">
        <v>0</v>
      </c>
      <c r="D2819" s="20" t="str">
        <v>未匹配</v>
      </c>
      <c r="E2819" s="20">
        <v>0</v>
      </c>
    </row>
    <row r="2820" spans="1:5">
      <c r="A2820" s="20" t="str">
        <v>00:00:00</v>
      </c>
      <c r="B2820" s="19">
        <v>0</v>
      </c>
      <c r="C2820" s="21">
        <v>0</v>
      </c>
      <c r="D2820" s="20" t="str">
        <v>未匹配</v>
      </c>
      <c r="E2820" s="20">
        <v>0</v>
      </c>
    </row>
    <row r="2821" spans="1:5">
      <c r="A2821" s="20" t="str">
        <v>00:00:00</v>
      </c>
      <c r="B2821" s="19">
        <v>0</v>
      </c>
      <c r="C2821" s="21">
        <v>0</v>
      </c>
      <c r="D2821" s="20" t="str">
        <v>未匹配</v>
      </c>
      <c r="E2821" s="20">
        <v>0</v>
      </c>
    </row>
    <row r="2822" spans="1:5">
      <c r="A2822" s="20" t="str">
        <v>00:00:00</v>
      </c>
      <c r="B2822" s="19">
        <v>0</v>
      </c>
      <c r="C2822" s="21">
        <v>0</v>
      </c>
      <c r="D2822" s="20" t="str">
        <v>未匹配</v>
      </c>
      <c r="E2822" s="20">
        <v>0</v>
      </c>
    </row>
    <row r="2823" spans="1:5">
      <c r="A2823" s="20" t="str">
        <v>00:00:00</v>
      </c>
      <c r="B2823" s="19">
        <v>0</v>
      </c>
      <c r="C2823" s="21">
        <v>0</v>
      </c>
      <c r="D2823" s="20" t="str">
        <v>未匹配</v>
      </c>
      <c r="E2823" s="20">
        <v>0</v>
      </c>
    </row>
    <row r="2824" spans="1:5">
      <c r="A2824" s="20" t="str">
        <v>00:00:00</v>
      </c>
      <c r="B2824" s="19">
        <v>0</v>
      </c>
      <c r="C2824" s="21">
        <v>0</v>
      </c>
      <c r="D2824" s="20" t="str">
        <v>未匹配</v>
      </c>
      <c r="E2824" s="20">
        <v>0</v>
      </c>
    </row>
    <row r="2825" spans="1:5">
      <c r="A2825" s="20" t="str">
        <v>00:00:00</v>
      </c>
      <c r="B2825" s="19">
        <v>0</v>
      </c>
      <c r="C2825" s="21">
        <v>0</v>
      </c>
      <c r="D2825" s="20" t="str">
        <v>未匹配</v>
      </c>
      <c r="E2825" s="20">
        <v>0</v>
      </c>
    </row>
    <row r="2826" spans="1:5">
      <c r="A2826" s="20" t="str">
        <v>00:00:00</v>
      </c>
      <c r="B2826" s="19">
        <v>0</v>
      </c>
      <c r="C2826" s="21">
        <v>0</v>
      </c>
      <c r="D2826" s="20" t="str">
        <v>未匹配</v>
      </c>
      <c r="E2826" s="20">
        <v>0</v>
      </c>
    </row>
    <row r="2827" spans="1:5">
      <c r="A2827" s="20" t="str">
        <v>00:00:00</v>
      </c>
      <c r="B2827" s="19">
        <v>0</v>
      </c>
      <c r="C2827" s="21">
        <v>0</v>
      </c>
      <c r="D2827" s="20" t="str">
        <v>未匹配</v>
      </c>
      <c r="E2827" s="20">
        <v>0</v>
      </c>
    </row>
    <row r="2828" spans="1:5">
      <c r="A2828" s="20" t="str">
        <v>00:00:00</v>
      </c>
      <c r="B2828" s="19">
        <v>0</v>
      </c>
      <c r="C2828" s="21">
        <v>0</v>
      </c>
      <c r="D2828" s="20" t="str">
        <v>未匹配</v>
      </c>
      <c r="E2828" s="20">
        <v>0</v>
      </c>
    </row>
    <row r="2829" spans="1:5">
      <c r="A2829" s="20" t="str">
        <v>00:00:00</v>
      </c>
      <c r="B2829" s="19">
        <v>0</v>
      </c>
      <c r="C2829" s="21">
        <v>0</v>
      </c>
      <c r="D2829" s="20" t="str">
        <v>未匹配</v>
      </c>
      <c r="E2829" s="20">
        <v>0</v>
      </c>
    </row>
    <row r="2830" spans="1:5">
      <c r="A2830" s="20" t="str">
        <v>00:00:00</v>
      </c>
      <c r="B2830" s="19">
        <v>0</v>
      </c>
      <c r="C2830" s="21">
        <v>0</v>
      </c>
      <c r="D2830" s="20" t="str">
        <v>未匹配</v>
      </c>
      <c r="E2830" s="20">
        <v>0</v>
      </c>
    </row>
    <row r="2831" spans="1:5">
      <c r="A2831" s="20" t="str">
        <v>00:00:00</v>
      </c>
      <c r="B2831" s="19">
        <v>0</v>
      </c>
      <c r="C2831" s="21">
        <v>0</v>
      </c>
      <c r="D2831" s="20" t="str">
        <v>未匹配</v>
      </c>
      <c r="E2831" s="20">
        <v>0</v>
      </c>
    </row>
    <row r="2832" spans="1:5">
      <c r="A2832" s="20" t="str">
        <v>00:00:00</v>
      </c>
      <c r="B2832" s="19">
        <v>0</v>
      </c>
      <c r="C2832" s="21">
        <v>0</v>
      </c>
      <c r="D2832" s="20" t="str">
        <v>未匹配</v>
      </c>
      <c r="E2832" s="20">
        <v>0</v>
      </c>
    </row>
    <row r="2833" spans="1:5">
      <c r="A2833" s="20" t="str">
        <v>00:00:00</v>
      </c>
      <c r="B2833" s="19">
        <v>0</v>
      </c>
      <c r="C2833" s="21">
        <v>0</v>
      </c>
      <c r="D2833" s="20" t="str">
        <v>未匹配</v>
      </c>
      <c r="E2833" s="20">
        <v>0</v>
      </c>
    </row>
    <row r="2834" spans="1:5">
      <c r="A2834" s="20" t="str">
        <v>00:00:00</v>
      </c>
      <c r="B2834" s="19">
        <v>0</v>
      </c>
      <c r="C2834" s="21">
        <v>0</v>
      </c>
      <c r="D2834" s="20" t="str">
        <v>未匹配</v>
      </c>
      <c r="E2834" s="20">
        <v>0</v>
      </c>
    </row>
    <row r="2835" spans="1:5">
      <c r="A2835" s="20" t="str">
        <v>00:00:00</v>
      </c>
      <c r="B2835" s="19">
        <v>0</v>
      </c>
      <c r="C2835" s="21">
        <v>0</v>
      </c>
      <c r="D2835" s="20" t="str">
        <v>未匹配</v>
      </c>
      <c r="E2835" s="20">
        <v>0</v>
      </c>
    </row>
    <row r="2836" spans="1:5">
      <c r="A2836" s="20" t="str">
        <v>00:00:00</v>
      </c>
      <c r="B2836" s="19">
        <v>0</v>
      </c>
      <c r="C2836" s="21">
        <v>0</v>
      </c>
      <c r="D2836" s="20" t="str">
        <v>未匹配</v>
      </c>
      <c r="E2836" s="20">
        <v>0</v>
      </c>
    </row>
    <row r="2837" spans="1:5">
      <c r="A2837" s="20" t="str">
        <v>00:00:00</v>
      </c>
      <c r="B2837" s="19">
        <v>0</v>
      </c>
      <c r="C2837" s="21">
        <v>0</v>
      </c>
      <c r="D2837" s="20" t="str">
        <v>未匹配</v>
      </c>
      <c r="E2837" s="20">
        <v>0</v>
      </c>
    </row>
    <row r="2838" spans="1:5">
      <c r="A2838" s="20" t="str">
        <v>00:00:00</v>
      </c>
      <c r="B2838" s="19">
        <v>0</v>
      </c>
      <c r="C2838" s="21">
        <v>0</v>
      </c>
      <c r="D2838" s="20" t="str">
        <v>未匹配</v>
      </c>
      <c r="E2838" s="20">
        <v>0</v>
      </c>
    </row>
    <row r="2839" spans="1:5">
      <c r="A2839" s="20" t="str">
        <v>00:00:00</v>
      </c>
      <c r="B2839" s="19">
        <v>0</v>
      </c>
      <c r="C2839" s="21">
        <v>0</v>
      </c>
      <c r="D2839" s="20" t="str">
        <v>未匹配</v>
      </c>
      <c r="E2839" s="20">
        <v>0</v>
      </c>
    </row>
    <row r="2840" spans="1:5">
      <c r="A2840" s="20" t="str">
        <v>00:00:00</v>
      </c>
      <c r="B2840" s="19">
        <v>0</v>
      </c>
      <c r="C2840" s="21">
        <v>0</v>
      </c>
      <c r="D2840" s="20" t="str">
        <v>未匹配</v>
      </c>
      <c r="E2840" s="20">
        <v>0</v>
      </c>
    </row>
    <row r="2841" spans="1:5">
      <c r="A2841" s="20" t="str">
        <v>00:00:00</v>
      </c>
      <c r="B2841" s="19">
        <v>0</v>
      </c>
      <c r="C2841" s="21">
        <v>0</v>
      </c>
      <c r="D2841" s="20" t="str">
        <v>未匹配</v>
      </c>
      <c r="E2841" s="20">
        <v>0</v>
      </c>
    </row>
    <row r="2842" spans="1:5">
      <c r="A2842" s="20" t="str">
        <v>00:00:00</v>
      </c>
      <c r="B2842" s="19">
        <v>0</v>
      </c>
      <c r="C2842" s="21">
        <v>0</v>
      </c>
      <c r="D2842" s="20" t="str">
        <v>未匹配</v>
      </c>
      <c r="E2842" s="20">
        <v>0</v>
      </c>
    </row>
    <row r="2843" spans="1:5">
      <c r="A2843" s="20" t="str">
        <v>00:00:00</v>
      </c>
      <c r="B2843" s="19">
        <v>0</v>
      </c>
      <c r="C2843" s="21">
        <v>0</v>
      </c>
      <c r="D2843" s="20" t="str">
        <v>未匹配</v>
      </c>
      <c r="E2843" s="20">
        <v>0</v>
      </c>
    </row>
    <row r="2844" spans="1:5">
      <c r="A2844" s="20" t="str">
        <v>00:00:00</v>
      </c>
      <c r="B2844" s="19">
        <v>0</v>
      </c>
      <c r="C2844" s="21">
        <v>0</v>
      </c>
      <c r="D2844" s="20" t="str">
        <v>未匹配</v>
      </c>
      <c r="E2844" s="20">
        <v>0</v>
      </c>
    </row>
    <row r="2845" spans="1:5">
      <c r="A2845" s="20" t="str">
        <v>00:00:00</v>
      </c>
      <c r="B2845" s="19">
        <v>0</v>
      </c>
      <c r="C2845" s="21">
        <v>0</v>
      </c>
      <c r="D2845" s="20" t="str">
        <v>未匹配</v>
      </c>
      <c r="E2845" s="20">
        <v>0</v>
      </c>
    </row>
    <row r="2846" spans="1:5">
      <c r="A2846" s="20" t="str">
        <v>00:00:00</v>
      </c>
      <c r="B2846" s="19">
        <v>0</v>
      </c>
      <c r="C2846" s="21">
        <v>0</v>
      </c>
      <c r="D2846" s="20" t="str">
        <v>未匹配</v>
      </c>
      <c r="E2846" s="20">
        <v>0</v>
      </c>
    </row>
    <row r="2847" spans="1:5">
      <c r="A2847" s="20" t="str">
        <v>00:00:00</v>
      </c>
      <c r="B2847" s="19">
        <v>0</v>
      </c>
      <c r="C2847" s="21">
        <v>0</v>
      </c>
      <c r="D2847" s="20" t="str">
        <v>未匹配</v>
      </c>
      <c r="E2847" s="20">
        <v>0</v>
      </c>
    </row>
    <row r="2848" spans="1:5">
      <c r="A2848" s="20" t="str">
        <v>00:00:00</v>
      </c>
      <c r="B2848" s="19">
        <v>0</v>
      </c>
      <c r="C2848" s="21">
        <v>0</v>
      </c>
      <c r="D2848" s="20" t="str">
        <v>未匹配</v>
      </c>
      <c r="E2848" s="20">
        <v>0</v>
      </c>
    </row>
    <row r="2849" spans="1:5">
      <c r="A2849" s="20" t="str">
        <v>00:00:00</v>
      </c>
      <c r="B2849" s="19">
        <v>0</v>
      </c>
      <c r="C2849" s="21">
        <v>0</v>
      </c>
      <c r="D2849" s="20" t="str">
        <v>未匹配</v>
      </c>
      <c r="E2849" s="20">
        <v>0</v>
      </c>
    </row>
    <row r="2850" spans="1:5">
      <c r="A2850" s="20" t="str">
        <v>00:00:00</v>
      </c>
      <c r="B2850" s="19">
        <v>0</v>
      </c>
      <c r="C2850" s="21">
        <v>0</v>
      </c>
      <c r="D2850" s="20" t="str">
        <v>未匹配</v>
      </c>
      <c r="E2850" s="20">
        <v>0</v>
      </c>
    </row>
    <row r="2851" spans="1:5">
      <c r="A2851" s="20" t="str">
        <v>00:00:00</v>
      </c>
      <c r="B2851" s="19">
        <v>0</v>
      </c>
      <c r="C2851" s="21">
        <v>0</v>
      </c>
      <c r="D2851" s="20" t="str">
        <v>未匹配</v>
      </c>
      <c r="E2851" s="20">
        <v>0</v>
      </c>
    </row>
    <row r="2852" spans="1:5">
      <c r="A2852" s="20" t="str">
        <v>00:00:00</v>
      </c>
      <c r="B2852" s="19">
        <v>0</v>
      </c>
      <c r="C2852" s="21">
        <v>0</v>
      </c>
      <c r="D2852" s="20" t="str">
        <v>未匹配</v>
      </c>
      <c r="E2852" s="20">
        <v>0</v>
      </c>
    </row>
    <row r="2853" spans="1:5">
      <c r="A2853" s="20" t="str">
        <v>00:00:00</v>
      </c>
      <c r="B2853" s="19">
        <v>0</v>
      </c>
      <c r="C2853" s="21">
        <v>0</v>
      </c>
      <c r="D2853" s="20" t="str">
        <v>未匹配</v>
      </c>
      <c r="E2853" s="20">
        <v>0</v>
      </c>
    </row>
    <row r="2854" spans="1:5">
      <c r="A2854" s="20" t="str">
        <v>00:00:00</v>
      </c>
      <c r="B2854" s="19">
        <v>0</v>
      </c>
      <c r="C2854" s="21">
        <v>0</v>
      </c>
      <c r="D2854" s="20" t="str">
        <v>未匹配</v>
      </c>
      <c r="E2854" s="20">
        <v>0</v>
      </c>
    </row>
    <row r="2855" spans="1:5">
      <c r="A2855" s="20" t="str">
        <v>00:00:00</v>
      </c>
      <c r="B2855" s="19">
        <v>0</v>
      </c>
      <c r="C2855" s="21">
        <v>0</v>
      </c>
      <c r="D2855" s="20" t="str">
        <v>未匹配</v>
      </c>
      <c r="E2855" s="20">
        <v>0</v>
      </c>
    </row>
    <row r="2856" spans="1:5">
      <c r="A2856" s="20" t="str">
        <v>00:00:00</v>
      </c>
      <c r="B2856" s="19">
        <v>0</v>
      </c>
      <c r="C2856" s="21">
        <v>0</v>
      </c>
      <c r="D2856" s="20" t="str">
        <v>未匹配</v>
      </c>
      <c r="E2856" s="20">
        <v>0</v>
      </c>
    </row>
    <row r="2857" spans="1:5">
      <c r="A2857" s="20" t="str">
        <v>00:00:00</v>
      </c>
      <c r="B2857" s="19">
        <v>0</v>
      </c>
      <c r="C2857" s="21">
        <v>0</v>
      </c>
      <c r="D2857" s="20" t="str">
        <v>未匹配</v>
      </c>
      <c r="E2857" s="20">
        <v>0</v>
      </c>
    </row>
    <row r="2858" spans="1:5">
      <c r="A2858" s="20" t="str">
        <v>00:00:00</v>
      </c>
      <c r="B2858" s="19">
        <v>0</v>
      </c>
      <c r="C2858" s="21">
        <v>0</v>
      </c>
      <c r="D2858" s="20" t="str">
        <v>未匹配</v>
      </c>
      <c r="E2858" s="20">
        <v>0</v>
      </c>
    </row>
    <row r="2859" spans="1:5">
      <c r="A2859" s="20" t="str">
        <v>00:00:00</v>
      </c>
      <c r="B2859" s="19">
        <v>0</v>
      </c>
      <c r="C2859" s="21">
        <v>0</v>
      </c>
      <c r="D2859" s="20" t="str">
        <v>未匹配</v>
      </c>
      <c r="E2859" s="20">
        <v>0</v>
      </c>
    </row>
    <row r="2860" spans="1:5">
      <c r="A2860" s="20" t="str">
        <v>00:00:00</v>
      </c>
      <c r="B2860" s="19">
        <v>0</v>
      </c>
      <c r="C2860" s="21">
        <v>0</v>
      </c>
      <c r="D2860" s="20" t="str">
        <v>未匹配</v>
      </c>
      <c r="E2860" s="20">
        <v>0</v>
      </c>
    </row>
    <row r="2861" spans="1:5">
      <c r="A2861" s="20" t="str">
        <v>00:00:00</v>
      </c>
      <c r="B2861" s="19">
        <v>0</v>
      </c>
      <c r="C2861" s="21">
        <v>0</v>
      </c>
      <c r="D2861" s="20" t="str">
        <v>未匹配</v>
      </c>
      <c r="E2861" s="20">
        <v>0</v>
      </c>
    </row>
    <row r="2862" spans="1:5">
      <c r="A2862" s="20" t="str">
        <v>00:00:00</v>
      </c>
      <c r="B2862" s="19">
        <v>0</v>
      </c>
      <c r="C2862" s="21">
        <v>0</v>
      </c>
      <c r="D2862" s="20" t="str">
        <v>未匹配</v>
      </c>
      <c r="E2862" s="20">
        <v>0</v>
      </c>
    </row>
    <row r="2863" spans="1:5">
      <c r="A2863" s="20" t="str">
        <v>00:00:00</v>
      </c>
      <c r="B2863" s="19">
        <v>0</v>
      </c>
      <c r="C2863" s="21">
        <v>0</v>
      </c>
      <c r="D2863" s="20" t="str">
        <v>未匹配</v>
      </c>
      <c r="E2863" s="20">
        <v>0</v>
      </c>
    </row>
    <row r="2864" spans="1:5">
      <c r="A2864" s="20" t="str">
        <v>00:00:00</v>
      </c>
      <c r="B2864" s="19">
        <v>0</v>
      </c>
      <c r="C2864" s="21">
        <v>0</v>
      </c>
      <c r="D2864" s="20" t="str">
        <v>未匹配</v>
      </c>
      <c r="E2864" s="20">
        <v>0</v>
      </c>
    </row>
    <row r="2865" spans="1:5">
      <c r="A2865" s="20" t="str">
        <v>00:00:00</v>
      </c>
      <c r="B2865" s="19">
        <v>0</v>
      </c>
      <c r="C2865" s="21">
        <v>0</v>
      </c>
      <c r="D2865" s="20" t="str">
        <v>未匹配</v>
      </c>
      <c r="E2865" s="20">
        <v>0</v>
      </c>
    </row>
    <row r="2866" spans="1:5">
      <c r="A2866" s="20" t="str">
        <v>00:00:00</v>
      </c>
      <c r="B2866" s="19">
        <v>0</v>
      </c>
      <c r="C2866" s="21">
        <v>0</v>
      </c>
      <c r="D2866" s="20" t="str">
        <v>未匹配</v>
      </c>
      <c r="E2866" s="20">
        <v>0</v>
      </c>
    </row>
    <row r="2867" spans="1:5">
      <c r="A2867" s="20" t="str">
        <v>00:00:00</v>
      </c>
      <c r="B2867" s="19">
        <v>0</v>
      </c>
      <c r="C2867" s="21">
        <v>0</v>
      </c>
      <c r="D2867" s="20" t="str">
        <v>未匹配</v>
      </c>
      <c r="E2867" s="20">
        <v>0</v>
      </c>
    </row>
    <row r="2868" spans="1:5">
      <c r="A2868" s="20" t="str">
        <v>00:00:00</v>
      </c>
      <c r="B2868" s="19">
        <v>0</v>
      </c>
      <c r="C2868" s="21">
        <v>0</v>
      </c>
      <c r="D2868" s="20" t="str">
        <v>未匹配</v>
      </c>
      <c r="E2868" s="20">
        <v>0</v>
      </c>
    </row>
    <row r="2869" spans="1:5">
      <c r="A2869" s="20" t="str">
        <v>00:00:00</v>
      </c>
      <c r="B2869" s="19">
        <v>0</v>
      </c>
      <c r="C2869" s="21">
        <v>0</v>
      </c>
      <c r="D2869" s="20" t="str">
        <v>未匹配</v>
      </c>
      <c r="E2869" s="20">
        <v>0</v>
      </c>
    </row>
    <row r="2870" spans="1:5">
      <c r="A2870" s="20" t="str">
        <v>00:00:00</v>
      </c>
      <c r="B2870" s="19">
        <v>0</v>
      </c>
      <c r="C2870" s="21">
        <v>0</v>
      </c>
      <c r="D2870" s="20" t="str">
        <v>未匹配</v>
      </c>
      <c r="E2870" s="20">
        <v>0</v>
      </c>
    </row>
    <row r="2871" spans="1:5">
      <c r="A2871" s="20" t="str">
        <v>00:00:00</v>
      </c>
      <c r="B2871" s="19">
        <v>0</v>
      </c>
      <c r="C2871" s="21">
        <v>0</v>
      </c>
      <c r="D2871" s="20" t="str">
        <v>未匹配</v>
      </c>
      <c r="E2871" s="20">
        <v>0</v>
      </c>
    </row>
    <row r="2872" spans="1:5">
      <c r="A2872" s="20" t="str">
        <v>00:00:00</v>
      </c>
      <c r="B2872" s="19">
        <v>0</v>
      </c>
      <c r="C2872" s="21">
        <v>0</v>
      </c>
      <c r="D2872" s="20" t="str">
        <v>未匹配</v>
      </c>
      <c r="E2872" s="20">
        <v>0</v>
      </c>
    </row>
    <row r="2873" spans="1:5">
      <c r="A2873" s="20" t="str">
        <v>00:00:00</v>
      </c>
      <c r="B2873" s="19">
        <v>0</v>
      </c>
      <c r="C2873" s="21">
        <v>0</v>
      </c>
      <c r="D2873" s="20" t="str">
        <v>未匹配</v>
      </c>
      <c r="E2873" s="20">
        <v>0</v>
      </c>
    </row>
    <row r="2874" spans="1:5">
      <c r="A2874" s="20" t="str">
        <v>00:00:00</v>
      </c>
      <c r="B2874" s="19">
        <v>0</v>
      </c>
      <c r="C2874" s="21">
        <v>0</v>
      </c>
      <c r="D2874" s="20" t="str">
        <v>未匹配</v>
      </c>
      <c r="E2874" s="20">
        <v>0</v>
      </c>
    </row>
    <row r="2875" spans="1:5">
      <c r="A2875" s="20" t="str">
        <v>00:00:00</v>
      </c>
      <c r="B2875" s="19">
        <v>0</v>
      </c>
      <c r="C2875" s="21">
        <v>0</v>
      </c>
      <c r="D2875" s="20" t="str">
        <v>未匹配</v>
      </c>
      <c r="E2875" s="20">
        <v>0</v>
      </c>
    </row>
    <row r="2876" spans="1:5">
      <c r="A2876" s="20" t="str">
        <v>00:00:00</v>
      </c>
      <c r="B2876" s="19">
        <v>0</v>
      </c>
      <c r="C2876" s="21">
        <v>0</v>
      </c>
      <c r="D2876" s="20" t="str">
        <v>未匹配</v>
      </c>
      <c r="E2876" s="20">
        <v>0</v>
      </c>
    </row>
    <row r="2877" spans="1:5">
      <c r="A2877" s="20" t="str">
        <v>00:00:00</v>
      </c>
      <c r="B2877" s="19">
        <v>0</v>
      </c>
      <c r="C2877" s="21">
        <v>0</v>
      </c>
      <c r="D2877" s="20" t="str">
        <v>未匹配</v>
      </c>
      <c r="E2877" s="20">
        <v>0</v>
      </c>
    </row>
    <row r="2878" spans="1:5">
      <c r="A2878" s="20" t="str">
        <v>00:00:00</v>
      </c>
      <c r="B2878" s="19">
        <v>0</v>
      </c>
      <c r="C2878" s="21">
        <v>0</v>
      </c>
      <c r="D2878" s="20" t="str">
        <v>未匹配</v>
      </c>
      <c r="E2878" s="20">
        <v>0</v>
      </c>
    </row>
    <row r="2879" spans="1:5">
      <c r="A2879" s="20" t="str">
        <v>00:00:00</v>
      </c>
      <c r="B2879" s="19">
        <v>0</v>
      </c>
      <c r="C2879" s="21">
        <v>0</v>
      </c>
      <c r="D2879" s="20" t="str">
        <v>未匹配</v>
      </c>
      <c r="E2879" s="20">
        <v>0</v>
      </c>
    </row>
    <row r="2880" spans="1:5">
      <c r="A2880" s="20" t="str">
        <v>00:00:00</v>
      </c>
      <c r="B2880" s="19">
        <v>0</v>
      </c>
      <c r="C2880" s="21">
        <v>0</v>
      </c>
      <c r="D2880" s="20" t="str">
        <v>未匹配</v>
      </c>
      <c r="E2880" s="20">
        <v>0</v>
      </c>
    </row>
    <row r="2881" spans="1:5">
      <c r="A2881" s="20" t="str">
        <v>00:00:00</v>
      </c>
      <c r="B2881" s="19">
        <v>0</v>
      </c>
      <c r="C2881" s="21">
        <v>0</v>
      </c>
      <c r="D2881" s="20" t="str">
        <v>未匹配</v>
      </c>
      <c r="E2881" s="20">
        <v>0</v>
      </c>
    </row>
    <row r="2882" spans="1:5">
      <c r="A2882" s="20" t="str">
        <v>00:00:00</v>
      </c>
      <c r="B2882" s="19">
        <v>0</v>
      </c>
      <c r="C2882" s="21">
        <v>0</v>
      </c>
      <c r="D2882" s="20" t="str">
        <v>未匹配</v>
      </c>
      <c r="E2882" s="20">
        <v>0</v>
      </c>
    </row>
    <row r="2883" spans="1:5">
      <c r="A2883" s="20" t="str">
        <v>00:00:00</v>
      </c>
      <c r="B2883" s="19">
        <v>0</v>
      </c>
      <c r="C2883" s="21">
        <v>0</v>
      </c>
      <c r="D2883" s="20" t="str">
        <v>未匹配</v>
      </c>
      <c r="E2883" s="20">
        <v>0</v>
      </c>
    </row>
    <row r="2884" spans="1:5">
      <c r="A2884" s="20" t="str">
        <v>00:00:00</v>
      </c>
      <c r="B2884" s="19">
        <v>0</v>
      </c>
      <c r="C2884" s="21">
        <v>0</v>
      </c>
      <c r="D2884" s="20" t="str">
        <v>未匹配</v>
      </c>
      <c r="E2884" s="20">
        <v>0</v>
      </c>
    </row>
    <row r="2885" spans="1:5">
      <c r="A2885" s="20" t="str">
        <v>00:00:00</v>
      </c>
      <c r="B2885" s="19">
        <v>0</v>
      </c>
      <c r="C2885" s="21">
        <v>0</v>
      </c>
      <c r="D2885" s="20" t="str">
        <v>未匹配</v>
      </c>
      <c r="E2885" s="20">
        <v>0</v>
      </c>
    </row>
    <row r="2886" spans="1:5">
      <c r="A2886" s="20" t="str">
        <v>00:00:00</v>
      </c>
      <c r="B2886" s="19">
        <v>0</v>
      </c>
      <c r="C2886" s="21">
        <v>0</v>
      </c>
      <c r="D2886" s="20" t="str">
        <v>未匹配</v>
      </c>
      <c r="E2886" s="20">
        <v>0</v>
      </c>
    </row>
    <row r="2887" spans="1:5">
      <c r="A2887" s="20" t="str">
        <v>00:00:00</v>
      </c>
      <c r="B2887" s="19">
        <v>0</v>
      </c>
      <c r="C2887" s="21">
        <v>0</v>
      </c>
      <c r="D2887" s="20" t="str">
        <v>未匹配</v>
      </c>
      <c r="E2887" s="20">
        <v>0</v>
      </c>
    </row>
    <row r="2888" spans="1:5">
      <c r="A2888" s="20" t="str">
        <v>00:00:00</v>
      </c>
      <c r="B2888" s="19">
        <v>0</v>
      </c>
      <c r="C2888" s="21">
        <v>0</v>
      </c>
      <c r="D2888" s="20" t="str">
        <v>未匹配</v>
      </c>
      <c r="E2888" s="20">
        <v>0</v>
      </c>
    </row>
    <row r="2889" spans="1:5">
      <c r="A2889" s="20" t="str">
        <v>00:00:00</v>
      </c>
      <c r="B2889" s="19">
        <v>0</v>
      </c>
      <c r="C2889" s="21">
        <v>0</v>
      </c>
      <c r="D2889" s="20" t="str">
        <v>未匹配</v>
      </c>
      <c r="E2889" s="20">
        <v>0</v>
      </c>
    </row>
    <row r="2890" spans="1:5">
      <c r="A2890" s="20" t="str">
        <v>00:00:00</v>
      </c>
      <c r="B2890" s="19">
        <v>0</v>
      </c>
      <c r="C2890" s="21">
        <v>0</v>
      </c>
      <c r="D2890" s="20" t="str">
        <v>未匹配</v>
      </c>
      <c r="E2890" s="20">
        <v>0</v>
      </c>
    </row>
    <row r="2891" spans="1:5">
      <c r="A2891" s="20" t="str">
        <v>00:00:00</v>
      </c>
      <c r="B2891" s="19">
        <v>0</v>
      </c>
      <c r="C2891" s="21">
        <v>0</v>
      </c>
      <c r="D2891" s="20" t="str">
        <v>未匹配</v>
      </c>
      <c r="E2891" s="20">
        <v>0</v>
      </c>
    </row>
    <row r="2892" spans="1:5">
      <c r="A2892" s="20" t="str">
        <v>00:00:00</v>
      </c>
      <c r="B2892" s="19">
        <v>0</v>
      </c>
      <c r="C2892" s="21">
        <v>0</v>
      </c>
      <c r="D2892" s="20" t="str">
        <v>未匹配</v>
      </c>
      <c r="E2892" s="20">
        <v>0</v>
      </c>
    </row>
    <row r="2893" spans="1:5">
      <c r="A2893" s="20" t="str">
        <v>00:00:00</v>
      </c>
      <c r="B2893" s="19">
        <v>0</v>
      </c>
      <c r="C2893" s="21">
        <v>0</v>
      </c>
      <c r="D2893" s="20" t="str">
        <v>未匹配</v>
      </c>
      <c r="E2893" s="20">
        <v>0</v>
      </c>
    </row>
    <row r="2894" spans="1:5">
      <c r="A2894" s="20" t="str">
        <v>00:00:00</v>
      </c>
      <c r="B2894" s="19">
        <v>0</v>
      </c>
      <c r="C2894" s="21">
        <v>0</v>
      </c>
      <c r="D2894" s="20" t="str">
        <v>未匹配</v>
      </c>
      <c r="E2894" s="20">
        <v>0</v>
      </c>
    </row>
    <row r="2895" spans="1:5">
      <c r="A2895" s="20" t="str">
        <v>00:00:00</v>
      </c>
      <c r="B2895" s="19">
        <v>0</v>
      </c>
      <c r="C2895" s="21">
        <v>0</v>
      </c>
      <c r="D2895" s="20" t="str">
        <v>未匹配</v>
      </c>
      <c r="E2895" s="20">
        <v>0</v>
      </c>
    </row>
    <row r="2896" spans="1:5">
      <c r="A2896" s="20" t="str">
        <v>00:00:00</v>
      </c>
      <c r="B2896" s="19">
        <v>0</v>
      </c>
      <c r="C2896" s="21">
        <v>0</v>
      </c>
      <c r="D2896" s="20" t="str">
        <v>未匹配</v>
      </c>
      <c r="E2896" s="20">
        <v>0</v>
      </c>
    </row>
    <row r="2897" spans="1:5">
      <c r="A2897" s="20" t="str">
        <v>00:00:00</v>
      </c>
      <c r="B2897" s="19">
        <v>0</v>
      </c>
      <c r="C2897" s="21">
        <v>0</v>
      </c>
      <c r="D2897" s="20" t="str">
        <v>未匹配</v>
      </c>
      <c r="E2897" s="20">
        <v>0</v>
      </c>
    </row>
    <row r="2898" spans="1:5">
      <c r="A2898" s="20" t="str">
        <v>00:00:00</v>
      </c>
      <c r="B2898" s="19">
        <v>0</v>
      </c>
      <c r="C2898" s="21">
        <v>0</v>
      </c>
      <c r="D2898" s="20" t="str">
        <v>未匹配</v>
      </c>
      <c r="E2898" s="20">
        <v>0</v>
      </c>
    </row>
    <row r="2899" spans="1:5">
      <c r="A2899" s="20" t="str">
        <v>00:00:00</v>
      </c>
      <c r="B2899" s="19">
        <v>0</v>
      </c>
      <c r="C2899" s="21">
        <v>0</v>
      </c>
      <c r="D2899" s="20" t="str">
        <v>未匹配</v>
      </c>
      <c r="E2899" s="20">
        <v>0</v>
      </c>
    </row>
    <row r="2900" spans="1:5">
      <c r="A2900" s="20" t="str">
        <v>00:00:00</v>
      </c>
      <c r="B2900" s="19">
        <v>0</v>
      </c>
      <c r="C2900" s="21">
        <v>0</v>
      </c>
      <c r="D2900" s="20" t="str">
        <v>未匹配</v>
      </c>
      <c r="E2900" s="20">
        <v>0</v>
      </c>
    </row>
    <row r="2901" spans="1:5">
      <c r="A2901" s="20" t="str">
        <v>00:00:00</v>
      </c>
      <c r="B2901" s="19">
        <v>0</v>
      </c>
      <c r="C2901" s="21">
        <v>0</v>
      </c>
      <c r="D2901" s="20" t="str">
        <v>未匹配</v>
      </c>
      <c r="E2901" s="20">
        <v>0</v>
      </c>
    </row>
    <row r="2902" spans="1:5">
      <c r="A2902" s="20" t="str">
        <v>00:00:00</v>
      </c>
      <c r="B2902" s="19">
        <v>0</v>
      </c>
      <c r="C2902" s="21">
        <v>0</v>
      </c>
      <c r="D2902" s="20" t="str">
        <v>未匹配</v>
      </c>
      <c r="E2902" s="20">
        <v>0</v>
      </c>
    </row>
    <row r="2903" spans="1:5">
      <c r="A2903" s="20" t="str">
        <v>00:00:00</v>
      </c>
      <c r="B2903" s="19">
        <v>0</v>
      </c>
      <c r="C2903" s="21">
        <v>0</v>
      </c>
      <c r="D2903" s="20" t="str">
        <v>未匹配</v>
      </c>
      <c r="E2903" s="20">
        <v>0</v>
      </c>
    </row>
    <row r="2904" spans="1:5">
      <c r="A2904" s="20" t="str">
        <v>00:00:00</v>
      </c>
      <c r="B2904" s="19">
        <v>0</v>
      </c>
      <c r="C2904" s="21">
        <v>0</v>
      </c>
      <c r="D2904" s="20" t="str">
        <v>未匹配</v>
      </c>
      <c r="E2904" s="20">
        <v>0</v>
      </c>
    </row>
    <row r="2905" spans="1:5">
      <c r="A2905" s="20" t="str">
        <v>00:00:00</v>
      </c>
      <c r="B2905" s="19">
        <v>0</v>
      </c>
      <c r="C2905" s="21">
        <v>0</v>
      </c>
      <c r="D2905" s="20" t="str">
        <v>未匹配</v>
      </c>
      <c r="E2905" s="20">
        <v>0</v>
      </c>
    </row>
    <row r="2906" spans="1:5">
      <c r="A2906" s="20" t="str">
        <v>00:00:00</v>
      </c>
      <c r="B2906" s="19">
        <v>0</v>
      </c>
      <c r="C2906" s="21">
        <v>0</v>
      </c>
      <c r="D2906" s="20" t="str">
        <v>未匹配</v>
      </c>
      <c r="E2906" s="20">
        <v>0</v>
      </c>
    </row>
    <row r="2907" spans="1:5">
      <c r="A2907" s="20" t="str">
        <v>00:00:00</v>
      </c>
      <c r="B2907" s="19">
        <v>0</v>
      </c>
      <c r="C2907" s="21">
        <v>0</v>
      </c>
      <c r="D2907" s="20" t="str">
        <v>未匹配</v>
      </c>
      <c r="E2907" s="20">
        <v>0</v>
      </c>
    </row>
    <row r="2908" spans="1:5">
      <c r="A2908" s="20" t="str">
        <v>00:00:00</v>
      </c>
      <c r="B2908" s="19">
        <v>0</v>
      </c>
      <c r="C2908" s="21">
        <v>0</v>
      </c>
      <c r="D2908" s="20" t="str">
        <v>未匹配</v>
      </c>
      <c r="E2908" s="20">
        <v>0</v>
      </c>
    </row>
    <row r="2909" spans="1:5">
      <c r="A2909" s="20" t="str">
        <v>00:00:00</v>
      </c>
      <c r="B2909" s="19">
        <v>0</v>
      </c>
      <c r="C2909" s="21">
        <v>0</v>
      </c>
      <c r="D2909" s="20" t="str">
        <v>未匹配</v>
      </c>
      <c r="E2909" s="20">
        <v>0</v>
      </c>
    </row>
    <row r="2910" spans="1:5">
      <c r="A2910" s="20" t="str">
        <v>00:00:00</v>
      </c>
      <c r="B2910" s="19">
        <v>0</v>
      </c>
      <c r="C2910" s="21">
        <v>0</v>
      </c>
      <c r="D2910" s="20" t="str">
        <v>未匹配</v>
      </c>
      <c r="E2910" s="20">
        <v>0</v>
      </c>
    </row>
    <row r="2911" spans="1:5">
      <c r="A2911" s="20" t="str">
        <v>00:00:00</v>
      </c>
      <c r="B2911" s="19">
        <v>0</v>
      </c>
      <c r="C2911" s="21">
        <v>0</v>
      </c>
      <c r="D2911" s="20" t="str">
        <v>未匹配</v>
      </c>
      <c r="E2911" s="20">
        <v>0</v>
      </c>
    </row>
    <row r="2912" spans="1:5">
      <c r="A2912" s="20" t="str">
        <v>00:00:00</v>
      </c>
      <c r="B2912" s="19">
        <v>0</v>
      </c>
      <c r="C2912" s="21">
        <v>0</v>
      </c>
      <c r="D2912" s="20" t="str">
        <v>未匹配</v>
      </c>
      <c r="E2912" s="20">
        <v>0</v>
      </c>
    </row>
    <row r="2913" spans="1:5">
      <c r="A2913" s="20" t="str">
        <v>00:00:00</v>
      </c>
      <c r="B2913" s="19">
        <v>0</v>
      </c>
      <c r="C2913" s="21">
        <v>0</v>
      </c>
      <c r="D2913" s="20" t="str">
        <v>未匹配</v>
      </c>
      <c r="E2913" s="20">
        <v>0</v>
      </c>
    </row>
    <row r="2914" spans="1:5">
      <c r="A2914" s="20" t="str">
        <v>00:00:00</v>
      </c>
      <c r="B2914" s="19">
        <v>0</v>
      </c>
      <c r="C2914" s="21">
        <v>0</v>
      </c>
      <c r="D2914" s="20" t="str">
        <v>未匹配</v>
      </c>
      <c r="E2914" s="20">
        <v>0</v>
      </c>
    </row>
    <row r="2915" spans="1:5">
      <c r="A2915" s="20" t="str">
        <v>00:00:00</v>
      </c>
      <c r="B2915" s="19">
        <v>0</v>
      </c>
      <c r="C2915" s="21">
        <v>0</v>
      </c>
      <c r="D2915" s="20" t="str">
        <v>未匹配</v>
      </c>
      <c r="E2915" s="20">
        <v>0</v>
      </c>
    </row>
    <row r="2916" spans="1:5">
      <c r="A2916" s="20" t="str">
        <v>00:00:00</v>
      </c>
      <c r="B2916" s="19">
        <v>0</v>
      </c>
      <c r="C2916" s="21">
        <v>0</v>
      </c>
      <c r="D2916" s="20" t="str">
        <v>未匹配</v>
      </c>
      <c r="E2916" s="20">
        <v>0</v>
      </c>
    </row>
    <row r="2917" spans="1:5">
      <c r="A2917" s="20" t="str">
        <v>00:00:00</v>
      </c>
      <c r="B2917" s="19">
        <v>0</v>
      </c>
      <c r="C2917" s="21">
        <v>0</v>
      </c>
      <c r="D2917" s="20" t="str">
        <v>未匹配</v>
      </c>
      <c r="E2917" s="20">
        <v>0</v>
      </c>
    </row>
    <row r="2918" spans="1:5">
      <c r="A2918" s="20" t="str">
        <v>00:00:00</v>
      </c>
      <c r="B2918" s="19">
        <v>0</v>
      </c>
      <c r="C2918" s="21">
        <v>0</v>
      </c>
      <c r="D2918" s="20" t="str">
        <v>未匹配</v>
      </c>
      <c r="E2918" s="20">
        <v>0</v>
      </c>
    </row>
    <row r="2919" spans="1:5">
      <c r="A2919" s="20" t="str">
        <v>00:00:00</v>
      </c>
      <c r="B2919" s="19">
        <v>0</v>
      </c>
      <c r="C2919" s="21">
        <v>0</v>
      </c>
      <c r="D2919" s="20" t="str">
        <v>未匹配</v>
      </c>
      <c r="E2919" s="20">
        <v>0</v>
      </c>
    </row>
    <row r="2920" spans="1:5">
      <c r="A2920" s="20" t="str">
        <v>00:00:00</v>
      </c>
      <c r="B2920" s="19">
        <v>0</v>
      </c>
      <c r="C2920" s="21">
        <v>0</v>
      </c>
      <c r="D2920" s="20" t="str">
        <v>未匹配</v>
      </c>
      <c r="E2920" s="20">
        <v>0</v>
      </c>
    </row>
    <row r="2921" spans="1:5">
      <c r="A2921" s="20" t="str">
        <v>00:00:00</v>
      </c>
      <c r="B2921" s="19">
        <v>0</v>
      </c>
      <c r="C2921" s="21">
        <v>0</v>
      </c>
      <c r="D2921" s="20" t="str">
        <v>未匹配</v>
      </c>
      <c r="E2921" s="20">
        <v>0</v>
      </c>
    </row>
    <row r="2922" spans="1:5">
      <c r="A2922" s="20" t="str">
        <v>00:00:00</v>
      </c>
      <c r="B2922" s="19">
        <v>0</v>
      </c>
      <c r="C2922" s="21">
        <v>0</v>
      </c>
      <c r="D2922" s="20" t="str">
        <v>未匹配</v>
      </c>
      <c r="E2922" s="20">
        <v>0</v>
      </c>
    </row>
    <row r="2923" spans="1:5">
      <c r="A2923" s="20" t="str">
        <v>00:00:00</v>
      </c>
      <c r="B2923" s="19">
        <v>0</v>
      </c>
      <c r="C2923" s="21">
        <v>0</v>
      </c>
      <c r="D2923" s="20" t="str">
        <v>未匹配</v>
      </c>
      <c r="E2923" s="20">
        <v>0</v>
      </c>
    </row>
    <row r="2924" spans="1:5">
      <c r="A2924" s="20" t="str">
        <v>00:00:00</v>
      </c>
      <c r="B2924" s="19">
        <v>0</v>
      </c>
      <c r="C2924" s="21">
        <v>0</v>
      </c>
      <c r="D2924" s="20" t="str">
        <v>未匹配</v>
      </c>
      <c r="E2924" s="20">
        <v>0</v>
      </c>
    </row>
    <row r="2925" spans="1:5">
      <c r="A2925" s="20" t="str">
        <v>00:00:00</v>
      </c>
      <c r="B2925" s="19">
        <v>0</v>
      </c>
      <c r="C2925" s="21">
        <v>0</v>
      </c>
      <c r="D2925" s="20" t="str">
        <v>未匹配</v>
      </c>
      <c r="E2925" s="20">
        <v>0</v>
      </c>
    </row>
    <row r="2926" spans="1:5">
      <c r="A2926" s="20" t="str">
        <v>00:00:00</v>
      </c>
      <c r="B2926" s="19">
        <v>0</v>
      </c>
      <c r="C2926" s="21">
        <v>0</v>
      </c>
      <c r="D2926" s="20" t="str">
        <v>未匹配</v>
      </c>
      <c r="E2926" s="20">
        <v>0</v>
      </c>
    </row>
    <row r="2927" spans="1:5">
      <c r="A2927" s="20" t="str">
        <v>00:00:00</v>
      </c>
      <c r="B2927" s="19">
        <v>0</v>
      </c>
      <c r="C2927" s="21">
        <v>0</v>
      </c>
      <c r="D2927" s="20" t="str">
        <v>未匹配</v>
      </c>
      <c r="E2927" s="20">
        <v>0</v>
      </c>
    </row>
    <row r="2928" spans="1:5">
      <c r="A2928" s="20" t="str">
        <v>00:00:00</v>
      </c>
      <c r="B2928" s="19">
        <v>0</v>
      </c>
      <c r="C2928" s="21">
        <v>0</v>
      </c>
      <c r="D2928" s="20" t="str">
        <v>未匹配</v>
      </c>
      <c r="E2928" s="20">
        <v>0</v>
      </c>
    </row>
    <row r="2929" spans="1:5">
      <c r="A2929" s="20" t="str">
        <v>00:00:00</v>
      </c>
      <c r="B2929" s="19">
        <v>0</v>
      </c>
      <c r="C2929" s="21">
        <v>0</v>
      </c>
      <c r="D2929" s="20" t="str">
        <v>未匹配</v>
      </c>
      <c r="E2929" s="20">
        <v>0</v>
      </c>
    </row>
    <row r="2930" spans="1:5">
      <c r="A2930" s="20" t="str">
        <v>00:00:00</v>
      </c>
      <c r="B2930" s="19">
        <v>0</v>
      </c>
      <c r="C2930" s="21">
        <v>0</v>
      </c>
      <c r="D2930" s="20" t="str">
        <v>未匹配</v>
      </c>
      <c r="E2930" s="20">
        <v>0</v>
      </c>
    </row>
    <row r="2931" spans="1:5">
      <c r="A2931" s="20" t="str">
        <v>00:00:00</v>
      </c>
      <c r="B2931" s="19">
        <v>0</v>
      </c>
      <c r="C2931" s="21">
        <v>0</v>
      </c>
      <c r="D2931" s="20" t="str">
        <v>未匹配</v>
      </c>
      <c r="E2931" s="20">
        <v>0</v>
      </c>
    </row>
    <row r="2932" spans="1:5">
      <c r="A2932" s="20" t="str">
        <v>00:00:00</v>
      </c>
      <c r="B2932" s="19">
        <v>0</v>
      </c>
      <c r="C2932" s="21">
        <v>0</v>
      </c>
      <c r="D2932" s="20" t="str">
        <v>未匹配</v>
      </c>
      <c r="E2932" s="20">
        <v>0</v>
      </c>
    </row>
    <row r="2933" spans="1:5">
      <c r="A2933" s="20" t="str">
        <v>00:00:00</v>
      </c>
      <c r="B2933" s="19">
        <v>0</v>
      </c>
      <c r="C2933" s="21">
        <v>0</v>
      </c>
      <c r="D2933" s="20" t="str">
        <v>未匹配</v>
      </c>
      <c r="E2933" s="20">
        <v>0</v>
      </c>
    </row>
    <row r="2934" spans="1:5">
      <c r="A2934" s="20" t="str">
        <v>00:00:00</v>
      </c>
      <c r="B2934" s="19">
        <v>0</v>
      </c>
      <c r="C2934" s="21">
        <v>0</v>
      </c>
      <c r="D2934" s="20" t="str">
        <v>未匹配</v>
      </c>
      <c r="E2934" s="20">
        <v>0</v>
      </c>
    </row>
    <row r="2935" spans="1:5">
      <c r="A2935" s="20" t="str">
        <v>00:00:00</v>
      </c>
      <c r="B2935" s="19">
        <v>0</v>
      </c>
      <c r="C2935" s="21">
        <v>0</v>
      </c>
      <c r="D2935" s="20" t="str">
        <v>未匹配</v>
      </c>
      <c r="E2935" s="20">
        <v>0</v>
      </c>
    </row>
    <row r="2936" spans="1:5">
      <c r="A2936" s="20" t="str">
        <v>00:00:00</v>
      </c>
      <c r="B2936" s="19">
        <v>0</v>
      </c>
      <c r="C2936" s="21">
        <v>0</v>
      </c>
      <c r="D2936" s="20" t="str">
        <v>未匹配</v>
      </c>
      <c r="E2936" s="20">
        <v>0</v>
      </c>
    </row>
    <row r="2937" spans="1:5">
      <c r="A2937" s="20" t="str">
        <v>00:00:00</v>
      </c>
      <c r="B2937" s="19">
        <v>0</v>
      </c>
      <c r="C2937" s="21">
        <v>0</v>
      </c>
      <c r="D2937" s="20" t="str">
        <v>未匹配</v>
      </c>
      <c r="E2937" s="20">
        <v>0</v>
      </c>
    </row>
    <row r="2938" spans="1:5">
      <c r="A2938" s="20" t="str">
        <v>00:00:00</v>
      </c>
      <c r="B2938" s="19">
        <v>0</v>
      </c>
      <c r="C2938" s="21">
        <v>0</v>
      </c>
      <c r="D2938" s="20" t="str">
        <v>未匹配</v>
      </c>
      <c r="E2938" s="20">
        <v>0</v>
      </c>
    </row>
    <row r="2939" spans="1:5">
      <c r="A2939" s="20" t="str">
        <v>00:00:00</v>
      </c>
      <c r="B2939" s="19">
        <v>0</v>
      </c>
      <c r="C2939" s="21">
        <v>0</v>
      </c>
      <c r="D2939" s="20" t="str">
        <v>未匹配</v>
      </c>
      <c r="E2939" s="20">
        <v>0</v>
      </c>
    </row>
    <row r="2940" spans="1:5">
      <c r="A2940" s="20" t="str">
        <v>00:00:00</v>
      </c>
      <c r="B2940" s="19">
        <v>0</v>
      </c>
      <c r="C2940" s="21">
        <v>0</v>
      </c>
      <c r="D2940" s="20" t="str">
        <v>未匹配</v>
      </c>
      <c r="E2940" s="20">
        <v>0</v>
      </c>
    </row>
    <row r="2941" spans="1:5">
      <c r="A2941" s="20" t="str">
        <v>00:00:00</v>
      </c>
      <c r="B2941" s="19">
        <v>0</v>
      </c>
      <c r="C2941" s="21">
        <v>0</v>
      </c>
      <c r="D2941" s="20" t="str">
        <v>未匹配</v>
      </c>
      <c r="E2941" s="20">
        <v>0</v>
      </c>
    </row>
    <row r="2942" spans="1:5">
      <c r="A2942" s="20" t="str">
        <v>00:00:00</v>
      </c>
      <c r="B2942" s="19">
        <v>0</v>
      </c>
      <c r="C2942" s="21">
        <v>0</v>
      </c>
      <c r="D2942" s="20" t="str">
        <v>未匹配</v>
      </c>
      <c r="E2942" s="20">
        <v>0</v>
      </c>
    </row>
    <row r="2943" spans="1:5">
      <c r="A2943" s="20" t="str">
        <v>00:00:00</v>
      </c>
      <c r="B2943" s="19">
        <v>0</v>
      </c>
      <c r="C2943" s="21">
        <v>0</v>
      </c>
      <c r="D2943" s="20" t="str">
        <v>未匹配</v>
      </c>
      <c r="E2943" s="20">
        <v>0</v>
      </c>
    </row>
    <row r="2944" spans="1:5">
      <c r="A2944" s="20" t="str">
        <v>00:00:00</v>
      </c>
      <c r="B2944" s="19">
        <v>0</v>
      </c>
      <c r="C2944" s="21">
        <v>0</v>
      </c>
      <c r="D2944" s="20" t="str">
        <v>未匹配</v>
      </c>
      <c r="E2944" s="20">
        <v>0</v>
      </c>
    </row>
    <row r="2945" spans="1:5">
      <c r="A2945" s="20" t="str">
        <v>00:00:00</v>
      </c>
      <c r="B2945" s="19">
        <v>0</v>
      </c>
      <c r="C2945" s="21">
        <v>0</v>
      </c>
      <c r="D2945" s="20" t="str">
        <v>未匹配</v>
      </c>
      <c r="E2945" s="20">
        <v>0</v>
      </c>
    </row>
    <row r="2946" spans="1:5">
      <c r="A2946" s="20" t="str">
        <v>00:00:00</v>
      </c>
      <c r="B2946" s="19">
        <v>0</v>
      </c>
      <c r="C2946" s="21">
        <v>0</v>
      </c>
      <c r="D2946" s="20" t="str">
        <v>未匹配</v>
      </c>
      <c r="E2946" s="20">
        <v>0</v>
      </c>
    </row>
    <row r="2947" spans="1:5">
      <c r="A2947" s="20" t="str">
        <v>00:00:00</v>
      </c>
      <c r="B2947" s="19">
        <v>0</v>
      </c>
      <c r="C2947" s="21">
        <v>0</v>
      </c>
      <c r="D2947" s="20" t="str">
        <v>未匹配</v>
      </c>
      <c r="E2947" s="20">
        <v>0</v>
      </c>
    </row>
    <row r="2948" spans="1:5">
      <c r="A2948" s="20" t="str">
        <v>00:00:00</v>
      </c>
      <c r="B2948" s="19">
        <v>0</v>
      </c>
      <c r="C2948" s="21">
        <v>0</v>
      </c>
      <c r="D2948" s="20" t="str">
        <v>未匹配</v>
      </c>
      <c r="E2948" s="20">
        <v>0</v>
      </c>
    </row>
    <row r="2949" spans="1:5">
      <c r="A2949" s="20" t="str">
        <v>00:00:00</v>
      </c>
      <c r="B2949" s="19">
        <v>0</v>
      </c>
      <c r="C2949" s="21">
        <v>0</v>
      </c>
      <c r="D2949" s="20" t="str">
        <v>未匹配</v>
      </c>
      <c r="E2949" s="20">
        <v>0</v>
      </c>
    </row>
    <row r="2950" spans="1:5">
      <c r="A2950" s="20" t="str">
        <v>00:00:00</v>
      </c>
      <c r="B2950" s="19">
        <v>0</v>
      </c>
      <c r="C2950" s="21">
        <v>0</v>
      </c>
      <c r="D2950" s="20" t="str">
        <v>未匹配</v>
      </c>
      <c r="E2950" s="20">
        <v>0</v>
      </c>
    </row>
    <row r="2951" spans="1:5">
      <c r="A2951" s="20" t="str">
        <v>00:00:00</v>
      </c>
      <c r="B2951" s="19">
        <v>0</v>
      </c>
      <c r="C2951" s="21">
        <v>0</v>
      </c>
      <c r="D2951" s="20" t="str">
        <v>未匹配</v>
      </c>
      <c r="E2951" s="20">
        <v>0</v>
      </c>
    </row>
    <row r="2952" spans="1:5">
      <c r="A2952" s="20" t="str">
        <v>00:00:00</v>
      </c>
      <c r="B2952" s="19">
        <v>0</v>
      </c>
      <c r="C2952" s="21">
        <v>0</v>
      </c>
      <c r="D2952" s="20" t="str">
        <v>未匹配</v>
      </c>
      <c r="E2952" s="20">
        <v>0</v>
      </c>
    </row>
    <row r="2953" spans="1:5">
      <c r="A2953" s="20" t="str">
        <v>00:00:00</v>
      </c>
      <c r="B2953" s="19">
        <v>0</v>
      </c>
      <c r="C2953" s="21">
        <v>0</v>
      </c>
      <c r="D2953" s="20" t="str">
        <v>未匹配</v>
      </c>
      <c r="E2953" s="20">
        <v>0</v>
      </c>
    </row>
    <row r="2954" spans="1:5">
      <c r="A2954" s="20" t="str">
        <v>00:00:00</v>
      </c>
      <c r="B2954" s="19">
        <v>0</v>
      </c>
      <c r="C2954" s="21">
        <v>0</v>
      </c>
      <c r="D2954" s="20" t="str">
        <v>未匹配</v>
      </c>
      <c r="E2954" s="20">
        <v>0</v>
      </c>
    </row>
    <row r="2955" spans="1:5">
      <c r="A2955" s="20" t="str">
        <v>00:00:00</v>
      </c>
      <c r="B2955" s="19">
        <v>0</v>
      </c>
      <c r="C2955" s="21">
        <v>0</v>
      </c>
      <c r="D2955" s="20" t="str">
        <v>未匹配</v>
      </c>
      <c r="E2955" s="20">
        <v>0</v>
      </c>
    </row>
    <row r="2956" spans="1:5">
      <c r="A2956" s="20" t="str">
        <v>00:00:00</v>
      </c>
      <c r="B2956" s="19">
        <v>0</v>
      </c>
      <c r="C2956" s="21">
        <v>0</v>
      </c>
      <c r="D2956" s="20" t="str">
        <v>未匹配</v>
      </c>
      <c r="E2956" s="20">
        <v>0</v>
      </c>
    </row>
    <row r="2957" spans="1:5">
      <c r="A2957" s="20" t="str">
        <v>00:00:00</v>
      </c>
      <c r="B2957" s="19">
        <v>0</v>
      </c>
      <c r="C2957" s="21">
        <v>0</v>
      </c>
      <c r="D2957" s="20" t="str">
        <v>未匹配</v>
      </c>
      <c r="E2957" s="20">
        <v>0</v>
      </c>
    </row>
    <row r="2958" spans="1:5">
      <c r="A2958" s="20" t="str">
        <v>00:00:00</v>
      </c>
      <c r="B2958" s="19">
        <v>0</v>
      </c>
      <c r="C2958" s="21">
        <v>0</v>
      </c>
      <c r="D2958" s="20" t="str">
        <v>未匹配</v>
      </c>
      <c r="E2958" s="20">
        <v>0</v>
      </c>
    </row>
    <row r="2959" spans="1:5">
      <c r="A2959" s="20" t="str">
        <v>00:00:00</v>
      </c>
      <c r="B2959" s="19">
        <v>0</v>
      </c>
      <c r="C2959" s="21">
        <v>0</v>
      </c>
      <c r="D2959" s="20" t="str">
        <v>未匹配</v>
      </c>
      <c r="E2959" s="20">
        <v>0</v>
      </c>
    </row>
    <row r="2960" spans="1:5">
      <c r="A2960" s="20" t="str">
        <v>00:00:00</v>
      </c>
      <c r="B2960" s="19">
        <v>0</v>
      </c>
      <c r="C2960" s="21">
        <v>0</v>
      </c>
      <c r="D2960" s="20" t="str">
        <v>未匹配</v>
      </c>
      <c r="E2960" s="20">
        <v>0</v>
      </c>
    </row>
    <row r="2961" spans="1:5">
      <c r="A2961" s="20" t="str">
        <v>00:00:00</v>
      </c>
      <c r="B2961" s="19">
        <v>0</v>
      </c>
      <c r="C2961" s="21">
        <v>0</v>
      </c>
      <c r="D2961" s="20" t="str">
        <v>未匹配</v>
      </c>
      <c r="E2961" s="20">
        <v>0</v>
      </c>
    </row>
    <row r="2962" spans="1:5">
      <c r="A2962" s="20" t="str">
        <v>00:00:00</v>
      </c>
      <c r="B2962" s="19">
        <v>0</v>
      </c>
      <c r="C2962" s="21">
        <v>0</v>
      </c>
      <c r="D2962" s="20" t="str">
        <v>未匹配</v>
      </c>
      <c r="E2962" s="20">
        <v>0</v>
      </c>
    </row>
    <row r="2963" spans="1:5">
      <c r="A2963" s="20" t="str">
        <v>00:00:00</v>
      </c>
      <c r="B2963" s="19">
        <v>0</v>
      </c>
      <c r="C2963" s="21">
        <v>0</v>
      </c>
      <c r="D2963" s="20" t="str">
        <v>未匹配</v>
      </c>
      <c r="E2963" s="20">
        <v>0</v>
      </c>
    </row>
    <row r="2964" spans="1:5">
      <c r="A2964" s="20" t="str">
        <v>00:00:00</v>
      </c>
      <c r="B2964" s="19">
        <v>0</v>
      </c>
      <c r="C2964" s="21">
        <v>0</v>
      </c>
      <c r="D2964" s="20" t="str">
        <v>未匹配</v>
      </c>
      <c r="E2964" s="20">
        <v>0</v>
      </c>
    </row>
    <row r="2965" spans="1:5">
      <c r="A2965" s="20" t="str">
        <v>00:00:00</v>
      </c>
      <c r="B2965" s="19">
        <v>0</v>
      </c>
      <c r="C2965" s="21">
        <v>0</v>
      </c>
      <c r="D2965" s="20" t="str">
        <v>未匹配</v>
      </c>
      <c r="E2965" s="20">
        <v>0</v>
      </c>
    </row>
    <row r="2966" spans="1:5">
      <c r="A2966" s="20" t="str">
        <v>00:00:00</v>
      </c>
      <c r="B2966" s="19">
        <v>0</v>
      </c>
      <c r="C2966" s="21">
        <v>0</v>
      </c>
      <c r="D2966" s="20" t="str">
        <v>未匹配</v>
      </c>
      <c r="E2966" s="20">
        <v>0</v>
      </c>
    </row>
    <row r="2967" spans="1:5">
      <c r="A2967" s="20" t="str">
        <v>00:00:00</v>
      </c>
      <c r="B2967" s="19">
        <v>0</v>
      </c>
      <c r="C2967" s="21">
        <v>0</v>
      </c>
      <c r="D2967" s="20" t="str">
        <v>未匹配</v>
      </c>
      <c r="E2967" s="20">
        <v>0</v>
      </c>
    </row>
    <row r="2968" spans="1:5">
      <c r="A2968" s="20" t="str">
        <v>00:00:00</v>
      </c>
      <c r="B2968" s="19">
        <v>0</v>
      </c>
      <c r="C2968" s="21">
        <v>0</v>
      </c>
      <c r="D2968" s="20" t="str">
        <v>未匹配</v>
      </c>
      <c r="E2968" s="20">
        <v>0</v>
      </c>
    </row>
    <row r="2969" spans="1:5">
      <c r="A2969" s="20" t="str">
        <v>00:00:00</v>
      </c>
      <c r="B2969" s="19">
        <v>0</v>
      </c>
      <c r="C2969" s="21">
        <v>0</v>
      </c>
      <c r="D2969" s="20" t="str">
        <v>未匹配</v>
      </c>
      <c r="E2969" s="20">
        <v>0</v>
      </c>
    </row>
    <row r="2970" spans="1:5">
      <c r="A2970" s="20" t="str">
        <v>00:00:00</v>
      </c>
      <c r="B2970" s="19">
        <v>0</v>
      </c>
      <c r="C2970" s="21">
        <v>0</v>
      </c>
      <c r="D2970" s="20" t="str">
        <v>未匹配</v>
      </c>
      <c r="E2970" s="20">
        <v>0</v>
      </c>
    </row>
    <row r="2971" spans="1:5">
      <c r="A2971" s="20" t="str">
        <v>00:00:00</v>
      </c>
      <c r="B2971" s="19">
        <v>0</v>
      </c>
      <c r="C2971" s="21">
        <v>0</v>
      </c>
      <c r="D2971" s="20" t="str">
        <v>未匹配</v>
      </c>
      <c r="E2971" s="20">
        <v>0</v>
      </c>
    </row>
    <row r="2972" spans="1:5">
      <c r="A2972" s="20" t="str">
        <v>00:00:00</v>
      </c>
      <c r="B2972" s="19">
        <v>0</v>
      </c>
      <c r="C2972" s="21">
        <v>0</v>
      </c>
      <c r="D2972" s="20" t="str">
        <v>未匹配</v>
      </c>
      <c r="E2972" s="20">
        <v>0</v>
      </c>
    </row>
    <row r="2973" spans="1:5">
      <c r="A2973" s="20" t="str">
        <v>00:00:00</v>
      </c>
      <c r="B2973" s="19">
        <v>0</v>
      </c>
      <c r="C2973" s="21">
        <v>0</v>
      </c>
      <c r="D2973" s="20" t="str">
        <v>未匹配</v>
      </c>
      <c r="E2973" s="20">
        <v>0</v>
      </c>
    </row>
    <row r="2974" spans="1:5">
      <c r="A2974" s="20" t="str">
        <v>00:00:00</v>
      </c>
      <c r="B2974" s="19">
        <v>0</v>
      </c>
      <c r="C2974" s="21">
        <v>0</v>
      </c>
      <c r="D2974" s="20" t="str">
        <v>未匹配</v>
      </c>
      <c r="E2974" s="20">
        <v>0</v>
      </c>
    </row>
    <row r="2975" spans="1:5">
      <c r="A2975" s="20" t="str">
        <v>00:00:00</v>
      </c>
      <c r="B2975" s="19">
        <v>0</v>
      </c>
      <c r="C2975" s="21">
        <v>0</v>
      </c>
      <c r="D2975" s="20" t="str">
        <v>未匹配</v>
      </c>
      <c r="E2975" s="20">
        <v>0</v>
      </c>
    </row>
    <row r="2976" spans="1:5">
      <c r="A2976" s="20" t="str">
        <v>00:00:00</v>
      </c>
      <c r="B2976" s="19">
        <v>0</v>
      </c>
      <c r="C2976" s="21">
        <v>0</v>
      </c>
      <c r="D2976" s="20" t="str">
        <v>未匹配</v>
      </c>
      <c r="E2976" s="20">
        <v>0</v>
      </c>
    </row>
    <row r="2977" spans="1:5">
      <c r="A2977" s="20" t="str">
        <v>00:00:00</v>
      </c>
      <c r="B2977" s="19">
        <v>0</v>
      </c>
      <c r="C2977" s="21">
        <v>0</v>
      </c>
      <c r="D2977" s="20" t="str">
        <v>未匹配</v>
      </c>
      <c r="E2977" s="20">
        <v>0</v>
      </c>
    </row>
    <row r="2978" spans="1:5">
      <c r="A2978" s="20" t="str">
        <v>00:00:00</v>
      </c>
      <c r="B2978" s="19">
        <v>0</v>
      </c>
      <c r="C2978" s="21">
        <v>0</v>
      </c>
      <c r="D2978" s="20" t="str">
        <v>未匹配</v>
      </c>
      <c r="E2978" s="20">
        <v>0</v>
      </c>
    </row>
    <row r="2979" spans="1:5">
      <c r="A2979" s="20" t="str">
        <v>00:00:00</v>
      </c>
      <c r="B2979" s="19">
        <v>0</v>
      </c>
      <c r="C2979" s="21">
        <v>0</v>
      </c>
      <c r="D2979" s="20" t="str">
        <v>未匹配</v>
      </c>
      <c r="E2979" s="20">
        <v>0</v>
      </c>
    </row>
    <row r="2980" spans="1:5">
      <c r="A2980" s="20" t="str">
        <v>00:00:00</v>
      </c>
      <c r="B2980" s="19">
        <v>0</v>
      </c>
      <c r="C2980" s="21">
        <v>0</v>
      </c>
      <c r="D2980" s="20" t="str">
        <v>未匹配</v>
      </c>
      <c r="E2980" s="20">
        <v>0</v>
      </c>
    </row>
    <row r="2981" spans="1:5">
      <c r="A2981" s="20" t="str">
        <v>00:00:00</v>
      </c>
      <c r="B2981" s="19">
        <v>0</v>
      </c>
      <c r="C2981" s="21">
        <v>0</v>
      </c>
      <c r="D2981" s="20" t="str">
        <v>未匹配</v>
      </c>
      <c r="E2981" s="20">
        <v>0</v>
      </c>
    </row>
    <row r="2982" spans="1:5">
      <c r="A2982" s="20" t="str">
        <v>00:00:00</v>
      </c>
      <c r="B2982" s="19">
        <v>0</v>
      </c>
      <c r="C2982" s="21">
        <v>0</v>
      </c>
      <c r="D2982" s="20" t="str">
        <v>未匹配</v>
      </c>
      <c r="E2982" s="20">
        <v>0</v>
      </c>
    </row>
    <row r="2983" spans="1:5">
      <c r="A2983" s="20" t="str">
        <v>00:00:00</v>
      </c>
      <c r="B2983" s="19">
        <v>0</v>
      </c>
      <c r="C2983" s="21">
        <v>0</v>
      </c>
      <c r="D2983" s="20" t="str">
        <v>未匹配</v>
      </c>
      <c r="E2983" s="20">
        <v>0</v>
      </c>
    </row>
    <row r="2984" spans="1:5">
      <c r="A2984" s="20" t="str">
        <v>00:00:00</v>
      </c>
      <c r="B2984" s="19">
        <v>0</v>
      </c>
      <c r="C2984" s="21">
        <v>0</v>
      </c>
      <c r="D2984" s="20" t="str">
        <v>未匹配</v>
      </c>
      <c r="E2984" s="20">
        <v>0</v>
      </c>
    </row>
    <row r="2985" spans="1:5">
      <c r="A2985" s="20" t="str">
        <v>00:00:00</v>
      </c>
      <c r="B2985" s="19">
        <v>0</v>
      </c>
      <c r="C2985" s="21">
        <v>0</v>
      </c>
      <c r="D2985" s="20" t="str">
        <v>未匹配</v>
      </c>
      <c r="E2985" s="20">
        <v>0</v>
      </c>
    </row>
    <row r="2986" spans="1:5">
      <c r="A2986" s="20" t="str">
        <v>00:00:00</v>
      </c>
      <c r="B2986" s="19">
        <v>0</v>
      </c>
      <c r="C2986" s="21">
        <v>0</v>
      </c>
      <c r="D2986" s="20" t="str">
        <v>未匹配</v>
      </c>
      <c r="E2986" s="20">
        <v>0</v>
      </c>
    </row>
    <row r="2987" spans="1:5">
      <c r="A2987" s="20" t="str">
        <v>00:00:00</v>
      </c>
      <c r="B2987" s="19">
        <v>0</v>
      </c>
      <c r="C2987" s="21">
        <v>0</v>
      </c>
      <c r="D2987" s="20" t="str">
        <v>未匹配</v>
      </c>
      <c r="E2987" s="20">
        <v>0</v>
      </c>
    </row>
    <row r="2988" spans="1:5">
      <c r="A2988" s="20" t="str">
        <v>00:00:00</v>
      </c>
      <c r="B2988" s="19">
        <v>0</v>
      </c>
      <c r="C2988" s="21">
        <v>0</v>
      </c>
      <c r="D2988" s="20" t="str">
        <v>未匹配</v>
      </c>
      <c r="E2988" s="20">
        <v>0</v>
      </c>
    </row>
    <row r="2989" spans="1:5">
      <c r="A2989" s="20" t="str">
        <v>00:00:00</v>
      </c>
      <c r="B2989" s="19">
        <v>0</v>
      </c>
      <c r="C2989" s="21">
        <v>0</v>
      </c>
      <c r="D2989" s="20" t="str">
        <v>未匹配</v>
      </c>
      <c r="E2989" s="20">
        <v>0</v>
      </c>
    </row>
    <row r="2990" spans="1:5">
      <c r="A2990" s="20" t="str">
        <v>00:00:00</v>
      </c>
      <c r="B2990" s="19">
        <v>0</v>
      </c>
      <c r="C2990" s="21">
        <v>0</v>
      </c>
      <c r="D2990" s="20" t="str">
        <v>未匹配</v>
      </c>
      <c r="E2990" s="20">
        <v>0</v>
      </c>
    </row>
    <row r="2991" spans="1:5">
      <c r="A2991" s="20" t="str">
        <v>00:00:00</v>
      </c>
      <c r="B2991" s="19">
        <v>0</v>
      </c>
      <c r="C2991" s="21">
        <v>0</v>
      </c>
      <c r="D2991" s="20" t="str">
        <v>未匹配</v>
      </c>
      <c r="E2991" s="20">
        <v>0</v>
      </c>
    </row>
    <row r="2992" spans="1:5">
      <c r="A2992" s="20" t="str">
        <v>00:00:00</v>
      </c>
      <c r="B2992" s="19">
        <v>0</v>
      </c>
      <c r="C2992" s="21">
        <v>0</v>
      </c>
      <c r="D2992" s="20" t="str">
        <v>未匹配</v>
      </c>
      <c r="E2992" s="20">
        <v>0</v>
      </c>
    </row>
    <row r="2993" spans="1:5">
      <c r="A2993" s="20" t="str">
        <v>00:00:00</v>
      </c>
      <c r="B2993" s="19">
        <v>0</v>
      </c>
      <c r="C2993" s="21">
        <v>0</v>
      </c>
      <c r="D2993" s="20" t="str">
        <v>未匹配</v>
      </c>
      <c r="E2993" s="20">
        <v>0</v>
      </c>
    </row>
    <row r="2994" spans="1:5">
      <c r="A2994" s="20" t="str">
        <v>00:00:00</v>
      </c>
      <c r="B2994" s="19">
        <v>0</v>
      </c>
      <c r="C2994" s="21">
        <v>0</v>
      </c>
      <c r="D2994" s="20" t="str">
        <v>未匹配</v>
      </c>
      <c r="E2994" s="20">
        <v>0</v>
      </c>
    </row>
    <row r="2995" spans="1:5">
      <c r="A2995" s="20" t="str">
        <v>00:00:00</v>
      </c>
      <c r="B2995" s="19">
        <v>0</v>
      </c>
      <c r="C2995" s="21">
        <v>0</v>
      </c>
      <c r="D2995" s="20" t="str">
        <v>未匹配</v>
      </c>
      <c r="E2995" s="20">
        <v>0</v>
      </c>
    </row>
    <row r="2996" spans="1:5">
      <c r="A2996" s="20" t="str">
        <v>00:00:00</v>
      </c>
      <c r="B2996" s="19">
        <v>0</v>
      </c>
      <c r="C2996" s="21">
        <v>0</v>
      </c>
      <c r="D2996" s="20" t="str">
        <v>未匹配</v>
      </c>
      <c r="E2996" s="20">
        <v>0</v>
      </c>
    </row>
    <row r="2997" spans="1:5">
      <c r="A2997" s="20" t="str">
        <v>00:00:00</v>
      </c>
      <c r="B2997" s="19">
        <v>0</v>
      </c>
      <c r="C2997" s="21">
        <v>0</v>
      </c>
      <c r="D2997" s="20" t="str">
        <v>未匹配</v>
      </c>
      <c r="E2997" s="20">
        <v>0</v>
      </c>
    </row>
    <row r="2998" spans="1:5">
      <c r="A2998" s="20" t="str">
        <v>00:00:00</v>
      </c>
      <c r="B2998" s="19">
        <v>0</v>
      </c>
      <c r="C2998" s="21">
        <v>0</v>
      </c>
      <c r="D2998" s="20" t="str">
        <v>未匹配</v>
      </c>
      <c r="E2998" s="20">
        <v>0</v>
      </c>
    </row>
    <row r="2999" spans="1:5">
      <c r="A2999" s="20" t="str">
        <v>00:00:00</v>
      </c>
      <c r="B2999" s="19">
        <v>0</v>
      </c>
      <c r="C2999" s="21">
        <v>0</v>
      </c>
      <c r="D2999" s="20" t="str">
        <v>未匹配</v>
      </c>
      <c r="E2999" s="20">
        <v>0</v>
      </c>
    </row>
    <row r="3000" spans="1:5">
      <c r="A3000" s="20" t="str">
        <v>00:00:00</v>
      </c>
      <c r="B3000" s="19">
        <v>0</v>
      </c>
      <c r="C3000" s="21">
        <v>0</v>
      </c>
      <c r="D3000" s="20" t="str">
        <v>未匹配</v>
      </c>
      <c r="E3000" s="20">
        <v>0</v>
      </c>
    </row>
    <row r="3001" spans="1:5">
      <c r="A3001" s="20" t="str">
        <v>00:00:00</v>
      </c>
      <c r="B3001" s="19">
        <v>0</v>
      </c>
      <c r="C3001" s="21">
        <v>0</v>
      </c>
      <c r="D3001" s="20" t="str">
        <v>未匹配</v>
      </c>
      <c r="E3001" s="20">
        <v>0</v>
      </c>
    </row>
    <row r="3002" spans="1:5">
      <c r="A3002" s="20" t="str">
        <v>00:00:00</v>
      </c>
      <c r="B3002" s="19">
        <v>0</v>
      </c>
      <c r="C3002" s="21">
        <v>0</v>
      </c>
      <c r="D3002" s="20" t="str">
        <v>未匹配</v>
      </c>
      <c r="E3002" s="20">
        <v>0</v>
      </c>
    </row>
    <row r="3003" spans="1:5">
      <c r="A3003" s="20" t="str">
        <v>00:00:00</v>
      </c>
      <c r="B3003" s="19">
        <v>0</v>
      </c>
      <c r="C3003" s="21">
        <v>0</v>
      </c>
      <c r="D3003" s="20" t="str">
        <v>未匹配</v>
      </c>
      <c r="E3003" s="20">
        <v>0</v>
      </c>
    </row>
    <row r="3004" spans="1:5">
      <c r="A3004" s="20" t="str">
        <v>00:00:00</v>
      </c>
      <c r="B3004" s="19">
        <v>0</v>
      </c>
      <c r="C3004" s="21">
        <v>0</v>
      </c>
      <c r="D3004" s="20" t="str">
        <v>未匹配</v>
      </c>
      <c r="E3004" s="20">
        <v>0</v>
      </c>
    </row>
    <row r="3005" spans="1:5">
      <c r="A3005" s="20" t="str">
        <v>00:00:00</v>
      </c>
      <c r="B3005" s="19">
        <v>0</v>
      </c>
      <c r="C3005" s="21">
        <v>0</v>
      </c>
      <c r="D3005" s="20" t="str">
        <v>未匹配</v>
      </c>
      <c r="E3005" s="20">
        <v>0</v>
      </c>
    </row>
    <row r="3006" spans="1:5">
      <c r="A3006" s="20" t="str">
        <v>00:00:00</v>
      </c>
      <c r="B3006" s="19">
        <v>0</v>
      </c>
      <c r="C3006" s="21">
        <v>0</v>
      </c>
      <c r="D3006" s="20" t="str">
        <v>未匹配</v>
      </c>
      <c r="E3006" s="20">
        <v>0</v>
      </c>
    </row>
    <row r="3007" spans="1:5">
      <c r="A3007" s="20" t="str">
        <v>00:00:00</v>
      </c>
      <c r="B3007" s="19">
        <v>0</v>
      </c>
      <c r="C3007" s="21">
        <v>0</v>
      </c>
      <c r="D3007" s="20" t="str">
        <v>未匹配</v>
      </c>
      <c r="E3007" s="20">
        <v>0</v>
      </c>
    </row>
    <row r="3008" spans="1:5">
      <c r="A3008" s="20" t="str">
        <v>00:00:00</v>
      </c>
      <c r="B3008" s="19">
        <v>0</v>
      </c>
      <c r="C3008" s="21">
        <v>0</v>
      </c>
      <c r="D3008" s="20" t="str">
        <v>未匹配</v>
      </c>
      <c r="E3008" s="20">
        <v>0</v>
      </c>
    </row>
    <row r="3009" spans="1:5">
      <c r="A3009" s="20" t="str">
        <v>00:00:00</v>
      </c>
      <c r="B3009" s="19">
        <v>0</v>
      </c>
      <c r="C3009" s="21">
        <v>0</v>
      </c>
      <c r="D3009" s="20" t="str">
        <v>未匹配</v>
      </c>
      <c r="E3009" s="20">
        <v>0</v>
      </c>
    </row>
    <row r="3010" spans="1:5">
      <c r="A3010" s="20" t="str">
        <v>00:00:00</v>
      </c>
      <c r="B3010" s="19">
        <v>0</v>
      </c>
      <c r="C3010" s="21">
        <v>0</v>
      </c>
      <c r="D3010" s="20" t="str">
        <v>未匹配</v>
      </c>
      <c r="E3010" s="20">
        <v>0</v>
      </c>
    </row>
    <row r="3011" spans="1:5">
      <c r="A3011" s="20" t="str">
        <v>00:00:00</v>
      </c>
      <c r="B3011" s="19">
        <v>0</v>
      </c>
      <c r="C3011" s="21">
        <v>0</v>
      </c>
      <c r="D3011" s="20" t="str">
        <v>未匹配</v>
      </c>
      <c r="E3011" s="20">
        <v>0</v>
      </c>
    </row>
    <row r="3012" spans="1:5">
      <c r="A3012" s="20" t="str">
        <v>00:00:00</v>
      </c>
      <c r="B3012" s="19">
        <v>0</v>
      </c>
      <c r="C3012" s="21">
        <v>0</v>
      </c>
      <c r="D3012" s="20" t="str">
        <v>未匹配</v>
      </c>
      <c r="E3012" s="20">
        <v>0</v>
      </c>
    </row>
    <row r="3013" spans="1:5">
      <c r="A3013" s="20" t="str">
        <v>00:00:00</v>
      </c>
      <c r="B3013" s="19">
        <v>0</v>
      </c>
      <c r="C3013" s="21">
        <v>0</v>
      </c>
      <c r="D3013" s="20" t="str">
        <v>未匹配</v>
      </c>
      <c r="E3013" s="20">
        <v>0</v>
      </c>
    </row>
    <row r="3014" spans="1:5">
      <c r="A3014" s="20" t="str">
        <v>00:00:00</v>
      </c>
      <c r="B3014" s="19">
        <v>0</v>
      </c>
      <c r="C3014" s="21">
        <v>0</v>
      </c>
      <c r="D3014" s="20" t="str">
        <v>未匹配</v>
      </c>
      <c r="E3014" s="20">
        <v>0</v>
      </c>
    </row>
    <row r="3015" spans="1:5">
      <c r="A3015" s="20" t="str">
        <v>00:00:00</v>
      </c>
      <c r="B3015" s="19">
        <v>0</v>
      </c>
      <c r="C3015" s="21">
        <v>0</v>
      </c>
      <c r="D3015" s="20" t="str">
        <v>未匹配</v>
      </c>
      <c r="E3015" s="20">
        <v>0</v>
      </c>
    </row>
    <row r="3016" spans="1:5">
      <c r="A3016" s="20" t="str">
        <v>00:00:00</v>
      </c>
      <c r="B3016" s="19">
        <v>0</v>
      </c>
      <c r="C3016" s="21">
        <v>0</v>
      </c>
      <c r="D3016" s="20" t="str">
        <v>未匹配</v>
      </c>
      <c r="E3016" s="20">
        <v>0</v>
      </c>
    </row>
    <row r="3017" spans="1:5">
      <c r="A3017" s="20" t="str">
        <v>00:00:00</v>
      </c>
      <c r="B3017" s="19">
        <v>0</v>
      </c>
      <c r="C3017" s="21">
        <v>0</v>
      </c>
      <c r="D3017" s="20" t="str">
        <v>未匹配</v>
      </c>
      <c r="E3017" s="20">
        <v>0</v>
      </c>
    </row>
    <row r="3018" spans="1:5">
      <c r="A3018" s="20" t="str">
        <v>00:00:00</v>
      </c>
      <c r="B3018" s="19">
        <v>0</v>
      </c>
      <c r="C3018" s="21">
        <v>0</v>
      </c>
      <c r="D3018" s="20" t="str">
        <v>未匹配</v>
      </c>
      <c r="E3018" s="20">
        <v>0</v>
      </c>
    </row>
    <row r="3019" spans="1:5">
      <c r="A3019" s="20" t="str">
        <v>00:00:00</v>
      </c>
      <c r="B3019" s="19">
        <v>0</v>
      </c>
      <c r="C3019" s="21">
        <v>0</v>
      </c>
      <c r="D3019" s="20" t="str">
        <v>未匹配</v>
      </c>
      <c r="E3019" s="20">
        <v>0</v>
      </c>
    </row>
    <row r="3020" spans="1:5">
      <c r="A3020" s="20" t="str">
        <v>00:00:00</v>
      </c>
      <c r="B3020" s="19">
        <v>0</v>
      </c>
      <c r="C3020" s="21">
        <v>0</v>
      </c>
      <c r="D3020" s="20" t="str">
        <v>未匹配</v>
      </c>
      <c r="E3020" s="20">
        <v>0</v>
      </c>
    </row>
    <row r="3021" spans="1:5">
      <c r="A3021" s="20" t="str">
        <v>00:00:00</v>
      </c>
      <c r="B3021" s="19">
        <v>0</v>
      </c>
      <c r="C3021" s="21">
        <v>0</v>
      </c>
      <c r="D3021" s="20" t="str">
        <v>未匹配</v>
      </c>
      <c r="E3021" s="20">
        <v>0</v>
      </c>
    </row>
    <row r="3022" spans="1:5">
      <c r="A3022" s="20" t="str">
        <v>00:00:00</v>
      </c>
      <c r="B3022" s="19">
        <v>0</v>
      </c>
      <c r="C3022" s="21">
        <v>0</v>
      </c>
      <c r="D3022" s="20" t="str">
        <v>未匹配</v>
      </c>
      <c r="E3022" s="20">
        <v>0</v>
      </c>
    </row>
    <row r="3023" spans="1:5">
      <c r="A3023" s="20" t="str">
        <v>00:00:00</v>
      </c>
      <c r="B3023" s="19">
        <v>0</v>
      </c>
      <c r="C3023" s="21">
        <v>0</v>
      </c>
      <c r="D3023" s="20" t="str">
        <v>未匹配</v>
      </c>
      <c r="E3023" s="20">
        <v>0</v>
      </c>
    </row>
    <row r="3024" spans="1:5">
      <c r="A3024" s="20" t="str">
        <v>00:00:00</v>
      </c>
      <c r="B3024" s="19">
        <v>0</v>
      </c>
      <c r="C3024" s="21">
        <v>0</v>
      </c>
      <c r="D3024" s="20" t="str">
        <v>未匹配</v>
      </c>
      <c r="E3024" s="20">
        <v>0</v>
      </c>
    </row>
    <row r="3025" spans="1:5">
      <c r="A3025" s="20" t="str">
        <v>00:00:00</v>
      </c>
      <c r="B3025" s="19">
        <v>0</v>
      </c>
      <c r="C3025" s="21">
        <v>0</v>
      </c>
      <c r="D3025" s="20" t="str">
        <v>未匹配</v>
      </c>
      <c r="E3025" s="20">
        <v>0</v>
      </c>
    </row>
    <row r="3026" spans="1:5">
      <c r="A3026" s="20" t="str">
        <v>00:00:00</v>
      </c>
      <c r="B3026" s="19">
        <v>0</v>
      </c>
      <c r="C3026" s="21">
        <v>0</v>
      </c>
      <c r="D3026" s="20" t="str">
        <v>未匹配</v>
      </c>
      <c r="E3026" s="20">
        <v>0</v>
      </c>
    </row>
    <row r="3027" spans="1:5">
      <c r="A3027" s="20" t="str">
        <v>00:00:00</v>
      </c>
      <c r="B3027" s="19">
        <v>0</v>
      </c>
      <c r="C3027" s="21">
        <v>0</v>
      </c>
      <c r="D3027" s="20" t="str">
        <v>未匹配</v>
      </c>
      <c r="E3027" s="20">
        <v>0</v>
      </c>
    </row>
    <row r="3028" spans="1:5">
      <c r="A3028" s="20" t="str">
        <v>00:00:00</v>
      </c>
      <c r="B3028" s="19">
        <v>0</v>
      </c>
      <c r="C3028" s="21">
        <v>0</v>
      </c>
      <c r="D3028" s="20" t="str">
        <v>未匹配</v>
      </c>
      <c r="E3028" s="20">
        <v>0</v>
      </c>
    </row>
    <row r="3029" spans="1:5">
      <c r="A3029" s="20" t="str">
        <v>00:00:00</v>
      </c>
      <c r="B3029" s="19">
        <v>0</v>
      </c>
      <c r="C3029" s="21">
        <v>0</v>
      </c>
      <c r="D3029" s="20" t="str">
        <v>未匹配</v>
      </c>
      <c r="E3029" s="20">
        <v>0</v>
      </c>
    </row>
    <row r="3030" spans="1:5">
      <c r="A3030" s="20" t="str">
        <v>00:00:00</v>
      </c>
      <c r="B3030" s="19">
        <v>0</v>
      </c>
      <c r="C3030" s="21">
        <v>0</v>
      </c>
      <c r="D3030" s="20" t="str">
        <v>未匹配</v>
      </c>
      <c r="E3030" s="20">
        <v>0</v>
      </c>
    </row>
    <row r="3031" spans="1:5">
      <c r="A3031" s="20" t="str">
        <v>00:00:00</v>
      </c>
      <c r="B3031" s="19">
        <v>0</v>
      </c>
      <c r="C3031" s="21">
        <v>0</v>
      </c>
      <c r="D3031" s="20" t="str">
        <v>未匹配</v>
      </c>
      <c r="E3031" s="20">
        <v>0</v>
      </c>
    </row>
    <row r="3032" spans="1:5">
      <c r="A3032" s="20" t="str">
        <v>00:00:00</v>
      </c>
      <c r="B3032" s="19">
        <v>0</v>
      </c>
      <c r="C3032" s="21">
        <v>0</v>
      </c>
      <c r="D3032" s="20" t="str">
        <v>未匹配</v>
      </c>
      <c r="E3032" s="20">
        <v>0</v>
      </c>
    </row>
    <row r="3033" spans="1:5">
      <c r="A3033" s="20" t="str">
        <v>00:00:00</v>
      </c>
      <c r="B3033" s="19">
        <v>0</v>
      </c>
      <c r="C3033" s="21">
        <v>0</v>
      </c>
      <c r="D3033" s="20" t="str">
        <v>未匹配</v>
      </c>
      <c r="E3033" s="20">
        <v>0</v>
      </c>
    </row>
    <row r="3034" spans="1:5">
      <c r="A3034" s="20" t="str">
        <v>00:00:00</v>
      </c>
      <c r="B3034" s="19">
        <v>0</v>
      </c>
      <c r="C3034" s="21">
        <v>0</v>
      </c>
      <c r="D3034" s="20" t="str">
        <v>未匹配</v>
      </c>
      <c r="E3034" s="20">
        <v>0</v>
      </c>
    </row>
    <row r="3035" spans="1:5">
      <c r="A3035" s="20" t="str">
        <v>00:00:00</v>
      </c>
      <c r="B3035" s="19">
        <v>0</v>
      </c>
      <c r="C3035" s="21">
        <v>0</v>
      </c>
      <c r="D3035" s="20" t="str">
        <v>未匹配</v>
      </c>
      <c r="E3035" s="20">
        <v>0</v>
      </c>
    </row>
    <row r="3036" spans="1:5">
      <c r="A3036" s="20" t="str">
        <v>00:00:00</v>
      </c>
      <c r="B3036" s="19">
        <v>0</v>
      </c>
      <c r="C3036" s="21">
        <v>0</v>
      </c>
      <c r="D3036" s="20" t="str">
        <v>未匹配</v>
      </c>
      <c r="E3036" s="20">
        <v>0</v>
      </c>
    </row>
    <row r="3037" spans="1:5">
      <c r="A3037" s="20" t="str">
        <v>00:00:00</v>
      </c>
      <c r="B3037" s="19">
        <v>0</v>
      </c>
      <c r="C3037" s="21">
        <v>0</v>
      </c>
      <c r="D3037" s="20" t="str">
        <v>未匹配</v>
      </c>
      <c r="E3037" s="20">
        <v>0</v>
      </c>
    </row>
    <row r="3038" spans="1:5">
      <c r="A3038" s="20" t="str">
        <v>00:00:00</v>
      </c>
      <c r="B3038" s="19">
        <v>0</v>
      </c>
      <c r="C3038" s="21">
        <v>0</v>
      </c>
      <c r="D3038" s="20" t="str">
        <v>未匹配</v>
      </c>
      <c r="E3038" s="20">
        <v>0</v>
      </c>
    </row>
    <row r="3039" spans="1:5">
      <c r="A3039" s="20" t="str">
        <v>00:00:00</v>
      </c>
      <c r="B3039" s="19">
        <v>0</v>
      </c>
      <c r="C3039" s="21">
        <v>0</v>
      </c>
      <c r="D3039" s="20" t="str">
        <v>未匹配</v>
      </c>
      <c r="E3039" s="20">
        <v>0</v>
      </c>
    </row>
    <row r="3040" spans="1:5">
      <c r="A3040" s="20" t="str">
        <v>00:00:00</v>
      </c>
      <c r="B3040" s="19">
        <v>0</v>
      </c>
      <c r="C3040" s="21">
        <v>0</v>
      </c>
      <c r="D3040" s="20" t="str">
        <v>未匹配</v>
      </c>
      <c r="E3040" s="20">
        <v>0</v>
      </c>
    </row>
    <row r="3041" spans="1:5">
      <c r="A3041" s="20" t="str">
        <v>00:00:00</v>
      </c>
      <c r="B3041" s="19">
        <v>0</v>
      </c>
      <c r="C3041" s="21">
        <v>0</v>
      </c>
      <c r="D3041" s="20" t="str">
        <v>未匹配</v>
      </c>
      <c r="E3041" s="20">
        <v>0</v>
      </c>
    </row>
    <row r="3042" spans="1:5">
      <c r="A3042" s="20" t="str">
        <v>00:00:00</v>
      </c>
      <c r="B3042" s="19">
        <v>0</v>
      </c>
      <c r="C3042" s="21">
        <v>0</v>
      </c>
      <c r="D3042" s="20" t="str">
        <v>未匹配</v>
      </c>
      <c r="E3042" s="20">
        <v>0</v>
      </c>
    </row>
    <row r="3043" spans="1:5">
      <c r="A3043" s="20" t="str">
        <v>00:00:00</v>
      </c>
      <c r="B3043" s="19">
        <v>0</v>
      </c>
      <c r="C3043" s="21">
        <v>0</v>
      </c>
      <c r="D3043" s="20" t="str">
        <v>未匹配</v>
      </c>
      <c r="E3043" s="20">
        <v>0</v>
      </c>
    </row>
    <row r="3044" spans="1:5">
      <c r="A3044" s="20" t="str">
        <v>00:00:00</v>
      </c>
      <c r="B3044" s="19">
        <v>0</v>
      </c>
      <c r="C3044" s="21">
        <v>0</v>
      </c>
      <c r="D3044" s="20" t="str">
        <v>未匹配</v>
      </c>
      <c r="E3044" s="20">
        <v>0</v>
      </c>
    </row>
    <row r="3045" spans="1:5">
      <c r="A3045" s="20" t="str">
        <v>00:00:00</v>
      </c>
      <c r="B3045" s="19">
        <v>0</v>
      </c>
      <c r="C3045" s="21">
        <v>0</v>
      </c>
      <c r="D3045" s="20" t="str">
        <v>未匹配</v>
      </c>
      <c r="E3045" s="20">
        <v>0</v>
      </c>
    </row>
    <row r="3046" spans="1:5">
      <c r="A3046" s="20" t="str">
        <v>00:00:00</v>
      </c>
      <c r="B3046" s="19">
        <v>0</v>
      </c>
      <c r="C3046" s="21">
        <v>0</v>
      </c>
      <c r="D3046" s="20" t="str">
        <v>未匹配</v>
      </c>
      <c r="E3046" s="20">
        <v>0</v>
      </c>
    </row>
    <row r="3047" spans="1:5">
      <c r="A3047" s="20" t="str">
        <v>00:00:00</v>
      </c>
      <c r="B3047" s="19">
        <v>0</v>
      </c>
      <c r="C3047" s="21">
        <v>0</v>
      </c>
      <c r="D3047" s="20" t="str">
        <v>未匹配</v>
      </c>
      <c r="E3047" s="20">
        <v>0</v>
      </c>
    </row>
    <row r="3048" spans="1:5">
      <c r="A3048" s="20" t="str">
        <v>00:00:00</v>
      </c>
      <c r="B3048" s="19">
        <v>0</v>
      </c>
      <c r="C3048" s="21">
        <v>0</v>
      </c>
      <c r="D3048" s="20" t="str">
        <v>未匹配</v>
      </c>
      <c r="E3048" s="20">
        <v>0</v>
      </c>
    </row>
    <row r="3049" spans="1:5">
      <c r="A3049" s="20" t="str">
        <v>00:00:00</v>
      </c>
      <c r="B3049" s="19">
        <v>0</v>
      </c>
      <c r="C3049" s="21">
        <v>0</v>
      </c>
      <c r="D3049" s="20" t="str">
        <v>未匹配</v>
      </c>
      <c r="E3049" s="20">
        <v>0</v>
      </c>
    </row>
    <row r="3050" spans="1:5">
      <c r="A3050" s="20" t="str">
        <v>00:00:00</v>
      </c>
      <c r="B3050" s="19">
        <v>0</v>
      </c>
      <c r="C3050" s="21">
        <v>0</v>
      </c>
      <c r="D3050" s="20" t="str">
        <v>未匹配</v>
      </c>
      <c r="E3050" s="20">
        <v>0</v>
      </c>
    </row>
    <row r="3051" spans="1:5">
      <c r="A3051" s="20" t="str">
        <v>00:00:00</v>
      </c>
      <c r="B3051" s="19">
        <v>0</v>
      </c>
      <c r="C3051" s="21">
        <v>0</v>
      </c>
      <c r="D3051" s="20" t="str">
        <v>未匹配</v>
      </c>
      <c r="E3051" s="20">
        <v>0</v>
      </c>
    </row>
    <row r="3052" spans="1:5">
      <c r="A3052" s="20" t="str">
        <v>00:00:00</v>
      </c>
      <c r="B3052" s="19">
        <v>0</v>
      </c>
      <c r="C3052" s="21">
        <v>0</v>
      </c>
      <c r="D3052" s="20" t="str">
        <v>未匹配</v>
      </c>
      <c r="E3052" s="20">
        <v>0</v>
      </c>
    </row>
    <row r="3053" spans="1:5">
      <c r="A3053" s="20" t="str">
        <v>00:00:00</v>
      </c>
      <c r="B3053" s="19">
        <v>0</v>
      </c>
      <c r="C3053" s="21">
        <v>0</v>
      </c>
      <c r="D3053" s="20" t="str">
        <v>未匹配</v>
      </c>
      <c r="E3053" s="20">
        <v>0</v>
      </c>
    </row>
    <row r="3054" spans="1:5">
      <c r="A3054" s="20" t="str">
        <v>00:00:00</v>
      </c>
      <c r="B3054" s="19">
        <v>0</v>
      </c>
      <c r="C3054" s="21">
        <v>0</v>
      </c>
      <c r="D3054" s="20" t="str">
        <v>未匹配</v>
      </c>
      <c r="E3054" s="20">
        <v>0</v>
      </c>
    </row>
    <row r="3055" spans="1:5">
      <c r="A3055" s="20" t="str">
        <v>00:00:00</v>
      </c>
      <c r="B3055" s="19">
        <v>0</v>
      </c>
      <c r="C3055" s="21">
        <v>0</v>
      </c>
      <c r="D3055" s="20" t="str">
        <v>未匹配</v>
      </c>
      <c r="E3055" s="20">
        <v>0</v>
      </c>
    </row>
    <row r="3056" spans="1:5">
      <c r="A3056" s="20" t="str">
        <v>00:00:00</v>
      </c>
      <c r="B3056" s="19">
        <v>0</v>
      </c>
      <c r="C3056" s="21">
        <v>0</v>
      </c>
      <c r="D3056" s="20" t="str">
        <v>未匹配</v>
      </c>
      <c r="E3056" s="20">
        <v>0</v>
      </c>
    </row>
    <row r="3057" spans="1:5">
      <c r="A3057" s="20" t="str">
        <v>00:00:00</v>
      </c>
      <c r="B3057" s="19">
        <v>0</v>
      </c>
      <c r="C3057" s="21">
        <v>0</v>
      </c>
      <c r="D3057" s="20" t="str">
        <v>未匹配</v>
      </c>
      <c r="E3057" s="20">
        <v>0</v>
      </c>
    </row>
    <row r="3058" spans="1:5">
      <c r="A3058" s="20" t="str">
        <v>00:00:00</v>
      </c>
      <c r="B3058" s="19">
        <v>0</v>
      </c>
      <c r="C3058" s="21">
        <v>0</v>
      </c>
      <c r="D3058" s="20" t="str">
        <v>未匹配</v>
      </c>
      <c r="E3058" s="20">
        <v>0</v>
      </c>
    </row>
    <row r="3059" spans="1:5">
      <c r="A3059" s="20" t="str">
        <v>00:00:00</v>
      </c>
      <c r="B3059" s="19">
        <v>0</v>
      </c>
      <c r="C3059" s="21">
        <v>0</v>
      </c>
      <c r="D3059" s="20" t="str">
        <v>未匹配</v>
      </c>
      <c r="E3059" s="20">
        <v>0</v>
      </c>
    </row>
    <row r="3060" spans="1:5">
      <c r="A3060" s="20" t="str">
        <v>00:00:00</v>
      </c>
      <c r="B3060" s="19">
        <v>0</v>
      </c>
      <c r="C3060" s="21">
        <v>0</v>
      </c>
      <c r="D3060" s="20" t="str">
        <v>未匹配</v>
      </c>
      <c r="E3060" s="20">
        <v>0</v>
      </c>
    </row>
    <row r="3061" spans="1:5">
      <c r="A3061" s="20" t="str">
        <v>00:00:00</v>
      </c>
      <c r="B3061" s="19">
        <v>0</v>
      </c>
      <c r="C3061" s="21">
        <v>0</v>
      </c>
      <c r="D3061" s="20" t="str">
        <v>未匹配</v>
      </c>
      <c r="E3061" s="20">
        <v>0</v>
      </c>
    </row>
    <row r="3062" spans="1:5">
      <c r="A3062" s="20" t="str">
        <v>00:00:00</v>
      </c>
      <c r="B3062" s="19">
        <v>0</v>
      </c>
      <c r="C3062" s="21">
        <v>0</v>
      </c>
      <c r="D3062" s="20" t="str">
        <v>未匹配</v>
      </c>
      <c r="E3062" s="20">
        <v>0</v>
      </c>
    </row>
    <row r="3063" spans="1:5">
      <c r="A3063" s="20" t="str">
        <v>00:00:00</v>
      </c>
      <c r="B3063" s="19">
        <v>0</v>
      </c>
      <c r="C3063" s="21">
        <v>0</v>
      </c>
      <c r="D3063" s="20" t="str">
        <v>未匹配</v>
      </c>
      <c r="E3063" s="20">
        <v>0</v>
      </c>
    </row>
    <row r="3064" spans="1:5">
      <c r="A3064" s="20" t="str">
        <v>00:00:00</v>
      </c>
      <c r="B3064" s="19">
        <v>0</v>
      </c>
      <c r="C3064" s="21">
        <v>0</v>
      </c>
      <c r="D3064" s="20" t="str">
        <v>未匹配</v>
      </c>
      <c r="E3064" s="20">
        <v>0</v>
      </c>
    </row>
    <row r="3065" spans="1:5">
      <c r="A3065" s="20" t="str">
        <v>00:00:00</v>
      </c>
      <c r="B3065" s="19">
        <v>0</v>
      </c>
      <c r="C3065" s="21">
        <v>0</v>
      </c>
      <c r="D3065" s="20" t="str">
        <v>未匹配</v>
      </c>
      <c r="E3065" s="20">
        <v>0</v>
      </c>
    </row>
    <row r="3066" spans="1:5">
      <c r="A3066" s="20" t="str">
        <v>00:00:00</v>
      </c>
      <c r="B3066" s="19">
        <v>0</v>
      </c>
      <c r="C3066" s="21">
        <v>0</v>
      </c>
      <c r="D3066" s="20" t="str">
        <v>未匹配</v>
      </c>
      <c r="E3066" s="20">
        <v>0</v>
      </c>
    </row>
    <row r="3067" spans="1:5">
      <c r="A3067" s="20" t="str">
        <v>00:00:00</v>
      </c>
      <c r="B3067" s="19">
        <v>0</v>
      </c>
      <c r="C3067" s="21">
        <v>0</v>
      </c>
      <c r="D3067" s="20" t="str">
        <v>未匹配</v>
      </c>
      <c r="E3067" s="20">
        <v>0</v>
      </c>
    </row>
    <row r="3068" spans="1:5">
      <c r="A3068" s="20" t="str">
        <v>00:00:00</v>
      </c>
      <c r="B3068" s="19">
        <v>0</v>
      </c>
      <c r="C3068" s="21">
        <v>0</v>
      </c>
      <c r="D3068" s="20" t="str">
        <v>未匹配</v>
      </c>
      <c r="E3068" s="20">
        <v>0</v>
      </c>
    </row>
    <row r="3069" spans="1:5">
      <c r="A3069" s="20" t="str">
        <v>00:00:00</v>
      </c>
      <c r="B3069" s="19">
        <v>0</v>
      </c>
      <c r="C3069" s="21">
        <v>0</v>
      </c>
      <c r="D3069" s="20" t="str">
        <v>未匹配</v>
      </c>
      <c r="E3069" s="20">
        <v>0</v>
      </c>
    </row>
    <row r="3070" spans="1:5">
      <c r="A3070" s="20" t="str">
        <v>00:00:00</v>
      </c>
      <c r="B3070" s="19">
        <v>0</v>
      </c>
      <c r="C3070" s="21">
        <v>0</v>
      </c>
      <c r="D3070" s="20" t="str">
        <v>未匹配</v>
      </c>
      <c r="E3070" s="20">
        <v>0</v>
      </c>
    </row>
    <row r="3071" spans="1:5">
      <c r="A3071" s="20" t="str">
        <v>00:00:00</v>
      </c>
      <c r="B3071" s="19">
        <v>0</v>
      </c>
      <c r="C3071" s="21">
        <v>0</v>
      </c>
      <c r="D3071" s="20" t="str">
        <v>未匹配</v>
      </c>
      <c r="E3071" s="20">
        <v>0</v>
      </c>
    </row>
    <row r="3072" spans="1:5">
      <c r="A3072" s="20" t="str">
        <v>00:00:00</v>
      </c>
      <c r="B3072" s="19">
        <v>0</v>
      </c>
      <c r="C3072" s="21">
        <v>0</v>
      </c>
      <c r="D3072" s="20" t="str">
        <v>未匹配</v>
      </c>
      <c r="E3072" s="20">
        <v>0</v>
      </c>
    </row>
    <row r="3073" spans="1:5">
      <c r="A3073" s="20" t="str">
        <v>00:00:00</v>
      </c>
      <c r="B3073" s="19">
        <v>0</v>
      </c>
      <c r="C3073" s="21">
        <v>0</v>
      </c>
      <c r="D3073" s="20" t="str">
        <v>未匹配</v>
      </c>
      <c r="E3073" s="20">
        <v>0</v>
      </c>
    </row>
    <row r="3074" spans="1:5">
      <c r="A3074" s="20" t="str">
        <v>00:00:00</v>
      </c>
      <c r="B3074" s="19">
        <v>0</v>
      </c>
      <c r="C3074" s="21">
        <v>0</v>
      </c>
      <c r="D3074" s="20" t="str">
        <v>未匹配</v>
      </c>
      <c r="E3074" s="20">
        <v>0</v>
      </c>
    </row>
    <row r="3075" spans="1:5">
      <c r="A3075" s="20" t="str">
        <v>00:00:00</v>
      </c>
      <c r="B3075" s="19">
        <v>0</v>
      </c>
      <c r="C3075" s="21">
        <v>0</v>
      </c>
      <c r="D3075" s="20" t="str">
        <v>未匹配</v>
      </c>
      <c r="E3075" s="20">
        <v>0</v>
      </c>
    </row>
    <row r="3076" spans="1:5">
      <c r="A3076" s="20" t="str">
        <v>00:00:00</v>
      </c>
      <c r="B3076" s="19">
        <v>0</v>
      </c>
      <c r="C3076" s="21">
        <v>0</v>
      </c>
      <c r="D3076" s="20" t="str">
        <v>未匹配</v>
      </c>
      <c r="E3076" s="20">
        <v>0</v>
      </c>
    </row>
    <row r="3077" spans="1:5">
      <c r="A3077" s="20" t="str">
        <v>00:00:00</v>
      </c>
      <c r="B3077" s="19">
        <v>0</v>
      </c>
      <c r="C3077" s="21">
        <v>0</v>
      </c>
      <c r="D3077" s="20" t="str">
        <v>未匹配</v>
      </c>
      <c r="E3077" s="20">
        <v>0</v>
      </c>
    </row>
    <row r="3078" spans="1:5">
      <c r="A3078" s="20" t="str">
        <v>00:00:00</v>
      </c>
      <c r="B3078" s="19">
        <v>0</v>
      </c>
      <c r="C3078" s="21">
        <v>0</v>
      </c>
      <c r="D3078" s="20" t="str">
        <v>未匹配</v>
      </c>
      <c r="E3078" s="20">
        <v>0</v>
      </c>
    </row>
    <row r="3079" spans="1:5">
      <c r="A3079" s="20" t="str">
        <v>00:00:00</v>
      </c>
      <c r="B3079" s="19">
        <v>0</v>
      </c>
      <c r="C3079" s="21">
        <v>0</v>
      </c>
      <c r="D3079" s="20" t="str">
        <v>未匹配</v>
      </c>
      <c r="E3079" s="20">
        <v>0</v>
      </c>
    </row>
    <row r="3080" spans="1:5">
      <c r="A3080" s="20" t="str">
        <v>00:00:00</v>
      </c>
      <c r="B3080" s="19">
        <v>0</v>
      </c>
      <c r="C3080" s="21">
        <v>0</v>
      </c>
      <c r="D3080" s="20" t="str">
        <v>未匹配</v>
      </c>
      <c r="E3080" s="20">
        <v>0</v>
      </c>
    </row>
    <row r="3081" spans="1:5">
      <c r="A3081" s="20" t="str">
        <v>00:00:00</v>
      </c>
      <c r="B3081" s="19">
        <v>0</v>
      </c>
      <c r="C3081" s="21">
        <v>0</v>
      </c>
      <c r="D3081" s="20" t="str">
        <v>未匹配</v>
      </c>
      <c r="E3081" s="20">
        <v>0</v>
      </c>
    </row>
    <row r="3082" spans="1:5">
      <c r="A3082" s="20" t="str">
        <v>00:00:00</v>
      </c>
      <c r="B3082" s="19">
        <v>0</v>
      </c>
      <c r="C3082" s="21">
        <v>0</v>
      </c>
      <c r="D3082" s="20" t="str">
        <v>未匹配</v>
      </c>
      <c r="E3082" s="20">
        <v>0</v>
      </c>
    </row>
    <row r="3083" spans="1:5">
      <c r="A3083" s="20" t="str">
        <v>00:00:00</v>
      </c>
      <c r="B3083" s="19">
        <v>0</v>
      </c>
      <c r="C3083" s="21">
        <v>0</v>
      </c>
      <c r="D3083" s="20" t="str">
        <v>未匹配</v>
      </c>
      <c r="E3083" s="20">
        <v>0</v>
      </c>
    </row>
    <row r="3084" spans="1:5">
      <c r="A3084" s="20" t="str">
        <v>00:00:00</v>
      </c>
      <c r="B3084" s="19">
        <v>0</v>
      </c>
      <c r="C3084" s="21">
        <v>0</v>
      </c>
      <c r="D3084" s="20" t="str">
        <v>未匹配</v>
      </c>
      <c r="E3084" s="20">
        <v>0</v>
      </c>
    </row>
    <row r="3085" spans="1:5">
      <c r="A3085" s="20" t="str">
        <v>00:00:00</v>
      </c>
      <c r="B3085" s="19">
        <v>0</v>
      </c>
      <c r="C3085" s="21">
        <v>0</v>
      </c>
      <c r="D3085" s="20" t="str">
        <v>未匹配</v>
      </c>
      <c r="E3085" s="20">
        <v>0</v>
      </c>
    </row>
    <row r="3086" spans="1:5">
      <c r="A3086" s="20" t="str">
        <v>00:00:00</v>
      </c>
      <c r="B3086" s="19">
        <v>0</v>
      </c>
      <c r="C3086" s="21">
        <v>0</v>
      </c>
      <c r="D3086" s="20" t="str">
        <v>未匹配</v>
      </c>
      <c r="E3086" s="20">
        <v>0</v>
      </c>
    </row>
    <row r="3087" spans="1:5">
      <c r="A3087" s="20" t="str">
        <v>00:00:00</v>
      </c>
      <c r="B3087" s="19">
        <v>0</v>
      </c>
      <c r="C3087" s="21">
        <v>0</v>
      </c>
      <c r="D3087" s="20" t="str">
        <v>未匹配</v>
      </c>
      <c r="E3087" s="20">
        <v>0</v>
      </c>
    </row>
    <row r="3088" spans="1:5">
      <c r="A3088" s="20" t="str">
        <v>00:00:00</v>
      </c>
      <c r="B3088" s="19">
        <v>0</v>
      </c>
      <c r="C3088" s="21">
        <v>0</v>
      </c>
      <c r="D3088" s="20" t="str">
        <v>未匹配</v>
      </c>
      <c r="E3088" s="20">
        <v>0</v>
      </c>
    </row>
    <row r="3089" spans="1:5">
      <c r="A3089" s="20" t="str">
        <v>00:00:00</v>
      </c>
      <c r="B3089" s="19">
        <v>0</v>
      </c>
      <c r="C3089" s="21">
        <v>0</v>
      </c>
      <c r="D3089" s="20" t="str">
        <v>未匹配</v>
      </c>
      <c r="E3089" s="20">
        <v>0</v>
      </c>
    </row>
    <row r="3090" spans="1:5">
      <c r="A3090" s="20" t="str">
        <v>00:00:00</v>
      </c>
      <c r="B3090" s="19">
        <v>0</v>
      </c>
      <c r="C3090" s="21">
        <v>0</v>
      </c>
      <c r="D3090" s="20" t="str">
        <v>未匹配</v>
      </c>
      <c r="E3090" s="20">
        <v>0</v>
      </c>
    </row>
    <row r="3091" spans="1:5">
      <c r="A3091" s="20" t="str">
        <v>00:00:00</v>
      </c>
      <c r="B3091" s="19">
        <v>0</v>
      </c>
      <c r="C3091" s="21">
        <v>0</v>
      </c>
      <c r="D3091" s="20" t="str">
        <v>未匹配</v>
      </c>
      <c r="E3091" s="20">
        <v>0</v>
      </c>
    </row>
    <row r="3092" spans="1:5">
      <c r="A3092" s="20" t="str">
        <v>00:00:00</v>
      </c>
      <c r="B3092" s="19">
        <v>0</v>
      </c>
      <c r="C3092" s="21">
        <v>0</v>
      </c>
      <c r="D3092" s="20" t="str">
        <v>未匹配</v>
      </c>
      <c r="E3092" s="20">
        <v>0</v>
      </c>
    </row>
    <row r="3093" spans="1:5">
      <c r="A3093" s="20" t="str">
        <v>00:00:00</v>
      </c>
      <c r="B3093" s="19">
        <v>0</v>
      </c>
      <c r="C3093" s="21">
        <v>0</v>
      </c>
      <c r="D3093" s="20" t="str">
        <v>未匹配</v>
      </c>
      <c r="E3093" s="20">
        <v>0</v>
      </c>
    </row>
    <row r="3094" spans="1:5">
      <c r="A3094" s="20" t="str">
        <v>00:00:00</v>
      </c>
      <c r="B3094" s="19">
        <v>0</v>
      </c>
      <c r="C3094" s="21">
        <v>0</v>
      </c>
      <c r="D3094" s="20" t="str">
        <v>未匹配</v>
      </c>
      <c r="E3094" s="20">
        <v>0</v>
      </c>
    </row>
    <row r="3095" spans="1:5">
      <c r="A3095" s="20" t="str">
        <v>00:00:00</v>
      </c>
      <c r="B3095" s="19">
        <v>0</v>
      </c>
      <c r="C3095" s="21">
        <v>0</v>
      </c>
      <c r="D3095" s="20" t="str">
        <v>未匹配</v>
      </c>
      <c r="E3095" s="20">
        <v>0</v>
      </c>
    </row>
    <row r="3096" spans="1:5">
      <c r="A3096" s="20" t="str">
        <v>00:00:00</v>
      </c>
      <c r="B3096" s="19">
        <v>0</v>
      </c>
      <c r="C3096" s="21">
        <v>0</v>
      </c>
      <c r="D3096" s="20" t="str">
        <v>未匹配</v>
      </c>
      <c r="E3096" s="20">
        <v>0</v>
      </c>
    </row>
    <row r="3097" spans="1:5">
      <c r="A3097" s="20" t="str">
        <v>00:00:00</v>
      </c>
      <c r="B3097" s="19">
        <v>0</v>
      </c>
      <c r="C3097" s="21">
        <v>0</v>
      </c>
      <c r="D3097" s="20" t="str">
        <v>未匹配</v>
      </c>
      <c r="E3097" s="20">
        <v>0</v>
      </c>
    </row>
    <row r="3098" spans="1:5">
      <c r="A3098" s="20" t="str">
        <v>00:00:00</v>
      </c>
      <c r="B3098" s="19">
        <v>0</v>
      </c>
      <c r="C3098" s="21">
        <v>0</v>
      </c>
      <c r="D3098" s="20" t="str">
        <v>未匹配</v>
      </c>
      <c r="E3098" s="20">
        <v>0</v>
      </c>
    </row>
    <row r="3099" spans="1:5">
      <c r="A3099" s="20" t="str">
        <v>00:00:00</v>
      </c>
      <c r="B3099" s="19">
        <v>0</v>
      </c>
      <c r="C3099" s="21">
        <v>0</v>
      </c>
      <c r="D3099" s="20" t="str">
        <v>未匹配</v>
      </c>
      <c r="E3099" s="20">
        <v>0</v>
      </c>
    </row>
    <row r="3100" spans="1:5">
      <c r="A3100" s="20" t="str">
        <v>00:00:00</v>
      </c>
      <c r="B3100" s="19">
        <v>0</v>
      </c>
      <c r="C3100" s="21">
        <v>0</v>
      </c>
      <c r="D3100" s="20" t="str">
        <v>未匹配</v>
      </c>
      <c r="E3100" s="20">
        <v>0</v>
      </c>
    </row>
    <row r="3101" spans="1:5">
      <c r="A3101" s="20" t="str">
        <v>00:00:00</v>
      </c>
      <c r="B3101" s="19">
        <v>0</v>
      </c>
      <c r="C3101" s="21">
        <v>0</v>
      </c>
      <c r="D3101" s="20" t="str">
        <v>未匹配</v>
      </c>
      <c r="E3101" s="20">
        <v>0</v>
      </c>
    </row>
    <row r="3102" spans="1:5">
      <c r="A3102" s="20" t="str">
        <v>00:00:00</v>
      </c>
      <c r="B3102" s="19">
        <v>0</v>
      </c>
      <c r="C3102" s="21">
        <v>0</v>
      </c>
      <c r="D3102" s="20" t="str">
        <v>未匹配</v>
      </c>
      <c r="E3102" s="20">
        <v>0</v>
      </c>
    </row>
    <row r="3103" spans="1:5">
      <c r="A3103" s="20" t="str">
        <v>00:00:00</v>
      </c>
      <c r="B3103" s="19">
        <v>0</v>
      </c>
      <c r="C3103" s="21">
        <v>0</v>
      </c>
      <c r="D3103" s="20" t="str">
        <v>未匹配</v>
      </c>
      <c r="E3103" s="20">
        <v>0</v>
      </c>
    </row>
    <row r="3104" spans="1:5">
      <c r="A3104" s="20" t="str">
        <v>00:00:00</v>
      </c>
      <c r="B3104" s="19">
        <v>0</v>
      </c>
      <c r="C3104" s="21">
        <v>0</v>
      </c>
      <c r="D3104" s="20" t="str">
        <v>未匹配</v>
      </c>
      <c r="E3104" s="20">
        <v>0</v>
      </c>
    </row>
    <row r="3105" spans="1:5">
      <c r="A3105" s="20" t="str">
        <v>00:00:00</v>
      </c>
      <c r="B3105" s="19">
        <v>0</v>
      </c>
      <c r="C3105" s="21">
        <v>0</v>
      </c>
      <c r="D3105" s="20" t="str">
        <v>未匹配</v>
      </c>
      <c r="E3105" s="20">
        <v>0</v>
      </c>
    </row>
    <row r="3106" spans="1:5">
      <c r="A3106" s="20" t="str">
        <v>00:00:00</v>
      </c>
      <c r="B3106" s="19">
        <v>0</v>
      </c>
      <c r="C3106" s="21">
        <v>0</v>
      </c>
      <c r="D3106" s="20" t="str">
        <v>未匹配</v>
      </c>
      <c r="E3106" s="20">
        <v>0</v>
      </c>
    </row>
    <row r="3107" spans="1:5">
      <c r="A3107" s="20" t="str">
        <v>00:00:00</v>
      </c>
      <c r="B3107" s="19">
        <v>0</v>
      </c>
      <c r="C3107" s="21">
        <v>0</v>
      </c>
      <c r="D3107" s="20" t="str">
        <v>未匹配</v>
      </c>
      <c r="E3107" s="20">
        <v>0</v>
      </c>
    </row>
    <row r="3108" spans="1:5">
      <c r="A3108" s="20" t="str">
        <v>00:00:00</v>
      </c>
      <c r="B3108" s="19">
        <v>0</v>
      </c>
      <c r="C3108" s="21">
        <v>0</v>
      </c>
      <c r="D3108" s="20" t="str">
        <v>未匹配</v>
      </c>
      <c r="E3108" s="20">
        <v>0</v>
      </c>
    </row>
    <row r="3109" spans="1:5">
      <c r="A3109" s="20" t="str">
        <v>00:00:00</v>
      </c>
      <c r="B3109" s="19">
        <v>0</v>
      </c>
      <c r="C3109" s="21">
        <v>0</v>
      </c>
      <c r="D3109" s="20" t="str">
        <v>未匹配</v>
      </c>
      <c r="E3109" s="20">
        <v>0</v>
      </c>
    </row>
    <row r="3110" spans="1:5">
      <c r="A3110" s="20" t="str">
        <v>00:00:00</v>
      </c>
      <c r="B3110" s="19">
        <v>0</v>
      </c>
      <c r="C3110" s="21">
        <v>0</v>
      </c>
      <c r="D3110" s="20" t="str">
        <v>未匹配</v>
      </c>
      <c r="E3110" s="20">
        <v>0</v>
      </c>
    </row>
    <row r="3111" spans="1:5">
      <c r="A3111" s="20" t="str">
        <v>00:00:00</v>
      </c>
      <c r="B3111" s="19">
        <v>0</v>
      </c>
      <c r="C3111" s="21">
        <v>0</v>
      </c>
      <c r="D3111" s="20" t="str">
        <v>未匹配</v>
      </c>
      <c r="E3111" s="20">
        <v>0</v>
      </c>
    </row>
    <row r="3112" spans="1:5">
      <c r="A3112" s="20" t="str">
        <v>00:00:00</v>
      </c>
      <c r="B3112" s="19">
        <v>0</v>
      </c>
      <c r="C3112" s="21">
        <v>0</v>
      </c>
      <c r="D3112" s="20" t="str">
        <v>未匹配</v>
      </c>
      <c r="E3112" s="20">
        <v>0</v>
      </c>
    </row>
    <row r="3113" spans="1:5">
      <c r="A3113" s="20" t="str">
        <v>00:00:00</v>
      </c>
      <c r="B3113" s="19">
        <v>0</v>
      </c>
      <c r="C3113" s="21">
        <v>0</v>
      </c>
      <c r="D3113" s="20" t="str">
        <v>未匹配</v>
      </c>
      <c r="E3113" s="20">
        <v>0</v>
      </c>
    </row>
    <row r="3114" spans="1:5">
      <c r="A3114" s="20" t="str">
        <v>00:00:00</v>
      </c>
      <c r="B3114" s="19">
        <v>0</v>
      </c>
      <c r="C3114" s="21">
        <v>0</v>
      </c>
      <c r="D3114" s="20" t="str">
        <v>未匹配</v>
      </c>
      <c r="E3114" s="20">
        <v>0</v>
      </c>
    </row>
    <row r="3115" spans="1:5">
      <c r="A3115" s="20" t="str">
        <v>00:00:00</v>
      </c>
      <c r="B3115" s="19">
        <v>0</v>
      </c>
      <c r="C3115" s="21">
        <v>0</v>
      </c>
      <c r="D3115" s="20" t="str">
        <v>未匹配</v>
      </c>
      <c r="E3115" s="20">
        <v>0</v>
      </c>
    </row>
    <row r="3116" spans="1:5">
      <c r="A3116" s="20" t="str">
        <v>00:00:00</v>
      </c>
      <c r="B3116" s="19">
        <v>0</v>
      </c>
      <c r="C3116" s="21">
        <v>0</v>
      </c>
      <c r="D3116" s="20" t="str">
        <v>未匹配</v>
      </c>
      <c r="E3116" s="20">
        <v>0</v>
      </c>
    </row>
    <row r="3117" spans="1:5">
      <c r="A3117" s="20" t="str">
        <v>00:00:00</v>
      </c>
      <c r="B3117" s="19">
        <v>0</v>
      </c>
      <c r="C3117" s="21">
        <v>0</v>
      </c>
      <c r="D3117" s="20" t="str">
        <v>未匹配</v>
      </c>
      <c r="E3117" s="20">
        <v>0</v>
      </c>
    </row>
    <row r="3118" spans="1:5">
      <c r="A3118" s="20" t="str">
        <v>00:00:00</v>
      </c>
      <c r="B3118" s="19">
        <v>0</v>
      </c>
      <c r="C3118" s="21">
        <v>0</v>
      </c>
      <c r="D3118" s="20" t="str">
        <v>未匹配</v>
      </c>
      <c r="E3118" s="20">
        <v>0</v>
      </c>
    </row>
    <row r="3119" spans="1:5">
      <c r="A3119" s="20" t="str">
        <v>00:00:00</v>
      </c>
      <c r="B3119" s="19">
        <v>0</v>
      </c>
      <c r="C3119" s="21">
        <v>0</v>
      </c>
      <c r="D3119" s="20" t="str">
        <v>未匹配</v>
      </c>
      <c r="E3119" s="20">
        <v>0</v>
      </c>
    </row>
    <row r="3120" spans="1:5">
      <c r="A3120" s="20" t="str">
        <v>00:00:00</v>
      </c>
      <c r="B3120" s="19">
        <v>0</v>
      </c>
      <c r="C3120" s="21">
        <v>0</v>
      </c>
      <c r="D3120" s="20" t="str">
        <v>未匹配</v>
      </c>
      <c r="E3120" s="20">
        <v>0</v>
      </c>
    </row>
    <row r="3121" spans="1:5">
      <c r="A3121" s="20" t="str">
        <v>00:00:00</v>
      </c>
      <c r="B3121" s="19">
        <v>0</v>
      </c>
      <c r="C3121" s="21">
        <v>0</v>
      </c>
      <c r="D3121" s="20" t="str">
        <v>未匹配</v>
      </c>
      <c r="E3121" s="20">
        <v>0</v>
      </c>
    </row>
    <row r="3122" spans="1:5">
      <c r="A3122" s="20" t="str">
        <v>00:00:00</v>
      </c>
      <c r="B3122" s="19">
        <v>0</v>
      </c>
      <c r="C3122" s="21">
        <v>0</v>
      </c>
      <c r="D3122" s="20" t="str">
        <v>未匹配</v>
      </c>
      <c r="E3122" s="20">
        <v>0</v>
      </c>
    </row>
    <row r="3123" spans="1:5">
      <c r="A3123" s="20" t="str">
        <v>00:00:00</v>
      </c>
      <c r="B3123" s="19">
        <v>0</v>
      </c>
      <c r="C3123" s="21">
        <v>0</v>
      </c>
      <c r="D3123" s="20" t="str">
        <v>未匹配</v>
      </c>
      <c r="E3123" s="20">
        <v>0</v>
      </c>
    </row>
    <row r="3124" spans="1:5">
      <c r="A3124" s="20" t="str">
        <v>00:00:00</v>
      </c>
      <c r="B3124" s="19">
        <v>0</v>
      </c>
      <c r="C3124" s="21">
        <v>0</v>
      </c>
      <c r="D3124" s="20" t="str">
        <v>未匹配</v>
      </c>
      <c r="E3124" s="20">
        <v>0</v>
      </c>
    </row>
    <row r="3125" spans="1:5">
      <c r="A3125" s="20" t="str">
        <v>00:00:00</v>
      </c>
      <c r="B3125" s="19">
        <v>0</v>
      </c>
      <c r="C3125" s="21">
        <v>0</v>
      </c>
      <c r="D3125" s="20" t="str">
        <v>未匹配</v>
      </c>
      <c r="E3125" s="20">
        <v>0</v>
      </c>
    </row>
    <row r="3126" spans="1:5">
      <c r="A3126" s="20" t="str">
        <v>00:00:00</v>
      </c>
      <c r="B3126" s="19">
        <v>0</v>
      </c>
      <c r="C3126" s="21">
        <v>0</v>
      </c>
      <c r="D3126" s="20" t="str">
        <v>未匹配</v>
      </c>
      <c r="E3126" s="20">
        <v>0</v>
      </c>
    </row>
    <row r="3127" spans="1:5">
      <c r="A3127" s="20" t="str">
        <v>00:00:00</v>
      </c>
      <c r="B3127" s="19">
        <v>0</v>
      </c>
      <c r="C3127" s="21">
        <v>0</v>
      </c>
      <c r="D3127" s="20" t="str">
        <v>未匹配</v>
      </c>
      <c r="E3127" s="20">
        <v>0</v>
      </c>
    </row>
    <row r="3128" spans="1:5">
      <c r="A3128" s="20" t="str">
        <v>00:00:00</v>
      </c>
      <c r="B3128" s="19">
        <v>0</v>
      </c>
      <c r="C3128" s="21">
        <v>0</v>
      </c>
      <c r="D3128" s="20" t="str">
        <v>未匹配</v>
      </c>
      <c r="E3128" s="20">
        <v>0</v>
      </c>
    </row>
    <row r="3129" spans="1:5">
      <c r="A3129" s="20" t="str">
        <v>00:00:00</v>
      </c>
      <c r="B3129" s="19">
        <v>0</v>
      </c>
      <c r="C3129" s="21">
        <v>0</v>
      </c>
      <c r="D3129" s="20" t="str">
        <v>未匹配</v>
      </c>
      <c r="E3129" s="20">
        <v>0</v>
      </c>
    </row>
    <row r="3130" spans="1:5">
      <c r="A3130" s="20" t="str">
        <v>00:00:00</v>
      </c>
      <c r="B3130" s="19">
        <v>0</v>
      </c>
      <c r="C3130" s="21">
        <v>0</v>
      </c>
      <c r="D3130" s="20" t="str">
        <v>未匹配</v>
      </c>
      <c r="E3130" s="20">
        <v>0</v>
      </c>
    </row>
    <row r="3131" spans="1:5">
      <c r="A3131" s="20" t="str">
        <v>00:00:00</v>
      </c>
      <c r="B3131" s="19">
        <v>0</v>
      </c>
      <c r="C3131" s="21">
        <v>0</v>
      </c>
      <c r="D3131" s="20" t="str">
        <v>未匹配</v>
      </c>
      <c r="E3131" s="20">
        <v>0</v>
      </c>
    </row>
    <row r="3132" spans="1:5">
      <c r="A3132" s="20" t="str">
        <v>00:00:00</v>
      </c>
      <c r="B3132" s="19">
        <v>0</v>
      </c>
      <c r="C3132" s="21">
        <v>0</v>
      </c>
      <c r="D3132" s="20" t="str">
        <v>未匹配</v>
      </c>
      <c r="E3132" s="20">
        <v>0</v>
      </c>
    </row>
    <row r="3133" spans="1:5">
      <c r="A3133" s="20" t="str">
        <v>00:00:00</v>
      </c>
      <c r="B3133" s="19">
        <v>0</v>
      </c>
      <c r="C3133" s="21">
        <v>0</v>
      </c>
      <c r="D3133" s="20" t="str">
        <v>未匹配</v>
      </c>
      <c r="E3133" s="20">
        <v>0</v>
      </c>
    </row>
    <row r="3134" spans="1:5">
      <c r="A3134" s="20" t="str">
        <v>00:00:00</v>
      </c>
      <c r="B3134" s="19">
        <v>0</v>
      </c>
      <c r="C3134" s="21">
        <v>0</v>
      </c>
      <c r="D3134" s="20" t="str">
        <v>未匹配</v>
      </c>
      <c r="E3134" s="20">
        <v>0</v>
      </c>
    </row>
    <row r="3135" spans="1:5">
      <c r="A3135" s="20" t="str">
        <v>00:00:00</v>
      </c>
      <c r="B3135" s="19">
        <v>0</v>
      </c>
      <c r="C3135" s="21">
        <v>0</v>
      </c>
      <c r="D3135" s="20" t="str">
        <v>未匹配</v>
      </c>
      <c r="E3135" s="20">
        <v>0</v>
      </c>
    </row>
    <row r="3136" spans="1:5">
      <c r="A3136" s="20" t="str">
        <v>00:00:00</v>
      </c>
      <c r="B3136" s="19">
        <v>0</v>
      </c>
      <c r="C3136" s="21">
        <v>0</v>
      </c>
      <c r="D3136" s="20" t="str">
        <v>未匹配</v>
      </c>
      <c r="E3136" s="20">
        <v>0</v>
      </c>
    </row>
    <row r="3137" spans="1:5">
      <c r="A3137" s="20" t="str">
        <v>00:00:00</v>
      </c>
      <c r="B3137" s="19">
        <v>0</v>
      </c>
      <c r="C3137" s="21">
        <v>0</v>
      </c>
      <c r="D3137" s="20" t="str">
        <v>未匹配</v>
      </c>
      <c r="E3137" s="20">
        <v>0</v>
      </c>
    </row>
    <row r="3138" spans="1:5">
      <c r="A3138" s="20" t="str">
        <v>00:00:00</v>
      </c>
      <c r="B3138" s="19">
        <v>0</v>
      </c>
      <c r="C3138" s="21">
        <v>0</v>
      </c>
      <c r="D3138" s="20" t="str">
        <v>未匹配</v>
      </c>
      <c r="E3138" s="20">
        <v>0</v>
      </c>
    </row>
    <row r="3139" spans="1:5">
      <c r="A3139" s="20" t="str">
        <v>00:00:00</v>
      </c>
      <c r="B3139" s="19">
        <v>0</v>
      </c>
      <c r="C3139" s="21">
        <v>0</v>
      </c>
      <c r="D3139" s="20" t="str">
        <v>未匹配</v>
      </c>
      <c r="E3139" s="20">
        <v>0</v>
      </c>
    </row>
    <row r="3140" spans="1:5">
      <c r="A3140" s="20" t="str">
        <v>00:00:00</v>
      </c>
      <c r="B3140" s="19">
        <v>0</v>
      </c>
      <c r="C3140" s="21">
        <v>0</v>
      </c>
      <c r="D3140" s="20" t="str">
        <v>未匹配</v>
      </c>
      <c r="E3140" s="20">
        <v>0</v>
      </c>
    </row>
    <row r="3141" spans="1:5">
      <c r="A3141" s="20" t="str">
        <v>00:00:00</v>
      </c>
      <c r="B3141" s="19">
        <v>0</v>
      </c>
      <c r="C3141" s="21">
        <v>0</v>
      </c>
      <c r="D3141" s="20" t="str">
        <v>未匹配</v>
      </c>
      <c r="E3141" s="20">
        <v>0</v>
      </c>
    </row>
    <row r="3142" spans="1:5">
      <c r="A3142" s="20" t="str">
        <v>00:00:00</v>
      </c>
      <c r="B3142" s="19">
        <v>0</v>
      </c>
      <c r="C3142" s="21">
        <v>0</v>
      </c>
      <c r="D3142" s="20" t="str">
        <v>未匹配</v>
      </c>
      <c r="E3142" s="20">
        <v>0</v>
      </c>
    </row>
    <row r="3143" spans="1:5">
      <c r="A3143" s="20" t="str">
        <v>00:00:00</v>
      </c>
      <c r="B3143" s="19">
        <v>0</v>
      </c>
      <c r="C3143" s="21">
        <v>0</v>
      </c>
      <c r="D3143" s="20" t="str">
        <v>未匹配</v>
      </c>
      <c r="E3143" s="20">
        <v>0</v>
      </c>
    </row>
    <row r="3144" spans="1:5">
      <c r="A3144" s="20" t="str">
        <v>00:00:00</v>
      </c>
      <c r="B3144" s="19">
        <v>0</v>
      </c>
      <c r="C3144" s="21">
        <v>0</v>
      </c>
      <c r="D3144" s="20" t="str">
        <v>未匹配</v>
      </c>
      <c r="E3144" s="20">
        <v>0</v>
      </c>
    </row>
    <row r="3145" spans="1:5">
      <c r="A3145" s="20" t="str">
        <v>00:00:00</v>
      </c>
      <c r="B3145" s="19">
        <v>0</v>
      </c>
      <c r="C3145" s="21">
        <v>0</v>
      </c>
      <c r="D3145" s="20" t="str">
        <v>未匹配</v>
      </c>
      <c r="E3145" s="20">
        <v>0</v>
      </c>
    </row>
    <row r="3146" spans="1:5">
      <c r="A3146" s="20" t="str">
        <v>00:00:00</v>
      </c>
      <c r="B3146" s="19">
        <v>0</v>
      </c>
      <c r="C3146" s="21">
        <v>0</v>
      </c>
      <c r="D3146" s="20" t="str">
        <v>未匹配</v>
      </c>
      <c r="E3146" s="20">
        <v>0</v>
      </c>
    </row>
    <row r="3147" spans="1:5">
      <c r="A3147" s="20" t="str">
        <v>00:00:00</v>
      </c>
      <c r="B3147" s="19">
        <v>0</v>
      </c>
      <c r="C3147" s="21">
        <v>0</v>
      </c>
      <c r="D3147" s="20" t="str">
        <v>未匹配</v>
      </c>
      <c r="E3147" s="20">
        <v>0</v>
      </c>
    </row>
    <row r="3148" spans="1:5">
      <c r="A3148" s="20" t="str">
        <v>00:00:00</v>
      </c>
      <c r="B3148" s="19">
        <v>0</v>
      </c>
      <c r="C3148" s="21">
        <v>0</v>
      </c>
      <c r="D3148" s="20" t="str">
        <v>未匹配</v>
      </c>
      <c r="E3148" s="20">
        <v>0</v>
      </c>
    </row>
    <row r="3149" spans="1:5">
      <c r="A3149" s="20" t="str">
        <v>00:00:00</v>
      </c>
      <c r="B3149" s="19">
        <v>0</v>
      </c>
      <c r="C3149" s="21">
        <v>0</v>
      </c>
      <c r="D3149" s="20" t="str">
        <v>未匹配</v>
      </c>
      <c r="E3149" s="20">
        <v>0</v>
      </c>
    </row>
    <row r="3150" spans="1:5">
      <c r="A3150" s="20" t="str">
        <v>00:00:00</v>
      </c>
      <c r="B3150" s="19">
        <v>0</v>
      </c>
      <c r="C3150" s="21">
        <v>0</v>
      </c>
      <c r="D3150" s="20" t="str">
        <v>未匹配</v>
      </c>
      <c r="E3150" s="20">
        <v>0</v>
      </c>
    </row>
    <row r="3151" spans="1:5">
      <c r="A3151" s="20" t="str">
        <v>00:00:00</v>
      </c>
      <c r="B3151" s="19">
        <v>0</v>
      </c>
      <c r="C3151" s="21">
        <v>0</v>
      </c>
      <c r="D3151" s="20" t="str">
        <v>未匹配</v>
      </c>
      <c r="E3151" s="20">
        <v>0</v>
      </c>
    </row>
    <row r="3152" spans="1:5">
      <c r="A3152" s="20" t="str">
        <v>00:00:00</v>
      </c>
      <c r="B3152" s="19">
        <v>0</v>
      </c>
      <c r="C3152" s="21">
        <v>0</v>
      </c>
      <c r="D3152" s="20" t="str">
        <v>未匹配</v>
      </c>
      <c r="E3152" s="20">
        <v>0</v>
      </c>
    </row>
    <row r="3153" spans="1:5">
      <c r="A3153" s="20" t="str">
        <v>00:00:00</v>
      </c>
      <c r="B3153" s="19">
        <v>0</v>
      </c>
      <c r="C3153" s="21">
        <v>0</v>
      </c>
      <c r="D3153" s="20" t="str">
        <v>未匹配</v>
      </c>
      <c r="E3153" s="20">
        <v>0</v>
      </c>
    </row>
    <row r="3154" spans="1:5">
      <c r="A3154" s="20" t="str">
        <v>00:00:00</v>
      </c>
      <c r="B3154" s="19">
        <v>0</v>
      </c>
      <c r="C3154" s="21">
        <v>0</v>
      </c>
      <c r="D3154" s="20" t="str">
        <v>未匹配</v>
      </c>
      <c r="E3154" s="20">
        <v>0</v>
      </c>
    </row>
    <row r="3155" spans="1:5">
      <c r="A3155" s="20" t="str">
        <v>00:00:00</v>
      </c>
      <c r="B3155" s="19">
        <v>0</v>
      </c>
      <c r="C3155" s="21">
        <v>0</v>
      </c>
      <c r="D3155" s="20" t="str">
        <v>未匹配</v>
      </c>
      <c r="E3155" s="20">
        <v>0</v>
      </c>
    </row>
    <row r="3156" spans="1:5">
      <c r="A3156" s="20" t="str">
        <v>00:00:00</v>
      </c>
      <c r="B3156" s="19">
        <v>0</v>
      </c>
      <c r="C3156" s="21">
        <v>0</v>
      </c>
      <c r="D3156" s="20" t="str">
        <v>未匹配</v>
      </c>
      <c r="E3156" s="20">
        <v>0</v>
      </c>
    </row>
    <row r="3157" spans="1:5">
      <c r="A3157" s="20" t="str">
        <v>00:00:00</v>
      </c>
      <c r="B3157" s="19">
        <v>0</v>
      </c>
      <c r="C3157" s="21">
        <v>0</v>
      </c>
      <c r="D3157" s="20" t="str">
        <v>未匹配</v>
      </c>
      <c r="E3157" s="20">
        <v>0</v>
      </c>
    </row>
    <row r="3158" spans="1:5">
      <c r="A3158" s="20" t="str">
        <v>00:00:00</v>
      </c>
      <c r="B3158" s="19">
        <v>0</v>
      </c>
      <c r="C3158" s="21">
        <v>0</v>
      </c>
      <c r="D3158" s="20" t="str">
        <v>未匹配</v>
      </c>
      <c r="E3158" s="20">
        <v>0</v>
      </c>
    </row>
    <row r="3159" spans="1:5">
      <c r="A3159" s="20" t="str">
        <v>00:00:00</v>
      </c>
      <c r="B3159" s="19">
        <v>0</v>
      </c>
      <c r="C3159" s="21">
        <v>0</v>
      </c>
      <c r="D3159" s="20" t="str">
        <v>未匹配</v>
      </c>
      <c r="E3159" s="20">
        <v>0</v>
      </c>
    </row>
    <row r="3160" spans="1:5">
      <c r="A3160" s="20" t="str">
        <v>00:00:00</v>
      </c>
      <c r="B3160" s="19">
        <v>0</v>
      </c>
      <c r="C3160" s="21">
        <v>0</v>
      </c>
      <c r="D3160" s="20" t="str">
        <v>未匹配</v>
      </c>
      <c r="E3160" s="20">
        <v>0</v>
      </c>
    </row>
    <row r="3161" spans="1:5">
      <c r="A3161" s="20" t="str">
        <v>00:00:00</v>
      </c>
      <c r="B3161" s="19">
        <v>0</v>
      </c>
      <c r="C3161" s="21">
        <v>0</v>
      </c>
      <c r="D3161" s="20" t="str">
        <v>未匹配</v>
      </c>
      <c r="E3161" s="20">
        <v>0</v>
      </c>
    </row>
    <row r="3162" spans="1:5">
      <c r="A3162" s="20" t="str">
        <v>00:00:00</v>
      </c>
      <c r="B3162" s="19">
        <v>0</v>
      </c>
      <c r="C3162" s="21">
        <v>0</v>
      </c>
      <c r="D3162" s="20" t="str">
        <v>未匹配</v>
      </c>
      <c r="E3162" s="20">
        <v>0</v>
      </c>
    </row>
    <row r="3163" spans="1:5">
      <c r="A3163" s="20" t="str">
        <v>00:00:00</v>
      </c>
      <c r="B3163" s="19">
        <v>0</v>
      </c>
      <c r="C3163" s="21">
        <v>0</v>
      </c>
      <c r="D3163" s="20" t="str">
        <v>未匹配</v>
      </c>
      <c r="E3163" s="20">
        <v>0</v>
      </c>
    </row>
    <row r="3164" spans="1:5">
      <c r="A3164" s="20" t="str">
        <v>00:00:00</v>
      </c>
      <c r="B3164" s="19">
        <v>0</v>
      </c>
      <c r="C3164" s="21">
        <v>0</v>
      </c>
      <c r="D3164" s="20" t="str">
        <v>未匹配</v>
      </c>
      <c r="E3164" s="20">
        <v>0</v>
      </c>
    </row>
    <row r="3165" spans="1:5">
      <c r="A3165" s="20" t="str">
        <v>00:00:00</v>
      </c>
      <c r="B3165" s="19">
        <v>0</v>
      </c>
      <c r="C3165" s="21">
        <v>0</v>
      </c>
      <c r="D3165" s="20" t="str">
        <v>未匹配</v>
      </c>
      <c r="E3165" s="20">
        <v>0</v>
      </c>
    </row>
    <row r="3166" spans="1:5">
      <c r="A3166" s="20" t="str">
        <v>00:00:00</v>
      </c>
      <c r="B3166" s="19">
        <v>0</v>
      </c>
      <c r="C3166" s="21">
        <v>0</v>
      </c>
      <c r="D3166" s="20" t="str">
        <v>未匹配</v>
      </c>
      <c r="E3166" s="20">
        <v>0</v>
      </c>
    </row>
    <row r="3167" spans="1:5">
      <c r="A3167" s="20" t="str">
        <v>00:00:00</v>
      </c>
      <c r="B3167" s="19">
        <v>0</v>
      </c>
      <c r="C3167" s="21">
        <v>0</v>
      </c>
      <c r="D3167" s="20" t="str">
        <v>未匹配</v>
      </c>
      <c r="E3167" s="20">
        <v>0</v>
      </c>
    </row>
    <row r="3168" spans="1:5">
      <c r="A3168" s="20" t="str">
        <v>00:00:00</v>
      </c>
      <c r="B3168" s="19">
        <v>0</v>
      </c>
      <c r="C3168" s="21">
        <v>0</v>
      </c>
      <c r="D3168" s="20" t="str">
        <v>未匹配</v>
      </c>
      <c r="E3168" s="20">
        <v>0</v>
      </c>
    </row>
    <row r="3169" spans="1:5">
      <c r="A3169" s="20" t="str">
        <v>00:00:00</v>
      </c>
      <c r="B3169" s="19">
        <v>0</v>
      </c>
      <c r="C3169" s="21">
        <v>0</v>
      </c>
      <c r="D3169" s="20" t="str">
        <v>未匹配</v>
      </c>
      <c r="E3169" s="20">
        <v>0</v>
      </c>
    </row>
    <row r="3170" spans="1:5">
      <c r="A3170" s="20" t="str">
        <v>00:00:00</v>
      </c>
      <c r="B3170" s="19">
        <v>0</v>
      </c>
      <c r="C3170" s="21">
        <v>0</v>
      </c>
      <c r="D3170" s="20" t="str">
        <v>未匹配</v>
      </c>
      <c r="E3170" s="20">
        <v>0</v>
      </c>
    </row>
    <row r="3171" spans="1:5">
      <c r="A3171" s="20" t="str">
        <v>00:00:00</v>
      </c>
      <c r="B3171" s="19">
        <v>0</v>
      </c>
      <c r="C3171" s="21">
        <v>0</v>
      </c>
      <c r="D3171" s="20" t="str">
        <v>未匹配</v>
      </c>
      <c r="E3171" s="20">
        <v>0</v>
      </c>
    </row>
    <row r="3172" spans="1:5">
      <c r="A3172" s="20" t="str">
        <v>00:00:00</v>
      </c>
      <c r="B3172" s="19">
        <v>0</v>
      </c>
      <c r="C3172" s="21">
        <v>0</v>
      </c>
      <c r="D3172" s="20" t="str">
        <v>未匹配</v>
      </c>
      <c r="E3172" s="20">
        <v>0</v>
      </c>
    </row>
    <row r="3173" spans="1:5">
      <c r="A3173" s="20" t="str">
        <v>00:00:00</v>
      </c>
      <c r="B3173" s="19">
        <v>0</v>
      </c>
      <c r="C3173" s="21">
        <v>0</v>
      </c>
      <c r="D3173" s="20" t="str">
        <v>未匹配</v>
      </c>
      <c r="E3173" s="20">
        <v>0</v>
      </c>
    </row>
    <row r="3174" spans="1:5">
      <c r="A3174" s="20" t="str">
        <v>00:00:00</v>
      </c>
      <c r="B3174" s="19">
        <v>0</v>
      </c>
      <c r="C3174" s="21">
        <v>0</v>
      </c>
      <c r="D3174" s="20" t="str">
        <v>未匹配</v>
      </c>
      <c r="E3174" s="20">
        <v>0</v>
      </c>
    </row>
    <row r="3175" spans="1:5">
      <c r="A3175" s="20" t="str">
        <v>00:00:00</v>
      </c>
      <c r="B3175" s="19">
        <v>0</v>
      </c>
      <c r="C3175" s="21">
        <v>0</v>
      </c>
      <c r="D3175" s="20" t="str">
        <v>未匹配</v>
      </c>
      <c r="E3175" s="20">
        <v>0</v>
      </c>
    </row>
    <row r="3176" spans="1:5">
      <c r="A3176" s="20" t="str">
        <v>00:00:00</v>
      </c>
      <c r="B3176" s="19">
        <v>0</v>
      </c>
      <c r="C3176" s="21">
        <v>0</v>
      </c>
      <c r="D3176" s="20" t="str">
        <v>未匹配</v>
      </c>
      <c r="E3176" s="20">
        <v>0</v>
      </c>
    </row>
    <row r="3177" spans="1:5">
      <c r="A3177" s="20" t="str">
        <v>00:00:00</v>
      </c>
      <c r="B3177" s="19">
        <v>0</v>
      </c>
      <c r="C3177" s="21">
        <v>0</v>
      </c>
      <c r="D3177" s="20" t="str">
        <v>未匹配</v>
      </c>
      <c r="E3177" s="20">
        <v>0</v>
      </c>
    </row>
    <row r="3178" spans="1:5">
      <c r="A3178" s="20" t="str">
        <v>00:00:00</v>
      </c>
      <c r="B3178" s="19">
        <v>0</v>
      </c>
      <c r="C3178" s="21">
        <v>0</v>
      </c>
      <c r="D3178" s="20" t="str">
        <v>未匹配</v>
      </c>
      <c r="E3178" s="20">
        <v>0</v>
      </c>
    </row>
    <row r="3179" spans="1:5">
      <c r="A3179" s="20" t="str">
        <v>00:00:00</v>
      </c>
      <c r="B3179" s="19">
        <v>0</v>
      </c>
      <c r="C3179" s="21">
        <v>0</v>
      </c>
      <c r="D3179" s="20" t="str">
        <v>未匹配</v>
      </c>
      <c r="E3179" s="20">
        <v>0</v>
      </c>
    </row>
    <row r="3180" spans="1:5">
      <c r="A3180" s="20" t="str">
        <v>00:00:00</v>
      </c>
      <c r="B3180" s="19">
        <v>0</v>
      </c>
      <c r="C3180" s="21">
        <v>0</v>
      </c>
      <c r="D3180" s="20" t="str">
        <v>未匹配</v>
      </c>
      <c r="E3180" s="20">
        <v>0</v>
      </c>
    </row>
    <row r="3181" spans="1:5">
      <c r="A3181" s="20" t="str">
        <v>00:00:00</v>
      </c>
      <c r="B3181" s="19">
        <v>0</v>
      </c>
      <c r="C3181" s="21">
        <v>0</v>
      </c>
      <c r="D3181" s="20" t="str">
        <v>未匹配</v>
      </c>
      <c r="E3181" s="20">
        <v>0</v>
      </c>
    </row>
    <row r="3182" spans="1:5">
      <c r="A3182" s="20" t="str">
        <v>00:00:00</v>
      </c>
      <c r="B3182" s="19">
        <v>0</v>
      </c>
      <c r="C3182" s="21">
        <v>0</v>
      </c>
      <c r="D3182" s="20" t="str">
        <v>未匹配</v>
      </c>
      <c r="E3182" s="20">
        <v>0</v>
      </c>
    </row>
    <row r="3183" spans="1:5">
      <c r="A3183" s="20" t="str">
        <v>00:00:00</v>
      </c>
      <c r="B3183" s="19">
        <v>0</v>
      </c>
      <c r="C3183" s="21">
        <v>0</v>
      </c>
      <c r="D3183" s="20" t="str">
        <v>未匹配</v>
      </c>
      <c r="E3183" s="20">
        <v>0</v>
      </c>
    </row>
    <row r="3184" spans="1:5">
      <c r="A3184" s="20" t="str">
        <v>00:00:00</v>
      </c>
      <c r="B3184" s="19">
        <v>0</v>
      </c>
      <c r="C3184" s="21">
        <v>0</v>
      </c>
      <c r="D3184" s="20" t="str">
        <v>未匹配</v>
      </c>
      <c r="E3184" s="20">
        <v>0</v>
      </c>
    </row>
    <row r="3185" spans="1:5">
      <c r="A3185" s="20" t="str">
        <v>00:00:00</v>
      </c>
      <c r="B3185" s="19">
        <v>0</v>
      </c>
      <c r="C3185" s="21">
        <v>0</v>
      </c>
      <c r="D3185" s="20" t="str">
        <v>未匹配</v>
      </c>
      <c r="E3185" s="20">
        <v>0</v>
      </c>
    </row>
    <row r="3186" spans="1:5">
      <c r="A3186" s="20" t="str">
        <v>00:00:00</v>
      </c>
      <c r="B3186" s="19">
        <v>0</v>
      </c>
      <c r="C3186" s="21">
        <v>0</v>
      </c>
      <c r="D3186" s="20" t="str">
        <v>未匹配</v>
      </c>
      <c r="E3186" s="20">
        <v>0</v>
      </c>
    </row>
    <row r="3187" spans="1:5">
      <c r="A3187" s="20" t="str">
        <v>00:00:00</v>
      </c>
      <c r="B3187" s="19">
        <v>0</v>
      </c>
      <c r="C3187" s="21">
        <v>0</v>
      </c>
      <c r="D3187" s="20" t="str">
        <v>未匹配</v>
      </c>
      <c r="E3187" s="20">
        <v>0</v>
      </c>
    </row>
    <row r="3188" spans="1:5">
      <c r="A3188" s="20" t="str">
        <v>00:00:00</v>
      </c>
      <c r="B3188" s="19">
        <v>0</v>
      </c>
      <c r="C3188" s="21">
        <v>0</v>
      </c>
      <c r="D3188" s="20" t="str">
        <v>未匹配</v>
      </c>
      <c r="E3188" s="20">
        <v>0</v>
      </c>
    </row>
    <row r="3189" spans="1:5">
      <c r="A3189" s="20" t="str">
        <v>00:00:00</v>
      </c>
      <c r="B3189" s="19">
        <v>0</v>
      </c>
      <c r="C3189" s="21">
        <v>0</v>
      </c>
      <c r="D3189" s="20" t="str">
        <v>未匹配</v>
      </c>
      <c r="E3189" s="20">
        <v>0</v>
      </c>
    </row>
    <row r="3190" spans="1:5">
      <c r="A3190" s="20" t="str">
        <v>00:00:00</v>
      </c>
      <c r="B3190" s="19">
        <v>0</v>
      </c>
      <c r="C3190" s="21">
        <v>0</v>
      </c>
      <c r="D3190" s="20" t="str">
        <v>未匹配</v>
      </c>
      <c r="E3190" s="20">
        <v>0</v>
      </c>
    </row>
    <row r="3191" spans="1:5">
      <c r="A3191" s="20" t="str">
        <v>00:00:00</v>
      </c>
      <c r="B3191" s="19">
        <v>0</v>
      </c>
      <c r="C3191" s="21">
        <v>0</v>
      </c>
      <c r="D3191" s="20" t="str">
        <v>未匹配</v>
      </c>
      <c r="E3191" s="20">
        <v>0</v>
      </c>
    </row>
    <row r="3192" spans="1:5">
      <c r="A3192" s="20" t="str">
        <v>00:00:00</v>
      </c>
      <c r="B3192" s="19">
        <v>0</v>
      </c>
      <c r="C3192" s="21">
        <v>0</v>
      </c>
      <c r="D3192" s="20" t="str">
        <v>未匹配</v>
      </c>
      <c r="E3192" s="20">
        <v>0</v>
      </c>
    </row>
    <row r="3193" spans="1:5">
      <c r="A3193" s="20" t="str">
        <v>00:00:00</v>
      </c>
      <c r="B3193" s="19">
        <v>0</v>
      </c>
      <c r="C3193" s="21">
        <v>0</v>
      </c>
      <c r="D3193" s="20" t="str">
        <v>未匹配</v>
      </c>
      <c r="E3193" s="20">
        <v>0</v>
      </c>
    </row>
    <row r="3194" spans="1:5">
      <c r="A3194" s="20" t="str">
        <v>00:00:00</v>
      </c>
      <c r="B3194" s="19">
        <v>0</v>
      </c>
      <c r="C3194" s="21">
        <v>0</v>
      </c>
      <c r="D3194" s="20" t="str">
        <v>未匹配</v>
      </c>
      <c r="E3194" s="20">
        <v>0</v>
      </c>
    </row>
    <row r="3195" spans="1:5">
      <c r="A3195" s="20" t="str">
        <v>00:00:00</v>
      </c>
      <c r="B3195" s="19">
        <v>0</v>
      </c>
      <c r="C3195" s="21">
        <v>0</v>
      </c>
      <c r="D3195" s="20" t="str">
        <v>未匹配</v>
      </c>
      <c r="E3195" s="20">
        <v>0</v>
      </c>
    </row>
    <row r="3196" spans="1:5">
      <c r="A3196" s="20" t="str">
        <v>00:00:00</v>
      </c>
      <c r="B3196" s="19">
        <v>0</v>
      </c>
      <c r="C3196" s="21">
        <v>0</v>
      </c>
      <c r="D3196" s="20" t="str">
        <v>未匹配</v>
      </c>
      <c r="E3196" s="20">
        <v>0</v>
      </c>
    </row>
    <row r="3197" spans="1:5">
      <c r="A3197" s="20" t="str">
        <v>00:00:00</v>
      </c>
      <c r="B3197" s="19">
        <v>0</v>
      </c>
      <c r="C3197" s="21">
        <v>0</v>
      </c>
      <c r="D3197" s="20" t="str">
        <v>未匹配</v>
      </c>
      <c r="E3197" s="20">
        <v>0</v>
      </c>
    </row>
    <row r="3198" spans="1:5">
      <c r="A3198" s="20" t="str">
        <v>00:00:00</v>
      </c>
      <c r="B3198" s="19">
        <v>0</v>
      </c>
      <c r="C3198" s="21">
        <v>0</v>
      </c>
      <c r="D3198" s="20" t="str">
        <v>未匹配</v>
      </c>
      <c r="E3198" s="20">
        <v>0</v>
      </c>
    </row>
    <row r="3199" spans="1:5">
      <c r="A3199" s="20" t="str">
        <v>00:00:00</v>
      </c>
      <c r="B3199" s="19">
        <v>0</v>
      </c>
      <c r="C3199" s="21">
        <v>0</v>
      </c>
      <c r="D3199" s="20" t="str">
        <v>未匹配</v>
      </c>
      <c r="E3199" s="20">
        <v>0</v>
      </c>
    </row>
    <row r="3200" spans="1:5">
      <c r="A3200" s="20" t="str">
        <v>00:00:00</v>
      </c>
      <c r="B3200" s="19">
        <v>0</v>
      </c>
      <c r="C3200" s="21">
        <v>0</v>
      </c>
      <c r="D3200" s="20" t="str">
        <v>未匹配</v>
      </c>
      <c r="E3200" s="20">
        <v>0</v>
      </c>
    </row>
    <row r="3201" spans="1:5">
      <c r="A3201" s="20" t="str">
        <v>00:00:00</v>
      </c>
      <c r="B3201" s="19">
        <v>0</v>
      </c>
      <c r="C3201" s="21">
        <v>0</v>
      </c>
      <c r="D3201" s="20" t="str">
        <v>未匹配</v>
      </c>
      <c r="E3201" s="20">
        <v>0</v>
      </c>
    </row>
    <row r="3202" spans="1:5">
      <c r="A3202" s="20" t="str">
        <v>00:00:00</v>
      </c>
      <c r="B3202" s="19">
        <v>0</v>
      </c>
      <c r="C3202" s="21">
        <v>0</v>
      </c>
      <c r="D3202" s="20" t="str">
        <v>未匹配</v>
      </c>
      <c r="E3202" s="20">
        <v>0</v>
      </c>
    </row>
    <row r="3203" spans="1:5">
      <c r="A3203" s="20" t="str">
        <v>00:00:00</v>
      </c>
      <c r="B3203" s="19">
        <v>0</v>
      </c>
      <c r="C3203" s="21">
        <v>0</v>
      </c>
      <c r="D3203" s="20" t="str">
        <v>未匹配</v>
      </c>
      <c r="E3203" s="20">
        <v>0</v>
      </c>
    </row>
    <row r="3204" spans="1:5">
      <c r="A3204" s="20" t="str">
        <v>00:00:00</v>
      </c>
      <c r="B3204" s="19">
        <v>0</v>
      </c>
      <c r="C3204" s="21">
        <v>0</v>
      </c>
      <c r="D3204" s="20" t="str">
        <v>未匹配</v>
      </c>
      <c r="E3204" s="20">
        <v>0</v>
      </c>
    </row>
    <row r="3205" spans="1:5">
      <c r="A3205" s="20" t="str">
        <v>00:00:00</v>
      </c>
      <c r="B3205" s="19">
        <v>0</v>
      </c>
      <c r="C3205" s="21">
        <v>0</v>
      </c>
      <c r="D3205" s="20" t="str">
        <v>未匹配</v>
      </c>
      <c r="E3205" s="20">
        <v>0</v>
      </c>
    </row>
    <row r="3206" spans="1:5">
      <c r="A3206" s="20" t="str">
        <v>00:00:00</v>
      </c>
      <c r="B3206" s="19">
        <v>0</v>
      </c>
      <c r="C3206" s="21">
        <v>0</v>
      </c>
      <c r="D3206" s="20" t="str">
        <v>未匹配</v>
      </c>
      <c r="E3206" s="20">
        <v>0</v>
      </c>
    </row>
    <row r="3207" spans="1:5">
      <c r="A3207" s="20" t="str">
        <v>00:00:00</v>
      </c>
      <c r="B3207" s="19">
        <v>0</v>
      </c>
      <c r="C3207" s="21">
        <v>0</v>
      </c>
      <c r="D3207" s="20" t="str">
        <v>未匹配</v>
      </c>
      <c r="E3207" s="20">
        <v>0</v>
      </c>
    </row>
    <row r="3208" spans="1:5">
      <c r="A3208" s="20" t="str">
        <v>00:00:00</v>
      </c>
      <c r="B3208" s="19">
        <v>0</v>
      </c>
      <c r="C3208" s="21">
        <v>0</v>
      </c>
      <c r="D3208" s="20" t="str">
        <v>未匹配</v>
      </c>
      <c r="E3208" s="20">
        <v>0</v>
      </c>
    </row>
    <row r="3209" spans="1:5">
      <c r="A3209" s="20" t="str">
        <v>00:00:00</v>
      </c>
      <c r="B3209" s="19">
        <v>0</v>
      </c>
      <c r="C3209" s="21">
        <v>0</v>
      </c>
      <c r="D3209" s="20" t="str">
        <v>未匹配</v>
      </c>
      <c r="E3209" s="20">
        <v>0</v>
      </c>
    </row>
    <row r="3210" spans="1:5">
      <c r="A3210" s="20" t="str">
        <v>00:00:00</v>
      </c>
      <c r="B3210" s="19">
        <v>0</v>
      </c>
      <c r="C3210" s="21">
        <v>0</v>
      </c>
      <c r="D3210" s="20" t="str">
        <v>未匹配</v>
      </c>
      <c r="E3210" s="20">
        <v>0</v>
      </c>
    </row>
    <row r="3211" spans="1:5">
      <c r="A3211" s="20" t="str">
        <v>00:00:00</v>
      </c>
      <c r="B3211" s="19">
        <v>0</v>
      </c>
      <c r="C3211" s="21">
        <v>0</v>
      </c>
      <c r="D3211" s="20" t="str">
        <v>未匹配</v>
      </c>
      <c r="E3211" s="20">
        <v>0</v>
      </c>
    </row>
    <row r="3212" spans="1:5">
      <c r="A3212" s="20" t="str">
        <v>00:00:00</v>
      </c>
      <c r="B3212" s="19">
        <v>0</v>
      </c>
      <c r="C3212" s="21">
        <v>0</v>
      </c>
      <c r="D3212" s="20" t="str">
        <v>未匹配</v>
      </c>
      <c r="E3212" s="20">
        <v>0</v>
      </c>
    </row>
    <row r="3213" spans="1:5">
      <c r="A3213" s="20" t="str">
        <v>00:00:00</v>
      </c>
      <c r="B3213" s="19">
        <v>0</v>
      </c>
      <c r="C3213" s="21">
        <v>0</v>
      </c>
      <c r="D3213" s="20" t="str">
        <v>未匹配</v>
      </c>
      <c r="E3213" s="20">
        <v>0</v>
      </c>
    </row>
    <row r="3214" spans="1:5">
      <c r="A3214" s="20" t="str">
        <v>00:00:00</v>
      </c>
      <c r="B3214" s="19">
        <v>0</v>
      </c>
      <c r="C3214" s="21">
        <v>0</v>
      </c>
      <c r="D3214" s="20" t="str">
        <v>未匹配</v>
      </c>
      <c r="E3214" s="20">
        <v>0</v>
      </c>
    </row>
    <row r="3215" spans="1:5">
      <c r="A3215" s="20" t="str">
        <v>00:00:00</v>
      </c>
      <c r="B3215" s="19">
        <v>0</v>
      </c>
      <c r="C3215" s="21">
        <v>0</v>
      </c>
      <c r="D3215" s="20" t="str">
        <v>未匹配</v>
      </c>
      <c r="E3215" s="20">
        <v>0</v>
      </c>
    </row>
    <row r="3216" spans="1:5">
      <c r="A3216" s="20" t="str">
        <v>00:00:00</v>
      </c>
      <c r="B3216" s="19">
        <v>0</v>
      </c>
      <c r="C3216" s="21">
        <v>0</v>
      </c>
      <c r="D3216" s="20" t="str">
        <v>未匹配</v>
      </c>
      <c r="E3216" s="20">
        <v>0</v>
      </c>
    </row>
    <row r="3217" spans="1:5">
      <c r="A3217" s="20" t="str">
        <v>00:00:00</v>
      </c>
      <c r="B3217" s="19">
        <v>0</v>
      </c>
      <c r="C3217" s="21">
        <v>0</v>
      </c>
      <c r="D3217" s="20" t="str">
        <v>未匹配</v>
      </c>
      <c r="E3217" s="20">
        <v>0</v>
      </c>
    </row>
    <row r="3218" spans="1:5">
      <c r="A3218" s="20" t="str">
        <v>00:00:00</v>
      </c>
      <c r="B3218" s="19">
        <v>0</v>
      </c>
      <c r="C3218" s="21">
        <v>0</v>
      </c>
      <c r="D3218" s="20" t="str">
        <v>未匹配</v>
      </c>
      <c r="E3218" s="20">
        <v>0</v>
      </c>
    </row>
    <row r="3219" spans="1:5">
      <c r="A3219" s="20" t="str">
        <v>00:00:00</v>
      </c>
      <c r="B3219" s="19">
        <v>0</v>
      </c>
      <c r="C3219" s="21">
        <v>0</v>
      </c>
      <c r="D3219" s="20" t="str">
        <v>未匹配</v>
      </c>
      <c r="E3219" s="20">
        <v>0</v>
      </c>
    </row>
    <row r="3220" spans="1:5">
      <c r="A3220" s="20" t="str">
        <v>00:00:00</v>
      </c>
      <c r="B3220" s="19">
        <v>0</v>
      </c>
      <c r="C3220" s="21">
        <v>0</v>
      </c>
      <c r="D3220" s="20" t="str">
        <v>未匹配</v>
      </c>
      <c r="E3220" s="20">
        <v>0</v>
      </c>
    </row>
    <row r="3221" spans="1:5">
      <c r="A3221" s="20" t="str">
        <v>00:00:00</v>
      </c>
      <c r="B3221" s="19">
        <v>0</v>
      </c>
      <c r="C3221" s="21">
        <v>0</v>
      </c>
      <c r="D3221" s="20" t="str">
        <v>未匹配</v>
      </c>
      <c r="E3221" s="20">
        <v>0</v>
      </c>
    </row>
    <row r="3222" spans="1:5">
      <c r="A3222" s="20" t="str">
        <v>00:00:00</v>
      </c>
      <c r="B3222" s="19">
        <v>0</v>
      </c>
      <c r="C3222" s="21">
        <v>0</v>
      </c>
      <c r="D3222" s="20" t="str">
        <v>未匹配</v>
      </c>
      <c r="E3222" s="20">
        <v>0</v>
      </c>
    </row>
    <row r="3223" spans="1:5">
      <c r="A3223" s="20" t="str">
        <v>00:00:00</v>
      </c>
      <c r="B3223" s="19">
        <v>0</v>
      </c>
      <c r="C3223" s="21">
        <v>0</v>
      </c>
      <c r="D3223" s="20" t="str">
        <v>未匹配</v>
      </c>
      <c r="E3223" s="20">
        <v>0</v>
      </c>
    </row>
    <row r="3224" spans="1:5">
      <c r="A3224" s="20" t="str">
        <v>00:00:00</v>
      </c>
      <c r="B3224" s="19">
        <v>0</v>
      </c>
      <c r="C3224" s="21">
        <v>0</v>
      </c>
      <c r="D3224" s="20" t="str">
        <v>未匹配</v>
      </c>
      <c r="E3224" s="20">
        <v>0</v>
      </c>
    </row>
    <row r="3225" spans="1:5">
      <c r="A3225" s="20" t="str">
        <v>00:00:00</v>
      </c>
      <c r="B3225" s="19">
        <v>0</v>
      </c>
      <c r="C3225" s="21">
        <v>0</v>
      </c>
      <c r="D3225" s="20" t="str">
        <v>未匹配</v>
      </c>
      <c r="E3225" s="20">
        <v>0</v>
      </c>
    </row>
    <row r="3226" spans="1:5">
      <c r="A3226" s="20" t="str">
        <v>00:00:00</v>
      </c>
      <c r="B3226" s="19">
        <v>0</v>
      </c>
      <c r="C3226" s="21">
        <v>0</v>
      </c>
      <c r="D3226" s="20" t="str">
        <v>未匹配</v>
      </c>
      <c r="E3226" s="20">
        <v>0</v>
      </c>
    </row>
    <row r="3227" spans="1:5">
      <c r="A3227" s="20" t="str">
        <v>00:00:00</v>
      </c>
      <c r="B3227" s="19">
        <v>0</v>
      </c>
      <c r="C3227" s="21">
        <v>0</v>
      </c>
      <c r="D3227" s="20" t="str">
        <v>未匹配</v>
      </c>
      <c r="E3227" s="20">
        <v>0</v>
      </c>
    </row>
    <row r="3228" spans="1:5">
      <c r="A3228" s="20" t="str">
        <v>00:00:00</v>
      </c>
      <c r="B3228" s="19">
        <v>0</v>
      </c>
      <c r="C3228" s="21">
        <v>0</v>
      </c>
      <c r="D3228" s="20" t="str">
        <v>未匹配</v>
      </c>
      <c r="E3228" s="20">
        <v>0</v>
      </c>
    </row>
    <row r="3229" spans="1:5">
      <c r="A3229" s="20" t="str">
        <v>00:00:00</v>
      </c>
      <c r="B3229" s="19">
        <v>0</v>
      </c>
      <c r="C3229" s="21">
        <v>0</v>
      </c>
      <c r="D3229" s="20" t="str">
        <v>未匹配</v>
      </c>
      <c r="E3229" s="20">
        <v>0</v>
      </c>
    </row>
    <row r="3230" spans="1:5">
      <c r="A3230" s="20" t="str">
        <v>00:00:00</v>
      </c>
      <c r="B3230" s="19">
        <v>0</v>
      </c>
      <c r="C3230" s="21">
        <v>0</v>
      </c>
      <c r="D3230" s="20" t="str">
        <v>未匹配</v>
      </c>
      <c r="E3230" s="20">
        <v>0</v>
      </c>
    </row>
    <row r="3231" spans="1:5">
      <c r="A3231" s="20" t="str">
        <v>00:00:00</v>
      </c>
      <c r="B3231" s="19">
        <v>0</v>
      </c>
      <c r="C3231" s="21">
        <v>0</v>
      </c>
      <c r="D3231" s="20" t="str">
        <v>未匹配</v>
      </c>
      <c r="E3231" s="20">
        <v>0</v>
      </c>
    </row>
    <row r="3232" spans="1:5">
      <c r="A3232" s="20" t="str">
        <v>00:00:00</v>
      </c>
      <c r="B3232" s="19">
        <v>0</v>
      </c>
      <c r="C3232" s="21">
        <v>0</v>
      </c>
      <c r="D3232" s="20" t="str">
        <v>未匹配</v>
      </c>
      <c r="E3232" s="20">
        <v>0</v>
      </c>
    </row>
    <row r="3233" spans="1:5">
      <c r="A3233" s="20" t="str">
        <v>00:00:00</v>
      </c>
      <c r="B3233" s="19">
        <v>0</v>
      </c>
      <c r="C3233" s="21">
        <v>0</v>
      </c>
      <c r="D3233" s="20" t="str">
        <v>未匹配</v>
      </c>
      <c r="E3233" s="20">
        <v>0</v>
      </c>
    </row>
    <row r="3234" spans="1:5">
      <c r="A3234" s="20" t="str">
        <v>00:00:00</v>
      </c>
      <c r="B3234" s="19">
        <v>0</v>
      </c>
      <c r="C3234" s="21">
        <v>0</v>
      </c>
      <c r="D3234" s="20" t="str">
        <v>未匹配</v>
      </c>
      <c r="E3234" s="20">
        <v>0</v>
      </c>
    </row>
    <row r="3235" spans="1:5">
      <c r="A3235" s="20" t="str">
        <v>00:00:00</v>
      </c>
      <c r="B3235" s="19">
        <v>0</v>
      </c>
      <c r="C3235" s="21">
        <v>0</v>
      </c>
      <c r="D3235" s="20" t="str">
        <v>未匹配</v>
      </c>
      <c r="E3235" s="20">
        <v>0</v>
      </c>
    </row>
    <row r="3236" spans="1:5">
      <c r="A3236" s="20" t="str">
        <v>00:00:00</v>
      </c>
      <c r="B3236" s="19">
        <v>0</v>
      </c>
      <c r="C3236" s="21">
        <v>0</v>
      </c>
      <c r="D3236" s="20" t="str">
        <v>未匹配</v>
      </c>
      <c r="E3236" s="20">
        <v>0</v>
      </c>
    </row>
    <row r="3237" spans="1:5">
      <c r="A3237" s="20" t="str">
        <v>00:00:00</v>
      </c>
      <c r="B3237" s="19">
        <v>0</v>
      </c>
      <c r="C3237" s="21">
        <v>0</v>
      </c>
      <c r="D3237" s="20" t="str">
        <v>未匹配</v>
      </c>
      <c r="E3237" s="20">
        <v>0</v>
      </c>
    </row>
    <row r="3238" spans="1:5">
      <c r="A3238" s="20" t="str">
        <v>00:00:00</v>
      </c>
      <c r="B3238" s="19">
        <v>0</v>
      </c>
      <c r="C3238" s="21">
        <v>0</v>
      </c>
      <c r="D3238" s="20" t="str">
        <v>未匹配</v>
      </c>
      <c r="E3238" s="20">
        <v>0</v>
      </c>
    </row>
    <row r="3239" spans="1:5">
      <c r="A3239" s="20" t="str">
        <v>00:00:00</v>
      </c>
      <c r="B3239" s="19">
        <v>0</v>
      </c>
      <c r="C3239" s="21">
        <v>0</v>
      </c>
      <c r="D3239" s="20" t="str">
        <v>未匹配</v>
      </c>
      <c r="E3239" s="20">
        <v>0</v>
      </c>
    </row>
    <row r="3240" spans="1:5">
      <c r="A3240" s="20" t="str">
        <v>00:00:00</v>
      </c>
      <c r="B3240" s="19">
        <v>0</v>
      </c>
      <c r="C3240" s="21">
        <v>0</v>
      </c>
      <c r="D3240" s="20" t="str">
        <v>未匹配</v>
      </c>
      <c r="E3240" s="20">
        <v>0</v>
      </c>
    </row>
    <row r="3241" spans="1:5">
      <c r="A3241" s="20" t="str">
        <v>00:00:00</v>
      </c>
      <c r="B3241" s="19">
        <v>0</v>
      </c>
      <c r="C3241" s="21">
        <v>0</v>
      </c>
      <c r="D3241" s="20" t="str">
        <v>未匹配</v>
      </c>
      <c r="E3241" s="20">
        <v>0</v>
      </c>
    </row>
    <row r="3242" spans="1:5">
      <c r="A3242" s="20" t="str">
        <v>00:00:00</v>
      </c>
      <c r="B3242" s="19">
        <v>0</v>
      </c>
      <c r="C3242" s="21">
        <v>0</v>
      </c>
      <c r="D3242" s="20" t="str">
        <v>未匹配</v>
      </c>
      <c r="E3242" s="20">
        <v>0</v>
      </c>
    </row>
    <row r="3243" spans="1:5">
      <c r="A3243" s="20" t="str">
        <v>00:00:00</v>
      </c>
      <c r="B3243" s="19">
        <v>0</v>
      </c>
      <c r="C3243" s="21">
        <v>0</v>
      </c>
      <c r="D3243" s="20" t="str">
        <v>未匹配</v>
      </c>
      <c r="E3243" s="20">
        <v>0</v>
      </c>
    </row>
    <row r="3244" spans="1:5">
      <c r="A3244" s="20" t="str">
        <v>00:00:00</v>
      </c>
      <c r="B3244" s="19">
        <v>0</v>
      </c>
      <c r="C3244" s="21">
        <v>0</v>
      </c>
      <c r="D3244" s="20" t="str">
        <v>未匹配</v>
      </c>
      <c r="E3244" s="20">
        <v>0</v>
      </c>
    </row>
    <row r="3245" spans="1:5">
      <c r="A3245" s="20" t="str">
        <v>00:00:00</v>
      </c>
      <c r="B3245" s="19">
        <v>0</v>
      </c>
      <c r="C3245" s="21">
        <v>0</v>
      </c>
      <c r="D3245" s="20" t="str">
        <v>未匹配</v>
      </c>
      <c r="E3245" s="20">
        <v>0</v>
      </c>
    </row>
    <row r="3246" spans="1:5">
      <c r="A3246" s="20" t="str">
        <v>00:00:00</v>
      </c>
      <c r="B3246" s="19">
        <v>0</v>
      </c>
      <c r="C3246" s="21">
        <v>0</v>
      </c>
      <c r="D3246" s="20" t="str">
        <v>未匹配</v>
      </c>
      <c r="E3246" s="20">
        <v>0</v>
      </c>
    </row>
    <row r="3247" spans="1:5">
      <c r="A3247" s="20" t="str">
        <v>00:00:00</v>
      </c>
      <c r="B3247" s="19">
        <v>0</v>
      </c>
      <c r="C3247" s="21">
        <v>0</v>
      </c>
      <c r="D3247" s="20" t="str">
        <v>未匹配</v>
      </c>
      <c r="E3247" s="20">
        <v>0</v>
      </c>
    </row>
    <row r="3248" spans="1:5">
      <c r="A3248" s="20" t="str">
        <v>00:00:00</v>
      </c>
      <c r="B3248" s="19">
        <v>0</v>
      </c>
      <c r="C3248" s="21">
        <v>0</v>
      </c>
      <c r="D3248" s="20" t="str">
        <v>未匹配</v>
      </c>
      <c r="E3248" s="20">
        <v>0</v>
      </c>
    </row>
    <row r="3249" spans="1:5">
      <c r="A3249" s="20" t="str">
        <v>00:00:00</v>
      </c>
      <c r="B3249" s="19">
        <v>0</v>
      </c>
      <c r="C3249" s="21">
        <v>0</v>
      </c>
      <c r="D3249" s="20" t="str">
        <v>未匹配</v>
      </c>
      <c r="E3249" s="20">
        <v>0</v>
      </c>
    </row>
    <row r="3250" spans="1:5">
      <c r="A3250" s="20" t="str">
        <v>00:00:00</v>
      </c>
      <c r="B3250" s="19">
        <v>0</v>
      </c>
      <c r="C3250" s="21">
        <v>0</v>
      </c>
      <c r="D3250" s="20" t="str">
        <v>未匹配</v>
      </c>
      <c r="E3250" s="20">
        <v>0</v>
      </c>
    </row>
    <row r="3251" spans="1:5">
      <c r="A3251" s="20" t="str">
        <v>00:00:00</v>
      </c>
      <c r="B3251" s="19">
        <v>0</v>
      </c>
      <c r="C3251" s="21">
        <v>0</v>
      </c>
      <c r="D3251" s="20" t="str">
        <v>未匹配</v>
      </c>
      <c r="E3251" s="20">
        <v>0</v>
      </c>
    </row>
    <row r="3252" spans="1:5">
      <c r="A3252" s="20" t="str">
        <v>00:00:00</v>
      </c>
      <c r="B3252" s="19">
        <v>0</v>
      </c>
      <c r="C3252" s="21">
        <v>0</v>
      </c>
      <c r="D3252" s="20" t="str">
        <v>未匹配</v>
      </c>
      <c r="E3252" s="20">
        <v>0</v>
      </c>
    </row>
    <row r="3253" spans="1:5">
      <c r="A3253" s="20" t="str">
        <v>00:00:00</v>
      </c>
      <c r="B3253" s="19">
        <v>0</v>
      </c>
      <c r="C3253" s="21">
        <v>0</v>
      </c>
      <c r="D3253" s="20" t="str">
        <v>未匹配</v>
      </c>
      <c r="E3253" s="20">
        <v>0</v>
      </c>
    </row>
    <row r="3254" spans="1:5">
      <c r="A3254" s="20" t="str">
        <v>00:00:00</v>
      </c>
      <c r="B3254" s="19">
        <v>0</v>
      </c>
      <c r="C3254" s="21">
        <v>0</v>
      </c>
      <c r="D3254" s="20" t="str">
        <v>未匹配</v>
      </c>
      <c r="E3254" s="20">
        <v>0</v>
      </c>
    </row>
    <row r="3255" spans="1:5">
      <c r="A3255" s="20" t="str">
        <v>00:00:00</v>
      </c>
      <c r="B3255" s="19">
        <v>0</v>
      </c>
      <c r="C3255" s="21">
        <v>0</v>
      </c>
      <c r="D3255" s="20" t="str">
        <v>未匹配</v>
      </c>
      <c r="E3255" s="20">
        <v>0</v>
      </c>
    </row>
    <row r="3256" spans="1:5">
      <c r="A3256" s="20" t="str">
        <v>00:00:00</v>
      </c>
      <c r="B3256" s="19">
        <v>0</v>
      </c>
      <c r="C3256" s="21">
        <v>0</v>
      </c>
      <c r="D3256" s="20" t="str">
        <v>未匹配</v>
      </c>
      <c r="E3256" s="20">
        <v>0</v>
      </c>
    </row>
    <row r="3257" spans="1:5">
      <c r="A3257" s="20" t="str">
        <v>00:00:00</v>
      </c>
      <c r="B3257" s="19">
        <v>0</v>
      </c>
      <c r="C3257" s="21">
        <v>0</v>
      </c>
      <c r="D3257" s="20" t="str">
        <v>未匹配</v>
      </c>
      <c r="E3257" s="20">
        <v>0</v>
      </c>
    </row>
    <row r="3258" spans="1:5">
      <c r="A3258" s="20" t="str">
        <v>00:00:00</v>
      </c>
      <c r="B3258" s="19">
        <v>0</v>
      </c>
      <c r="C3258" s="21">
        <v>0</v>
      </c>
      <c r="D3258" s="20" t="str">
        <v>未匹配</v>
      </c>
      <c r="E3258" s="20">
        <v>0</v>
      </c>
    </row>
    <row r="3259" spans="1:5">
      <c r="A3259" s="20" t="str">
        <v>00:00:00</v>
      </c>
      <c r="B3259" s="19">
        <v>0</v>
      </c>
      <c r="C3259" s="21">
        <v>0</v>
      </c>
      <c r="D3259" s="20" t="str">
        <v>未匹配</v>
      </c>
      <c r="E3259" s="20">
        <v>0</v>
      </c>
    </row>
    <row r="3260" spans="1:5">
      <c r="A3260" s="20" t="str">
        <v>00:00:00</v>
      </c>
      <c r="B3260" s="19">
        <v>0</v>
      </c>
      <c r="C3260" s="21">
        <v>0</v>
      </c>
      <c r="D3260" s="20" t="str">
        <v>未匹配</v>
      </c>
      <c r="E3260" s="20">
        <v>0</v>
      </c>
    </row>
    <row r="3261" spans="1:5">
      <c r="A3261" s="20" t="str">
        <v>00:00:00</v>
      </c>
      <c r="B3261" s="19">
        <v>0</v>
      </c>
      <c r="C3261" s="21">
        <v>0</v>
      </c>
      <c r="D3261" s="20" t="str">
        <v>未匹配</v>
      </c>
      <c r="E3261" s="20">
        <v>0</v>
      </c>
    </row>
    <row r="3262" spans="1:5">
      <c r="A3262" s="20" t="str">
        <v>00:00:00</v>
      </c>
      <c r="B3262" s="19">
        <v>0</v>
      </c>
      <c r="C3262" s="21">
        <v>0</v>
      </c>
      <c r="D3262" s="20" t="str">
        <v>未匹配</v>
      </c>
      <c r="E3262" s="20">
        <v>0</v>
      </c>
    </row>
    <row r="3263" spans="1:5">
      <c r="A3263" s="20" t="str">
        <v>00:00:00</v>
      </c>
      <c r="B3263" s="19">
        <v>0</v>
      </c>
      <c r="C3263" s="21">
        <v>0</v>
      </c>
      <c r="D3263" s="20" t="str">
        <v>未匹配</v>
      </c>
      <c r="E3263" s="20">
        <v>0</v>
      </c>
    </row>
    <row r="3264" spans="1:5">
      <c r="A3264" s="20" t="str">
        <v>00:00:00</v>
      </c>
      <c r="B3264" s="19">
        <v>0</v>
      </c>
      <c r="C3264" s="21">
        <v>0</v>
      </c>
      <c r="D3264" s="20" t="str">
        <v>未匹配</v>
      </c>
      <c r="E3264" s="20">
        <v>0</v>
      </c>
    </row>
    <row r="3265" spans="1:5">
      <c r="A3265" s="20" t="str">
        <v>00:00:00</v>
      </c>
      <c r="B3265" s="19">
        <v>0</v>
      </c>
      <c r="C3265" s="21">
        <v>0</v>
      </c>
      <c r="D3265" s="20" t="str">
        <v>未匹配</v>
      </c>
      <c r="E3265" s="20">
        <v>0</v>
      </c>
    </row>
    <row r="3266" spans="1:5">
      <c r="A3266" s="20" t="str">
        <v>00:00:00</v>
      </c>
      <c r="B3266" s="19">
        <v>0</v>
      </c>
      <c r="C3266" s="21">
        <v>0</v>
      </c>
      <c r="D3266" s="20" t="str">
        <v>未匹配</v>
      </c>
      <c r="E3266" s="20">
        <v>0</v>
      </c>
    </row>
    <row r="3267" spans="1:5">
      <c r="A3267" s="20" t="str">
        <v>00:00:00</v>
      </c>
      <c r="B3267" s="19">
        <v>0</v>
      </c>
      <c r="C3267" s="21">
        <v>0</v>
      </c>
      <c r="D3267" s="20" t="str">
        <v>未匹配</v>
      </c>
      <c r="E3267" s="20">
        <v>0</v>
      </c>
    </row>
    <row r="3268" spans="1:5">
      <c r="A3268" s="20" t="str">
        <v>00:00:00</v>
      </c>
      <c r="B3268" s="19">
        <v>0</v>
      </c>
      <c r="C3268" s="21">
        <v>0</v>
      </c>
      <c r="D3268" s="20" t="str">
        <v>未匹配</v>
      </c>
      <c r="E3268" s="20">
        <v>0</v>
      </c>
    </row>
    <row r="3269" spans="1:5">
      <c r="A3269" s="20" t="str">
        <v>00:00:00</v>
      </c>
      <c r="B3269" s="19">
        <v>0</v>
      </c>
      <c r="C3269" s="21">
        <v>0</v>
      </c>
      <c r="D3269" s="20" t="str">
        <v>未匹配</v>
      </c>
      <c r="E3269" s="20">
        <v>0</v>
      </c>
    </row>
    <row r="3270" spans="1:5">
      <c r="A3270" s="20" t="str">
        <v>00:00:00</v>
      </c>
      <c r="B3270" s="19">
        <v>0</v>
      </c>
      <c r="C3270" s="21">
        <v>0</v>
      </c>
      <c r="D3270" s="20" t="str">
        <v>未匹配</v>
      </c>
      <c r="E3270" s="20">
        <v>0</v>
      </c>
    </row>
    <row r="3271" spans="1:5">
      <c r="A3271" s="20" t="str">
        <v>00:00:00</v>
      </c>
      <c r="B3271" s="19">
        <v>0</v>
      </c>
      <c r="C3271" s="21">
        <v>0</v>
      </c>
      <c r="D3271" s="20" t="str">
        <v>未匹配</v>
      </c>
      <c r="E3271" s="20">
        <v>0</v>
      </c>
    </row>
    <row r="3272" spans="1:5">
      <c r="A3272" s="20" t="str">
        <v>00:00:00</v>
      </c>
      <c r="B3272" s="19">
        <v>0</v>
      </c>
      <c r="C3272" s="21">
        <v>0</v>
      </c>
      <c r="D3272" s="20" t="str">
        <v>未匹配</v>
      </c>
      <c r="E3272" s="20">
        <v>0</v>
      </c>
    </row>
    <row r="3273" spans="1:5">
      <c r="A3273" s="20" t="str">
        <v>00:00:00</v>
      </c>
      <c r="B3273" s="19">
        <v>0</v>
      </c>
      <c r="C3273" s="21">
        <v>0</v>
      </c>
      <c r="D3273" s="20" t="str">
        <v>未匹配</v>
      </c>
      <c r="E3273" s="20">
        <v>0</v>
      </c>
    </row>
    <row r="3274" spans="1:5">
      <c r="A3274" s="20" t="str">
        <v>00:00:00</v>
      </c>
      <c r="B3274" s="19">
        <v>0</v>
      </c>
      <c r="C3274" s="21">
        <v>0</v>
      </c>
      <c r="D3274" s="20" t="str">
        <v>未匹配</v>
      </c>
      <c r="E3274" s="20">
        <v>0</v>
      </c>
    </row>
    <row r="3275" spans="1:5">
      <c r="A3275" s="20" t="str">
        <v>00:00:00</v>
      </c>
      <c r="B3275" s="19">
        <v>0</v>
      </c>
      <c r="C3275" s="21">
        <v>0</v>
      </c>
      <c r="D3275" s="20" t="str">
        <v>未匹配</v>
      </c>
      <c r="E3275" s="20">
        <v>0</v>
      </c>
    </row>
    <row r="3276" spans="1:5">
      <c r="A3276" s="20" t="str">
        <v>00:00:00</v>
      </c>
      <c r="B3276" s="19">
        <v>0</v>
      </c>
      <c r="C3276" s="21">
        <v>0</v>
      </c>
      <c r="D3276" s="20" t="str">
        <v>未匹配</v>
      </c>
      <c r="E3276" s="20">
        <v>0</v>
      </c>
    </row>
    <row r="3277" spans="1:5">
      <c r="A3277" s="20" t="str">
        <v>00:00:00</v>
      </c>
      <c r="B3277" s="19">
        <v>0</v>
      </c>
      <c r="C3277" s="21">
        <v>0</v>
      </c>
      <c r="D3277" s="20" t="str">
        <v>未匹配</v>
      </c>
      <c r="E3277" s="20">
        <v>0</v>
      </c>
    </row>
    <row r="3278" spans="1:5">
      <c r="A3278" s="20" t="str">
        <v>00:00:00</v>
      </c>
      <c r="B3278" s="19">
        <v>0</v>
      </c>
      <c r="C3278" s="21">
        <v>0</v>
      </c>
      <c r="D3278" s="20" t="str">
        <v>未匹配</v>
      </c>
      <c r="E3278" s="20">
        <v>0</v>
      </c>
    </row>
    <row r="3279" spans="1:5">
      <c r="A3279" s="20" t="str">
        <v>00:00:00</v>
      </c>
      <c r="B3279" s="19">
        <v>0</v>
      </c>
      <c r="C3279" s="21">
        <v>0</v>
      </c>
      <c r="D3279" s="20" t="str">
        <v>未匹配</v>
      </c>
      <c r="E3279" s="20">
        <v>0</v>
      </c>
    </row>
    <row r="3280" spans="1:5">
      <c r="A3280" s="20" t="str">
        <v>00:00:00</v>
      </c>
      <c r="B3280" s="19">
        <v>0</v>
      </c>
      <c r="C3280" s="21">
        <v>0</v>
      </c>
      <c r="D3280" s="20" t="str">
        <v>未匹配</v>
      </c>
      <c r="E3280" s="20">
        <v>0</v>
      </c>
    </row>
    <row r="3281" spans="1:5">
      <c r="A3281" s="20" t="str">
        <v>00:00:00</v>
      </c>
      <c r="B3281" s="19">
        <v>0</v>
      </c>
      <c r="C3281" s="21">
        <v>0</v>
      </c>
      <c r="D3281" s="20" t="str">
        <v>未匹配</v>
      </c>
      <c r="E3281" s="20">
        <v>0</v>
      </c>
    </row>
    <row r="3282" spans="1:5">
      <c r="A3282" s="20" t="str">
        <v>00:00:00</v>
      </c>
      <c r="B3282" s="19">
        <v>0</v>
      </c>
      <c r="C3282" s="21">
        <v>0</v>
      </c>
      <c r="D3282" s="20" t="str">
        <v>未匹配</v>
      </c>
      <c r="E3282" s="20">
        <v>0</v>
      </c>
    </row>
    <row r="3283" spans="1:5">
      <c r="A3283" s="20" t="str">
        <v>00:00:00</v>
      </c>
      <c r="B3283" s="19">
        <v>0</v>
      </c>
      <c r="C3283" s="21">
        <v>0</v>
      </c>
      <c r="D3283" s="20" t="str">
        <v>未匹配</v>
      </c>
      <c r="E3283" s="20">
        <v>0</v>
      </c>
    </row>
    <row r="3284" spans="1:5">
      <c r="A3284" s="20" t="str">
        <v>00:00:00</v>
      </c>
      <c r="B3284" s="19">
        <v>0</v>
      </c>
      <c r="C3284" s="21">
        <v>0</v>
      </c>
      <c r="D3284" s="20" t="str">
        <v>未匹配</v>
      </c>
      <c r="E3284" s="20">
        <v>0</v>
      </c>
    </row>
    <row r="3285" spans="1:5">
      <c r="A3285" s="20" t="str">
        <v>00:00:00</v>
      </c>
      <c r="B3285" s="19">
        <v>0</v>
      </c>
      <c r="C3285" s="21">
        <v>0</v>
      </c>
      <c r="D3285" s="20" t="str">
        <v>未匹配</v>
      </c>
      <c r="E3285" s="20">
        <v>0</v>
      </c>
    </row>
    <row r="3286" spans="1:5">
      <c r="A3286" s="20" t="str">
        <v>00:00:00</v>
      </c>
      <c r="B3286" s="19">
        <v>0</v>
      </c>
      <c r="C3286" s="21">
        <v>0</v>
      </c>
      <c r="D3286" s="20" t="str">
        <v>未匹配</v>
      </c>
      <c r="E3286" s="20">
        <v>0</v>
      </c>
    </row>
    <row r="3287" spans="1:5">
      <c r="A3287" s="20" t="str">
        <v>00:00:00</v>
      </c>
      <c r="B3287" s="19">
        <v>0</v>
      </c>
      <c r="C3287" s="21">
        <v>0</v>
      </c>
      <c r="D3287" s="20" t="str">
        <v>未匹配</v>
      </c>
      <c r="E3287" s="20">
        <v>0</v>
      </c>
    </row>
    <row r="3288" spans="1:5">
      <c r="A3288" s="20" t="str">
        <v>00:00:00</v>
      </c>
      <c r="B3288" s="19">
        <v>0</v>
      </c>
      <c r="C3288" s="21">
        <v>0</v>
      </c>
      <c r="D3288" s="20" t="str">
        <v>未匹配</v>
      </c>
      <c r="E3288" s="20">
        <v>0</v>
      </c>
    </row>
    <row r="3289" spans="1:5">
      <c r="A3289" s="20" t="str">
        <v>00:00:00</v>
      </c>
      <c r="B3289" s="19">
        <v>0</v>
      </c>
      <c r="C3289" s="21">
        <v>0</v>
      </c>
      <c r="D3289" s="20" t="str">
        <v>未匹配</v>
      </c>
      <c r="E3289" s="20">
        <v>0</v>
      </c>
    </row>
    <row r="3290" spans="1:5">
      <c r="A3290" s="20" t="str">
        <v>00:00:00</v>
      </c>
      <c r="B3290" s="19">
        <v>0</v>
      </c>
      <c r="C3290" s="21">
        <v>0</v>
      </c>
      <c r="D3290" s="20" t="str">
        <v>未匹配</v>
      </c>
      <c r="E3290" s="20">
        <v>0</v>
      </c>
    </row>
    <row r="3291" spans="1:5">
      <c r="A3291" s="20" t="str">
        <v>00:00:00</v>
      </c>
      <c r="B3291" s="19">
        <v>0</v>
      </c>
      <c r="C3291" s="21">
        <v>0</v>
      </c>
      <c r="D3291" s="20" t="str">
        <v>未匹配</v>
      </c>
      <c r="E3291" s="20">
        <v>0</v>
      </c>
    </row>
    <row r="3292" spans="1:5">
      <c r="A3292" s="20" t="str">
        <v>00:00:00</v>
      </c>
      <c r="B3292" s="19">
        <v>0</v>
      </c>
      <c r="C3292" s="21">
        <v>0</v>
      </c>
      <c r="D3292" s="20" t="str">
        <v>未匹配</v>
      </c>
      <c r="E3292" s="20">
        <v>0</v>
      </c>
    </row>
    <row r="3293" spans="1:5">
      <c r="A3293" s="20" t="str">
        <v>00:00:00</v>
      </c>
      <c r="B3293" s="19">
        <v>0</v>
      </c>
      <c r="C3293" s="21">
        <v>0</v>
      </c>
      <c r="D3293" s="20" t="str">
        <v>未匹配</v>
      </c>
      <c r="E3293" s="20">
        <v>0</v>
      </c>
    </row>
    <row r="3294" spans="1:5">
      <c r="A3294" s="20" t="str">
        <v>00:00:00</v>
      </c>
      <c r="B3294" s="19">
        <v>0</v>
      </c>
      <c r="C3294" s="21">
        <v>0</v>
      </c>
      <c r="D3294" s="20" t="str">
        <v>未匹配</v>
      </c>
      <c r="E3294" s="20">
        <v>0</v>
      </c>
    </row>
    <row r="3295" spans="1:5">
      <c r="A3295" s="20" t="str">
        <v>00:00:00</v>
      </c>
      <c r="B3295" s="19">
        <v>0</v>
      </c>
      <c r="C3295" s="21">
        <v>0</v>
      </c>
      <c r="D3295" s="20" t="str">
        <v>未匹配</v>
      </c>
      <c r="E3295" s="20">
        <v>0</v>
      </c>
    </row>
    <row r="3296" spans="1:5">
      <c r="A3296" s="20" t="str">
        <v>00:00:00</v>
      </c>
      <c r="B3296" s="19">
        <v>0</v>
      </c>
      <c r="C3296" s="21">
        <v>0</v>
      </c>
      <c r="D3296" s="20" t="str">
        <v>未匹配</v>
      </c>
      <c r="E3296" s="20">
        <v>0</v>
      </c>
    </row>
    <row r="3297" spans="1:5">
      <c r="A3297" s="20" t="str">
        <v>00:00:00</v>
      </c>
      <c r="B3297" s="19">
        <v>0</v>
      </c>
      <c r="C3297" s="21">
        <v>0</v>
      </c>
      <c r="D3297" s="20" t="str">
        <v>未匹配</v>
      </c>
      <c r="E3297" s="20">
        <v>0</v>
      </c>
    </row>
    <row r="3298" spans="1:5">
      <c r="A3298" s="20" t="str">
        <v>00:00:00</v>
      </c>
      <c r="B3298" s="19">
        <v>0</v>
      </c>
      <c r="C3298" s="21">
        <v>0</v>
      </c>
      <c r="D3298" s="20" t="str">
        <v>未匹配</v>
      </c>
      <c r="E3298" s="20">
        <v>0</v>
      </c>
    </row>
    <row r="3299" spans="1:5">
      <c r="A3299" s="20" t="str">
        <v>00:00:00</v>
      </c>
      <c r="B3299" s="19">
        <v>0</v>
      </c>
      <c r="C3299" s="21">
        <v>0</v>
      </c>
      <c r="D3299" s="20" t="str">
        <v>未匹配</v>
      </c>
      <c r="E3299" s="20">
        <v>0</v>
      </c>
    </row>
    <row r="3300" spans="1:5">
      <c r="A3300" s="20" t="str">
        <v>00:00:00</v>
      </c>
      <c r="B3300" s="19">
        <v>0</v>
      </c>
      <c r="C3300" s="21">
        <v>0</v>
      </c>
      <c r="D3300" s="20" t="str">
        <v>未匹配</v>
      </c>
      <c r="E3300" s="20">
        <v>0</v>
      </c>
    </row>
    <row r="3301" spans="1:5">
      <c r="A3301" s="20" t="str">
        <v>00:00:00</v>
      </c>
      <c r="B3301" s="19">
        <v>0</v>
      </c>
      <c r="C3301" s="21">
        <v>0</v>
      </c>
      <c r="D3301" s="20" t="str">
        <v>未匹配</v>
      </c>
      <c r="E3301" s="20">
        <v>0</v>
      </c>
    </row>
    <row r="3302" spans="1:5">
      <c r="A3302" s="20" t="str">
        <v>00:00:00</v>
      </c>
      <c r="B3302" s="19">
        <v>0</v>
      </c>
      <c r="C3302" s="21">
        <v>0</v>
      </c>
      <c r="D3302" s="20" t="str">
        <v>未匹配</v>
      </c>
      <c r="E3302" s="20">
        <v>0</v>
      </c>
    </row>
    <row r="3303" spans="1:5">
      <c r="A3303" s="20" t="str">
        <v>00:00:00</v>
      </c>
      <c r="B3303" s="19">
        <v>0</v>
      </c>
      <c r="C3303" s="21">
        <v>0</v>
      </c>
      <c r="D3303" s="20" t="str">
        <v>未匹配</v>
      </c>
      <c r="E3303" s="20">
        <v>0</v>
      </c>
    </row>
    <row r="3304" spans="1:5">
      <c r="A3304" s="20" t="str">
        <v>00:00:00</v>
      </c>
      <c r="B3304" s="19">
        <v>0</v>
      </c>
      <c r="C3304" s="21">
        <v>0</v>
      </c>
      <c r="D3304" s="20" t="str">
        <v>未匹配</v>
      </c>
      <c r="E3304" s="20">
        <v>0</v>
      </c>
    </row>
    <row r="3305" spans="1:5">
      <c r="A3305" s="20" t="str">
        <v>00:00:00</v>
      </c>
      <c r="B3305" s="19">
        <v>0</v>
      </c>
      <c r="C3305" s="21">
        <v>0</v>
      </c>
      <c r="D3305" s="20" t="str">
        <v>未匹配</v>
      </c>
      <c r="E3305" s="20">
        <v>0</v>
      </c>
    </row>
    <row r="3306" spans="1:5">
      <c r="A3306" s="20" t="str">
        <v>00:00:00</v>
      </c>
      <c r="B3306" s="19">
        <v>0</v>
      </c>
      <c r="C3306" s="21">
        <v>0</v>
      </c>
      <c r="D3306" s="20" t="str">
        <v>未匹配</v>
      </c>
      <c r="E3306" s="20">
        <v>0</v>
      </c>
    </row>
    <row r="3307" spans="1:5">
      <c r="A3307" s="20" t="str">
        <v>00:00:00</v>
      </c>
      <c r="B3307" s="19">
        <v>0</v>
      </c>
      <c r="C3307" s="21">
        <v>0</v>
      </c>
      <c r="D3307" s="20" t="str">
        <v>未匹配</v>
      </c>
      <c r="E3307" s="20">
        <v>0</v>
      </c>
    </row>
    <row r="3308" spans="1:5">
      <c r="A3308" s="20" t="str">
        <v>00:00:00</v>
      </c>
      <c r="B3308" s="19">
        <v>0</v>
      </c>
      <c r="C3308" s="21">
        <v>0</v>
      </c>
      <c r="D3308" s="20" t="str">
        <v>未匹配</v>
      </c>
      <c r="E3308" s="20">
        <v>0</v>
      </c>
    </row>
    <row r="3309" spans="1:5">
      <c r="A3309" s="20" t="str">
        <v>00:00:00</v>
      </c>
      <c r="B3309" s="19">
        <v>0</v>
      </c>
      <c r="C3309" s="21">
        <v>0</v>
      </c>
      <c r="D3309" s="20" t="str">
        <v>未匹配</v>
      </c>
      <c r="E3309" s="20">
        <v>0</v>
      </c>
    </row>
    <row r="3310" spans="1:5">
      <c r="A3310" s="20" t="str">
        <v>00:00:00</v>
      </c>
      <c r="B3310" s="19">
        <v>0</v>
      </c>
      <c r="C3310" s="21">
        <v>0</v>
      </c>
      <c r="D3310" s="20" t="str">
        <v>未匹配</v>
      </c>
      <c r="E3310" s="20">
        <v>0</v>
      </c>
    </row>
    <row r="3311" spans="1:5">
      <c r="A3311" s="20" t="str">
        <v>00:00:00</v>
      </c>
      <c r="B3311" s="19">
        <v>0</v>
      </c>
      <c r="C3311" s="21">
        <v>0</v>
      </c>
      <c r="D3311" s="20" t="str">
        <v>未匹配</v>
      </c>
      <c r="E3311" s="20">
        <v>0</v>
      </c>
    </row>
    <row r="3312" spans="1:5">
      <c r="A3312" s="20" t="str">
        <v>00:00:00</v>
      </c>
      <c r="B3312" s="19">
        <v>0</v>
      </c>
      <c r="C3312" s="21">
        <v>0</v>
      </c>
      <c r="D3312" s="20" t="str">
        <v>未匹配</v>
      </c>
      <c r="E3312" s="20">
        <v>0</v>
      </c>
    </row>
    <row r="3313" spans="1:5">
      <c r="A3313" s="20" t="str">
        <v>00:00:00</v>
      </c>
      <c r="B3313" s="19">
        <v>0</v>
      </c>
      <c r="C3313" s="21">
        <v>0</v>
      </c>
      <c r="D3313" s="20" t="str">
        <v>未匹配</v>
      </c>
      <c r="E3313" s="20">
        <v>0</v>
      </c>
    </row>
    <row r="3314" spans="1:5">
      <c r="A3314" s="20" t="str">
        <v>00:00:00</v>
      </c>
      <c r="B3314" s="19">
        <v>0</v>
      </c>
      <c r="C3314" s="21">
        <v>0</v>
      </c>
      <c r="D3314" s="20" t="str">
        <v>未匹配</v>
      </c>
      <c r="E3314" s="20">
        <v>0</v>
      </c>
    </row>
    <row r="3315" spans="1:5">
      <c r="A3315" s="20" t="str">
        <v>00:00:00</v>
      </c>
      <c r="B3315" s="19">
        <v>0</v>
      </c>
      <c r="C3315" s="21">
        <v>0</v>
      </c>
      <c r="D3315" s="20" t="str">
        <v>未匹配</v>
      </c>
      <c r="E3315" s="20">
        <v>0</v>
      </c>
    </row>
    <row r="3316" spans="1:5">
      <c r="A3316" s="20" t="str">
        <v>00:00:00</v>
      </c>
      <c r="B3316" s="19">
        <v>0</v>
      </c>
      <c r="C3316" s="21">
        <v>0</v>
      </c>
      <c r="D3316" s="20" t="str">
        <v>未匹配</v>
      </c>
      <c r="E3316" s="20">
        <v>0</v>
      </c>
    </row>
    <row r="3317" spans="1:5">
      <c r="A3317" s="20" t="str">
        <v>00:00:00</v>
      </c>
      <c r="B3317" s="19">
        <v>0</v>
      </c>
      <c r="C3317" s="21">
        <v>0</v>
      </c>
      <c r="D3317" s="20" t="str">
        <v>未匹配</v>
      </c>
      <c r="E3317" s="20">
        <v>0</v>
      </c>
    </row>
    <row r="3318" spans="1:5">
      <c r="A3318" s="20" t="str">
        <v>00:00:00</v>
      </c>
      <c r="B3318" s="19">
        <v>0</v>
      </c>
      <c r="C3318" s="21">
        <v>0</v>
      </c>
      <c r="D3318" s="20" t="str">
        <v>未匹配</v>
      </c>
      <c r="E3318" s="20">
        <v>0</v>
      </c>
    </row>
    <row r="3319" spans="1:5">
      <c r="A3319" s="20" t="str">
        <v>00:00:00</v>
      </c>
      <c r="B3319" s="19">
        <v>0</v>
      </c>
      <c r="C3319" s="21">
        <v>0</v>
      </c>
      <c r="D3319" s="20" t="str">
        <v>未匹配</v>
      </c>
      <c r="E3319" s="20">
        <v>0</v>
      </c>
    </row>
    <row r="3320" spans="1:5">
      <c r="A3320" s="20" t="str">
        <v>00:00:00</v>
      </c>
      <c r="B3320" s="19">
        <v>0</v>
      </c>
      <c r="C3320" s="21">
        <v>0</v>
      </c>
      <c r="D3320" s="20" t="str">
        <v>未匹配</v>
      </c>
      <c r="E3320" s="20">
        <v>0</v>
      </c>
    </row>
    <row r="3321" spans="1:5">
      <c r="A3321" s="20" t="str">
        <v>00:00:00</v>
      </c>
      <c r="B3321" s="19">
        <v>0</v>
      </c>
      <c r="C3321" s="21">
        <v>0</v>
      </c>
      <c r="D3321" s="20" t="str">
        <v>未匹配</v>
      </c>
      <c r="E3321" s="20">
        <v>0</v>
      </c>
    </row>
    <row r="3322" spans="1:5">
      <c r="A3322" s="20" t="str">
        <v>00:00:00</v>
      </c>
      <c r="B3322" s="19">
        <v>0</v>
      </c>
      <c r="C3322" s="21">
        <v>0</v>
      </c>
      <c r="D3322" s="20" t="str">
        <v>未匹配</v>
      </c>
      <c r="E3322" s="20">
        <v>0</v>
      </c>
    </row>
    <row r="3323" spans="1:5">
      <c r="A3323" s="20" t="str">
        <v>00:00:00</v>
      </c>
      <c r="B3323" s="19">
        <v>0</v>
      </c>
      <c r="C3323" s="21">
        <v>0</v>
      </c>
      <c r="D3323" s="20" t="str">
        <v>未匹配</v>
      </c>
      <c r="E3323" s="20">
        <v>0</v>
      </c>
    </row>
    <row r="3324" spans="1:5">
      <c r="A3324" s="20" t="str">
        <v>00:00:00</v>
      </c>
      <c r="B3324" s="19">
        <v>0</v>
      </c>
      <c r="C3324" s="21">
        <v>0</v>
      </c>
      <c r="D3324" s="20" t="str">
        <v>未匹配</v>
      </c>
      <c r="E3324" s="20">
        <v>0</v>
      </c>
    </row>
    <row r="3325" spans="1:5">
      <c r="A3325" s="20" t="str">
        <v>00:00:00</v>
      </c>
      <c r="B3325" s="19">
        <v>0</v>
      </c>
      <c r="C3325" s="21">
        <v>0</v>
      </c>
      <c r="D3325" s="20" t="str">
        <v>未匹配</v>
      </c>
      <c r="E3325" s="20">
        <v>0</v>
      </c>
    </row>
    <row r="3326" spans="1:5">
      <c r="A3326" s="20" t="str">
        <v>00:00:00</v>
      </c>
      <c r="B3326" s="19">
        <v>0</v>
      </c>
      <c r="C3326" s="21">
        <v>0</v>
      </c>
      <c r="D3326" s="20" t="str">
        <v>未匹配</v>
      </c>
      <c r="E3326" s="20">
        <v>0</v>
      </c>
    </row>
    <row r="3327" spans="1:5">
      <c r="A3327" s="20" t="str">
        <v>00:00:00</v>
      </c>
      <c r="B3327" s="19">
        <v>0</v>
      </c>
      <c r="C3327" s="21">
        <v>0</v>
      </c>
      <c r="D3327" s="20" t="str">
        <v>未匹配</v>
      </c>
      <c r="E3327" s="20">
        <v>0</v>
      </c>
    </row>
    <row r="3328" spans="1:5">
      <c r="A3328" s="20" t="str">
        <v>00:00:00</v>
      </c>
      <c r="B3328" s="19">
        <v>0</v>
      </c>
      <c r="C3328" s="21">
        <v>0</v>
      </c>
      <c r="D3328" s="20" t="str">
        <v>未匹配</v>
      </c>
      <c r="E3328" s="20">
        <v>0</v>
      </c>
    </row>
    <row r="3329" spans="1:5">
      <c r="A3329" s="20" t="str">
        <v>00:00:00</v>
      </c>
      <c r="B3329" s="19">
        <v>0</v>
      </c>
      <c r="C3329" s="21">
        <v>0</v>
      </c>
      <c r="D3329" s="20" t="str">
        <v>未匹配</v>
      </c>
      <c r="E3329" s="20">
        <v>0</v>
      </c>
    </row>
    <row r="3330" spans="1:5">
      <c r="A3330" s="20" t="str">
        <v>00:00:00</v>
      </c>
      <c r="B3330" s="19">
        <v>0</v>
      </c>
      <c r="C3330" s="21">
        <v>0</v>
      </c>
      <c r="D3330" s="20" t="str">
        <v>未匹配</v>
      </c>
      <c r="E3330" s="20">
        <v>0</v>
      </c>
    </row>
    <row r="3331" spans="1:5">
      <c r="A3331" s="20" t="str">
        <v>00:00:00</v>
      </c>
      <c r="B3331" s="19">
        <v>0</v>
      </c>
      <c r="C3331" s="21">
        <v>0</v>
      </c>
      <c r="D3331" s="20" t="str">
        <v>未匹配</v>
      </c>
      <c r="E3331" s="20">
        <v>0</v>
      </c>
    </row>
    <row r="3332" spans="1:5">
      <c r="A3332" s="20" t="str">
        <v>00:00:00</v>
      </c>
      <c r="B3332" s="19">
        <v>0</v>
      </c>
      <c r="C3332" s="21">
        <v>0</v>
      </c>
      <c r="D3332" s="20" t="str">
        <v>未匹配</v>
      </c>
      <c r="E3332" s="20">
        <v>0</v>
      </c>
    </row>
    <row r="3333" spans="1:5">
      <c r="A3333" s="20" t="str">
        <v>00:00:00</v>
      </c>
      <c r="B3333" s="19">
        <v>0</v>
      </c>
      <c r="C3333" s="21">
        <v>0</v>
      </c>
      <c r="D3333" s="20" t="str">
        <v>未匹配</v>
      </c>
      <c r="E3333" s="20">
        <v>0</v>
      </c>
    </row>
    <row r="3334" spans="1:5">
      <c r="A3334" s="20" t="str">
        <v>00:00:00</v>
      </c>
      <c r="B3334" s="19">
        <v>0</v>
      </c>
      <c r="C3334" s="21">
        <v>0</v>
      </c>
      <c r="D3334" s="20" t="str">
        <v>未匹配</v>
      </c>
      <c r="E3334" s="20">
        <v>0</v>
      </c>
    </row>
    <row r="3335" spans="1:5">
      <c r="A3335" s="20" t="str">
        <v>00:00:00</v>
      </c>
      <c r="B3335" s="19">
        <v>0</v>
      </c>
      <c r="C3335" s="21">
        <v>0</v>
      </c>
      <c r="D3335" s="20" t="str">
        <v>未匹配</v>
      </c>
      <c r="E3335" s="20">
        <v>0</v>
      </c>
    </row>
    <row r="3336" spans="1:5">
      <c r="A3336" s="20" t="str">
        <v>00:00:00</v>
      </c>
      <c r="B3336" s="19">
        <v>0</v>
      </c>
      <c r="C3336" s="21">
        <v>0</v>
      </c>
      <c r="D3336" s="20" t="str">
        <v>未匹配</v>
      </c>
      <c r="E3336" s="20">
        <v>0</v>
      </c>
    </row>
    <row r="3337" spans="1:5">
      <c r="A3337" s="20" t="str">
        <v>00:00:00</v>
      </c>
      <c r="B3337" s="19">
        <v>0</v>
      </c>
      <c r="C3337" s="21">
        <v>0</v>
      </c>
      <c r="D3337" s="20" t="str">
        <v>未匹配</v>
      </c>
      <c r="E3337" s="20">
        <v>0</v>
      </c>
    </row>
    <row r="3338" spans="1:5">
      <c r="A3338" s="20" t="str">
        <v>00:00:00</v>
      </c>
      <c r="B3338" s="19">
        <v>0</v>
      </c>
      <c r="C3338" s="21">
        <v>0</v>
      </c>
      <c r="D3338" s="20" t="str">
        <v>未匹配</v>
      </c>
      <c r="E3338" s="20">
        <v>0</v>
      </c>
    </row>
    <row r="3339" spans="1:5">
      <c r="A3339" s="20" t="str">
        <v>00:00:00</v>
      </c>
      <c r="B3339" s="19">
        <v>0</v>
      </c>
      <c r="C3339" s="21">
        <v>0</v>
      </c>
      <c r="D3339" s="20" t="str">
        <v>未匹配</v>
      </c>
      <c r="E3339" s="20">
        <v>0</v>
      </c>
    </row>
    <row r="3340" spans="1:5">
      <c r="A3340" s="20" t="str">
        <v>00:00:00</v>
      </c>
      <c r="B3340" s="19">
        <v>0</v>
      </c>
      <c r="C3340" s="21">
        <v>0</v>
      </c>
      <c r="D3340" s="20" t="str">
        <v>未匹配</v>
      </c>
      <c r="E3340" s="20">
        <v>0</v>
      </c>
    </row>
    <row r="3341" spans="1:5">
      <c r="A3341" s="20" t="str">
        <v>00:00:00</v>
      </c>
      <c r="B3341" s="19">
        <v>0</v>
      </c>
      <c r="C3341" s="21">
        <v>0</v>
      </c>
      <c r="D3341" s="20" t="str">
        <v>未匹配</v>
      </c>
      <c r="E3341" s="20">
        <v>0</v>
      </c>
    </row>
    <row r="3342" spans="1:5">
      <c r="A3342" s="20" t="str">
        <v>00:00:00</v>
      </c>
      <c r="B3342" s="19">
        <v>0</v>
      </c>
      <c r="C3342" s="21">
        <v>0</v>
      </c>
      <c r="D3342" s="20" t="str">
        <v>未匹配</v>
      </c>
      <c r="E3342" s="20">
        <v>0</v>
      </c>
    </row>
    <row r="3343" spans="1:5">
      <c r="A3343" s="20" t="str">
        <v>00:00:00</v>
      </c>
      <c r="B3343" s="19">
        <v>0</v>
      </c>
      <c r="C3343" s="21">
        <v>0</v>
      </c>
      <c r="D3343" s="20" t="str">
        <v>未匹配</v>
      </c>
      <c r="E3343" s="20">
        <v>0</v>
      </c>
    </row>
    <row r="3344" spans="1:5">
      <c r="A3344" s="20" t="str">
        <v>00:00:00</v>
      </c>
      <c r="B3344" s="19">
        <v>0</v>
      </c>
      <c r="C3344" s="21">
        <v>0</v>
      </c>
      <c r="D3344" s="20" t="str">
        <v>未匹配</v>
      </c>
      <c r="E3344" s="20">
        <v>0</v>
      </c>
    </row>
    <row r="3345" spans="1:5">
      <c r="A3345" s="20" t="str">
        <v>00:00:00</v>
      </c>
      <c r="B3345" s="19">
        <v>0</v>
      </c>
      <c r="C3345" s="21">
        <v>0</v>
      </c>
      <c r="D3345" s="20" t="str">
        <v>未匹配</v>
      </c>
      <c r="E3345" s="20">
        <v>0</v>
      </c>
    </row>
    <row r="3346" spans="1:5">
      <c r="A3346" s="20" t="str">
        <v>00:00:00</v>
      </c>
      <c r="B3346" s="19">
        <v>0</v>
      </c>
      <c r="C3346" s="21">
        <v>0</v>
      </c>
      <c r="D3346" s="20" t="str">
        <v>未匹配</v>
      </c>
      <c r="E3346" s="20">
        <v>0</v>
      </c>
    </row>
    <row r="3347" spans="1:5">
      <c r="A3347" s="20" t="str">
        <v>00:00:00</v>
      </c>
      <c r="B3347" s="19">
        <v>0</v>
      </c>
      <c r="C3347" s="21">
        <v>0</v>
      </c>
      <c r="D3347" s="20" t="str">
        <v>未匹配</v>
      </c>
      <c r="E3347" s="20">
        <v>0</v>
      </c>
    </row>
    <row r="3348" spans="1:5">
      <c r="A3348" s="20" t="str">
        <v>00:00:00</v>
      </c>
      <c r="B3348" s="19">
        <v>0</v>
      </c>
      <c r="C3348" s="21">
        <v>0</v>
      </c>
      <c r="D3348" s="20" t="str">
        <v>未匹配</v>
      </c>
      <c r="E3348" s="20">
        <v>0</v>
      </c>
    </row>
    <row r="3349" spans="1:5">
      <c r="A3349" s="20" t="str">
        <v>00:00:00</v>
      </c>
      <c r="B3349" s="19">
        <v>0</v>
      </c>
      <c r="C3349" s="21">
        <v>0</v>
      </c>
      <c r="D3349" s="20" t="str">
        <v>未匹配</v>
      </c>
      <c r="E3349" s="20">
        <v>0</v>
      </c>
    </row>
    <row r="3350" spans="1:5">
      <c r="A3350" s="20" t="str">
        <v>00:00:00</v>
      </c>
      <c r="B3350" s="19">
        <v>0</v>
      </c>
      <c r="C3350" s="21">
        <v>0</v>
      </c>
      <c r="D3350" s="20" t="str">
        <v>未匹配</v>
      </c>
      <c r="E3350" s="20">
        <v>0</v>
      </c>
    </row>
    <row r="3351" spans="1:5">
      <c r="A3351" s="20" t="str">
        <v>00:00:00</v>
      </c>
      <c r="B3351" s="19">
        <v>0</v>
      </c>
      <c r="C3351" s="21">
        <v>0</v>
      </c>
      <c r="D3351" s="20" t="str">
        <v>未匹配</v>
      </c>
      <c r="E3351" s="20">
        <v>0</v>
      </c>
    </row>
    <row r="3352" spans="1:5">
      <c r="A3352" s="20" t="str">
        <v>00:00:00</v>
      </c>
      <c r="B3352" s="19">
        <v>0</v>
      </c>
      <c r="C3352" s="21">
        <v>0</v>
      </c>
      <c r="D3352" s="20" t="str">
        <v>未匹配</v>
      </c>
      <c r="E3352" s="20">
        <v>0</v>
      </c>
    </row>
    <row r="3353" spans="1:5">
      <c r="A3353" s="20" t="str">
        <v>00:00:00</v>
      </c>
      <c r="B3353" s="19">
        <v>0</v>
      </c>
      <c r="C3353" s="21">
        <v>0</v>
      </c>
      <c r="D3353" s="20" t="str">
        <v>未匹配</v>
      </c>
      <c r="E3353" s="20">
        <v>0</v>
      </c>
    </row>
    <row r="3354" spans="1:5">
      <c r="A3354" s="20" t="str">
        <v>00:00:00</v>
      </c>
      <c r="B3354" s="19">
        <v>0</v>
      </c>
      <c r="C3354" s="21">
        <v>0</v>
      </c>
      <c r="D3354" s="20" t="str">
        <v>未匹配</v>
      </c>
      <c r="E3354" s="20">
        <v>0</v>
      </c>
    </row>
    <row r="3355" spans="1:5">
      <c r="A3355" s="20" t="str">
        <v>00:00:00</v>
      </c>
      <c r="B3355" s="19">
        <v>0</v>
      </c>
      <c r="C3355" s="21">
        <v>0</v>
      </c>
      <c r="D3355" s="20" t="str">
        <v>未匹配</v>
      </c>
      <c r="E3355" s="20">
        <v>0</v>
      </c>
    </row>
    <row r="3356" spans="1:5">
      <c r="A3356" s="20" t="str">
        <v>00:00:00</v>
      </c>
      <c r="B3356" s="19">
        <v>0</v>
      </c>
      <c r="C3356" s="21">
        <v>0</v>
      </c>
      <c r="D3356" s="20" t="str">
        <v>未匹配</v>
      </c>
      <c r="E3356" s="20">
        <v>0</v>
      </c>
    </row>
    <row r="3357" spans="1:5">
      <c r="A3357" s="20" t="str">
        <v>00:00:00</v>
      </c>
      <c r="B3357" s="19">
        <v>0</v>
      </c>
      <c r="C3357" s="21">
        <v>0</v>
      </c>
      <c r="D3357" s="20" t="str">
        <v>未匹配</v>
      </c>
      <c r="E3357" s="20">
        <v>0</v>
      </c>
    </row>
    <row r="3358" spans="1:5">
      <c r="A3358" s="20" t="str">
        <v>00:00:00</v>
      </c>
      <c r="B3358" s="19">
        <v>0</v>
      </c>
      <c r="C3358" s="21">
        <v>0</v>
      </c>
      <c r="D3358" s="20" t="str">
        <v>未匹配</v>
      </c>
      <c r="E3358" s="20">
        <v>0</v>
      </c>
    </row>
    <row r="3359" spans="1:5">
      <c r="A3359" s="20" t="str">
        <v>00:00:00</v>
      </c>
      <c r="B3359" s="19">
        <v>0</v>
      </c>
      <c r="C3359" s="21">
        <v>0</v>
      </c>
      <c r="D3359" s="20" t="str">
        <v>未匹配</v>
      </c>
      <c r="E3359" s="20">
        <v>0</v>
      </c>
    </row>
    <row r="3360" spans="1:5">
      <c r="A3360" s="20" t="str">
        <v>00:00:00</v>
      </c>
      <c r="B3360" s="19">
        <v>0</v>
      </c>
      <c r="C3360" s="21">
        <v>0</v>
      </c>
      <c r="D3360" s="20" t="str">
        <v>未匹配</v>
      </c>
      <c r="E3360" s="20">
        <v>0</v>
      </c>
    </row>
    <row r="3361" spans="1:5">
      <c r="A3361" s="20" t="str">
        <v>00:00:00</v>
      </c>
      <c r="B3361" s="19">
        <v>0</v>
      </c>
      <c r="C3361" s="21">
        <v>0</v>
      </c>
      <c r="D3361" s="20" t="str">
        <v>未匹配</v>
      </c>
      <c r="E3361" s="20">
        <v>0</v>
      </c>
    </row>
    <row r="3362" spans="1:5">
      <c r="A3362" s="20" t="str">
        <v>00:00:00</v>
      </c>
      <c r="B3362" s="19">
        <v>0</v>
      </c>
      <c r="C3362" s="21">
        <v>0</v>
      </c>
      <c r="D3362" s="20" t="str">
        <v>未匹配</v>
      </c>
      <c r="E3362" s="20">
        <v>0</v>
      </c>
    </row>
    <row r="3363" spans="1:5">
      <c r="A3363" s="20" t="str">
        <v>00:00:00</v>
      </c>
      <c r="B3363" s="19">
        <v>0</v>
      </c>
      <c r="C3363" s="21">
        <v>0</v>
      </c>
      <c r="D3363" s="20" t="str">
        <v>未匹配</v>
      </c>
      <c r="E3363" s="20">
        <v>0</v>
      </c>
    </row>
    <row r="3364" spans="1:5">
      <c r="A3364" s="20" t="str">
        <v>00:00:00</v>
      </c>
      <c r="B3364" s="19">
        <v>0</v>
      </c>
      <c r="C3364" s="21">
        <v>0</v>
      </c>
      <c r="D3364" s="20" t="str">
        <v>未匹配</v>
      </c>
      <c r="E3364" s="20">
        <v>0</v>
      </c>
    </row>
    <row r="3365" spans="1:5">
      <c r="A3365" s="20" t="str">
        <v>00:00:00</v>
      </c>
      <c r="B3365" s="19">
        <v>0</v>
      </c>
      <c r="C3365" s="21">
        <v>0</v>
      </c>
      <c r="D3365" s="20" t="str">
        <v>未匹配</v>
      </c>
      <c r="E3365" s="20">
        <v>0</v>
      </c>
    </row>
    <row r="3366" spans="1:5">
      <c r="A3366" s="20" t="str">
        <v>00:00:00</v>
      </c>
      <c r="B3366" s="19">
        <v>0</v>
      </c>
      <c r="C3366" s="21">
        <v>0</v>
      </c>
      <c r="D3366" s="20" t="str">
        <v>未匹配</v>
      </c>
      <c r="E3366" s="20">
        <v>0</v>
      </c>
    </row>
    <row r="3367" spans="1:5">
      <c r="A3367" s="20" t="str">
        <v>00:00:00</v>
      </c>
      <c r="B3367" s="19">
        <v>0</v>
      </c>
      <c r="C3367" s="21">
        <v>0</v>
      </c>
      <c r="D3367" s="20" t="str">
        <v>未匹配</v>
      </c>
      <c r="E3367" s="20">
        <v>0</v>
      </c>
    </row>
    <row r="3368" spans="1:5">
      <c r="A3368" s="20" t="str">
        <v>00:00:00</v>
      </c>
      <c r="B3368" s="19">
        <v>0</v>
      </c>
      <c r="C3368" s="21">
        <v>0</v>
      </c>
      <c r="D3368" s="20" t="str">
        <v>未匹配</v>
      </c>
      <c r="E3368" s="20">
        <v>0</v>
      </c>
    </row>
    <row r="3369" spans="1:5">
      <c r="A3369" s="20" t="str">
        <v>00:00:00</v>
      </c>
      <c r="B3369" s="19">
        <v>0</v>
      </c>
      <c r="C3369" s="21">
        <v>0</v>
      </c>
      <c r="D3369" s="20" t="str">
        <v>未匹配</v>
      </c>
      <c r="E3369" s="20">
        <v>0</v>
      </c>
    </row>
    <row r="3370" spans="1:5">
      <c r="A3370" s="20" t="str">
        <v>00:00:00</v>
      </c>
      <c r="B3370" s="19">
        <v>0</v>
      </c>
      <c r="C3370" s="21">
        <v>0</v>
      </c>
      <c r="D3370" s="20" t="str">
        <v>未匹配</v>
      </c>
      <c r="E3370" s="20">
        <v>0</v>
      </c>
    </row>
    <row r="3371" spans="1:5">
      <c r="A3371" s="20" t="str">
        <v>00:00:00</v>
      </c>
      <c r="B3371" s="19">
        <v>0</v>
      </c>
      <c r="C3371" s="21">
        <v>0</v>
      </c>
      <c r="D3371" s="20" t="str">
        <v>未匹配</v>
      </c>
      <c r="E3371" s="20">
        <v>0</v>
      </c>
    </row>
    <row r="3372" spans="1:5">
      <c r="A3372" s="20" t="str">
        <v>00:00:00</v>
      </c>
      <c r="B3372" s="19">
        <v>0</v>
      </c>
      <c r="C3372" s="21">
        <v>0</v>
      </c>
      <c r="D3372" s="20" t="str">
        <v>未匹配</v>
      </c>
      <c r="E3372" s="20">
        <v>0</v>
      </c>
    </row>
    <row r="3373" spans="1:5">
      <c r="A3373" s="20" t="str">
        <v>00:00:00</v>
      </c>
      <c r="B3373" s="19">
        <v>0</v>
      </c>
      <c r="C3373" s="21">
        <v>0</v>
      </c>
      <c r="D3373" s="20" t="str">
        <v>未匹配</v>
      </c>
      <c r="E3373" s="20">
        <v>0</v>
      </c>
    </row>
    <row r="3374" spans="1:5">
      <c r="A3374" s="20" t="str">
        <v>00:00:00</v>
      </c>
      <c r="B3374" s="19">
        <v>0</v>
      </c>
      <c r="C3374" s="21">
        <v>0</v>
      </c>
      <c r="D3374" s="20" t="str">
        <v>未匹配</v>
      </c>
      <c r="E3374" s="20">
        <v>0</v>
      </c>
    </row>
    <row r="3375" spans="1:5">
      <c r="A3375" s="20" t="str">
        <v>00:00:00</v>
      </c>
      <c r="B3375" s="19">
        <v>0</v>
      </c>
      <c r="C3375" s="21">
        <v>0</v>
      </c>
      <c r="D3375" s="20" t="str">
        <v>未匹配</v>
      </c>
      <c r="E3375" s="20">
        <v>0</v>
      </c>
    </row>
    <row r="3376" spans="1:5">
      <c r="A3376" s="20" t="str">
        <v>00:00:00</v>
      </c>
      <c r="B3376" s="19">
        <v>0</v>
      </c>
      <c r="C3376" s="21">
        <v>0</v>
      </c>
      <c r="D3376" s="20" t="str">
        <v>未匹配</v>
      </c>
      <c r="E3376" s="20">
        <v>0</v>
      </c>
    </row>
    <row r="3377" spans="1:5">
      <c r="A3377" s="20" t="str">
        <v>00:00:00</v>
      </c>
      <c r="B3377" s="19">
        <v>0</v>
      </c>
      <c r="C3377" s="21">
        <v>0</v>
      </c>
      <c r="D3377" s="20" t="str">
        <v>未匹配</v>
      </c>
      <c r="E3377" s="20">
        <v>0</v>
      </c>
    </row>
    <row r="3378" spans="1:5">
      <c r="A3378" s="20" t="str">
        <v>00:00:00</v>
      </c>
      <c r="B3378" s="19">
        <v>0</v>
      </c>
      <c r="C3378" s="21">
        <v>0</v>
      </c>
      <c r="D3378" s="20" t="str">
        <v>未匹配</v>
      </c>
      <c r="E3378" s="20">
        <v>0</v>
      </c>
    </row>
    <row r="3379" spans="1:5">
      <c r="A3379" s="20" t="str">
        <v>00:00:00</v>
      </c>
      <c r="B3379" s="19">
        <v>0</v>
      </c>
      <c r="C3379" s="21">
        <v>0</v>
      </c>
      <c r="D3379" s="20" t="str">
        <v>未匹配</v>
      </c>
      <c r="E3379" s="20">
        <v>0</v>
      </c>
    </row>
    <row r="3380" spans="1:5">
      <c r="A3380" s="20" t="str">
        <v>00:00:00</v>
      </c>
      <c r="B3380" s="19">
        <v>0</v>
      </c>
      <c r="C3380" s="21">
        <v>0</v>
      </c>
      <c r="D3380" s="20" t="str">
        <v>未匹配</v>
      </c>
      <c r="E3380" s="20">
        <v>0</v>
      </c>
    </row>
    <row r="3381" spans="1:5">
      <c r="A3381" s="20" t="str">
        <v>00:00:00</v>
      </c>
      <c r="B3381" s="19">
        <v>0</v>
      </c>
      <c r="C3381" s="21">
        <v>0</v>
      </c>
      <c r="D3381" s="20" t="str">
        <v>未匹配</v>
      </c>
      <c r="E3381" s="20">
        <v>0</v>
      </c>
    </row>
    <row r="3382" spans="1:5">
      <c r="A3382" s="20" t="str">
        <v>00:00:00</v>
      </c>
      <c r="B3382" s="19">
        <v>0</v>
      </c>
      <c r="C3382" s="21">
        <v>0</v>
      </c>
      <c r="D3382" s="20" t="str">
        <v>未匹配</v>
      </c>
      <c r="E3382" s="20">
        <v>0</v>
      </c>
    </row>
    <row r="3383" spans="1:5">
      <c r="A3383" s="20" t="str">
        <v>00:00:00</v>
      </c>
      <c r="B3383" s="19">
        <v>0</v>
      </c>
      <c r="C3383" s="21">
        <v>0</v>
      </c>
      <c r="D3383" s="20" t="str">
        <v>未匹配</v>
      </c>
      <c r="E3383" s="20">
        <v>0</v>
      </c>
    </row>
    <row r="3384" spans="1:5">
      <c r="A3384" s="20" t="str">
        <v>00:00:00</v>
      </c>
      <c r="B3384" s="19">
        <v>0</v>
      </c>
      <c r="C3384" s="21">
        <v>0</v>
      </c>
      <c r="D3384" s="20" t="str">
        <v>未匹配</v>
      </c>
      <c r="E3384" s="20">
        <v>0</v>
      </c>
    </row>
    <row r="3385" spans="1:5">
      <c r="A3385" s="20" t="str">
        <v>00:00:00</v>
      </c>
      <c r="B3385" s="19">
        <v>0</v>
      </c>
      <c r="C3385" s="21">
        <v>0</v>
      </c>
      <c r="D3385" s="20" t="str">
        <v>未匹配</v>
      </c>
      <c r="E3385" s="20">
        <v>0</v>
      </c>
    </row>
    <row r="3386" spans="1:5">
      <c r="A3386" s="20" t="str">
        <v>00:00:00</v>
      </c>
      <c r="B3386" s="19">
        <v>0</v>
      </c>
      <c r="C3386" s="21">
        <v>0</v>
      </c>
      <c r="D3386" s="20" t="str">
        <v>未匹配</v>
      </c>
      <c r="E3386" s="20">
        <v>0</v>
      </c>
    </row>
    <row r="3387" spans="1:5">
      <c r="A3387" s="20" t="str">
        <v>00:00:00</v>
      </c>
      <c r="B3387" s="19">
        <v>0</v>
      </c>
      <c r="C3387" s="21">
        <v>0</v>
      </c>
      <c r="D3387" s="20" t="str">
        <v>未匹配</v>
      </c>
      <c r="E3387" s="20">
        <v>0</v>
      </c>
    </row>
    <row r="3388" spans="1:5">
      <c r="A3388" s="20" t="str">
        <v>00:00:00</v>
      </c>
      <c r="B3388" s="19">
        <v>0</v>
      </c>
      <c r="C3388" s="21">
        <v>0</v>
      </c>
      <c r="D3388" s="20" t="str">
        <v>未匹配</v>
      </c>
      <c r="E3388" s="20">
        <v>0</v>
      </c>
    </row>
    <row r="3389" spans="1:5">
      <c r="A3389" s="20" t="str">
        <v>00:00:00</v>
      </c>
      <c r="B3389" s="19">
        <v>0</v>
      </c>
      <c r="C3389" s="21">
        <v>0</v>
      </c>
      <c r="D3389" s="20" t="str">
        <v>未匹配</v>
      </c>
      <c r="E3389" s="20">
        <v>0</v>
      </c>
    </row>
    <row r="3390" spans="1:5">
      <c r="A3390" s="20" t="str">
        <v>00:00:00</v>
      </c>
      <c r="B3390" s="19">
        <v>0</v>
      </c>
      <c r="C3390" s="21">
        <v>0</v>
      </c>
      <c r="D3390" s="20" t="str">
        <v>未匹配</v>
      </c>
      <c r="E3390" s="20">
        <v>0</v>
      </c>
    </row>
    <row r="3391" spans="1:5">
      <c r="A3391" s="20" t="str">
        <v>00:00:00</v>
      </c>
      <c r="B3391" s="19">
        <v>0</v>
      </c>
      <c r="C3391" s="21">
        <v>0</v>
      </c>
      <c r="D3391" s="20" t="str">
        <v>未匹配</v>
      </c>
      <c r="E3391" s="20">
        <v>0</v>
      </c>
    </row>
    <row r="3392" spans="1:5">
      <c r="A3392" s="20" t="str">
        <v>00:00:00</v>
      </c>
      <c r="B3392" s="19">
        <v>0</v>
      </c>
      <c r="C3392" s="21">
        <v>0</v>
      </c>
      <c r="D3392" s="20" t="str">
        <v>未匹配</v>
      </c>
      <c r="E3392" s="20">
        <v>0</v>
      </c>
    </row>
    <row r="3393" spans="1:5">
      <c r="A3393" s="20" t="str">
        <v>00:00:00</v>
      </c>
      <c r="B3393" s="19">
        <v>0</v>
      </c>
      <c r="C3393" s="21">
        <v>0</v>
      </c>
      <c r="D3393" s="20" t="str">
        <v>未匹配</v>
      </c>
      <c r="E3393" s="20">
        <v>0</v>
      </c>
    </row>
    <row r="3394" spans="1:5">
      <c r="A3394" s="20" t="str">
        <v>00:00:00</v>
      </c>
      <c r="B3394" s="19">
        <v>0</v>
      </c>
      <c r="C3394" s="21">
        <v>0</v>
      </c>
      <c r="D3394" s="20" t="str">
        <v>未匹配</v>
      </c>
      <c r="E3394" s="20">
        <v>0</v>
      </c>
    </row>
    <row r="3395" spans="1:5">
      <c r="A3395" s="20" t="str">
        <v>00:00:00</v>
      </c>
      <c r="B3395" s="19">
        <v>0</v>
      </c>
      <c r="C3395" s="21">
        <v>0</v>
      </c>
      <c r="D3395" s="20" t="str">
        <v>未匹配</v>
      </c>
      <c r="E3395" s="20">
        <v>0</v>
      </c>
    </row>
    <row r="3396" spans="1:5">
      <c r="A3396" s="20" t="str">
        <v>00:00:00</v>
      </c>
      <c r="B3396" s="19">
        <v>0</v>
      </c>
      <c r="C3396" s="21">
        <v>0</v>
      </c>
      <c r="D3396" s="20" t="str">
        <v>未匹配</v>
      </c>
      <c r="E3396" s="20">
        <v>0</v>
      </c>
    </row>
    <row r="3397" spans="1:5">
      <c r="A3397" s="20" t="str">
        <v>00:00:00</v>
      </c>
      <c r="B3397" s="19">
        <v>0</v>
      </c>
      <c r="C3397" s="21">
        <v>0</v>
      </c>
      <c r="D3397" s="20" t="str">
        <v>未匹配</v>
      </c>
      <c r="E3397" s="20">
        <v>0</v>
      </c>
    </row>
    <row r="3398" spans="1:5">
      <c r="A3398" s="20" t="str">
        <v>00:00:00</v>
      </c>
      <c r="B3398" s="19">
        <v>0</v>
      </c>
      <c r="C3398" s="21">
        <v>0</v>
      </c>
      <c r="D3398" s="20" t="str">
        <v>未匹配</v>
      </c>
      <c r="E3398" s="20">
        <v>0</v>
      </c>
    </row>
    <row r="3399" spans="1:5">
      <c r="A3399" s="20" t="str">
        <v>00:00:00</v>
      </c>
      <c r="B3399" s="19">
        <v>0</v>
      </c>
      <c r="C3399" s="21">
        <v>0</v>
      </c>
      <c r="D3399" s="20" t="str">
        <v>未匹配</v>
      </c>
      <c r="E3399" s="20">
        <v>0</v>
      </c>
    </row>
    <row r="3400" spans="1:5">
      <c r="A3400" s="20" t="str">
        <v>00:00:00</v>
      </c>
      <c r="B3400" s="19">
        <v>0</v>
      </c>
      <c r="C3400" s="21">
        <v>0</v>
      </c>
      <c r="D3400" s="20" t="str">
        <v>未匹配</v>
      </c>
      <c r="E3400" s="20">
        <v>0</v>
      </c>
    </row>
    <row r="3401" spans="1:5">
      <c r="A3401" s="20" t="str">
        <v>00:00:00</v>
      </c>
      <c r="B3401" s="19">
        <v>0</v>
      </c>
      <c r="C3401" s="21">
        <v>0</v>
      </c>
      <c r="D3401" s="20" t="str">
        <v>未匹配</v>
      </c>
      <c r="E3401" s="20">
        <v>0</v>
      </c>
    </row>
    <row r="3402" spans="1:5">
      <c r="A3402" s="20" t="str">
        <v>00:00:00</v>
      </c>
      <c r="B3402" s="19">
        <v>0</v>
      </c>
      <c r="C3402" s="21">
        <v>0</v>
      </c>
      <c r="D3402" s="20" t="str">
        <v>未匹配</v>
      </c>
      <c r="E3402" s="20">
        <v>0</v>
      </c>
    </row>
    <row r="3403" spans="1:5">
      <c r="A3403" s="20" t="str">
        <v>00:00:00</v>
      </c>
      <c r="B3403" s="19">
        <v>0</v>
      </c>
      <c r="C3403" s="21">
        <v>0</v>
      </c>
      <c r="D3403" s="20" t="str">
        <v>未匹配</v>
      </c>
      <c r="E3403" s="20">
        <v>0</v>
      </c>
    </row>
    <row r="3404" spans="1:5">
      <c r="A3404" s="20" t="str">
        <v>00:00:00</v>
      </c>
      <c r="B3404" s="19">
        <v>0</v>
      </c>
      <c r="C3404" s="21">
        <v>0</v>
      </c>
      <c r="D3404" s="20" t="str">
        <v>未匹配</v>
      </c>
      <c r="E3404" s="20">
        <v>0</v>
      </c>
    </row>
    <row r="3405" spans="1:5">
      <c r="A3405" s="20" t="str">
        <v>00:00:00</v>
      </c>
      <c r="B3405" s="19">
        <v>0</v>
      </c>
      <c r="C3405" s="21">
        <v>0</v>
      </c>
      <c r="D3405" s="20" t="str">
        <v>未匹配</v>
      </c>
      <c r="E3405" s="20">
        <v>0</v>
      </c>
    </row>
    <row r="3406" spans="1:5">
      <c r="A3406" s="20" t="str">
        <v>00:00:00</v>
      </c>
      <c r="B3406" s="19">
        <v>0</v>
      </c>
      <c r="C3406" s="21">
        <v>0</v>
      </c>
      <c r="D3406" s="20" t="str">
        <v>未匹配</v>
      </c>
      <c r="E3406" s="20">
        <v>0</v>
      </c>
    </row>
    <row r="3407" spans="1:5">
      <c r="A3407" s="20" t="str">
        <v>00:00:00</v>
      </c>
      <c r="B3407" s="19">
        <v>0</v>
      </c>
      <c r="C3407" s="21">
        <v>0</v>
      </c>
      <c r="D3407" s="20" t="str">
        <v>未匹配</v>
      </c>
      <c r="E3407" s="20">
        <v>0</v>
      </c>
    </row>
    <row r="3408" spans="1:5">
      <c r="A3408" s="20" t="str">
        <v>00:00:00</v>
      </c>
      <c r="B3408" s="19">
        <v>0</v>
      </c>
      <c r="C3408" s="21">
        <v>0</v>
      </c>
      <c r="D3408" s="20" t="str">
        <v>未匹配</v>
      </c>
      <c r="E3408" s="20">
        <v>0</v>
      </c>
    </row>
    <row r="3409" spans="1:5">
      <c r="A3409" s="20" t="str">
        <v>00:00:00</v>
      </c>
      <c r="B3409" s="19">
        <v>0</v>
      </c>
      <c r="C3409" s="21">
        <v>0</v>
      </c>
      <c r="D3409" s="20" t="str">
        <v>未匹配</v>
      </c>
      <c r="E3409" s="20">
        <v>0</v>
      </c>
    </row>
    <row r="3410" spans="1:5">
      <c r="A3410" s="20" t="str">
        <v>00:00:00</v>
      </c>
      <c r="B3410" s="19">
        <v>0</v>
      </c>
      <c r="C3410" s="21">
        <v>0</v>
      </c>
      <c r="D3410" s="20" t="str">
        <v>未匹配</v>
      </c>
      <c r="E3410" s="20">
        <v>0</v>
      </c>
    </row>
    <row r="3411" spans="1:5">
      <c r="A3411" s="20" t="str">
        <v>00:00:00</v>
      </c>
      <c r="B3411" s="19">
        <v>0</v>
      </c>
      <c r="C3411" s="21">
        <v>0</v>
      </c>
      <c r="D3411" s="20" t="str">
        <v>未匹配</v>
      </c>
      <c r="E3411" s="20">
        <v>0</v>
      </c>
    </row>
    <row r="3412" spans="1:5">
      <c r="A3412" s="20" t="str">
        <v>00:00:00</v>
      </c>
      <c r="B3412" s="19">
        <v>0</v>
      </c>
      <c r="C3412" s="21">
        <v>0</v>
      </c>
      <c r="D3412" s="20" t="str">
        <v>未匹配</v>
      </c>
      <c r="E3412" s="20">
        <v>0</v>
      </c>
    </row>
    <row r="3413" spans="1:5">
      <c r="A3413" s="20" t="str">
        <v>00:00:00</v>
      </c>
      <c r="B3413" s="19">
        <v>0</v>
      </c>
      <c r="C3413" s="21">
        <v>0</v>
      </c>
      <c r="D3413" s="20" t="str">
        <v>未匹配</v>
      </c>
      <c r="E3413" s="20">
        <v>0</v>
      </c>
    </row>
    <row r="3414" spans="1:5">
      <c r="A3414" s="20" t="str">
        <v>00:00:00</v>
      </c>
      <c r="B3414" s="19">
        <v>0</v>
      </c>
      <c r="C3414" s="21">
        <v>0</v>
      </c>
      <c r="D3414" s="20" t="str">
        <v>未匹配</v>
      </c>
      <c r="E3414" s="20">
        <v>0</v>
      </c>
    </row>
    <row r="3415" spans="1:5">
      <c r="A3415" s="20" t="str">
        <v>00:00:00</v>
      </c>
      <c r="B3415" s="19">
        <v>0</v>
      </c>
      <c r="C3415" s="21">
        <v>0</v>
      </c>
      <c r="D3415" s="20" t="str">
        <v>未匹配</v>
      </c>
      <c r="E3415" s="20">
        <v>0</v>
      </c>
    </row>
    <row r="3416" spans="1:5">
      <c r="A3416" s="20" t="str">
        <v>00:00:00</v>
      </c>
      <c r="B3416" s="19">
        <v>0</v>
      </c>
      <c r="C3416" s="21">
        <v>0</v>
      </c>
      <c r="D3416" s="20" t="str">
        <v>未匹配</v>
      </c>
      <c r="E3416" s="20">
        <v>0</v>
      </c>
    </row>
    <row r="3417" spans="1:5">
      <c r="A3417" s="20" t="str">
        <v>00:00:00</v>
      </c>
      <c r="B3417" s="19">
        <v>0</v>
      </c>
      <c r="C3417" s="21">
        <v>0</v>
      </c>
      <c r="D3417" s="20" t="str">
        <v>未匹配</v>
      </c>
      <c r="E3417" s="20">
        <v>0</v>
      </c>
    </row>
    <row r="3418" spans="1:5">
      <c r="A3418" s="20" t="str">
        <v>00:00:00</v>
      </c>
      <c r="B3418" s="19">
        <v>0</v>
      </c>
      <c r="C3418" s="21">
        <v>0</v>
      </c>
      <c r="D3418" s="20" t="str">
        <v>未匹配</v>
      </c>
      <c r="E3418" s="20">
        <v>0</v>
      </c>
    </row>
    <row r="3419" spans="1:5">
      <c r="A3419" s="20" t="str">
        <v>00:00:00</v>
      </c>
      <c r="B3419" s="19">
        <v>0</v>
      </c>
      <c r="C3419" s="21">
        <v>0</v>
      </c>
      <c r="D3419" s="20" t="str">
        <v>未匹配</v>
      </c>
      <c r="E3419" s="20">
        <v>0</v>
      </c>
    </row>
    <row r="3420" spans="1:5">
      <c r="A3420" s="20" t="str">
        <v>00:00:00</v>
      </c>
      <c r="B3420" s="19">
        <v>0</v>
      </c>
      <c r="C3420" s="21">
        <v>0</v>
      </c>
      <c r="D3420" s="20" t="str">
        <v>未匹配</v>
      </c>
      <c r="E3420" s="20">
        <v>0</v>
      </c>
    </row>
    <row r="3421" spans="1:5">
      <c r="A3421" s="20" t="str">
        <v>00:00:00</v>
      </c>
      <c r="B3421" s="19">
        <v>0</v>
      </c>
      <c r="C3421" s="21">
        <v>0</v>
      </c>
      <c r="D3421" s="20" t="str">
        <v>未匹配</v>
      </c>
      <c r="E3421" s="20">
        <v>0</v>
      </c>
    </row>
    <row r="3422" spans="1:5">
      <c r="A3422" s="20" t="str">
        <v>00:00:00</v>
      </c>
      <c r="B3422" s="19">
        <v>0</v>
      </c>
      <c r="C3422" s="21">
        <v>0</v>
      </c>
      <c r="D3422" s="20" t="str">
        <v>未匹配</v>
      </c>
      <c r="E3422" s="20">
        <v>0</v>
      </c>
    </row>
    <row r="3423" spans="1:5">
      <c r="A3423" s="20" t="str">
        <v>00:00:00</v>
      </c>
      <c r="B3423" s="19">
        <v>0</v>
      </c>
      <c r="C3423" s="21">
        <v>0</v>
      </c>
      <c r="D3423" s="20" t="str">
        <v>未匹配</v>
      </c>
      <c r="E3423" s="20">
        <v>0</v>
      </c>
    </row>
    <row r="3424" spans="1:5">
      <c r="A3424" s="20" t="str">
        <v>00:00:00</v>
      </c>
      <c r="B3424" s="19">
        <v>0</v>
      </c>
      <c r="C3424" s="21">
        <v>0</v>
      </c>
      <c r="D3424" s="20" t="str">
        <v>未匹配</v>
      </c>
      <c r="E3424" s="20">
        <v>0</v>
      </c>
    </row>
    <row r="3425" spans="1:5">
      <c r="A3425" s="20" t="str">
        <v>00:00:00</v>
      </c>
      <c r="B3425" s="19">
        <v>0</v>
      </c>
      <c r="C3425" s="21">
        <v>0</v>
      </c>
      <c r="D3425" s="20" t="str">
        <v>未匹配</v>
      </c>
      <c r="E3425" s="20">
        <v>0</v>
      </c>
    </row>
    <row r="3426" spans="1:5">
      <c r="A3426" s="20" t="str">
        <v>00:00:00</v>
      </c>
      <c r="B3426" s="19">
        <v>0</v>
      </c>
      <c r="C3426" s="21">
        <v>0</v>
      </c>
      <c r="D3426" s="20" t="str">
        <v>未匹配</v>
      </c>
      <c r="E3426" s="20">
        <v>0</v>
      </c>
    </row>
    <row r="3427" spans="1:5">
      <c r="A3427" s="20" t="str">
        <v>00:00:00</v>
      </c>
      <c r="B3427" s="19">
        <v>0</v>
      </c>
      <c r="C3427" s="21">
        <v>0</v>
      </c>
      <c r="D3427" s="20" t="str">
        <v>未匹配</v>
      </c>
      <c r="E3427" s="20">
        <v>0</v>
      </c>
    </row>
    <row r="3428" spans="1:5">
      <c r="A3428" s="20" t="str">
        <v>00:00:00</v>
      </c>
      <c r="B3428" s="19">
        <v>0</v>
      </c>
      <c r="C3428" s="21">
        <v>0</v>
      </c>
      <c r="D3428" s="20" t="str">
        <v>未匹配</v>
      </c>
      <c r="E3428" s="20">
        <v>0</v>
      </c>
    </row>
    <row r="3429" spans="1:5">
      <c r="A3429" s="20" t="str">
        <v>00:00:00</v>
      </c>
      <c r="B3429" s="19">
        <v>0</v>
      </c>
      <c r="C3429" s="21">
        <v>0</v>
      </c>
      <c r="D3429" s="20" t="str">
        <v>未匹配</v>
      </c>
      <c r="E3429" s="20">
        <v>0</v>
      </c>
    </row>
    <row r="3430" spans="1:5">
      <c r="A3430" s="20" t="str">
        <v>00:00:00</v>
      </c>
      <c r="B3430" s="19">
        <v>0</v>
      </c>
      <c r="C3430" s="21">
        <v>0</v>
      </c>
      <c r="D3430" s="20" t="str">
        <v>未匹配</v>
      </c>
      <c r="E3430" s="20">
        <v>0</v>
      </c>
    </row>
    <row r="3431" spans="1:5">
      <c r="A3431" s="20" t="str">
        <v>00:00:00</v>
      </c>
      <c r="B3431" s="19">
        <v>0</v>
      </c>
      <c r="C3431" s="21">
        <v>0</v>
      </c>
      <c r="D3431" s="20" t="str">
        <v>未匹配</v>
      </c>
      <c r="E3431" s="20">
        <v>0</v>
      </c>
    </row>
    <row r="3432" spans="1:5">
      <c r="A3432" s="20" t="str">
        <v>00:00:00</v>
      </c>
      <c r="B3432" s="19">
        <v>0</v>
      </c>
      <c r="C3432" s="21">
        <v>0</v>
      </c>
      <c r="D3432" s="20" t="str">
        <v>未匹配</v>
      </c>
      <c r="E3432" s="20">
        <v>0</v>
      </c>
    </row>
    <row r="3433" spans="1:5">
      <c r="A3433" s="20" t="str">
        <v>00:00:00</v>
      </c>
      <c r="B3433" s="19">
        <v>0</v>
      </c>
      <c r="C3433" s="21">
        <v>0</v>
      </c>
      <c r="D3433" s="20" t="str">
        <v>未匹配</v>
      </c>
      <c r="E3433" s="20">
        <v>0</v>
      </c>
    </row>
    <row r="3434" spans="1:5">
      <c r="A3434" s="20" t="str">
        <v>00:00:00</v>
      </c>
      <c r="B3434" s="19">
        <v>0</v>
      </c>
      <c r="C3434" s="21">
        <v>0</v>
      </c>
      <c r="D3434" s="20" t="str">
        <v>未匹配</v>
      </c>
      <c r="E3434" s="20">
        <v>0</v>
      </c>
    </row>
    <row r="3435" spans="1:5">
      <c r="A3435" s="20" t="str">
        <v>00:00:00</v>
      </c>
      <c r="B3435" s="19">
        <v>0</v>
      </c>
      <c r="C3435" s="21">
        <v>0</v>
      </c>
      <c r="D3435" s="20" t="str">
        <v>未匹配</v>
      </c>
      <c r="E3435" s="20">
        <v>0</v>
      </c>
    </row>
    <row r="3436" spans="1:5">
      <c r="A3436" s="20" t="str">
        <v>00:00:00</v>
      </c>
      <c r="B3436" s="19">
        <v>0</v>
      </c>
      <c r="C3436" s="21">
        <v>0</v>
      </c>
      <c r="D3436" s="20" t="str">
        <v>未匹配</v>
      </c>
      <c r="E3436" s="20">
        <v>0</v>
      </c>
    </row>
    <row r="3437" spans="1:5">
      <c r="A3437" s="20" t="str">
        <v>00:00:00</v>
      </c>
      <c r="B3437" s="19">
        <v>0</v>
      </c>
      <c r="C3437" s="21">
        <v>0</v>
      </c>
      <c r="D3437" s="20" t="str">
        <v>未匹配</v>
      </c>
      <c r="E3437" s="20">
        <v>0</v>
      </c>
    </row>
    <row r="3438" spans="1:5">
      <c r="A3438" s="20" t="str">
        <v>00:00:00</v>
      </c>
      <c r="B3438" s="19">
        <v>0</v>
      </c>
      <c r="C3438" s="21">
        <v>0</v>
      </c>
      <c r="D3438" s="20" t="str">
        <v>未匹配</v>
      </c>
      <c r="E3438" s="20">
        <v>0</v>
      </c>
    </row>
    <row r="3439" spans="1:5">
      <c r="A3439" s="20" t="str">
        <v>00:00:00</v>
      </c>
      <c r="B3439" s="19">
        <v>0</v>
      </c>
      <c r="C3439" s="21">
        <v>0</v>
      </c>
      <c r="D3439" s="20" t="str">
        <v>未匹配</v>
      </c>
      <c r="E3439" s="20">
        <v>0</v>
      </c>
    </row>
    <row r="3440" spans="1:5">
      <c r="A3440" s="20" t="str">
        <v>00:00:00</v>
      </c>
      <c r="B3440" s="19">
        <v>0</v>
      </c>
      <c r="C3440" s="21">
        <v>0</v>
      </c>
      <c r="D3440" s="20" t="str">
        <v>未匹配</v>
      </c>
      <c r="E3440" s="20">
        <v>0</v>
      </c>
    </row>
    <row r="3441" spans="1:5">
      <c r="A3441" s="20" t="str">
        <v>00:00:00</v>
      </c>
      <c r="B3441" s="19">
        <v>0</v>
      </c>
      <c r="C3441" s="21">
        <v>0</v>
      </c>
      <c r="D3441" s="20" t="str">
        <v>未匹配</v>
      </c>
      <c r="E3441" s="20">
        <v>0</v>
      </c>
    </row>
    <row r="3442" spans="1:5">
      <c r="A3442" s="20" t="str">
        <v>00:00:00</v>
      </c>
      <c r="B3442" s="19">
        <v>0</v>
      </c>
      <c r="C3442" s="21">
        <v>0</v>
      </c>
      <c r="D3442" s="20" t="str">
        <v>未匹配</v>
      </c>
      <c r="E3442" s="20">
        <v>0</v>
      </c>
    </row>
    <row r="3443" spans="1:5">
      <c r="A3443" s="20" t="str">
        <v>00:00:00</v>
      </c>
      <c r="B3443" s="19">
        <v>0</v>
      </c>
      <c r="C3443" s="21">
        <v>0</v>
      </c>
      <c r="D3443" s="20" t="str">
        <v>未匹配</v>
      </c>
      <c r="E3443" s="20">
        <v>0</v>
      </c>
    </row>
    <row r="3444" spans="1:5">
      <c r="A3444" s="20" t="str">
        <v>00:00:00</v>
      </c>
      <c r="B3444" s="19">
        <v>0</v>
      </c>
      <c r="C3444" s="21">
        <v>0</v>
      </c>
      <c r="D3444" s="20" t="str">
        <v>未匹配</v>
      </c>
      <c r="E3444" s="20">
        <v>0</v>
      </c>
    </row>
    <row r="3445" spans="1:5">
      <c r="A3445" s="20" t="str">
        <v>00:00:00</v>
      </c>
      <c r="B3445" s="19">
        <v>0</v>
      </c>
      <c r="C3445" s="21">
        <v>0</v>
      </c>
      <c r="D3445" s="20" t="str">
        <v>未匹配</v>
      </c>
      <c r="E3445" s="20">
        <v>0</v>
      </c>
    </row>
    <row r="3446" spans="1:5">
      <c r="A3446" s="20" t="str">
        <v>00:00:00</v>
      </c>
      <c r="B3446" s="19">
        <v>0</v>
      </c>
      <c r="C3446" s="21">
        <v>0</v>
      </c>
      <c r="D3446" s="20" t="str">
        <v>未匹配</v>
      </c>
      <c r="E3446" s="20">
        <v>0</v>
      </c>
    </row>
    <row r="3447" spans="1:5">
      <c r="A3447" s="20" t="str">
        <v>00:00:00</v>
      </c>
      <c r="B3447" s="19">
        <v>0</v>
      </c>
      <c r="C3447" s="21">
        <v>0</v>
      </c>
      <c r="D3447" s="20" t="str">
        <v>未匹配</v>
      </c>
      <c r="E3447" s="20">
        <v>0</v>
      </c>
    </row>
    <row r="3448" spans="1:5">
      <c r="A3448" s="20" t="str">
        <v>00:00:00</v>
      </c>
      <c r="B3448" s="19">
        <v>0</v>
      </c>
      <c r="C3448" s="21">
        <v>0</v>
      </c>
      <c r="D3448" s="20" t="str">
        <v>未匹配</v>
      </c>
      <c r="E3448" s="20">
        <v>0</v>
      </c>
    </row>
    <row r="3449" spans="1:5">
      <c r="A3449" s="20" t="str">
        <v>00:00:00</v>
      </c>
      <c r="B3449" s="19">
        <v>0</v>
      </c>
      <c r="C3449" s="21">
        <v>0</v>
      </c>
      <c r="D3449" s="20" t="str">
        <v>未匹配</v>
      </c>
      <c r="E3449" s="20">
        <v>0</v>
      </c>
    </row>
    <row r="3450" spans="1:5">
      <c r="A3450" s="20" t="str">
        <v>00:00:00</v>
      </c>
      <c r="B3450" s="19">
        <v>0</v>
      </c>
      <c r="C3450" s="21">
        <v>0</v>
      </c>
      <c r="D3450" s="20" t="str">
        <v>未匹配</v>
      </c>
      <c r="E3450" s="20">
        <v>0</v>
      </c>
    </row>
    <row r="3451" spans="1:5">
      <c r="A3451" s="20" t="str">
        <v>00:00:00</v>
      </c>
      <c r="B3451" s="19">
        <v>0</v>
      </c>
      <c r="C3451" s="21">
        <v>0</v>
      </c>
      <c r="D3451" s="20" t="str">
        <v>未匹配</v>
      </c>
      <c r="E3451" s="20">
        <v>0</v>
      </c>
    </row>
    <row r="3452" spans="1:5">
      <c r="A3452" s="20" t="str">
        <v>00:00:00</v>
      </c>
      <c r="B3452" s="19">
        <v>0</v>
      </c>
      <c r="C3452" s="21">
        <v>0</v>
      </c>
      <c r="D3452" s="20" t="str">
        <v>未匹配</v>
      </c>
      <c r="E3452" s="20">
        <v>0</v>
      </c>
    </row>
    <row r="3453" spans="1:5">
      <c r="A3453" s="20" t="str">
        <v>00:00:00</v>
      </c>
      <c r="B3453" s="19">
        <v>0</v>
      </c>
      <c r="C3453" s="21">
        <v>0</v>
      </c>
      <c r="D3453" s="20" t="str">
        <v>未匹配</v>
      </c>
      <c r="E3453" s="20">
        <v>0</v>
      </c>
    </row>
    <row r="3454" spans="1:5">
      <c r="A3454" s="20" t="str">
        <v>00:00:00</v>
      </c>
      <c r="B3454" s="19">
        <v>0</v>
      </c>
      <c r="C3454" s="21">
        <v>0</v>
      </c>
      <c r="D3454" s="20" t="str">
        <v>未匹配</v>
      </c>
      <c r="E3454" s="20">
        <v>0</v>
      </c>
    </row>
    <row r="3455" spans="1:5">
      <c r="A3455" s="20" t="str">
        <v>00:00:00</v>
      </c>
      <c r="B3455" s="19">
        <v>0</v>
      </c>
      <c r="C3455" s="21">
        <v>0</v>
      </c>
      <c r="D3455" s="20" t="str">
        <v>未匹配</v>
      </c>
      <c r="E3455" s="20">
        <v>0</v>
      </c>
    </row>
    <row r="3456" spans="1:5">
      <c r="A3456" s="20" t="str">
        <v>00:00:00</v>
      </c>
      <c r="B3456" s="19">
        <v>0</v>
      </c>
      <c r="C3456" s="21">
        <v>0</v>
      </c>
      <c r="D3456" s="20" t="str">
        <v>未匹配</v>
      </c>
      <c r="E3456" s="20">
        <v>0</v>
      </c>
    </row>
    <row r="3457" spans="1:5">
      <c r="A3457" s="20" t="str">
        <v>00:00:00</v>
      </c>
      <c r="B3457" s="19">
        <v>0</v>
      </c>
      <c r="C3457" s="21">
        <v>0</v>
      </c>
      <c r="D3457" s="20" t="str">
        <v>未匹配</v>
      </c>
      <c r="E3457" s="20">
        <v>0</v>
      </c>
    </row>
    <row r="3458" spans="1:5">
      <c r="A3458" s="20" t="str">
        <v>00:00:00</v>
      </c>
      <c r="B3458" s="19">
        <v>0</v>
      </c>
      <c r="C3458" s="21">
        <v>0</v>
      </c>
      <c r="D3458" s="20" t="str">
        <v>未匹配</v>
      </c>
      <c r="E3458" s="20">
        <v>0</v>
      </c>
    </row>
    <row r="3459" spans="1:5">
      <c r="A3459" s="20" t="str">
        <v>00:00:00</v>
      </c>
      <c r="B3459" s="19">
        <v>0</v>
      </c>
      <c r="C3459" s="21">
        <v>0</v>
      </c>
      <c r="D3459" s="20" t="str">
        <v>未匹配</v>
      </c>
      <c r="E3459" s="20">
        <v>0</v>
      </c>
    </row>
    <row r="3460" spans="1:5">
      <c r="A3460" s="20" t="str">
        <v>00:00:00</v>
      </c>
      <c r="B3460" s="19">
        <v>0</v>
      </c>
      <c r="C3460" s="21">
        <v>0</v>
      </c>
      <c r="D3460" s="20" t="str">
        <v>未匹配</v>
      </c>
      <c r="E3460" s="20">
        <v>0</v>
      </c>
    </row>
    <row r="3461" spans="1:5">
      <c r="A3461" s="20" t="str">
        <v>00:00:00</v>
      </c>
      <c r="B3461" s="19">
        <v>0</v>
      </c>
      <c r="C3461" s="21">
        <v>0</v>
      </c>
      <c r="D3461" s="20" t="str">
        <v>未匹配</v>
      </c>
      <c r="E3461" s="20">
        <v>0</v>
      </c>
    </row>
    <row r="3462" spans="1:5">
      <c r="A3462" s="20" t="str">
        <v>00:00:00</v>
      </c>
      <c r="B3462" s="19">
        <v>0</v>
      </c>
      <c r="C3462" s="21">
        <v>0</v>
      </c>
      <c r="D3462" s="20" t="str">
        <v>未匹配</v>
      </c>
      <c r="E3462" s="20">
        <v>0</v>
      </c>
    </row>
    <row r="3463" spans="1:5">
      <c r="A3463" s="20" t="str">
        <v>00:00:00</v>
      </c>
      <c r="B3463" s="19">
        <v>0</v>
      </c>
      <c r="C3463" s="21">
        <v>0</v>
      </c>
      <c r="D3463" s="20" t="str">
        <v>未匹配</v>
      </c>
      <c r="E3463" s="20">
        <v>0</v>
      </c>
    </row>
    <row r="3464" spans="1:5">
      <c r="A3464" s="20" t="str">
        <v>00:00:00</v>
      </c>
      <c r="B3464" s="19">
        <v>0</v>
      </c>
      <c r="C3464" s="21">
        <v>0</v>
      </c>
      <c r="D3464" s="20" t="str">
        <v>未匹配</v>
      </c>
      <c r="E3464" s="20">
        <v>0</v>
      </c>
    </row>
    <row r="3465" spans="1:5">
      <c r="A3465" s="20" t="str">
        <v>00:00:00</v>
      </c>
      <c r="B3465" s="19">
        <v>0</v>
      </c>
      <c r="C3465" s="21">
        <v>0</v>
      </c>
      <c r="D3465" s="20" t="str">
        <v>未匹配</v>
      </c>
      <c r="E3465" s="20">
        <v>0</v>
      </c>
    </row>
    <row r="3466" spans="1:5">
      <c r="A3466" s="20" t="str">
        <v>00:00:00</v>
      </c>
      <c r="B3466" s="19">
        <v>0</v>
      </c>
      <c r="C3466" s="21">
        <v>0</v>
      </c>
      <c r="D3466" s="20" t="str">
        <v>未匹配</v>
      </c>
      <c r="E3466" s="20">
        <v>0</v>
      </c>
    </row>
    <row r="3467" spans="1:5">
      <c r="A3467" s="20" t="str">
        <v>00:00:00</v>
      </c>
      <c r="B3467" s="19">
        <v>0</v>
      </c>
      <c r="C3467" s="21">
        <v>0</v>
      </c>
      <c r="D3467" s="20" t="str">
        <v>未匹配</v>
      </c>
      <c r="E3467" s="20">
        <v>0</v>
      </c>
    </row>
    <row r="3468" spans="1:5">
      <c r="A3468" s="20" t="str">
        <v>00:00:00</v>
      </c>
      <c r="B3468" s="19">
        <v>0</v>
      </c>
      <c r="C3468" s="21">
        <v>0</v>
      </c>
      <c r="D3468" s="20" t="str">
        <v>未匹配</v>
      </c>
      <c r="E3468" s="20">
        <v>0</v>
      </c>
    </row>
    <row r="3469" spans="1:5">
      <c r="A3469" s="20" t="str">
        <v>00:00:00</v>
      </c>
      <c r="B3469" s="19">
        <v>0</v>
      </c>
      <c r="C3469" s="21">
        <v>0</v>
      </c>
      <c r="D3469" s="20" t="str">
        <v>未匹配</v>
      </c>
      <c r="E3469" s="20">
        <v>0</v>
      </c>
    </row>
    <row r="3470" spans="1:5">
      <c r="A3470" s="20" t="str">
        <v>00:00:00</v>
      </c>
      <c r="B3470" s="19">
        <v>0</v>
      </c>
      <c r="C3470" s="21">
        <v>0</v>
      </c>
      <c r="D3470" s="20" t="str">
        <v>未匹配</v>
      </c>
      <c r="E3470" s="20">
        <v>0</v>
      </c>
    </row>
    <row r="3471" spans="1:5">
      <c r="A3471" s="20" t="str">
        <v>00:00:00</v>
      </c>
      <c r="B3471" s="19">
        <v>0</v>
      </c>
      <c r="C3471" s="21">
        <v>0</v>
      </c>
      <c r="D3471" s="20" t="str">
        <v>未匹配</v>
      </c>
      <c r="E3471" s="20">
        <v>0</v>
      </c>
    </row>
    <row r="3472" spans="1:5">
      <c r="A3472" s="20" t="str">
        <v>00:00:00</v>
      </c>
      <c r="B3472" s="19">
        <v>0</v>
      </c>
      <c r="C3472" s="21">
        <v>0</v>
      </c>
      <c r="D3472" s="20" t="str">
        <v>未匹配</v>
      </c>
      <c r="E3472" s="20">
        <v>0</v>
      </c>
    </row>
    <row r="3473" spans="1:5">
      <c r="A3473" s="20" t="str">
        <v>00:00:00</v>
      </c>
      <c r="B3473" s="19">
        <v>0</v>
      </c>
      <c r="C3473" s="21">
        <v>0</v>
      </c>
      <c r="D3473" s="20" t="str">
        <v>未匹配</v>
      </c>
      <c r="E3473" s="20">
        <v>0</v>
      </c>
    </row>
    <row r="3474" spans="1:5">
      <c r="A3474" s="20" t="str">
        <v>00:00:00</v>
      </c>
      <c r="B3474" s="19">
        <v>0</v>
      </c>
      <c r="C3474" s="21">
        <v>0</v>
      </c>
      <c r="D3474" s="20" t="str">
        <v>未匹配</v>
      </c>
      <c r="E3474" s="20">
        <v>0</v>
      </c>
    </row>
    <row r="3475" spans="1:5">
      <c r="A3475" s="20" t="str">
        <v>00:00:00</v>
      </c>
      <c r="B3475" s="19">
        <v>0</v>
      </c>
      <c r="C3475" s="21">
        <v>0</v>
      </c>
      <c r="D3475" s="20" t="str">
        <v>未匹配</v>
      </c>
      <c r="E3475" s="20">
        <v>0</v>
      </c>
    </row>
    <row r="3476" spans="1:5">
      <c r="A3476" s="20" t="str">
        <v>00:00:00</v>
      </c>
      <c r="B3476" s="19">
        <v>0</v>
      </c>
      <c r="C3476" s="21">
        <v>0</v>
      </c>
      <c r="D3476" s="20" t="str">
        <v>未匹配</v>
      </c>
      <c r="E3476" s="20">
        <v>0</v>
      </c>
    </row>
    <row r="3477" spans="1:5">
      <c r="A3477" s="20" t="str">
        <v>00:00:00</v>
      </c>
      <c r="B3477" s="19">
        <v>0</v>
      </c>
      <c r="C3477" s="21">
        <v>0</v>
      </c>
      <c r="D3477" s="20" t="str">
        <v>未匹配</v>
      </c>
      <c r="E3477" s="20">
        <v>0</v>
      </c>
    </row>
    <row r="3478" spans="1:5">
      <c r="A3478" s="20" t="str">
        <v>00:00:00</v>
      </c>
      <c r="B3478" s="19">
        <v>0</v>
      </c>
      <c r="C3478" s="21">
        <v>0</v>
      </c>
      <c r="D3478" s="20" t="str">
        <v>未匹配</v>
      </c>
      <c r="E3478" s="20">
        <v>0</v>
      </c>
    </row>
    <row r="3479" spans="1:5">
      <c r="A3479" s="20" t="str">
        <v>00:00:00</v>
      </c>
      <c r="B3479" s="19">
        <v>0</v>
      </c>
      <c r="C3479" s="21">
        <v>0</v>
      </c>
      <c r="D3479" s="20" t="str">
        <v>未匹配</v>
      </c>
      <c r="E3479" s="20">
        <v>0</v>
      </c>
    </row>
    <row r="3480" spans="1:5">
      <c r="A3480" s="20" t="str">
        <v>00:00:00</v>
      </c>
      <c r="B3480" s="19">
        <v>0</v>
      </c>
      <c r="C3480" s="21">
        <v>0</v>
      </c>
      <c r="D3480" s="20" t="str">
        <v>未匹配</v>
      </c>
      <c r="E3480" s="20">
        <v>0</v>
      </c>
    </row>
    <row r="3481" spans="1:5">
      <c r="A3481" s="20" t="str">
        <v>00:00:00</v>
      </c>
      <c r="B3481" s="19">
        <v>0</v>
      </c>
      <c r="C3481" s="21">
        <v>0</v>
      </c>
      <c r="D3481" s="20" t="str">
        <v>未匹配</v>
      </c>
      <c r="E3481" s="20">
        <v>0</v>
      </c>
    </row>
    <row r="3482" spans="1:5">
      <c r="A3482" s="20" t="str">
        <v>00:00:00</v>
      </c>
      <c r="B3482" s="19">
        <v>0</v>
      </c>
      <c r="C3482" s="21">
        <v>0</v>
      </c>
      <c r="D3482" s="20" t="str">
        <v>未匹配</v>
      </c>
      <c r="E3482" s="20">
        <v>0</v>
      </c>
    </row>
    <row r="3483" spans="1:5">
      <c r="A3483" s="20" t="str">
        <v>00:00:00</v>
      </c>
      <c r="B3483" s="19">
        <v>0</v>
      </c>
      <c r="C3483" s="21">
        <v>0</v>
      </c>
      <c r="D3483" s="20" t="str">
        <v>未匹配</v>
      </c>
      <c r="E3483" s="20">
        <v>0</v>
      </c>
    </row>
    <row r="3484" spans="1:5">
      <c r="A3484" s="20" t="str">
        <v>00:00:00</v>
      </c>
      <c r="B3484" s="19">
        <v>0</v>
      </c>
      <c r="C3484" s="21">
        <v>0</v>
      </c>
      <c r="D3484" s="20" t="str">
        <v>未匹配</v>
      </c>
      <c r="E3484" s="20">
        <v>0</v>
      </c>
    </row>
    <row r="3485" spans="1:5">
      <c r="A3485" s="20" t="str">
        <v>00:00:00</v>
      </c>
      <c r="B3485" s="19">
        <v>0</v>
      </c>
      <c r="C3485" s="21">
        <v>0</v>
      </c>
      <c r="D3485" s="20" t="str">
        <v>未匹配</v>
      </c>
      <c r="E3485" s="20">
        <v>0</v>
      </c>
    </row>
    <row r="3486" spans="1:5">
      <c r="A3486" s="20" t="str">
        <v>00:00:00</v>
      </c>
      <c r="B3486" s="19">
        <v>0</v>
      </c>
      <c r="C3486" s="21">
        <v>0</v>
      </c>
      <c r="D3486" s="20" t="str">
        <v>未匹配</v>
      </c>
      <c r="E3486" s="20">
        <v>0</v>
      </c>
    </row>
    <row r="3487" spans="1:5">
      <c r="A3487" s="20" t="str">
        <v>00:00:00</v>
      </c>
      <c r="B3487" s="19">
        <v>0</v>
      </c>
      <c r="C3487" s="21">
        <v>0</v>
      </c>
      <c r="D3487" s="20" t="str">
        <v>未匹配</v>
      </c>
      <c r="E3487" s="20">
        <v>0</v>
      </c>
    </row>
    <row r="3488" spans="1:5">
      <c r="A3488" s="20" t="str">
        <v>00:00:00</v>
      </c>
      <c r="B3488" s="19">
        <v>0</v>
      </c>
      <c r="C3488" s="21">
        <v>0</v>
      </c>
      <c r="D3488" s="20" t="str">
        <v>未匹配</v>
      </c>
      <c r="E3488" s="20">
        <v>0</v>
      </c>
    </row>
    <row r="3489" spans="1:5">
      <c r="A3489" s="20" t="str">
        <v>00:00:00</v>
      </c>
      <c r="B3489" s="19">
        <v>0</v>
      </c>
      <c r="C3489" s="21">
        <v>0</v>
      </c>
      <c r="D3489" s="20" t="str">
        <v>未匹配</v>
      </c>
      <c r="E3489" s="20">
        <v>0</v>
      </c>
    </row>
    <row r="3490" spans="1:5">
      <c r="A3490" s="20" t="str">
        <v>00:00:00</v>
      </c>
      <c r="B3490" s="19">
        <v>0</v>
      </c>
      <c r="C3490" s="21">
        <v>0</v>
      </c>
      <c r="D3490" s="20" t="str">
        <v>未匹配</v>
      </c>
      <c r="E3490" s="20">
        <v>0</v>
      </c>
    </row>
    <row r="3491" spans="1:5">
      <c r="A3491" s="20" t="str">
        <v>00:00:00</v>
      </c>
      <c r="B3491" s="19">
        <v>0</v>
      </c>
      <c r="C3491" s="21">
        <v>0</v>
      </c>
      <c r="D3491" s="20" t="str">
        <v>未匹配</v>
      </c>
      <c r="E3491" s="20">
        <v>0</v>
      </c>
    </row>
    <row r="3492" spans="1:5">
      <c r="A3492" s="20" t="str">
        <v>00:00:00</v>
      </c>
      <c r="B3492" s="19">
        <v>0</v>
      </c>
      <c r="C3492" s="21">
        <v>0</v>
      </c>
      <c r="D3492" s="20" t="str">
        <v>未匹配</v>
      </c>
      <c r="E3492" s="20">
        <v>0</v>
      </c>
    </row>
    <row r="3493" spans="1:5">
      <c r="A3493" s="20" t="str">
        <v>00:00:00</v>
      </c>
      <c r="B3493" s="19">
        <v>0</v>
      </c>
      <c r="C3493" s="21">
        <v>0</v>
      </c>
      <c r="D3493" s="20" t="str">
        <v>未匹配</v>
      </c>
      <c r="E3493" s="20">
        <v>0</v>
      </c>
    </row>
    <row r="3494" spans="1:5">
      <c r="A3494" s="20" t="str">
        <v>00:00:00</v>
      </c>
      <c r="B3494" s="19">
        <v>0</v>
      </c>
      <c r="C3494" s="21">
        <v>0</v>
      </c>
      <c r="D3494" s="20" t="str">
        <v>未匹配</v>
      </c>
      <c r="E3494" s="20">
        <v>0</v>
      </c>
    </row>
    <row r="3495" spans="1:5">
      <c r="A3495" s="20" t="str">
        <v>00:00:00</v>
      </c>
      <c r="B3495" s="19">
        <v>0</v>
      </c>
      <c r="C3495" s="21">
        <v>0</v>
      </c>
      <c r="D3495" s="20" t="str">
        <v>未匹配</v>
      </c>
      <c r="E3495" s="20">
        <v>0</v>
      </c>
    </row>
    <row r="3496" spans="1:5">
      <c r="A3496" s="20" t="str">
        <v>00:00:00</v>
      </c>
      <c r="B3496" s="19">
        <v>0</v>
      </c>
      <c r="C3496" s="21">
        <v>0</v>
      </c>
      <c r="D3496" s="20" t="str">
        <v>未匹配</v>
      </c>
      <c r="E3496" s="20">
        <v>0</v>
      </c>
    </row>
    <row r="3497" spans="1:5">
      <c r="A3497" s="20" t="str">
        <v>00:00:00</v>
      </c>
      <c r="B3497" s="19">
        <v>0</v>
      </c>
      <c r="C3497" s="21">
        <v>0</v>
      </c>
      <c r="D3497" s="20" t="str">
        <v>未匹配</v>
      </c>
      <c r="E3497" s="20">
        <v>0</v>
      </c>
    </row>
    <row r="3498" spans="1:5">
      <c r="A3498" s="20" t="str">
        <v>00:00:00</v>
      </c>
      <c r="B3498" s="19">
        <v>0</v>
      </c>
      <c r="C3498" s="21">
        <v>0</v>
      </c>
      <c r="D3498" s="20" t="str">
        <v>未匹配</v>
      </c>
      <c r="E3498" s="20">
        <v>0</v>
      </c>
    </row>
    <row r="3499" spans="1:5">
      <c r="A3499" s="20" t="str">
        <v>00:00:00</v>
      </c>
      <c r="B3499" s="19">
        <v>0</v>
      </c>
      <c r="C3499" s="21">
        <v>0</v>
      </c>
      <c r="D3499" s="20" t="str">
        <v>未匹配</v>
      </c>
      <c r="E3499" s="20">
        <v>0</v>
      </c>
    </row>
    <row r="3500" spans="1:5">
      <c r="A3500" s="20" t="str">
        <v>00:00:00</v>
      </c>
      <c r="B3500" s="19">
        <v>0</v>
      </c>
      <c r="C3500" s="21">
        <v>0</v>
      </c>
      <c r="D3500" s="20" t="str">
        <v>未匹配</v>
      </c>
      <c r="E3500" s="20">
        <v>0</v>
      </c>
    </row>
    <row r="3501" spans="1:5">
      <c r="A3501" s="20" t="str">
        <v>00:00:00</v>
      </c>
      <c r="B3501" s="19">
        <v>0</v>
      </c>
      <c r="C3501" s="21">
        <v>0</v>
      </c>
      <c r="D3501" s="20" t="str">
        <v>未匹配</v>
      </c>
      <c r="E3501" s="20">
        <v>0</v>
      </c>
    </row>
    <row r="3502" spans="1:5">
      <c r="A3502" s="20" t="str">
        <v>00:00:00</v>
      </c>
      <c r="B3502" s="19">
        <v>0</v>
      </c>
      <c r="C3502" s="21">
        <v>0</v>
      </c>
      <c r="D3502" s="20" t="str">
        <v>未匹配</v>
      </c>
      <c r="E3502" s="20">
        <v>0</v>
      </c>
    </row>
    <row r="3503" spans="1:5">
      <c r="A3503" s="20" t="str">
        <v>00:00:00</v>
      </c>
      <c r="B3503" s="19">
        <v>0</v>
      </c>
      <c r="C3503" s="21">
        <v>0</v>
      </c>
      <c r="D3503" s="20" t="str">
        <v>未匹配</v>
      </c>
      <c r="E3503" s="20">
        <v>0</v>
      </c>
    </row>
    <row r="3504" spans="1:5">
      <c r="A3504" s="20" t="str">
        <v>00:00:00</v>
      </c>
      <c r="B3504" s="19">
        <v>0</v>
      </c>
      <c r="C3504" s="21">
        <v>0</v>
      </c>
      <c r="D3504" s="20" t="str">
        <v>未匹配</v>
      </c>
      <c r="E3504" s="20">
        <v>0</v>
      </c>
    </row>
    <row r="3505" spans="1:5">
      <c r="A3505" s="20" t="str">
        <v>00:00:00</v>
      </c>
      <c r="B3505" s="19">
        <v>0</v>
      </c>
      <c r="C3505" s="21">
        <v>0</v>
      </c>
      <c r="D3505" s="20" t="str">
        <v>未匹配</v>
      </c>
      <c r="E3505" s="20">
        <v>0</v>
      </c>
    </row>
    <row r="3506" spans="1:5">
      <c r="A3506" s="20" t="str">
        <v>00:00:00</v>
      </c>
      <c r="B3506" s="19">
        <v>0</v>
      </c>
      <c r="C3506" s="21">
        <v>0</v>
      </c>
      <c r="D3506" s="20" t="str">
        <v>未匹配</v>
      </c>
      <c r="E3506" s="20">
        <v>0</v>
      </c>
    </row>
    <row r="3507" spans="1:5">
      <c r="A3507" s="20" t="str">
        <v>00:00:00</v>
      </c>
      <c r="B3507" s="19">
        <v>0</v>
      </c>
      <c r="C3507" s="21">
        <v>0</v>
      </c>
      <c r="D3507" s="20" t="str">
        <v>未匹配</v>
      </c>
      <c r="E3507" s="20">
        <v>0</v>
      </c>
    </row>
    <row r="3508" spans="1:5">
      <c r="A3508" s="20" t="str">
        <v>00:00:00</v>
      </c>
      <c r="B3508" s="19">
        <v>0</v>
      </c>
      <c r="C3508" s="21">
        <v>0</v>
      </c>
      <c r="D3508" s="20" t="str">
        <v>未匹配</v>
      </c>
      <c r="E3508" s="20">
        <v>0</v>
      </c>
    </row>
    <row r="3509" spans="1:5">
      <c r="A3509" s="20" t="str">
        <v>00:00:00</v>
      </c>
      <c r="B3509" s="19">
        <v>0</v>
      </c>
      <c r="C3509" s="21">
        <v>0</v>
      </c>
      <c r="D3509" s="20" t="str">
        <v>未匹配</v>
      </c>
      <c r="E3509" s="20">
        <v>0</v>
      </c>
    </row>
    <row r="3510" spans="1:5">
      <c r="A3510" s="20" t="str">
        <v>00:00:00</v>
      </c>
      <c r="B3510" s="19">
        <v>0</v>
      </c>
      <c r="C3510" s="21">
        <v>0</v>
      </c>
      <c r="D3510" s="20" t="str">
        <v>未匹配</v>
      </c>
      <c r="E3510" s="20">
        <v>0</v>
      </c>
    </row>
    <row r="3511" spans="1:5">
      <c r="A3511" s="20" t="str">
        <v>00:00:00</v>
      </c>
      <c r="B3511" s="19">
        <v>0</v>
      </c>
      <c r="C3511" s="21">
        <v>0</v>
      </c>
      <c r="D3511" s="20" t="str">
        <v>未匹配</v>
      </c>
      <c r="E3511" s="20">
        <v>0</v>
      </c>
    </row>
    <row r="3512" spans="1:5">
      <c r="A3512" s="20" t="str">
        <v>00:00:00</v>
      </c>
      <c r="B3512" s="19">
        <v>0</v>
      </c>
      <c r="C3512" s="21">
        <v>0</v>
      </c>
      <c r="D3512" s="20" t="str">
        <v>未匹配</v>
      </c>
      <c r="E3512" s="20">
        <v>0</v>
      </c>
    </row>
    <row r="3513" spans="1:5">
      <c r="A3513" s="20" t="str">
        <v>00:00:00</v>
      </c>
      <c r="B3513" s="19">
        <v>0</v>
      </c>
      <c r="C3513" s="21">
        <v>0</v>
      </c>
      <c r="D3513" s="20" t="str">
        <v>未匹配</v>
      </c>
      <c r="E3513" s="20">
        <v>0</v>
      </c>
    </row>
    <row r="3514" spans="1:5">
      <c r="A3514" s="20" t="str">
        <v>00:00:00</v>
      </c>
      <c r="B3514" s="19">
        <v>0</v>
      </c>
      <c r="C3514" s="21">
        <v>0</v>
      </c>
      <c r="D3514" s="20" t="str">
        <v>未匹配</v>
      </c>
      <c r="E3514" s="20">
        <v>0</v>
      </c>
    </row>
    <row r="3515" spans="1:5">
      <c r="A3515" s="20" t="str">
        <v>00:00:00</v>
      </c>
      <c r="B3515" s="19">
        <v>0</v>
      </c>
      <c r="C3515" s="21">
        <v>0</v>
      </c>
      <c r="D3515" s="20" t="str">
        <v>未匹配</v>
      </c>
      <c r="E3515" s="20">
        <v>0</v>
      </c>
    </row>
    <row r="3516" spans="1:5">
      <c r="A3516" s="20" t="str">
        <v>00:00:00</v>
      </c>
      <c r="B3516" s="19">
        <v>0</v>
      </c>
      <c r="C3516" s="21">
        <v>0</v>
      </c>
      <c r="D3516" s="20" t="str">
        <v>未匹配</v>
      </c>
      <c r="E3516" s="20">
        <v>0</v>
      </c>
    </row>
    <row r="3517" spans="1:5">
      <c r="A3517" s="20" t="str">
        <v>00:00:00</v>
      </c>
      <c r="B3517" s="19">
        <v>0</v>
      </c>
      <c r="C3517" s="21">
        <v>0</v>
      </c>
      <c r="D3517" s="20" t="str">
        <v>未匹配</v>
      </c>
      <c r="E3517" s="20">
        <v>0</v>
      </c>
    </row>
    <row r="3518" spans="1:5">
      <c r="A3518" s="20" t="str">
        <v>00:00:00</v>
      </c>
      <c r="B3518" s="19">
        <v>0</v>
      </c>
      <c r="C3518" s="21">
        <v>0</v>
      </c>
      <c r="D3518" s="20" t="str">
        <v>未匹配</v>
      </c>
      <c r="E3518" s="20">
        <v>0</v>
      </c>
    </row>
    <row r="3519" spans="1:5">
      <c r="A3519" s="20" t="str">
        <v>00:00:00</v>
      </c>
      <c r="B3519" s="19">
        <v>0</v>
      </c>
      <c r="C3519" s="21">
        <v>0</v>
      </c>
      <c r="D3519" s="20" t="str">
        <v>未匹配</v>
      </c>
      <c r="E3519" s="20">
        <v>0</v>
      </c>
    </row>
    <row r="3520" spans="1:5">
      <c r="A3520" s="20" t="str">
        <v>00:00:00</v>
      </c>
      <c r="B3520" s="19">
        <v>0</v>
      </c>
      <c r="C3520" s="21">
        <v>0</v>
      </c>
      <c r="D3520" s="20" t="str">
        <v>未匹配</v>
      </c>
      <c r="E3520" s="20">
        <v>0</v>
      </c>
    </row>
    <row r="3521" spans="1:5">
      <c r="A3521" s="20" t="str">
        <v>00:00:00</v>
      </c>
      <c r="B3521" s="19">
        <v>0</v>
      </c>
      <c r="C3521" s="21">
        <v>0</v>
      </c>
      <c r="D3521" s="20" t="str">
        <v>未匹配</v>
      </c>
      <c r="E3521" s="20">
        <v>0</v>
      </c>
    </row>
    <row r="3522" spans="1:5">
      <c r="A3522" s="20" t="str">
        <v>00:00:00</v>
      </c>
      <c r="B3522" s="19">
        <v>0</v>
      </c>
      <c r="C3522" s="21">
        <v>0</v>
      </c>
      <c r="D3522" s="20" t="str">
        <v>未匹配</v>
      </c>
      <c r="E3522" s="20">
        <v>0</v>
      </c>
    </row>
    <row r="3523" spans="1:5">
      <c r="A3523" s="20" t="str">
        <v>00:00:00</v>
      </c>
      <c r="B3523" s="19">
        <v>0</v>
      </c>
      <c r="C3523" s="21">
        <v>0</v>
      </c>
      <c r="D3523" s="20" t="str">
        <v>未匹配</v>
      </c>
      <c r="E3523" s="20">
        <v>0</v>
      </c>
    </row>
    <row r="3524" spans="1:5">
      <c r="A3524" s="20" t="str">
        <v>00:00:00</v>
      </c>
      <c r="B3524" s="19">
        <v>0</v>
      </c>
      <c r="C3524" s="21">
        <v>0</v>
      </c>
      <c r="D3524" s="20" t="str">
        <v>未匹配</v>
      </c>
      <c r="E3524" s="20">
        <v>0</v>
      </c>
    </row>
    <row r="3525" spans="1:5">
      <c r="A3525" s="20" t="str">
        <v>00:00:00</v>
      </c>
      <c r="B3525" s="19">
        <v>0</v>
      </c>
      <c r="C3525" s="21">
        <v>0</v>
      </c>
      <c r="D3525" s="20" t="str">
        <v>未匹配</v>
      </c>
      <c r="E3525" s="20">
        <v>0</v>
      </c>
    </row>
    <row r="3526" spans="1:5">
      <c r="A3526" s="20" t="str">
        <v>00:00:00</v>
      </c>
      <c r="B3526" s="19">
        <v>0</v>
      </c>
      <c r="C3526" s="21">
        <v>0</v>
      </c>
      <c r="D3526" s="20" t="str">
        <v>未匹配</v>
      </c>
      <c r="E3526" s="20">
        <v>0</v>
      </c>
    </row>
    <row r="3527" spans="1:5">
      <c r="A3527" s="20" t="str">
        <v>00:00:00</v>
      </c>
      <c r="B3527" s="19">
        <v>0</v>
      </c>
      <c r="C3527" s="21">
        <v>0</v>
      </c>
      <c r="D3527" s="20" t="str">
        <v>未匹配</v>
      </c>
      <c r="E3527" s="20">
        <v>0</v>
      </c>
    </row>
    <row r="3528" spans="1:5">
      <c r="A3528" s="20" t="str">
        <v>00:00:00</v>
      </c>
      <c r="B3528" s="19">
        <v>0</v>
      </c>
      <c r="C3528" s="21">
        <v>0</v>
      </c>
      <c r="D3528" s="20" t="str">
        <v>未匹配</v>
      </c>
      <c r="E3528" s="20">
        <v>0</v>
      </c>
    </row>
    <row r="3529" spans="1:5">
      <c r="A3529" s="20" t="str">
        <v>00:00:00</v>
      </c>
      <c r="B3529" s="19">
        <v>0</v>
      </c>
      <c r="C3529" s="21">
        <v>0</v>
      </c>
      <c r="D3529" s="20" t="str">
        <v>未匹配</v>
      </c>
      <c r="E3529" s="20">
        <v>0</v>
      </c>
    </row>
    <row r="3530" spans="1:5">
      <c r="A3530" s="20" t="str">
        <v>00:00:00</v>
      </c>
      <c r="B3530" s="19">
        <v>0</v>
      </c>
      <c r="C3530" s="21">
        <v>0</v>
      </c>
      <c r="D3530" s="20" t="str">
        <v>未匹配</v>
      </c>
      <c r="E3530" s="20">
        <v>0</v>
      </c>
    </row>
    <row r="3531" spans="1:5">
      <c r="A3531" s="20" t="str">
        <v>00:00:00</v>
      </c>
      <c r="B3531" s="19">
        <v>0</v>
      </c>
      <c r="C3531" s="21">
        <v>0</v>
      </c>
      <c r="D3531" s="20" t="str">
        <v>未匹配</v>
      </c>
      <c r="E3531" s="20">
        <v>0</v>
      </c>
    </row>
    <row r="3532" spans="1:5">
      <c r="A3532" s="20" t="str">
        <v>00:00:00</v>
      </c>
      <c r="B3532" s="19">
        <v>0</v>
      </c>
      <c r="C3532" s="21">
        <v>0</v>
      </c>
      <c r="D3532" s="20" t="str">
        <v>未匹配</v>
      </c>
      <c r="E3532" s="20">
        <v>0</v>
      </c>
    </row>
    <row r="3533" spans="1:5">
      <c r="A3533" s="20" t="str">
        <v>00:00:00</v>
      </c>
      <c r="B3533" s="19">
        <v>0</v>
      </c>
      <c r="C3533" s="21">
        <v>0</v>
      </c>
      <c r="D3533" s="20" t="str">
        <v>未匹配</v>
      </c>
      <c r="E3533" s="20">
        <v>0</v>
      </c>
    </row>
    <row r="3534" spans="1:5">
      <c r="A3534" s="20" t="str">
        <v>00:00:00</v>
      </c>
      <c r="B3534" s="19">
        <v>0</v>
      </c>
      <c r="C3534" s="21">
        <v>0</v>
      </c>
      <c r="D3534" s="20" t="str">
        <v>未匹配</v>
      </c>
      <c r="E3534" s="20">
        <v>0</v>
      </c>
    </row>
    <row r="3535" spans="1:5">
      <c r="A3535" s="20" t="str">
        <v>00:00:00</v>
      </c>
      <c r="B3535" s="19">
        <v>0</v>
      </c>
      <c r="C3535" s="21">
        <v>0</v>
      </c>
      <c r="D3535" s="20" t="str">
        <v>未匹配</v>
      </c>
      <c r="E3535" s="20">
        <v>0</v>
      </c>
    </row>
    <row r="3536" spans="1:5">
      <c r="A3536" s="20" t="str">
        <v>00:00:00</v>
      </c>
      <c r="B3536" s="19">
        <v>0</v>
      </c>
      <c r="C3536" s="21">
        <v>0</v>
      </c>
      <c r="D3536" s="20" t="str">
        <v>未匹配</v>
      </c>
      <c r="E3536" s="20">
        <v>0</v>
      </c>
    </row>
    <row r="3537" spans="1:5">
      <c r="A3537" s="20" t="str">
        <v>00:00:00</v>
      </c>
      <c r="B3537" s="19">
        <v>0</v>
      </c>
      <c r="C3537" s="21">
        <v>0</v>
      </c>
      <c r="D3537" s="20" t="str">
        <v>未匹配</v>
      </c>
      <c r="E3537" s="20">
        <v>0</v>
      </c>
    </row>
    <row r="3538" spans="1:5">
      <c r="A3538" s="20" t="str">
        <v>00:00:00</v>
      </c>
      <c r="B3538" s="19">
        <v>0</v>
      </c>
      <c r="C3538" s="21">
        <v>0</v>
      </c>
      <c r="D3538" s="20" t="str">
        <v>未匹配</v>
      </c>
      <c r="E3538" s="20">
        <v>0</v>
      </c>
    </row>
    <row r="3539" spans="1:5">
      <c r="A3539" s="20" t="str">
        <v>00:00:00</v>
      </c>
      <c r="B3539" s="19">
        <v>0</v>
      </c>
      <c r="C3539" s="21">
        <v>0</v>
      </c>
      <c r="D3539" s="20" t="str">
        <v>未匹配</v>
      </c>
      <c r="E3539" s="20">
        <v>0</v>
      </c>
    </row>
    <row r="3540" spans="1:5">
      <c r="A3540" s="20" t="str">
        <v>00:00:00</v>
      </c>
      <c r="B3540" s="19">
        <v>0</v>
      </c>
      <c r="C3540" s="21">
        <v>0</v>
      </c>
      <c r="D3540" s="20" t="str">
        <v>未匹配</v>
      </c>
      <c r="E3540" s="20">
        <v>0</v>
      </c>
    </row>
    <row r="3541" spans="1:5">
      <c r="A3541" s="20" t="str">
        <v>00:00:00</v>
      </c>
      <c r="B3541" s="19">
        <v>0</v>
      </c>
      <c r="C3541" s="21">
        <v>0</v>
      </c>
      <c r="D3541" s="20" t="str">
        <v>未匹配</v>
      </c>
      <c r="E3541" s="20">
        <v>0</v>
      </c>
    </row>
    <row r="3542" spans="1:5">
      <c r="A3542" s="20" t="str">
        <v>00:00:00</v>
      </c>
      <c r="B3542" s="19">
        <v>0</v>
      </c>
      <c r="C3542" s="21">
        <v>0</v>
      </c>
      <c r="D3542" s="20" t="str">
        <v>未匹配</v>
      </c>
      <c r="E3542" s="20">
        <v>0</v>
      </c>
    </row>
    <row r="3543" spans="1:5">
      <c r="A3543" s="20" t="str">
        <v>00:00:00</v>
      </c>
      <c r="B3543" s="19">
        <v>0</v>
      </c>
      <c r="C3543" s="21">
        <v>0</v>
      </c>
      <c r="D3543" s="20" t="str">
        <v>未匹配</v>
      </c>
      <c r="E3543" s="20">
        <v>0</v>
      </c>
    </row>
    <row r="3544" spans="1:5">
      <c r="A3544" s="20" t="str">
        <v>00:00:00</v>
      </c>
      <c r="B3544" s="19">
        <v>0</v>
      </c>
      <c r="C3544" s="21">
        <v>0</v>
      </c>
      <c r="D3544" s="20" t="str">
        <v>未匹配</v>
      </c>
      <c r="E3544" s="20">
        <v>0</v>
      </c>
    </row>
    <row r="3545" spans="1:5">
      <c r="A3545" s="20" t="str">
        <v>00:00:00</v>
      </c>
      <c r="B3545" s="19">
        <v>0</v>
      </c>
      <c r="C3545" s="21">
        <v>0</v>
      </c>
      <c r="D3545" s="20" t="str">
        <v>未匹配</v>
      </c>
      <c r="E3545" s="20">
        <v>0</v>
      </c>
    </row>
    <row r="3546" spans="1:5">
      <c r="A3546" s="20" t="str">
        <v>00:00:00</v>
      </c>
      <c r="B3546" s="19">
        <v>0</v>
      </c>
      <c r="C3546" s="21">
        <v>0</v>
      </c>
      <c r="D3546" s="20" t="str">
        <v>未匹配</v>
      </c>
      <c r="E3546" s="20">
        <v>0</v>
      </c>
    </row>
    <row r="3547" spans="1:5">
      <c r="A3547" s="20" t="str">
        <v>00:00:00</v>
      </c>
      <c r="B3547" s="19">
        <v>0</v>
      </c>
      <c r="C3547" s="21">
        <v>0</v>
      </c>
      <c r="D3547" s="20" t="str">
        <v>未匹配</v>
      </c>
      <c r="E3547" s="20">
        <v>0</v>
      </c>
    </row>
    <row r="3548" spans="1:5">
      <c r="A3548" s="20" t="str">
        <v>00:00:00</v>
      </c>
      <c r="B3548" s="19">
        <v>0</v>
      </c>
      <c r="C3548" s="21">
        <v>0</v>
      </c>
      <c r="D3548" s="20" t="str">
        <v>未匹配</v>
      </c>
      <c r="E3548" s="20">
        <v>0</v>
      </c>
    </row>
    <row r="3549" spans="1:5">
      <c r="A3549" s="20" t="str">
        <v>00:00:00</v>
      </c>
      <c r="B3549" s="19">
        <v>0</v>
      </c>
      <c r="C3549" s="21">
        <v>0</v>
      </c>
      <c r="D3549" s="20" t="str">
        <v>未匹配</v>
      </c>
      <c r="E3549" s="20">
        <v>0</v>
      </c>
    </row>
    <row r="3550" spans="1:5">
      <c r="A3550" s="20" t="str">
        <v>00:00:00</v>
      </c>
      <c r="B3550" s="19">
        <v>0</v>
      </c>
      <c r="C3550" s="21">
        <v>0</v>
      </c>
      <c r="D3550" s="20" t="str">
        <v>未匹配</v>
      </c>
      <c r="E3550" s="20">
        <v>0</v>
      </c>
    </row>
    <row r="3551" spans="1:5">
      <c r="A3551" s="20" t="str">
        <v>00:00:00</v>
      </c>
      <c r="B3551" s="19">
        <v>0</v>
      </c>
      <c r="C3551" s="21">
        <v>0</v>
      </c>
      <c r="D3551" s="20" t="str">
        <v>未匹配</v>
      </c>
      <c r="E3551" s="20">
        <v>0</v>
      </c>
    </row>
    <row r="3552" spans="1:5">
      <c r="A3552" s="20" t="str">
        <v>00:00:00</v>
      </c>
      <c r="B3552" s="19">
        <v>0</v>
      </c>
      <c r="C3552" s="21">
        <v>0</v>
      </c>
      <c r="D3552" s="20" t="str">
        <v>未匹配</v>
      </c>
      <c r="E3552" s="20">
        <v>0</v>
      </c>
    </row>
    <row r="3553" spans="1:5">
      <c r="A3553" s="20" t="str">
        <v>00:00:00</v>
      </c>
      <c r="B3553" s="19">
        <v>0</v>
      </c>
      <c r="C3553" s="21">
        <v>0</v>
      </c>
      <c r="D3553" s="20" t="str">
        <v>未匹配</v>
      </c>
      <c r="E3553" s="20">
        <v>0</v>
      </c>
    </row>
    <row r="3554" spans="1:5">
      <c r="A3554" s="20" t="str">
        <v>00:00:00</v>
      </c>
      <c r="B3554" s="19">
        <v>0</v>
      </c>
      <c r="C3554" s="21">
        <v>0</v>
      </c>
      <c r="D3554" s="20" t="str">
        <v>未匹配</v>
      </c>
      <c r="E3554" s="20">
        <v>0</v>
      </c>
    </row>
    <row r="3555" spans="1:5">
      <c r="A3555" s="20" t="str">
        <v>00:00:00</v>
      </c>
      <c r="B3555" s="19">
        <v>0</v>
      </c>
      <c r="C3555" s="21">
        <v>0</v>
      </c>
      <c r="D3555" s="20" t="str">
        <v>未匹配</v>
      </c>
      <c r="E3555" s="20">
        <v>0</v>
      </c>
    </row>
    <row r="3556" spans="1:5">
      <c r="A3556" s="20" t="str">
        <v>00:00:00</v>
      </c>
      <c r="B3556" s="19">
        <v>0</v>
      </c>
      <c r="C3556" s="21">
        <v>0</v>
      </c>
      <c r="D3556" s="20" t="str">
        <v>未匹配</v>
      </c>
      <c r="E3556" s="20">
        <v>0</v>
      </c>
    </row>
    <row r="3557" spans="1:5">
      <c r="A3557" s="20" t="str">
        <v>00:00:00</v>
      </c>
      <c r="B3557" s="19">
        <v>0</v>
      </c>
      <c r="C3557" s="21">
        <v>0</v>
      </c>
      <c r="D3557" s="20" t="str">
        <v>未匹配</v>
      </c>
      <c r="E3557" s="20">
        <v>0</v>
      </c>
    </row>
    <row r="3558" spans="1:5">
      <c r="A3558" s="20" t="str">
        <v>00:00:00</v>
      </c>
      <c r="B3558" s="19">
        <v>0</v>
      </c>
      <c r="C3558" s="21">
        <v>0</v>
      </c>
      <c r="D3558" s="20" t="str">
        <v>未匹配</v>
      </c>
      <c r="E3558" s="20">
        <v>0</v>
      </c>
    </row>
    <row r="3559" spans="1:5">
      <c r="A3559" s="20" t="str">
        <v>00:00:00</v>
      </c>
      <c r="B3559" s="19">
        <v>0</v>
      </c>
      <c r="C3559" s="21">
        <v>0</v>
      </c>
      <c r="D3559" s="20" t="str">
        <v>未匹配</v>
      </c>
      <c r="E3559" s="20">
        <v>0</v>
      </c>
    </row>
    <row r="3560" spans="1:5">
      <c r="A3560" s="20" t="str">
        <v>00:00:00</v>
      </c>
      <c r="B3560" s="19">
        <v>0</v>
      </c>
      <c r="C3560" s="21">
        <v>0</v>
      </c>
      <c r="D3560" s="20" t="str">
        <v>未匹配</v>
      </c>
      <c r="E3560" s="20">
        <v>0</v>
      </c>
    </row>
    <row r="3561" spans="1:5">
      <c r="A3561" s="20" t="str">
        <v>00:00:00</v>
      </c>
      <c r="B3561" s="19">
        <v>0</v>
      </c>
      <c r="C3561" s="21">
        <v>0</v>
      </c>
      <c r="D3561" s="20" t="str">
        <v>未匹配</v>
      </c>
      <c r="E3561" s="20">
        <v>0</v>
      </c>
    </row>
    <row r="3562" spans="1:5">
      <c r="A3562" s="20" t="str">
        <v>00:00:00</v>
      </c>
      <c r="B3562" s="19">
        <v>0</v>
      </c>
      <c r="C3562" s="21">
        <v>0</v>
      </c>
      <c r="D3562" s="20" t="str">
        <v>未匹配</v>
      </c>
      <c r="E3562" s="20">
        <v>0</v>
      </c>
    </row>
    <row r="3563" spans="1:5">
      <c r="A3563" s="20" t="str">
        <v>00:00:00</v>
      </c>
      <c r="B3563" s="19">
        <v>0</v>
      </c>
      <c r="C3563" s="21">
        <v>0</v>
      </c>
      <c r="D3563" s="20" t="str">
        <v>未匹配</v>
      </c>
      <c r="E3563" s="20">
        <v>0</v>
      </c>
    </row>
    <row r="3564" spans="1:5">
      <c r="A3564" s="20" t="str">
        <v>00:00:00</v>
      </c>
      <c r="B3564" s="19">
        <v>0</v>
      </c>
      <c r="C3564" s="21">
        <v>0</v>
      </c>
      <c r="D3564" s="20" t="str">
        <v>未匹配</v>
      </c>
      <c r="E3564" s="20">
        <v>0</v>
      </c>
    </row>
    <row r="3565" spans="1:5">
      <c r="A3565" s="20" t="str">
        <v>00:00:00</v>
      </c>
      <c r="B3565" s="19">
        <v>0</v>
      </c>
      <c r="C3565" s="21">
        <v>0</v>
      </c>
      <c r="D3565" s="20" t="str">
        <v>未匹配</v>
      </c>
      <c r="E3565" s="20">
        <v>0</v>
      </c>
    </row>
    <row r="3566" spans="1:5">
      <c r="A3566" s="20" t="str">
        <v>00:00:00</v>
      </c>
      <c r="B3566" s="19">
        <v>0</v>
      </c>
      <c r="C3566" s="21">
        <v>0</v>
      </c>
      <c r="D3566" s="20" t="str">
        <v>未匹配</v>
      </c>
      <c r="E3566" s="20">
        <v>0</v>
      </c>
    </row>
    <row r="3567" spans="1:5">
      <c r="A3567" s="20" t="str">
        <v>00:00:00</v>
      </c>
      <c r="B3567" s="19">
        <v>0</v>
      </c>
      <c r="C3567" s="21">
        <v>0</v>
      </c>
      <c r="D3567" s="20" t="str">
        <v>未匹配</v>
      </c>
      <c r="E3567" s="20">
        <v>0</v>
      </c>
    </row>
    <row r="3568" spans="1:5">
      <c r="A3568" s="20" t="str">
        <v>00:00:00</v>
      </c>
      <c r="B3568" s="19">
        <v>0</v>
      </c>
      <c r="C3568" s="21">
        <v>0</v>
      </c>
      <c r="D3568" s="20" t="str">
        <v>未匹配</v>
      </c>
      <c r="E3568" s="20">
        <v>0</v>
      </c>
    </row>
    <row r="3569" spans="1:5">
      <c r="A3569" s="20" t="str">
        <v>00:00:00</v>
      </c>
      <c r="B3569" s="19">
        <v>0</v>
      </c>
      <c r="C3569" s="21">
        <v>0</v>
      </c>
      <c r="D3569" s="20" t="str">
        <v>未匹配</v>
      </c>
      <c r="E3569" s="20">
        <v>0</v>
      </c>
    </row>
    <row r="3570" spans="1:5">
      <c r="A3570" s="20" t="str">
        <v>00:00:00</v>
      </c>
      <c r="B3570" s="19">
        <v>0</v>
      </c>
      <c r="C3570" s="21">
        <v>0</v>
      </c>
      <c r="D3570" s="20" t="str">
        <v>未匹配</v>
      </c>
      <c r="E3570" s="20">
        <v>0</v>
      </c>
    </row>
    <row r="3571" spans="1:5">
      <c r="A3571" s="20" t="str">
        <v>00:00:00</v>
      </c>
      <c r="B3571" s="19">
        <v>0</v>
      </c>
      <c r="C3571" s="21">
        <v>0</v>
      </c>
      <c r="D3571" s="20" t="str">
        <v>未匹配</v>
      </c>
      <c r="E3571" s="20">
        <v>0</v>
      </c>
    </row>
    <row r="3572" spans="1:5">
      <c r="A3572" s="20" t="str">
        <v>00:00:00</v>
      </c>
      <c r="B3572" s="19">
        <v>0</v>
      </c>
      <c r="C3572" s="21">
        <v>0</v>
      </c>
      <c r="D3572" s="20" t="str">
        <v>未匹配</v>
      </c>
      <c r="E3572" s="20">
        <v>0</v>
      </c>
    </row>
    <row r="3573" spans="1:5">
      <c r="A3573" s="20" t="str">
        <v>00:00:00</v>
      </c>
      <c r="B3573" s="19">
        <v>0</v>
      </c>
      <c r="C3573" s="21">
        <v>0</v>
      </c>
      <c r="D3573" s="20" t="str">
        <v>未匹配</v>
      </c>
      <c r="E3573" s="20">
        <v>0</v>
      </c>
    </row>
    <row r="3574" spans="1:5">
      <c r="A3574" s="20" t="str">
        <v>00:00:00</v>
      </c>
      <c r="B3574" s="19">
        <v>0</v>
      </c>
      <c r="C3574" s="21">
        <v>0</v>
      </c>
      <c r="D3574" s="20" t="str">
        <v>未匹配</v>
      </c>
      <c r="E3574" s="20">
        <v>0</v>
      </c>
    </row>
    <row r="3575" spans="1:5">
      <c r="A3575" s="20" t="str">
        <v>00:00:00</v>
      </c>
      <c r="B3575" s="19">
        <v>0</v>
      </c>
      <c r="C3575" s="21">
        <v>0</v>
      </c>
      <c r="D3575" s="20" t="str">
        <v>未匹配</v>
      </c>
      <c r="E3575" s="20">
        <v>0</v>
      </c>
    </row>
    <row r="3576" spans="1:5">
      <c r="A3576" s="20" t="str">
        <v>00:00:00</v>
      </c>
      <c r="B3576" s="19">
        <v>0</v>
      </c>
      <c r="C3576" s="21">
        <v>0</v>
      </c>
      <c r="D3576" s="20" t="str">
        <v>未匹配</v>
      </c>
      <c r="E3576" s="20">
        <v>0</v>
      </c>
    </row>
    <row r="3577" spans="1:5">
      <c r="A3577" s="20" t="str">
        <v>00:00:00</v>
      </c>
      <c r="B3577" s="19">
        <v>0</v>
      </c>
      <c r="C3577" s="21">
        <v>0</v>
      </c>
      <c r="D3577" s="20" t="str">
        <v>未匹配</v>
      </c>
      <c r="E3577" s="20">
        <v>0</v>
      </c>
    </row>
    <row r="3578" spans="1:5">
      <c r="A3578" s="20" t="str">
        <v>00:00:00</v>
      </c>
      <c r="B3578" s="19">
        <v>0</v>
      </c>
      <c r="C3578" s="21">
        <v>0</v>
      </c>
      <c r="D3578" s="20" t="str">
        <v>未匹配</v>
      </c>
      <c r="E3578" s="20">
        <v>0</v>
      </c>
    </row>
    <row r="3579" spans="1:5">
      <c r="A3579" s="20" t="str">
        <v>00:00:00</v>
      </c>
      <c r="B3579" s="19">
        <v>0</v>
      </c>
      <c r="C3579" s="21">
        <v>0</v>
      </c>
      <c r="D3579" s="20" t="str">
        <v>未匹配</v>
      </c>
      <c r="E3579" s="20">
        <v>0</v>
      </c>
    </row>
    <row r="3580" spans="1:5">
      <c r="A3580" s="20" t="str">
        <v>00:00:00</v>
      </c>
      <c r="B3580" s="19">
        <v>0</v>
      </c>
      <c r="C3580" s="21">
        <v>0</v>
      </c>
      <c r="D3580" s="20" t="str">
        <v>未匹配</v>
      </c>
      <c r="E3580" s="20">
        <v>0</v>
      </c>
    </row>
    <row r="3581" spans="1:5">
      <c r="A3581" s="20" t="str">
        <v>00:00:00</v>
      </c>
      <c r="B3581" s="19">
        <v>0</v>
      </c>
      <c r="C3581" s="21">
        <v>0</v>
      </c>
      <c r="D3581" s="20" t="str">
        <v>未匹配</v>
      </c>
      <c r="E3581" s="20">
        <v>0</v>
      </c>
    </row>
    <row r="3582" spans="1:5">
      <c r="A3582" s="20" t="str">
        <v>00:00:00</v>
      </c>
      <c r="B3582" s="19">
        <v>0</v>
      </c>
      <c r="C3582" s="21">
        <v>0</v>
      </c>
      <c r="D3582" s="20" t="str">
        <v>未匹配</v>
      </c>
      <c r="E3582" s="20">
        <v>0</v>
      </c>
    </row>
    <row r="3583" spans="1:5">
      <c r="A3583" s="20" t="str">
        <v>00:00:00</v>
      </c>
      <c r="B3583" s="19">
        <v>0</v>
      </c>
      <c r="C3583" s="21">
        <v>0</v>
      </c>
      <c r="D3583" s="20" t="str">
        <v>未匹配</v>
      </c>
      <c r="E3583" s="20">
        <v>0</v>
      </c>
    </row>
    <row r="3584" spans="1:5">
      <c r="A3584" s="20" t="str">
        <v>00:00:00</v>
      </c>
      <c r="B3584" s="19">
        <v>0</v>
      </c>
      <c r="C3584" s="21">
        <v>0</v>
      </c>
      <c r="D3584" s="20" t="str">
        <v>未匹配</v>
      </c>
      <c r="E3584" s="20">
        <v>0</v>
      </c>
    </row>
    <row r="3585" spans="1:5">
      <c r="A3585" s="20" t="str">
        <v>00:00:00</v>
      </c>
      <c r="B3585" s="19">
        <v>0</v>
      </c>
      <c r="C3585" s="21">
        <v>0</v>
      </c>
      <c r="D3585" s="20" t="str">
        <v>未匹配</v>
      </c>
      <c r="E3585" s="20">
        <v>0</v>
      </c>
    </row>
    <row r="3586" spans="1:5">
      <c r="A3586" s="20" t="str">
        <v>00:00:00</v>
      </c>
      <c r="B3586" s="19">
        <v>0</v>
      </c>
      <c r="C3586" s="21">
        <v>0</v>
      </c>
      <c r="D3586" s="20" t="str">
        <v>未匹配</v>
      </c>
      <c r="E3586" s="20">
        <v>0</v>
      </c>
    </row>
    <row r="3587" spans="1:5">
      <c r="A3587" s="20" t="str">
        <v>00:00:00</v>
      </c>
      <c r="B3587" s="19">
        <v>0</v>
      </c>
      <c r="C3587" s="21">
        <v>0</v>
      </c>
      <c r="D3587" s="20" t="str">
        <v>未匹配</v>
      </c>
      <c r="E3587" s="20">
        <v>0</v>
      </c>
    </row>
    <row r="3588" spans="1:5">
      <c r="A3588" s="20" t="str">
        <v>00:00:00</v>
      </c>
      <c r="B3588" s="19">
        <v>0</v>
      </c>
      <c r="C3588" s="21">
        <v>0</v>
      </c>
      <c r="D3588" s="20" t="str">
        <v>未匹配</v>
      </c>
      <c r="E3588" s="20">
        <v>0</v>
      </c>
    </row>
    <row r="3589" spans="1:5">
      <c r="A3589" s="20" t="str">
        <v>00:00:00</v>
      </c>
      <c r="B3589" s="19">
        <v>0</v>
      </c>
      <c r="C3589" s="21">
        <v>0</v>
      </c>
      <c r="D3589" s="20" t="str">
        <v>未匹配</v>
      </c>
      <c r="E3589" s="20">
        <v>0</v>
      </c>
    </row>
    <row r="3590" spans="1:5">
      <c r="A3590" s="20" t="str">
        <v>00:00:00</v>
      </c>
      <c r="B3590" s="19">
        <v>0</v>
      </c>
      <c r="C3590" s="21">
        <v>0</v>
      </c>
      <c r="D3590" s="20" t="str">
        <v>未匹配</v>
      </c>
      <c r="E3590" s="20">
        <v>0</v>
      </c>
    </row>
    <row r="3591" spans="1:5">
      <c r="A3591" s="20" t="str">
        <v>00:00:00</v>
      </c>
      <c r="B3591" s="19">
        <v>0</v>
      </c>
      <c r="C3591" s="21">
        <v>0</v>
      </c>
      <c r="D3591" s="20" t="str">
        <v>未匹配</v>
      </c>
      <c r="E3591" s="20">
        <v>0</v>
      </c>
    </row>
    <row r="3592" spans="1:5">
      <c r="A3592" s="20" t="str">
        <v>00:00:00</v>
      </c>
      <c r="B3592" s="19">
        <v>0</v>
      </c>
      <c r="C3592" s="21">
        <v>0</v>
      </c>
      <c r="D3592" s="20" t="str">
        <v>未匹配</v>
      </c>
      <c r="E3592" s="20">
        <v>0</v>
      </c>
    </row>
    <row r="3593" spans="1:5">
      <c r="A3593" s="20" t="str">
        <v>00:00:00</v>
      </c>
      <c r="B3593" s="19">
        <v>0</v>
      </c>
      <c r="C3593" s="21">
        <v>0</v>
      </c>
      <c r="D3593" s="20" t="str">
        <v>未匹配</v>
      </c>
      <c r="E3593" s="20">
        <v>0</v>
      </c>
    </row>
    <row r="3594" spans="1:5">
      <c r="A3594" s="20" t="str">
        <v>00:00:00</v>
      </c>
      <c r="B3594" s="19">
        <v>0</v>
      </c>
      <c r="C3594" s="21">
        <v>0</v>
      </c>
      <c r="D3594" s="20" t="str">
        <v>未匹配</v>
      </c>
      <c r="E3594" s="20">
        <v>0</v>
      </c>
    </row>
    <row r="3595" spans="1:5">
      <c r="A3595" s="20" t="str">
        <v>00:00:00</v>
      </c>
      <c r="B3595" s="19">
        <v>0</v>
      </c>
      <c r="C3595" s="21">
        <v>0</v>
      </c>
      <c r="D3595" s="20" t="str">
        <v>未匹配</v>
      </c>
      <c r="E3595" s="20">
        <v>0</v>
      </c>
    </row>
    <row r="3596" spans="1:5">
      <c r="A3596" s="20" t="str">
        <v>00:00:00</v>
      </c>
      <c r="B3596" s="19">
        <v>0</v>
      </c>
      <c r="C3596" s="21">
        <v>0</v>
      </c>
      <c r="D3596" s="20" t="str">
        <v>未匹配</v>
      </c>
      <c r="E3596" s="20">
        <v>0</v>
      </c>
    </row>
    <row r="3597" spans="1:5">
      <c r="A3597" s="20" t="str">
        <v>00:00:00</v>
      </c>
      <c r="B3597" s="19">
        <v>0</v>
      </c>
      <c r="C3597" s="21">
        <v>0</v>
      </c>
      <c r="D3597" s="20" t="str">
        <v>未匹配</v>
      </c>
      <c r="E3597" s="20">
        <v>0</v>
      </c>
    </row>
    <row r="3598" spans="1:5">
      <c r="A3598" s="20" t="str">
        <v>00:00:00</v>
      </c>
      <c r="B3598" s="19">
        <v>0</v>
      </c>
      <c r="C3598" s="21">
        <v>0</v>
      </c>
      <c r="D3598" s="20" t="str">
        <v>未匹配</v>
      </c>
      <c r="E3598" s="20">
        <v>0</v>
      </c>
    </row>
    <row r="3599" spans="1:5">
      <c r="A3599" s="20" t="str">
        <v>00:00:00</v>
      </c>
      <c r="B3599" s="19">
        <v>0</v>
      </c>
      <c r="C3599" s="21">
        <v>0</v>
      </c>
      <c r="D3599" s="20" t="str">
        <v>未匹配</v>
      </c>
      <c r="E3599" s="20">
        <v>0</v>
      </c>
    </row>
    <row r="3600" spans="1:5">
      <c r="A3600" s="20" t="str">
        <v>00:00:00</v>
      </c>
      <c r="B3600" s="19">
        <v>0</v>
      </c>
      <c r="C3600" s="21">
        <v>0</v>
      </c>
      <c r="D3600" s="20" t="str">
        <v>未匹配</v>
      </c>
      <c r="E3600" s="20">
        <v>0</v>
      </c>
    </row>
    <row r="3601" spans="1:5">
      <c r="A3601" s="20" t="str">
        <v>00:00:00</v>
      </c>
      <c r="B3601" s="19">
        <v>0</v>
      </c>
      <c r="C3601" s="21">
        <v>0</v>
      </c>
      <c r="D3601" s="20" t="str">
        <v>未匹配</v>
      </c>
      <c r="E3601" s="20">
        <v>0</v>
      </c>
    </row>
    <row r="3602" spans="1:5">
      <c r="A3602" s="20" t="str">
        <v>00:00:00</v>
      </c>
      <c r="B3602" s="19">
        <v>0</v>
      </c>
      <c r="C3602" s="21">
        <v>0</v>
      </c>
      <c r="D3602" s="20" t="str">
        <v>未匹配</v>
      </c>
      <c r="E3602" s="20">
        <v>0</v>
      </c>
    </row>
    <row r="3603" spans="1:5">
      <c r="A3603" s="20" t="str">
        <v>00:00:00</v>
      </c>
      <c r="B3603" s="19">
        <v>0</v>
      </c>
      <c r="C3603" s="21">
        <v>0</v>
      </c>
      <c r="D3603" s="20" t="str">
        <v>未匹配</v>
      </c>
      <c r="E3603" s="20">
        <v>0</v>
      </c>
    </row>
    <row r="3604" spans="1:5">
      <c r="A3604" s="20" t="str">
        <v>00:00:00</v>
      </c>
      <c r="B3604" s="19">
        <v>0</v>
      </c>
      <c r="C3604" s="21">
        <v>0</v>
      </c>
      <c r="D3604" s="20" t="str">
        <v>未匹配</v>
      </c>
      <c r="E3604" s="20">
        <v>0</v>
      </c>
    </row>
    <row r="3605" spans="1:5">
      <c r="A3605" s="20" t="str">
        <v>00:00:00</v>
      </c>
      <c r="B3605" s="19">
        <v>0</v>
      </c>
      <c r="C3605" s="21">
        <v>0</v>
      </c>
      <c r="D3605" s="20" t="str">
        <v>未匹配</v>
      </c>
      <c r="E3605" s="20">
        <v>0</v>
      </c>
    </row>
    <row r="3606" spans="1:5">
      <c r="A3606" s="20" t="str">
        <v>00:00:00</v>
      </c>
      <c r="B3606" s="19">
        <v>0</v>
      </c>
      <c r="C3606" s="21">
        <v>0</v>
      </c>
      <c r="D3606" s="20" t="str">
        <v>未匹配</v>
      </c>
      <c r="E3606" s="20">
        <v>0</v>
      </c>
    </row>
    <row r="3607" spans="1:5">
      <c r="A3607" s="20" t="str">
        <v>00:00:00</v>
      </c>
      <c r="B3607" s="19">
        <v>0</v>
      </c>
      <c r="C3607" s="21">
        <v>0</v>
      </c>
      <c r="D3607" s="20" t="str">
        <v>未匹配</v>
      </c>
      <c r="E3607" s="20">
        <v>0</v>
      </c>
    </row>
    <row r="3608" spans="1:5">
      <c r="A3608" s="20" t="str">
        <v>00:00:00</v>
      </c>
      <c r="B3608" s="19">
        <v>0</v>
      </c>
      <c r="C3608" s="21">
        <v>0</v>
      </c>
      <c r="D3608" s="20" t="str">
        <v>未匹配</v>
      </c>
      <c r="E3608" s="20">
        <v>0</v>
      </c>
    </row>
    <row r="3609" spans="1:5">
      <c r="A3609" s="20" t="str">
        <v>00:00:00</v>
      </c>
      <c r="B3609" s="19">
        <v>0</v>
      </c>
      <c r="C3609" s="21">
        <v>0</v>
      </c>
      <c r="D3609" s="20" t="str">
        <v>未匹配</v>
      </c>
      <c r="E3609" s="20">
        <v>0</v>
      </c>
    </row>
    <row r="3610" spans="1:5">
      <c r="A3610" s="20" t="str">
        <v>00:00:00</v>
      </c>
      <c r="B3610" s="19">
        <v>0</v>
      </c>
      <c r="C3610" s="21">
        <v>0</v>
      </c>
      <c r="D3610" s="20" t="str">
        <v>未匹配</v>
      </c>
      <c r="E3610" s="20">
        <v>0</v>
      </c>
    </row>
    <row r="3611" spans="1:5">
      <c r="A3611" s="20" t="str">
        <v>00:00:00</v>
      </c>
      <c r="B3611" s="19">
        <v>0</v>
      </c>
      <c r="C3611" s="21">
        <v>0</v>
      </c>
      <c r="D3611" s="20" t="str">
        <v>未匹配</v>
      </c>
      <c r="E3611" s="20">
        <v>0</v>
      </c>
    </row>
    <row r="3612" spans="1:5">
      <c r="A3612" s="20" t="str">
        <v>00:00:00</v>
      </c>
      <c r="B3612" s="19">
        <v>0</v>
      </c>
      <c r="C3612" s="21">
        <v>0</v>
      </c>
      <c r="D3612" s="20" t="str">
        <v>未匹配</v>
      </c>
      <c r="E3612" s="20">
        <v>0</v>
      </c>
    </row>
    <row r="3613" spans="1:5">
      <c r="A3613" s="20" t="str">
        <v>00:00:00</v>
      </c>
      <c r="B3613" s="19">
        <v>0</v>
      </c>
      <c r="C3613" s="21">
        <v>0</v>
      </c>
      <c r="D3613" s="20" t="str">
        <v>未匹配</v>
      </c>
      <c r="E3613" s="20">
        <v>0</v>
      </c>
    </row>
    <row r="3614" spans="1:5">
      <c r="A3614" s="20" t="str">
        <v>00:00:00</v>
      </c>
      <c r="B3614" s="19">
        <v>0</v>
      </c>
      <c r="C3614" s="21">
        <v>0</v>
      </c>
      <c r="D3614" s="20" t="str">
        <v>未匹配</v>
      </c>
      <c r="E3614" s="20">
        <v>0</v>
      </c>
    </row>
    <row r="3615" spans="1:5">
      <c r="A3615" s="20" t="str">
        <v>00:00:00</v>
      </c>
      <c r="B3615" s="19">
        <v>0</v>
      </c>
      <c r="C3615" s="21">
        <v>0</v>
      </c>
      <c r="D3615" s="20" t="str">
        <v>未匹配</v>
      </c>
      <c r="E3615" s="20">
        <v>0</v>
      </c>
    </row>
    <row r="3616" spans="1:5">
      <c r="A3616" s="20" t="str">
        <v>00:00:00</v>
      </c>
      <c r="B3616" s="19">
        <v>0</v>
      </c>
      <c r="C3616" s="21">
        <v>0</v>
      </c>
      <c r="D3616" s="20" t="str">
        <v>未匹配</v>
      </c>
      <c r="E3616" s="20">
        <v>0</v>
      </c>
    </row>
    <row r="3617" spans="1:5">
      <c r="A3617" s="20" t="str">
        <v>00:00:00</v>
      </c>
      <c r="B3617" s="19">
        <v>0</v>
      </c>
      <c r="C3617" s="21">
        <v>0</v>
      </c>
      <c r="D3617" s="20" t="str">
        <v>未匹配</v>
      </c>
      <c r="E3617" s="20">
        <v>0</v>
      </c>
    </row>
    <row r="3618" spans="1:5">
      <c r="A3618" s="20" t="str">
        <v>00:00:00</v>
      </c>
      <c r="B3618" s="19">
        <v>0</v>
      </c>
      <c r="C3618" s="21">
        <v>0</v>
      </c>
      <c r="D3618" s="20" t="str">
        <v>未匹配</v>
      </c>
      <c r="E3618" s="20">
        <v>0</v>
      </c>
    </row>
    <row r="3619" spans="1:5">
      <c r="A3619" s="20" t="str">
        <v>00:00:00</v>
      </c>
      <c r="B3619" s="19">
        <v>0</v>
      </c>
      <c r="C3619" s="21">
        <v>0</v>
      </c>
      <c r="D3619" s="20" t="str">
        <v>未匹配</v>
      </c>
      <c r="E3619" s="20">
        <v>0</v>
      </c>
    </row>
    <row r="3620" spans="1:5">
      <c r="A3620" s="20" t="str">
        <v>00:00:00</v>
      </c>
      <c r="B3620" s="19">
        <v>0</v>
      </c>
      <c r="C3620" s="21">
        <v>0</v>
      </c>
      <c r="D3620" s="20" t="str">
        <v>未匹配</v>
      </c>
      <c r="E3620" s="20">
        <v>0</v>
      </c>
    </row>
    <row r="3621" spans="1:5">
      <c r="A3621" s="20" t="str">
        <v>00:00:00</v>
      </c>
      <c r="B3621" s="19">
        <v>0</v>
      </c>
      <c r="C3621" s="21">
        <v>0</v>
      </c>
      <c r="D3621" s="20" t="str">
        <v>未匹配</v>
      </c>
      <c r="E3621" s="20">
        <v>0</v>
      </c>
    </row>
    <row r="3622" spans="1:5">
      <c r="A3622" s="20" t="str">
        <v>00:00:00</v>
      </c>
      <c r="B3622" s="19">
        <v>0</v>
      </c>
      <c r="C3622" s="21">
        <v>0</v>
      </c>
      <c r="D3622" s="20" t="str">
        <v>未匹配</v>
      </c>
      <c r="E3622" s="20">
        <v>0</v>
      </c>
    </row>
    <row r="3623" spans="1:5">
      <c r="A3623" s="20" t="str">
        <v>00:00:00</v>
      </c>
      <c r="B3623" s="19">
        <v>0</v>
      </c>
      <c r="C3623" s="21">
        <v>0</v>
      </c>
      <c r="D3623" s="20" t="str">
        <v>未匹配</v>
      </c>
      <c r="E3623" s="20">
        <v>0</v>
      </c>
    </row>
    <row r="3624" spans="1:5">
      <c r="A3624" s="20" t="str">
        <v>00:00:00</v>
      </c>
      <c r="B3624" s="19">
        <v>0</v>
      </c>
      <c r="C3624" s="21">
        <v>0</v>
      </c>
      <c r="D3624" s="20" t="str">
        <v>未匹配</v>
      </c>
      <c r="E3624" s="20">
        <v>0</v>
      </c>
    </row>
    <row r="3625" spans="1:5">
      <c r="A3625" s="20" t="str">
        <v>00:00:00</v>
      </c>
      <c r="B3625" s="19">
        <v>0</v>
      </c>
      <c r="C3625" s="21">
        <v>0</v>
      </c>
      <c r="D3625" s="20" t="str">
        <v>未匹配</v>
      </c>
      <c r="E3625" s="20">
        <v>0</v>
      </c>
    </row>
    <row r="3626" spans="1:5">
      <c r="A3626" s="20" t="str">
        <v>00:00:00</v>
      </c>
      <c r="B3626" s="19">
        <v>0</v>
      </c>
      <c r="C3626" s="21">
        <v>0</v>
      </c>
      <c r="D3626" s="20" t="str">
        <v>未匹配</v>
      </c>
      <c r="E3626" s="20">
        <v>0</v>
      </c>
    </row>
    <row r="3627" spans="1:5">
      <c r="A3627" s="20" t="str">
        <v>00:00:00</v>
      </c>
      <c r="B3627" s="19">
        <v>0</v>
      </c>
      <c r="C3627" s="21">
        <v>0</v>
      </c>
      <c r="D3627" s="20" t="str">
        <v>未匹配</v>
      </c>
      <c r="E3627" s="20">
        <v>0</v>
      </c>
    </row>
    <row r="3628" spans="1:5">
      <c r="A3628" s="20" t="str">
        <v>00:00:00</v>
      </c>
      <c r="B3628" s="19">
        <v>0</v>
      </c>
      <c r="C3628" s="21">
        <v>0</v>
      </c>
      <c r="D3628" s="20" t="str">
        <v>未匹配</v>
      </c>
      <c r="E3628" s="20">
        <v>0</v>
      </c>
    </row>
    <row r="3629" spans="1:5">
      <c r="A3629" s="20" t="str">
        <v>00:00:00</v>
      </c>
      <c r="B3629" s="19">
        <v>0</v>
      </c>
      <c r="C3629" s="21">
        <v>0</v>
      </c>
      <c r="D3629" s="20" t="str">
        <v>未匹配</v>
      </c>
      <c r="E3629" s="20">
        <v>0</v>
      </c>
    </row>
    <row r="3630" spans="1:5">
      <c r="A3630" s="20" t="str">
        <v>00:00:00</v>
      </c>
      <c r="B3630" s="19">
        <v>0</v>
      </c>
      <c r="C3630" s="21">
        <v>0</v>
      </c>
      <c r="D3630" s="20" t="str">
        <v>未匹配</v>
      </c>
      <c r="E3630" s="20">
        <v>0</v>
      </c>
    </row>
    <row r="3631" spans="1:5">
      <c r="A3631" s="20" t="str">
        <v>00:00:00</v>
      </c>
      <c r="B3631" s="19">
        <v>0</v>
      </c>
      <c r="C3631" s="21">
        <v>0</v>
      </c>
      <c r="D3631" s="20" t="str">
        <v>未匹配</v>
      </c>
      <c r="E3631" s="20">
        <v>0</v>
      </c>
    </row>
    <row r="3632" spans="1:5">
      <c r="A3632" s="20" t="str">
        <v>00:00:00</v>
      </c>
      <c r="B3632" s="19">
        <v>0</v>
      </c>
      <c r="C3632" s="21">
        <v>0</v>
      </c>
      <c r="D3632" s="20" t="str">
        <v>未匹配</v>
      </c>
      <c r="E3632" s="20">
        <v>0</v>
      </c>
    </row>
    <row r="3633" spans="1:5">
      <c r="A3633" s="20" t="str">
        <v>00:00:00</v>
      </c>
      <c r="B3633" s="19">
        <v>0</v>
      </c>
      <c r="C3633" s="21">
        <v>0</v>
      </c>
      <c r="D3633" s="20" t="str">
        <v>未匹配</v>
      </c>
      <c r="E3633" s="20">
        <v>0</v>
      </c>
    </row>
    <row r="3634" spans="1:5">
      <c r="A3634" s="20" t="str">
        <v>00:00:00</v>
      </c>
      <c r="B3634" s="19">
        <v>0</v>
      </c>
      <c r="C3634" s="21">
        <v>0</v>
      </c>
      <c r="D3634" s="20" t="str">
        <v>未匹配</v>
      </c>
      <c r="E3634" s="20">
        <v>0</v>
      </c>
    </row>
    <row r="3635" spans="1:5">
      <c r="A3635" s="20" t="str">
        <v>00:00:00</v>
      </c>
      <c r="B3635" s="19">
        <v>0</v>
      </c>
      <c r="C3635" s="21">
        <v>0</v>
      </c>
      <c r="D3635" s="20" t="str">
        <v>未匹配</v>
      </c>
      <c r="E3635" s="20">
        <v>0</v>
      </c>
    </row>
    <row r="3636" spans="1:5">
      <c r="A3636" s="20" t="str">
        <v>00:00:00</v>
      </c>
      <c r="B3636" s="19">
        <v>0</v>
      </c>
      <c r="C3636" s="21">
        <v>0</v>
      </c>
      <c r="D3636" s="20" t="str">
        <v>未匹配</v>
      </c>
      <c r="E3636" s="20">
        <v>0</v>
      </c>
    </row>
    <row r="3637" spans="1:5">
      <c r="A3637" s="20" t="str">
        <v>00:00:00</v>
      </c>
      <c r="B3637" s="19">
        <v>0</v>
      </c>
      <c r="C3637" s="21">
        <v>0</v>
      </c>
      <c r="D3637" s="20" t="str">
        <v>未匹配</v>
      </c>
      <c r="E3637" s="20">
        <v>0</v>
      </c>
    </row>
    <row r="3638" spans="1:5">
      <c r="A3638" s="20" t="str">
        <v>00:00:00</v>
      </c>
      <c r="B3638" s="19">
        <v>0</v>
      </c>
      <c r="C3638" s="21">
        <v>0</v>
      </c>
      <c r="D3638" s="20" t="str">
        <v>未匹配</v>
      </c>
      <c r="E3638" s="20">
        <v>0</v>
      </c>
    </row>
    <row r="3639" spans="1:5">
      <c r="A3639" s="20" t="str">
        <v>00:00:00</v>
      </c>
      <c r="B3639" s="19">
        <v>0</v>
      </c>
      <c r="C3639" s="21">
        <v>0</v>
      </c>
      <c r="D3639" s="20" t="str">
        <v>未匹配</v>
      </c>
      <c r="E3639" s="20">
        <v>0</v>
      </c>
    </row>
    <row r="3640" spans="1:5">
      <c r="A3640" s="20" t="str">
        <v>00:00:00</v>
      </c>
      <c r="B3640" s="19">
        <v>0</v>
      </c>
      <c r="C3640" s="21">
        <v>0</v>
      </c>
      <c r="D3640" s="20" t="str">
        <v>未匹配</v>
      </c>
      <c r="E3640" s="20">
        <v>0</v>
      </c>
    </row>
    <row r="3641" spans="1:5">
      <c r="A3641" s="20" t="str">
        <v>00:00:00</v>
      </c>
      <c r="B3641" s="19">
        <v>0</v>
      </c>
      <c r="C3641" s="21">
        <v>0</v>
      </c>
      <c r="D3641" s="20" t="str">
        <v>未匹配</v>
      </c>
      <c r="E3641" s="20">
        <v>0</v>
      </c>
    </row>
    <row r="3642" spans="1:5">
      <c r="A3642" s="20" t="str">
        <v>00:00:00</v>
      </c>
      <c r="B3642" s="19">
        <v>0</v>
      </c>
      <c r="C3642" s="21">
        <v>0</v>
      </c>
      <c r="D3642" s="20" t="str">
        <v>未匹配</v>
      </c>
      <c r="E3642" s="20">
        <v>0</v>
      </c>
    </row>
    <row r="3643" spans="1:5">
      <c r="A3643" s="20" t="str">
        <v>00:00:00</v>
      </c>
      <c r="B3643" s="19">
        <v>0</v>
      </c>
      <c r="C3643" s="21">
        <v>0</v>
      </c>
      <c r="D3643" s="20" t="str">
        <v>未匹配</v>
      </c>
      <c r="E3643" s="20">
        <v>0</v>
      </c>
    </row>
    <row r="3644" spans="1:5">
      <c r="A3644" s="20" t="str">
        <v>00:00:00</v>
      </c>
      <c r="B3644" s="19">
        <v>0</v>
      </c>
      <c r="C3644" s="21">
        <v>0</v>
      </c>
      <c r="D3644" s="20" t="str">
        <v>未匹配</v>
      </c>
      <c r="E3644" s="20">
        <v>0</v>
      </c>
    </row>
    <row r="3645" spans="1:5">
      <c r="A3645" s="20" t="str">
        <v>00:00:00</v>
      </c>
      <c r="B3645" s="19">
        <v>0</v>
      </c>
      <c r="C3645" s="21">
        <v>0</v>
      </c>
      <c r="D3645" s="20" t="str">
        <v>未匹配</v>
      </c>
      <c r="E3645" s="20">
        <v>0</v>
      </c>
    </row>
    <row r="3646" spans="1:5">
      <c r="A3646" s="20" t="str">
        <v>00:00:00</v>
      </c>
      <c r="B3646" s="19">
        <v>0</v>
      </c>
      <c r="C3646" s="21">
        <v>0</v>
      </c>
      <c r="D3646" s="20" t="str">
        <v>未匹配</v>
      </c>
      <c r="E3646" s="20">
        <v>0</v>
      </c>
    </row>
    <row r="3647" spans="1:5">
      <c r="A3647" s="20" t="str">
        <v>00:00:00</v>
      </c>
      <c r="B3647" s="19">
        <v>0</v>
      </c>
      <c r="C3647" s="21">
        <v>0</v>
      </c>
      <c r="D3647" s="20" t="str">
        <v>未匹配</v>
      </c>
      <c r="E3647" s="20">
        <v>0</v>
      </c>
    </row>
    <row r="3648" spans="1:5">
      <c r="A3648" s="20" t="str">
        <v>00:00:00</v>
      </c>
      <c r="B3648" s="19">
        <v>0</v>
      </c>
      <c r="C3648" s="21">
        <v>0</v>
      </c>
      <c r="D3648" s="20" t="str">
        <v>未匹配</v>
      </c>
      <c r="E3648" s="20">
        <v>0</v>
      </c>
    </row>
    <row r="3649" spans="1:5">
      <c r="A3649" s="20" t="str">
        <v>00:00:00</v>
      </c>
      <c r="B3649" s="19">
        <v>0</v>
      </c>
      <c r="C3649" s="21">
        <v>0</v>
      </c>
      <c r="D3649" s="20" t="str">
        <v>未匹配</v>
      </c>
      <c r="E3649" s="20">
        <v>0</v>
      </c>
    </row>
    <row r="3650" spans="1:5">
      <c r="A3650" s="20" t="str">
        <v>00:00:00</v>
      </c>
      <c r="B3650" s="19">
        <v>0</v>
      </c>
      <c r="C3650" s="21">
        <v>0</v>
      </c>
      <c r="D3650" s="20" t="str">
        <v>未匹配</v>
      </c>
      <c r="E3650" s="20">
        <v>0</v>
      </c>
    </row>
    <row r="3651" spans="1:5">
      <c r="A3651" s="20" t="str">
        <v>00:00:00</v>
      </c>
      <c r="B3651" s="19">
        <v>0</v>
      </c>
      <c r="C3651" s="21">
        <v>0</v>
      </c>
      <c r="D3651" s="20" t="str">
        <v>未匹配</v>
      </c>
      <c r="E3651" s="20">
        <v>0</v>
      </c>
    </row>
    <row r="3652" spans="1:5">
      <c r="A3652" s="20" t="str">
        <v>00:00:00</v>
      </c>
      <c r="B3652" s="19">
        <v>0</v>
      </c>
      <c r="C3652" s="21">
        <v>0</v>
      </c>
      <c r="D3652" s="20" t="str">
        <v>未匹配</v>
      </c>
      <c r="E3652" s="20">
        <v>0</v>
      </c>
    </row>
    <row r="3653" spans="1:5">
      <c r="A3653" s="20" t="str">
        <v>00:00:00</v>
      </c>
      <c r="B3653" s="19">
        <v>0</v>
      </c>
      <c r="C3653" s="21">
        <v>0</v>
      </c>
      <c r="D3653" s="20" t="str">
        <v>未匹配</v>
      </c>
      <c r="E3653" s="20">
        <v>0</v>
      </c>
    </row>
    <row r="3654" spans="1:5">
      <c r="A3654" s="20" t="str">
        <v>00:00:00</v>
      </c>
      <c r="B3654" s="19">
        <v>0</v>
      </c>
      <c r="C3654" s="21">
        <v>0</v>
      </c>
      <c r="D3654" s="20" t="str">
        <v>未匹配</v>
      </c>
      <c r="E3654" s="20">
        <v>0</v>
      </c>
    </row>
    <row r="3655" spans="1:5">
      <c r="A3655" s="20" t="str">
        <v>00:00:00</v>
      </c>
      <c r="B3655" s="19">
        <v>0</v>
      </c>
      <c r="C3655" s="21">
        <v>0</v>
      </c>
      <c r="D3655" s="20" t="str">
        <v>未匹配</v>
      </c>
      <c r="E3655" s="20">
        <v>0</v>
      </c>
    </row>
    <row r="3656" spans="1:5">
      <c r="A3656" s="20" t="str">
        <v>00:00:00</v>
      </c>
      <c r="B3656" s="19">
        <v>0</v>
      </c>
      <c r="C3656" s="21">
        <v>0</v>
      </c>
      <c r="D3656" s="20" t="str">
        <v>未匹配</v>
      </c>
      <c r="E3656" s="20">
        <v>0</v>
      </c>
    </row>
    <row r="3657" spans="1:5">
      <c r="A3657" s="20" t="str">
        <v>00:00:00</v>
      </c>
      <c r="B3657" s="19">
        <v>0</v>
      </c>
      <c r="C3657" s="21">
        <v>0</v>
      </c>
      <c r="D3657" s="20" t="str">
        <v>未匹配</v>
      </c>
      <c r="E3657" s="20">
        <v>0</v>
      </c>
    </row>
    <row r="3658" spans="1:5">
      <c r="A3658" s="20" t="str">
        <v>00:00:00</v>
      </c>
      <c r="B3658" s="19">
        <v>0</v>
      </c>
      <c r="C3658" s="21">
        <v>0</v>
      </c>
      <c r="D3658" s="20" t="str">
        <v>未匹配</v>
      </c>
      <c r="E3658" s="20">
        <v>0</v>
      </c>
    </row>
    <row r="3659" spans="1:5">
      <c r="A3659" s="20" t="str">
        <v>00:00:00</v>
      </c>
      <c r="B3659" s="19">
        <v>0</v>
      </c>
      <c r="C3659" s="21">
        <v>0</v>
      </c>
      <c r="D3659" s="20" t="str">
        <v>未匹配</v>
      </c>
      <c r="E3659" s="20">
        <v>0</v>
      </c>
    </row>
    <row r="3660" spans="1:5">
      <c r="A3660" s="20" t="str">
        <v>00:00:00</v>
      </c>
      <c r="B3660" s="19">
        <v>0</v>
      </c>
      <c r="C3660" s="21">
        <v>0</v>
      </c>
      <c r="D3660" s="20" t="str">
        <v>未匹配</v>
      </c>
      <c r="E3660" s="20">
        <v>0</v>
      </c>
    </row>
    <row r="3661" spans="1:5">
      <c r="A3661" s="20" t="str">
        <v>00:00:00</v>
      </c>
      <c r="B3661" s="19">
        <v>0</v>
      </c>
      <c r="C3661" s="21">
        <v>0</v>
      </c>
      <c r="D3661" s="20" t="str">
        <v>未匹配</v>
      </c>
      <c r="E3661" s="20">
        <v>0</v>
      </c>
    </row>
    <row r="3662" spans="1:5">
      <c r="A3662" s="20" t="str">
        <v>00:00:00</v>
      </c>
      <c r="B3662" s="19">
        <v>0</v>
      </c>
      <c r="C3662" s="21">
        <v>0</v>
      </c>
      <c r="D3662" s="20" t="str">
        <v>未匹配</v>
      </c>
      <c r="E3662" s="20">
        <v>0</v>
      </c>
    </row>
    <row r="3663" spans="1:5">
      <c r="A3663" s="20" t="str">
        <v>00:00:00</v>
      </c>
      <c r="B3663" s="19">
        <v>0</v>
      </c>
      <c r="C3663" s="21">
        <v>0</v>
      </c>
      <c r="D3663" s="20" t="str">
        <v>未匹配</v>
      </c>
      <c r="E3663" s="20">
        <v>0</v>
      </c>
    </row>
    <row r="3664" spans="1:5">
      <c r="A3664" s="20" t="str">
        <v>00:00:00</v>
      </c>
      <c r="B3664" s="19">
        <v>0</v>
      </c>
      <c r="C3664" s="21">
        <v>0</v>
      </c>
      <c r="D3664" s="20" t="str">
        <v>未匹配</v>
      </c>
      <c r="E3664" s="20">
        <v>0</v>
      </c>
    </row>
    <row r="3665" spans="1:5">
      <c r="A3665" s="20" t="str">
        <v>00:00:00</v>
      </c>
      <c r="B3665" s="19">
        <v>0</v>
      </c>
      <c r="C3665" s="21">
        <v>0</v>
      </c>
      <c r="D3665" s="20" t="str">
        <v>未匹配</v>
      </c>
      <c r="E3665" s="20">
        <v>0</v>
      </c>
    </row>
    <row r="3666" spans="1:5">
      <c r="A3666" s="20" t="str">
        <v>00:00:00</v>
      </c>
      <c r="B3666" s="19">
        <v>0</v>
      </c>
      <c r="C3666" s="21">
        <v>0</v>
      </c>
      <c r="D3666" s="20" t="str">
        <v>未匹配</v>
      </c>
      <c r="E3666" s="20">
        <v>0</v>
      </c>
    </row>
    <row r="3667" spans="1:5">
      <c r="A3667" s="20" t="str">
        <v>00:00:00</v>
      </c>
      <c r="B3667" s="19">
        <v>0</v>
      </c>
      <c r="C3667" s="21">
        <v>0</v>
      </c>
      <c r="D3667" s="20" t="str">
        <v>未匹配</v>
      </c>
      <c r="E3667" s="20">
        <v>0</v>
      </c>
    </row>
    <row r="3668" spans="1:5">
      <c r="A3668" s="20" t="str">
        <v>00:00:00</v>
      </c>
      <c r="B3668" s="19">
        <v>0</v>
      </c>
      <c r="C3668" s="21">
        <v>0</v>
      </c>
      <c r="D3668" s="20" t="str">
        <v>未匹配</v>
      </c>
      <c r="E3668" s="20">
        <v>0</v>
      </c>
    </row>
    <row r="3669" spans="1:5">
      <c r="A3669" s="20" t="str">
        <v>00:00:00</v>
      </c>
      <c r="B3669" s="19">
        <v>0</v>
      </c>
      <c r="C3669" s="21">
        <v>0</v>
      </c>
      <c r="D3669" s="20" t="str">
        <v>未匹配</v>
      </c>
      <c r="E3669" s="20">
        <v>0</v>
      </c>
    </row>
    <row r="3670" spans="1:5">
      <c r="A3670" s="20" t="str">
        <v>00:00:00</v>
      </c>
      <c r="B3670" s="19">
        <v>0</v>
      </c>
      <c r="C3670" s="21">
        <v>0</v>
      </c>
      <c r="D3670" s="20" t="str">
        <v>未匹配</v>
      </c>
      <c r="E3670" s="20">
        <v>0</v>
      </c>
    </row>
    <row r="3671" spans="1:5">
      <c r="A3671" s="20" t="str">
        <v>00:00:00</v>
      </c>
      <c r="B3671" s="19">
        <v>0</v>
      </c>
      <c r="C3671" s="21">
        <v>0</v>
      </c>
      <c r="D3671" s="20" t="str">
        <v>未匹配</v>
      </c>
      <c r="E3671" s="20">
        <v>0</v>
      </c>
    </row>
    <row r="3672" spans="1:5">
      <c r="A3672" s="20" t="str">
        <v>00:00:00</v>
      </c>
      <c r="B3672" s="19">
        <v>0</v>
      </c>
      <c r="C3672" s="21">
        <v>0</v>
      </c>
      <c r="D3672" s="20" t="str">
        <v>未匹配</v>
      </c>
      <c r="E3672" s="20">
        <v>0</v>
      </c>
    </row>
    <row r="3673" spans="1:5">
      <c r="A3673" s="20" t="str">
        <v>00:00:00</v>
      </c>
      <c r="B3673" s="19">
        <v>0</v>
      </c>
      <c r="C3673" s="21">
        <v>0</v>
      </c>
      <c r="D3673" s="20" t="str">
        <v>未匹配</v>
      </c>
      <c r="E3673" s="20">
        <v>0</v>
      </c>
    </row>
    <row r="3674" spans="1:5">
      <c r="A3674" s="20" t="str">
        <v>00:00:00</v>
      </c>
      <c r="B3674" s="19">
        <v>0</v>
      </c>
      <c r="C3674" s="21">
        <v>0</v>
      </c>
      <c r="D3674" s="20" t="str">
        <v>未匹配</v>
      </c>
      <c r="E3674" s="20">
        <v>0</v>
      </c>
    </row>
    <row r="3675" spans="1:5">
      <c r="A3675" s="20" t="str">
        <v>00:00:00</v>
      </c>
      <c r="B3675" s="19">
        <v>0</v>
      </c>
      <c r="C3675" s="21">
        <v>0</v>
      </c>
      <c r="D3675" s="20" t="str">
        <v>未匹配</v>
      </c>
      <c r="E3675" s="20">
        <v>0</v>
      </c>
    </row>
    <row r="3676" spans="1:5">
      <c r="A3676" s="20" t="str">
        <v>00:00:00</v>
      </c>
      <c r="B3676" s="19">
        <v>0</v>
      </c>
      <c r="C3676" s="21">
        <v>0</v>
      </c>
      <c r="D3676" s="20" t="str">
        <v>未匹配</v>
      </c>
      <c r="E3676" s="20">
        <v>0</v>
      </c>
    </row>
    <row r="3677" spans="1:5">
      <c r="A3677" s="20" t="str">
        <v>00:00:00</v>
      </c>
      <c r="B3677" s="19">
        <v>0</v>
      </c>
      <c r="C3677" s="21">
        <v>0</v>
      </c>
      <c r="D3677" s="20" t="str">
        <v>未匹配</v>
      </c>
      <c r="E3677" s="20">
        <v>0</v>
      </c>
    </row>
    <row r="3678" spans="1:5">
      <c r="A3678" s="20" t="str">
        <v>00:00:00</v>
      </c>
      <c r="B3678" s="19">
        <v>0</v>
      </c>
      <c r="C3678" s="21">
        <v>0</v>
      </c>
      <c r="D3678" s="20" t="str">
        <v>未匹配</v>
      </c>
      <c r="E3678" s="20">
        <v>0</v>
      </c>
    </row>
    <row r="3679" spans="1:5">
      <c r="A3679" s="20" t="str">
        <v>00:00:00</v>
      </c>
      <c r="B3679" s="19">
        <v>0</v>
      </c>
      <c r="C3679" s="21">
        <v>0</v>
      </c>
      <c r="D3679" s="20" t="str">
        <v>未匹配</v>
      </c>
      <c r="E3679" s="20">
        <v>0</v>
      </c>
    </row>
    <row r="3680" spans="1:5">
      <c r="A3680" s="20" t="str">
        <v>00:00:00</v>
      </c>
      <c r="B3680" s="19">
        <v>0</v>
      </c>
      <c r="C3680" s="21">
        <v>0</v>
      </c>
      <c r="D3680" s="20" t="str">
        <v>未匹配</v>
      </c>
      <c r="E3680" s="20">
        <v>0</v>
      </c>
    </row>
    <row r="3681" spans="1:5">
      <c r="A3681" s="20" t="str">
        <v>00:00:00</v>
      </c>
      <c r="B3681" s="19">
        <v>0</v>
      </c>
      <c r="C3681" s="21">
        <v>0</v>
      </c>
      <c r="D3681" s="20" t="str">
        <v>未匹配</v>
      </c>
      <c r="E3681" s="20">
        <v>0</v>
      </c>
    </row>
    <row r="3682" spans="1:5">
      <c r="A3682" s="20" t="str">
        <v>00:00:00</v>
      </c>
      <c r="B3682" s="19">
        <v>0</v>
      </c>
      <c r="C3682" s="21">
        <v>0</v>
      </c>
      <c r="D3682" s="20" t="str">
        <v>未匹配</v>
      </c>
      <c r="E3682" s="20">
        <v>0</v>
      </c>
    </row>
    <row r="3683" spans="1:5">
      <c r="A3683" s="20" t="str">
        <v>00:00:00</v>
      </c>
      <c r="B3683" s="19">
        <v>0</v>
      </c>
      <c r="C3683" s="21">
        <v>0</v>
      </c>
      <c r="D3683" s="20" t="str">
        <v>未匹配</v>
      </c>
      <c r="E3683" s="20">
        <v>0</v>
      </c>
    </row>
    <row r="3684" spans="1:5">
      <c r="A3684" s="20" t="str">
        <v>00:00:00</v>
      </c>
      <c r="B3684" s="19">
        <v>0</v>
      </c>
      <c r="C3684" s="21">
        <v>0</v>
      </c>
      <c r="D3684" s="20" t="str">
        <v>未匹配</v>
      </c>
      <c r="E3684" s="20">
        <v>0</v>
      </c>
    </row>
    <row r="3685" spans="1:5">
      <c r="A3685" s="20" t="str">
        <v>00:00:00</v>
      </c>
      <c r="B3685" s="19">
        <v>0</v>
      </c>
      <c r="C3685" s="21">
        <v>0</v>
      </c>
      <c r="D3685" s="20" t="str">
        <v>未匹配</v>
      </c>
      <c r="E3685" s="20">
        <v>0</v>
      </c>
    </row>
    <row r="3686" spans="1:5">
      <c r="A3686" s="20" t="str">
        <v>00:00:00</v>
      </c>
      <c r="B3686" s="19">
        <v>0</v>
      </c>
      <c r="C3686" s="21">
        <v>0</v>
      </c>
      <c r="D3686" s="20" t="str">
        <v>未匹配</v>
      </c>
      <c r="E3686" s="20">
        <v>0</v>
      </c>
    </row>
    <row r="3687" spans="1:5">
      <c r="A3687" s="20" t="str">
        <v>00:00:00</v>
      </c>
      <c r="B3687" s="19">
        <v>0</v>
      </c>
      <c r="C3687" s="21">
        <v>0</v>
      </c>
      <c r="D3687" s="20" t="str">
        <v>未匹配</v>
      </c>
      <c r="E3687" s="20">
        <v>0</v>
      </c>
    </row>
    <row r="3688" spans="1:5">
      <c r="A3688" s="20" t="str">
        <v>00:00:00</v>
      </c>
      <c r="B3688" s="19">
        <v>0</v>
      </c>
      <c r="C3688" s="21">
        <v>0</v>
      </c>
      <c r="D3688" s="20" t="str">
        <v>未匹配</v>
      </c>
      <c r="E3688" s="20">
        <v>0</v>
      </c>
    </row>
    <row r="3689" spans="1:5">
      <c r="A3689" s="20" t="str">
        <v>00:00:00</v>
      </c>
      <c r="B3689" s="19">
        <v>0</v>
      </c>
      <c r="C3689" s="21">
        <v>0</v>
      </c>
      <c r="D3689" s="20" t="str">
        <v>未匹配</v>
      </c>
      <c r="E3689" s="20">
        <v>0</v>
      </c>
    </row>
    <row r="3690" spans="1:5">
      <c r="A3690" s="20" t="str">
        <v>00:00:00</v>
      </c>
      <c r="B3690" s="19">
        <v>0</v>
      </c>
      <c r="C3690" s="21">
        <v>0</v>
      </c>
      <c r="D3690" s="20" t="str">
        <v>未匹配</v>
      </c>
      <c r="E3690" s="20">
        <v>0</v>
      </c>
    </row>
    <row r="3691" spans="1:5">
      <c r="A3691" s="20" t="str">
        <v>00:00:00</v>
      </c>
      <c r="B3691" s="19">
        <v>0</v>
      </c>
      <c r="C3691" s="21">
        <v>0</v>
      </c>
      <c r="D3691" s="20" t="str">
        <v>未匹配</v>
      </c>
      <c r="E3691" s="20">
        <v>0</v>
      </c>
    </row>
    <row r="3692" spans="1:5">
      <c r="A3692" s="20" t="str">
        <v>00:00:00</v>
      </c>
      <c r="B3692" s="19">
        <v>0</v>
      </c>
      <c r="C3692" s="21">
        <v>0</v>
      </c>
      <c r="D3692" s="20" t="str">
        <v>未匹配</v>
      </c>
      <c r="E3692" s="20">
        <v>0</v>
      </c>
    </row>
    <row r="3693" spans="1:5">
      <c r="A3693" s="20" t="str">
        <v>00:00:00</v>
      </c>
      <c r="B3693" s="19">
        <v>0</v>
      </c>
      <c r="C3693" s="21">
        <v>0</v>
      </c>
      <c r="D3693" s="20" t="str">
        <v>未匹配</v>
      </c>
      <c r="E3693" s="20">
        <v>0</v>
      </c>
    </row>
    <row r="3694" spans="1:5">
      <c r="A3694" s="20" t="str">
        <v>00:00:00</v>
      </c>
      <c r="B3694" s="19">
        <v>0</v>
      </c>
      <c r="C3694" s="21">
        <v>0</v>
      </c>
      <c r="D3694" s="20" t="str">
        <v>未匹配</v>
      </c>
      <c r="E3694" s="20">
        <v>0</v>
      </c>
    </row>
    <row r="3695" spans="1:5">
      <c r="A3695" s="20" t="str">
        <v>00:00:00</v>
      </c>
      <c r="B3695" s="19">
        <v>0</v>
      </c>
      <c r="C3695" s="21">
        <v>0</v>
      </c>
      <c r="D3695" s="20" t="str">
        <v>未匹配</v>
      </c>
      <c r="E3695" s="20">
        <v>0</v>
      </c>
    </row>
    <row r="3696" spans="1:5">
      <c r="A3696" s="20" t="str">
        <v>00:00:00</v>
      </c>
      <c r="B3696" s="19">
        <v>0</v>
      </c>
      <c r="C3696" s="21">
        <v>0</v>
      </c>
      <c r="D3696" s="20" t="str">
        <v>未匹配</v>
      </c>
      <c r="E3696" s="20">
        <v>0</v>
      </c>
    </row>
    <row r="3697" spans="1:5">
      <c r="A3697" s="20" t="str">
        <v>00:00:00</v>
      </c>
      <c r="B3697" s="19">
        <v>0</v>
      </c>
      <c r="C3697" s="21">
        <v>0</v>
      </c>
      <c r="D3697" s="20" t="str">
        <v>未匹配</v>
      </c>
      <c r="E3697" s="20">
        <v>0</v>
      </c>
    </row>
    <row r="3698" spans="1:5">
      <c r="A3698" s="20" t="str">
        <v>00:00:00</v>
      </c>
      <c r="B3698" s="19">
        <v>0</v>
      </c>
      <c r="C3698" s="21">
        <v>0</v>
      </c>
      <c r="D3698" s="20" t="str">
        <v>未匹配</v>
      </c>
      <c r="E3698" s="20">
        <v>0</v>
      </c>
    </row>
    <row r="3699" spans="1:5">
      <c r="A3699" s="20" t="str">
        <v>00:00:00</v>
      </c>
      <c r="B3699" s="19">
        <v>0</v>
      </c>
      <c r="C3699" s="21">
        <v>0</v>
      </c>
      <c r="D3699" s="20" t="str">
        <v>未匹配</v>
      </c>
      <c r="E3699" s="20">
        <v>0</v>
      </c>
    </row>
    <row r="3700" spans="1:5">
      <c r="A3700" s="20" t="str">
        <v>00:00:00</v>
      </c>
      <c r="B3700" s="19">
        <v>0</v>
      </c>
      <c r="C3700" s="21">
        <v>0</v>
      </c>
      <c r="D3700" s="20" t="str">
        <v>未匹配</v>
      </c>
      <c r="E3700" s="20">
        <v>0</v>
      </c>
    </row>
    <row r="3701" spans="1:5">
      <c r="A3701" s="20" t="str">
        <v>00:00:00</v>
      </c>
      <c r="B3701" s="19">
        <v>0</v>
      </c>
      <c r="C3701" s="21">
        <v>0</v>
      </c>
      <c r="D3701" s="20" t="str">
        <v>未匹配</v>
      </c>
      <c r="E3701" s="20">
        <v>0</v>
      </c>
    </row>
    <row r="3702" spans="1:5">
      <c r="A3702" s="20" t="str">
        <v>00:00:00</v>
      </c>
      <c r="B3702" s="19">
        <v>0</v>
      </c>
      <c r="C3702" s="21">
        <v>0</v>
      </c>
      <c r="D3702" s="20" t="str">
        <v>未匹配</v>
      </c>
      <c r="E3702" s="20">
        <v>0</v>
      </c>
    </row>
    <row r="3703" spans="1:5">
      <c r="A3703" s="20" t="str">
        <v>00:00:00</v>
      </c>
      <c r="B3703" s="19">
        <v>0</v>
      </c>
      <c r="C3703" s="21">
        <v>0</v>
      </c>
      <c r="D3703" s="20" t="str">
        <v>未匹配</v>
      </c>
      <c r="E3703" s="20">
        <v>0</v>
      </c>
    </row>
    <row r="3704" spans="1:5">
      <c r="A3704" s="20" t="str">
        <v>00:00:00</v>
      </c>
      <c r="B3704" s="19">
        <v>0</v>
      </c>
      <c r="C3704" s="21">
        <v>0</v>
      </c>
      <c r="D3704" s="20" t="str">
        <v>未匹配</v>
      </c>
      <c r="E3704" s="20">
        <v>0</v>
      </c>
    </row>
    <row r="3705" spans="1:5">
      <c r="A3705" s="20" t="str">
        <v>00:00:00</v>
      </c>
      <c r="B3705" s="19">
        <v>0</v>
      </c>
      <c r="C3705" s="21">
        <v>0</v>
      </c>
      <c r="D3705" s="20" t="str">
        <v>未匹配</v>
      </c>
      <c r="E3705" s="20">
        <v>0</v>
      </c>
    </row>
    <row r="3706" spans="1:5">
      <c r="A3706" s="20" t="str">
        <v>00:00:00</v>
      </c>
      <c r="B3706" s="19">
        <v>0</v>
      </c>
      <c r="C3706" s="21">
        <v>0</v>
      </c>
      <c r="D3706" s="20" t="str">
        <v>未匹配</v>
      </c>
      <c r="E3706" s="20">
        <v>0</v>
      </c>
    </row>
    <row r="3707" spans="1:5">
      <c r="A3707" s="20" t="str">
        <v>00:00:00</v>
      </c>
      <c r="B3707" s="19">
        <v>0</v>
      </c>
      <c r="C3707" s="21">
        <v>0</v>
      </c>
      <c r="D3707" s="20" t="str">
        <v>未匹配</v>
      </c>
      <c r="E3707" s="20">
        <v>0</v>
      </c>
    </row>
    <row r="3708" spans="1:5">
      <c r="A3708" s="20" t="str">
        <v>00:00:00</v>
      </c>
      <c r="B3708" s="19">
        <v>0</v>
      </c>
      <c r="C3708" s="21">
        <v>0</v>
      </c>
      <c r="D3708" s="20" t="str">
        <v>未匹配</v>
      </c>
      <c r="E3708" s="20">
        <v>0</v>
      </c>
    </row>
    <row r="3709" spans="1:5">
      <c r="A3709" s="20" t="str">
        <v>00:00:00</v>
      </c>
      <c r="B3709" s="19">
        <v>0</v>
      </c>
      <c r="C3709" s="21">
        <v>0</v>
      </c>
      <c r="D3709" s="20" t="str">
        <v>未匹配</v>
      </c>
      <c r="E3709" s="20">
        <v>0</v>
      </c>
    </row>
    <row r="3710" spans="1:5">
      <c r="A3710" s="20" t="str">
        <v>00:00:00</v>
      </c>
      <c r="B3710" s="19">
        <v>0</v>
      </c>
      <c r="C3710" s="21">
        <v>0</v>
      </c>
      <c r="D3710" s="20" t="str">
        <v>未匹配</v>
      </c>
      <c r="E3710" s="20">
        <v>0</v>
      </c>
    </row>
    <row r="3711" spans="1:5">
      <c r="A3711" s="20" t="str">
        <v>00:00:00</v>
      </c>
      <c r="B3711" s="19">
        <v>0</v>
      </c>
      <c r="C3711" s="21">
        <v>0</v>
      </c>
      <c r="D3711" s="20" t="str">
        <v>未匹配</v>
      </c>
      <c r="E3711" s="20">
        <v>0</v>
      </c>
    </row>
    <row r="3712" spans="1:5">
      <c r="A3712" s="20" t="str">
        <v>00:00:00</v>
      </c>
      <c r="B3712" s="19">
        <v>0</v>
      </c>
      <c r="C3712" s="21">
        <v>0</v>
      </c>
      <c r="D3712" s="20" t="str">
        <v>未匹配</v>
      </c>
      <c r="E3712" s="20">
        <v>0</v>
      </c>
    </row>
    <row r="3713" spans="1:5">
      <c r="A3713" s="20" t="str">
        <v>00:00:00</v>
      </c>
      <c r="B3713" s="19">
        <v>0</v>
      </c>
      <c r="C3713" s="21">
        <v>0</v>
      </c>
      <c r="D3713" s="20" t="str">
        <v>未匹配</v>
      </c>
      <c r="E3713" s="20">
        <v>0</v>
      </c>
    </row>
    <row r="3714" spans="1:5">
      <c r="A3714" s="20" t="str">
        <v>00:00:00</v>
      </c>
      <c r="B3714" s="19">
        <v>0</v>
      </c>
      <c r="C3714" s="21">
        <v>0</v>
      </c>
      <c r="D3714" s="20" t="str">
        <v>未匹配</v>
      </c>
      <c r="E3714" s="20">
        <v>0</v>
      </c>
    </row>
    <row r="3715" spans="1:5">
      <c r="A3715" s="20" t="str">
        <v>00:00:00</v>
      </c>
      <c r="B3715" s="19">
        <v>0</v>
      </c>
      <c r="C3715" s="21">
        <v>0</v>
      </c>
      <c r="D3715" s="20" t="str">
        <v>未匹配</v>
      </c>
      <c r="E3715" s="20">
        <v>0</v>
      </c>
    </row>
    <row r="3716" spans="1:5">
      <c r="A3716" s="20" t="str">
        <v>00:00:00</v>
      </c>
      <c r="B3716" s="19">
        <v>0</v>
      </c>
      <c r="C3716" s="21">
        <v>0</v>
      </c>
      <c r="D3716" s="20" t="str">
        <v>未匹配</v>
      </c>
      <c r="E3716" s="20">
        <v>0</v>
      </c>
    </row>
    <row r="3717" spans="1:5">
      <c r="A3717" s="20" t="str">
        <v>00:00:00</v>
      </c>
      <c r="B3717" s="19">
        <v>0</v>
      </c>
      <c r="C3717" s="21">
        <v>0</v>
      </c>
      <c r="D3717" s="20" t="str">
        <v>未匹配</v>
      </c>
      <c r="E3717" s="20">
        <v>0</v>
      </c>
    </row>
    <row r="3718" spans="1:5">
      <c r="A3718" s="20" t="str">
        <v>00:00:00</v>
      </c>
      <c r="B3718" s="19">
        <v>0</v>
      </c>
      <c r="C3718" s="21">
        <v>0</v>
      </c>
      <c r="D3718" s="20" t="str">
        <v>未匹配</v>
      </c>
      <c r="E3718" s="20">
        <v>0</v>
      </c>
    </row>
    <row r="3719" spans="1:5">
      <c r="A3719" s="20" t="str">
        <v>00:00:00</v>
      </c>
      <c r="B3719" s="19">
        <v>0</v>
      </c>
      <c r="C3719" s="21">
        <v>0</v>
      </c>
      <c r="D3719" s="20" t="str">
        <v>未匹配</v>
      </c>
      <c r="E3719" s="20">
        <v>0</v>
      </c>
    </row>
    <row r="3720" spans="1:5">
      <c r="A3720" s="20" t="str">
        <v>00:00:00</v>
      </c>
      <c r="B3720" s="19">
        <v>0</v>
      </c>
      <c r="C3720" s="21">
        <v>0</v>
      </c>
      <c r="D3720" s="20" t="str">
        <v>未匹配</v>
      </c>
      <c r="E3720" s="20">
        <v>0</v>
      </c>
    </row>
    <row r="3721" spans="1:5">
      <c r="A3721" s="20" t="str">
        <v>00:00:00</v>
      </c>
      <c r="B3721" s="19">
        <v>0</v>
      </c>
      <c r="C3721" s="21">
        <v>0</v>
      </c>
      <c r="D3721" s="20" t="str">
        <v>未匹配</v>
      </c>
      <c r="E3721" s="20">
        <v>0</v>
      </c>
    </row>
    <row r="3722" spans="1:5">
      <c r="A3722" s="20" t="str">
        <v>00:00:00</v>
      </c>
      <c r="B3722" s="19">
        <v>0</v>
      </c>
      <c r="C3722" s="21">
        <v>0</v>
      </c>
      <c r="D3722" s="20" t="str">
        <v>未匹配</v>
      </c>
      <c r="E3722" s="20">
        <v>0</v>
      </c>
    </row>
    <row r="3723" spans="1:5">
      <c r="A3723" s="20" t="str">
        <v>00:00:00</v>
      </c>
      <c r="B3723" s="19">
        <v>0</v>
      </c>
      <c r="C3723" s="21">
        <v>0</v>
      </c>
      <c r="D3723" s="20" t="str">
        <v>未匹配</v>
      </c>
      <c r="E3723" s="20">
        <v>0</v>
      </c>
    </row>
    <row r="3724" spans="1:5">
      <c r="A3724" s="20" t="str">
        <v>00:00:00</v>
      </c>
      <c r="B3724" s="19">
        <v>0</v>
      </c>
      <c r="C3724" s="21">
        <v>0</v>
      </c>
      <c r="D3724" s="20" t="str">
        <v>未匹配</v>
      </c>
      <c r="E3724" s="20">
        <v>0</v>
      </c>
    </row>
    <row r="3725" spans="1:5">
      <c r="A3725" s="20" t="str">
        <v>00:00:00</v>
      </c>
      <c r="B3725" s="19">
        <v>0</v>
      </c>
      <c r="C3725" s="21">
        <v>0</v>
      </c>
      <c r="D3725" s="20" t="str">
        <v>未匹配</v>
      </c>
      <c r="E3725" s="20">
        <v>0</v>
      </c>
    </row>
    <row r="3726" spans="1:5">
      <c r="A3726" s="20" t="str">
        <v>00:00:00</v>
      </c>
      <c r="B3726" s="19">
        <v>0</v>
      </c>
      <c r="C3726" s="21">
        <v>0</v>
      </c>
      <c r="D3726" s="20" t="str">
        <v>未匹配</v>
      </c>
      <c r="E3726" s="20">
        <v>0</v>
      </c>
    </row>
    <row r="3727" spans="1:5">
      <c r="A3727" s="20" t="str">
        <v>00:00:00</v>
      </c>
      <c r="B3727" s="19">
        <v>0</v>
      </c>
      <c r="C3727" s="21">
        <v>0</v>
      </c>
      <c r="D3727" s="20" t="str">
        <v>未匹配</v>
      </c>
      <c r="E3727" s="20">
        <v>0</v>
      </c>
    </row>
    <row r="3728" spans="1:5">
      <c r="A3728" s="20" t="str">
        <v>00:00:00</v>
      </c>
      <c r="B3728" s="19">
        <v>0</v>
      </c>
      <c r="C3728" s="21">
        <v>0</v>
      </c>
      <c r="D3728" s="20" t="str">
        <v>未匹配</v>
      </c>
      <c r="E3728" s="20">
        <v>0</v>
      </c>
    </row>
    <row r="3729" spans="1:5">
      <c r="A3729" s="20" t="str">
        <v>00:00:00</v>
      </c>
      <c r="B3729" s="19">
        <v>0</v>
      </c>
      <c r="C3729" s="21">
        <v>0</v>
      </c>
      <c r="D3729" s="20" t="str">
        <v>未匹配</v>
      </c>
      <c r="E3729" s="20">
        <v>0</v>
      </c>
    </row>
    <row r="3730" spans="1:5">
      <c r="A3730" s="20" t="str">
        <v>00:00:00</v>
      </c>
      <c r="B3730" s="19">
        <v>0</v>
      </c>
      <c r="C3730" s="21">
        <v>0</v>
      </c>
      <c r="D3730" s="20" t="str">
        <v>未匹配</v>
      </c>
      <c r="E3730" s="20">
        <v>0</v>
      </c>
    </row>
    <row r="3731" spans="1:5">
      <c r="A3731" s="20" t="str">
        <v>00:00:00</v>
      </c>
      <c r="B3731" s="19">
        <v>0</v>
      </c>
      <c r="C3731" s="21">
        <v>0</v>
      </c>
      <c r="D3731" s="20" t="str">
        <v>未匹配</v>
      </c>
      <c r="E3731" s="20">
        <v>0</v>
      </c>
    </row>
    <row r="3732" spans="1:5">
      <c r="A3732" s="20" t="str">
        <v>00:00:00</v>
      </c>
      <c r="B3732" s="19">
        <v>0</v>
      </c>
      <c r="C3732" s="21">
        <v>0</v>
      </c>
      <c r="D3732" s="20" t="str">
        <v>未匹配</v>
      </c>
      <c r="E3732" s="20">
        <v>0</v>
      </c>
    </row>
    <row r="3733" spans="1:5">
      <c r="A3733" s="20" t="str">
        <v>00:00:00</v>
      </c>
      <c r="B3733" s="19">
        <v>0</v>
      </c>
      <c r="C3733" s="21">
        <v>0</v>
      </c>
      <c r="D3733" s="20" t="str">
        <v>未匹配</v>
      </c>
      <c r="E3733" s="20">
        <v>0</v>
      </c>
    </row>
    <row r="3734" spans="1:5">
      <c r="A3734" s="20" t="str">
        <v>00:00:00</v>
      </c>
      <c r="B3734" s="19">
        <v>0</v>
      </c>
      <c r="C3734" s="21">
        <v>0</v>
      </c>
      <c r="D3734" s="20" t="str">
        <v>未匹配</v>
      </c>
      <c r="E3734" s="20">
        <v>0</v>
      </c>
    </row>
    <row r="3735" spans="1:5">
      <c r="A3735" s="20" t="str">
        <v>00:00:00</v>
      </c>
      <c r="B3735" s="19">
        <v>0</v>
      </c>
      <c r="C3735" s="21">
        <v>0</v>
      </c>
      <c r="D3735" s="20" t="str">
        <v>未匹配</v>
      </c>
      <c r="E3735" s="20">
        <v>0</v>
      </c>
    </row>
    <row r="3736" spans="1:5">
      <c r="A3736" s="20" t="str">
        <v>00:00:00</v>
      </c>
      <c r="B3736" s="19">
        <v>0</v>
      </c>
      <c r="C3736" s="21">
        <v>0</v>
      </c>
      <c r="D3736" s="20" t="str">
        <v>未匹配</v>
      </c>
      <c r="E3736" s="20">
        <v>0</v>
      </c>
    </row>
    <row r="3737" spans="1:5">
      <c r="A3737" s="20" t="str">
        <v>00:00:00</v>
      </c>
      <c r="B3737" s="19">
        <v>0</v>
      </c>
      <c r="C3737" s="21">
        <v>0</v>
      </c>
      <c r="D3737" s="20" t="str">
        <v>未匹配</v>
      </c>
      <c r="E3737" s="20">
        <v>0</v>
      </c>
    </row>
    <row r="3738" spans="1:5">
      <c r="A3738" s="20" t="str">
        <v>00:00:00</v>
      </c>
      <c r="B3738" s="19">
        <v>0</v>
      </c>
      <c r="C3738" s="21">
        <v>0</v>
      </c>
      <c r="D3738" s="20" t="str">
        <v>未匹配</v>
      </c>
      <c r="E3738" s="20">
        <v>0</v>
      </c>
    </row>
    <row r="3739" spans="1:5">
      <c r="A3739" s="20" t="str">
        <v>00:00:00</v>
      </c>
      <c r="B3739" s="19">
        <v>0</v>
      </c>
      <c r="C3739" s="21">
        <v>0</v>
      </c>
      <c r="D3739" s="20" t="str">
        <v>未匹配</v>
      </c>
      <c r="E3739" s="20">
        <v>0</v>
      </c>
    </row>
    <row r="3740" spans="1:5">
      <c r="A3740" s="20" t="str">
        <v>00:00:00</v>
      </c>
      <c r="B3740" s="19">
        <v>0</v>
      </c>
      <c r="C3740" s="21">
        <v>0</v>
      </c>
      <c r="D3740" s="20" t="str">
        <v>未匹配</v>
      </c>
      <c r="E3740" s="20">
        <v>0</v>
      </c>
    </row>
    <row r="3741" spans="1:5">
      <c r="A3741" s="20" t="str">
        <v>00:00:00</v>
      </c>
      <c r="B3741" s="19">
        <v>0</v>
      </c>
      <c r="C3741" s="21">
        <v>0</v>
      </c>
      <c r="D3741" s="20" t="str">
        <v>未匹配</v>
      </c>
      <c r="E3741" s="20">
        <v>0</v>
      </c>
    </row>
    <row r="3742" spans="1:5">
      <c r="A3742" s="20" t="str">
        <v>00:00:00</v>
      </c>
      <c r="B3742" s="19">
        <v>0</v>
      </c>
      <c r="C3742" s="21">
        <v>0</v>
      </c>
      <c r="D3742" s="20" t="str">
        <v>未匹配</v>
      </c>
      <c r="E3742" s="20">
        <v>0</v>
      </c>
    </row>
    <row r="3743" spans="1:5">
      <c r="A3743" s="20" t="str">
        <v>00:00:00</v>
      </c>
      <c r="B3743" s="19">
        <v>0</v>
      </c>
      <c r="C3743" s="21">
        <v>0</v>
      </c>
      <c r="D3743" s="20" t="str">
        <v>未匹配</v>
      </c>
      <c r="E3743" s="20">
        <v>0</v>
      </c>
    </row>
    <row r="3744" spans="1:5">
      <c r="A3744" s="20" t="str">
        <v>00:00:00</v>
      </c>
      <c r="B3744" s="19">
        <v>0</v>
      </c>
      <c r="C3744" s="21">
        <v>0</v>
      </c>
      <c r="D3744" s="20" t="str">
        <v>未匹配</v>
      </c>
      <c r="E3744" s="20">
        <v>0</v>
      </c>
    </row>
    <row r="3745" spans="1:5">
      <c r="A3745" s="20" t="str">
        <v>00:00:00</v>
      </c>
      <c r="B3745" s="19">
        <v>0</v>
      </c>
      <c r="C3745" s="21">
        <v>0</v>
      </c>
      <c r="D3745" s="20" t="str">
        <v>未匹配</v>
      </c>
      <c r="E3745" s="20">
        <v>0</v>
      </c>
    </row>
    <row r="3746" spans="1:5">
      <c r="A3746" s="20" t="str">
        <v>00:00:00</v>
      </c>
      <c r="B3746" s="19">
        <v>0</v>
      </c>
      <c r="C3746" s="21">
        <v>0</v>
      </c>
      <c r="D3746" s="20" t="str">
        <v>未匹配</v>
      </c>
      <c r="E3746" s="20">
        <v>0</v>
      </c>
    </row>
    <row r="3747" spans="1:5">
      <c r="A3747" s="20" t="str">
        <v>00:00:00</v>
      </c>
      <c r="B3747" s="19">
        <v>0</v>
      </c>
      <c r="C3747" s="21">
        <v>0</v>
      </c>
      <c r="D3747" s="20" t="str">
        <v>未匹配</v>
      </c>
      <c r="E3747" s="20">
        <v>0</v>
      </c>
    </row>
    <row r="3748" spans="1:5">
      <c r="A3748" s="20" t="str">
        <v>00:00:00</v>
      </c>
      <c r="B3748" s="19">
        <v>0</v>
      </c>
      <c r="C3748" s="21">
        <v>0</v>
      </c>
      <c r="D3748" s="20" t="str">
        <v>未匹配</v>
      </c>
      <c r="E3748" s="20">
        <v>0</v>
      </c>
    </row>
    <row r="3749" spans="1:5">
      <c r="A3749" s="20" t="str">
        <v>00:00:00</v>
      </c>
      <c r="B3749" s="19">
        <v>0</v>
      </c>
      <c r="C3749" s="21">
        <v>0</v>
      </c>
      <c r="D3749" s="20" t="str">
        <v>未匹配</v>
      </c>
      <c r="E3749" s="20">
        <v>0</v>
      </c>
    </row>
    <row r="3750" spans="1:5">
      <c r="A3750" s="20" t="str">
        <v>00:00:00</v>
      </c>
      <c r="B3750" s="19">
        <v>0</v>
      </c>
      <c r="C3750" s="21">
        <v>0</v>
      </c>
      <c r="D3750" s="20" t="str">
        <v>未匹配</v>
      </c>
      <c r="E3750" s="20">
        <v>0</v>
      </c>
    </row>
    <row r="3751" spans="1:5">
      <c r="A3751" s="20" t="str">
        <v>00:00:00</v>
      </c>
      <c r="B3751" s="19">
        <v>0</v>
      </c>
      <c r="C3751" s="21">
        <v>0</v>
      </c>
      <c r="D3751" s="20" t="str">
        <v>未匹配</v>
      </c>
      <c r="E3751" s="20">
        <v>0</v>
      </c>
    </row>
    <row r="3752" spans="1:5">
      <c r="A3752" s="20" t="str">
        <v>00:00:00</v>
      </c>
      <c r="B3752" s="19">
        <v>0</v>
      </c>
      <c r="C3752" s="21">
        <v>0</v>
      </c>
      <c r="D3752" s="20" t="str">
        <v>未匹配</v>
      </c>
      <c r="E3752" s="20">
        <v>0</v>
      </c>
    </row>
    <row r="3753" spans="1:5">
      <c r="A3753" s="20" t="str">
        <v>00:00:00</v>
      </c>
      <c r="B3753" s="19">
        <v>0</v>
      </c>
      <c r="C3753" s="21">
        <v>0</v>
      </c>
      <c r="D3753" s="20" t="str">
        <v>未匹配</v>
      </c>
      <c r="E3753" s="20">
        <v>0</v>
      </c>
    </row>
    <row r="3754" spans="1:5">
      <c r="A3754" s="20" t="str">
        <v>00:00:00</v>
      </c>
      <c r="B3754" s="19">
        <v>0</v>
      </c>
      <c r="C3754" s="21">
        <v>0</v>
      </c>
      <c r="D3754" s="20" t="str">
        <v>未匹配</v>
      </c>
      <c r="E3754" s="20">
        <v>0</v>
      </c>
    </row>
    <row r="3755" spans="1:5">
      <c r="A3755" s="20" t="str">
        <v>00:00:00</v>
      </c>
      <c r="B3755" s="19">
        <v>0</v>
      </c>
      <c r="C3755" s="21">
        <v>0</v>
      </c>
      <c r="D3755" s="20" t="str">
        <v>未匹配</v>
      </c>
      <c r="E3755" s="20">
        <v>0</v>
      </c>
    </row>
    <row r="3756" spans="1:5">
      <c r="A3756" s="20" t="str">
        <v>00:00:00</v>
      </c>
      <c r="B3756" s="19">
        <v>0</v>
      </c>
      <c r="C3756" s="21">
        <v>0</v>
      </c>
      <c r="D3756" s="20" t="str">
        <v>未匹配</v>
      </c>
      <c r="E3756" s="20">
        <v>0</v>
      </c>
    </row>
    <row r="3757" spans="1:5">
      <c r="A3757" s="20" t="str">
        <v>00:00:00</v>
      </c>
      <c r="B3757" s="19">
        <v>0</v>
      </c>
      <c r="C3757" s="21">
        <v>0</v>
      </c>
      <c r="D3757" s="20" t="str">
        <v>未匹配</v>
      </c>
      <c r="E3757" s="20">
        <v>0</v>
      </c>
    </row>
    <row r="3758" spans="1:5">
      <c r="A3758" s="20" t="str">
        <v>00:00:00</v>
      </c>
      <c r="B3758" s="19">
        <v>0</v>
      </c>
      <c r="C3758" s="21">
        <v>0</v>
      </c>
      <c r="D3758" s="20" t="str">
        <v>未匹配</v>
      </c>
      <c r="E3758" s="20">
        <v>0</v>
      </c>
    </row>
    <row r="3759" spans="1:5">
      <c r="A3759" s="20" t="str">
        <v>00:00:00</v>
      </c>
      <c r="B3759" s="19">
        <v>0</v>
      </c>
      <c r="C3759" s="21">
        <v>0</v>
      </c>
      <c r="D3759" s="20" t="str">
        <v>未匹配</v>
      </c>
      <c r="E3759" s="20">
        <v>0</v>
      </c>
    </row>
    <row r="3760" spans="1:5">
      <c r="A3760" s="20" t="str">
        <v>00:00:00</v>
      </c>
      <c r="B3760" s="19">
        <v>0</v>
      </c>
      <c r="C3760" s="21">
        <v>0</v>
      </c>
      <c r="D3760" s="20" t="str">
        <v>未匹配</v>
      </c>
      <c r="E3760" s="20">
        <v>0</v>
      </c>
    </row>
    <row r="3761" spans="1:5">
      <c r="A3761" s="20" t="str">
        <v>00:00:00</v>
      </c>
      <c r="B3761" s="19">
        <v>0</v>
      </c>
      <c r="C3761" s="21">
        <v>0</v>
      </c>
      <c r="D3761" s="20" t="str">
        <v>未匹配</v>
      </c>
      <c r="E3761" s="20">
        <v>0</v>
      </c>
    </row>
    <row r="3762" spans="1:5">
      <c r="A3762" s="20" t="str">
        <v>00:00:00</v>
      </c>
      <c r="B3762" s="19">
        <v>0</v>
      </c>
      <c r="C3762" s="21">
        <v>0</v>
      </c>
      <c r="D3762" s="20" t="str">
        <v>未匹配</v>
      </c>
      <c r="E3762" s="20">
        <v>0</v>
      </c>
    </row>
    <row r="3763" spans="1:5">
      <c r="A3763" s="20" t="str">
        <v>00:00:00</v>
      </c>
      <c r="B3763" s="19">
        <v>0</v>
      </c>
      <c r="C3763" s="21">
        <v>0</v>
      </c>
      <c r="D3763" s="20" t="str">
        <v>未匹配</v>
      </c>
      <c r="E3763" s="20">
        <v>0</v>
      </c>
    </row>
    <row r="3764" spans="1:5">
      <c r="A3764" s="20" t="str">
        <v>00:00:00</v>
      </c>
      <c r="B3764" s="19">
        <v>0</v>
      </c>
      <c r="C3764" s="21">
        <v>0</v>
      </c>
      <c r="D3764" s="20" t="str">
        <v>未匹配</v>
      </c>
      <c r="E3764" s="20">
        <v>0</v>
      </c>
    </row>
    <row r="3765" spans="1:5">
      <c r="A3765" s="20" t="str">
        <v>00:00:00</v>
      </c>
      <c r="B3765" s="19">
        <v>0</v>
      </c>
      <c r="C3765" s="21">
        <v>0</v>
      </c>
      <c r="D3765" s="20" t="str">
        <v>未匹配</v>
      </c>
      <c r="E3765" s="20">
        <v>0</v>
      </c>
    </row>
    <row r="3766" spans="1:5">
      <c r="A3766" s="20" t="str">
        <v>00:00:00</v>
      </c>
      <c r="B3766" s="19">
        <v>0</v>
      </c>
      <c r="C3766" s="21">
        <v>0</v>
      </c>
      <c r="D3766" s="20" t="str">
        <v>未匹配</v>
      </c>
      <c r="E3766" s="20">
        <v>0</v>
      </c>
    </row>
    <row r="3767" spans="1:5">
      <c r="A3767" s="20" t="str">
        <v>00:00:00</v>
      </c>
      <c r="B3767" s="19">
        <v>0</v>
      </c>
      <c r="C3767" s="21">
        <v>0</v>
      </c>
      <c r="D3767" s="20" t="str">
        <v>未匹配</v>
      </c>
      <c r="E3767" s="20">
        <v>0</v>
      </c>
    </row>
    <row r="3768" spans="1:5">
      <c r="A3768" s="20" t="str">
        <v>00:00:00</v>
      </c>
      <c r="B3768" s="19">
        <v>0</v>
      </c>
      <c r="C3768" s="21">
        <v>0</v>
      </c>
      <c r="D3768" s="20" t="str">
        <v>未匹配</v>
      </c>
      <c r="E3768" s="20">
        <v>0</v>
      </c>
    </row>
    <row r="3769" spans="1:5">
      <c r="A3769" s="20" t="str">
        <v>00:00:00</v>
      </c>
      <c r="B3769" s="19">
        <v>0</v>
      </c>
      <c r="C3769" s="21">
        <v>0</v>
      </c>
      <c r="D3769" s="20" t="str">
        <v>未匹配</v>
      </c>
      <c r="E3769" s="20">
        <v>0</v>
      </c>
    </row>
    <row r="3770" spans="1:5">
      <c r="A3770" s="20" t="str">
        <v>00:00:00</v>
      </c>
      <c r="B3770" s="19">
        <v>0</v>
      </c>
      <c r="C3770" s="21">
        <v>0</v>
      </c>
      <c r="D3770" s="20" t="str">
        <v>未匹配</v>
      </c>
      <c r="E3770" s="20">
        <v>0</v>
      </c>
    </row>
    <row r="3771" spans="1:5">
      <c r="A3771" s="20" t="str">
        <v>00:00:00</v>
      </c>
      <c r="B3771" s="19">
        <v>0</v>
      </c>
      <c r="C3771" s="21">
        <v>0</v>
      </c>
      <c r="D3771" s="20" t="str">
        <v>未匹配</v>
      </c>
      <c r="E3771" s="20">
        <v>0</v>
      </c>
    </row>
    <row r="3772" spans="1:5">
      <c r="A3772" s="20" t="str">
        <v>00:00:00</v>
      </c>
      <c r="B3772" s="19">
        <v>0</v>
      </c>
      <c r="C3772" s="21">
        <v>0</v>
      </c>
      <c r="D3772" s="20" t="str">
        <v>未匹配</v>
      </c>
      <c r="E3772" s="20">
        <v>0</v>
      </c>
    </row>
    <row r="3773" spans="1:5">
      <c r="A3773" s="20" t="str">
        <v>00:00:00</v>
      </c>
      <c r="B3773" s="19">
        <v>0</v>
      </c>
      <c r="C3773" s="21">
        <v>0</v>
      </c>
      <c r="D3773" s="20" t="str">
        <v>未匹配</v>
      </c>
      <c r="E3773" s="20">
        <v>0</v>
      </c>
    </row>
    <row r="3774" spans="1:5">
      <c r="A3774" s="20" t="str">
        <v>00:00:00</v>
      </c>
      <c r="B3774" s="19">
        <v>0</v>
      </c>
      <c r="C3774" s="21">
        <v>0</v>
      </c>
      <c r="D3774" s="20" t="str">
        <v>未匹配</v>
      </c>
      <c r="E3774" s="20">
        <v>0</v>
      </c>
    </row>
    <row r="3775" spans="1:5">
      <c r="A3775" s="20" t="str">
        <v>00:00:00</v>
      </c>
      <c r="B3775" s="19">
        <v>0</v>
      </c>
      <c r="C3775" s="21">
        <v>0</v>
      </c>
      <c r="D3775" s="20" t="str">
        <v>未匹配</v>
      </c>
      <c r="E3775" s="20">
        <v>0</v>
      </c>
    </row>
    <row r="3776" spans="1:5">
      <c r="A3776" s="20" t="str">
        <v>00:00:00</v>
      </c>
      <c r="B3776" s="19">
        <v>0</v>
      </c>
      <c r="C3776" s="21">
        <v>0</v>
      </c>
      <c r="D3776" s="20" t="str">
        <v>未匹配</v>
      </c>
      <c r="E3776" s="20">
        <v>0</v>
      </c>
    </row>
    <row r="3777" spans="1:5">
      <c r="A3777" s="20" t="str">
        <v>00:00:00</v>
      </c>
      <c r="B3777" s="19">
        <v>0</v>
      </c>
      <c r="C3777" s="21">
        <v>0</v>
      </c>
      <c r="D3777" s="20" t="str">
        <v>未匹配</v>
      </c>
      <c r="E3777" s="20">
        <v>0</v>
      </c>
    </row>
    <row r="3778" spans="1:5">
      <c r="A3778" s="20" t="str">
        <v>00:00:00</v>
      </c>
      <c r="B3778" s="19">
        <v>0</v>
      </c>
      <c r="C3778" s="21">
        <v>0</v>
      </c>
      <c r="D3778" s="20" t="str">
        <v>未匹配</v>
      </c>
      <c r="E3778" s="20">
        <v>0</v>
      </c>
    </row>
    <row r="3779" spans="1:5">
      <c r="A3779" s="20" t="str">
        <v>00:00:00</v>
      </c>
      <c r="B3779" s="19">
        <v>0</v>
      </c>
      <c r="C3779" s="21">
        <v>0</v>
      </c>
      <c r="D3779" s="20" t="str">
        <v>未匹配</v>
      </c>
      <c r="E3779" s="20">
        <v>0</v>
      </c>
    </row>
    <row r="3780" spans="1:5">
      <c r="A3780" s="20" t="str">
        <v>00:00:00</v>
      </c>
      <c r="B3780" s="19">
        <v>0</v>
      </c>
      <c r="C3780" s="21">
        <v>0</v>
      </c>
      <c r="D3780" s="20" t="str">
        <v>未匹配</v>
      </c>
      <c r="E3780" s="20">
        <v>0</v>
      </c>
    </row>
    <row r="3781" spans="1:5">
      <c r="A3781" s="20" t="str">
        <v>00:00:00</v>
      </c>
      <c r="B3781" s="19">
        <v>0</v>
      </c>
      <c r="C3781" s="21">
        <v>0</v>
      </c>
      <c r="D3781" s="20" t="str">
        <v>未匹配</v>
      </c>
      <c r="E3781" s="20">
        <v>0</v>
      </c>
    </row>
    <row r="3782" spans="1:5">
      <c r="A3782" s="20" t="str">
        <v>00:00:00</v>
      </c>
      <c r="B3782" s="19">
        <v>0</v>
      </c>
      <c r="C3782" s="21">
        <v>0</v>
      </c>
      <c r="D3782" s="20" t="str">
        <v>未匹配</v>
      </c>
      <c r="E3782" s="20">
        <v>0</v>
      </c>
    </row>
    <row r="3783" spans="1:5">
      <c r="A3783" s="20" t="str">
        <v>00:00:00</v>
      </c>
      <c r="B3783" s="19">
        <v>0</v>
      </c>
      <c r="C3783" s="21">
        <v>0</v>
      </c>
      <c r="D3783" s="20" t="str">
        <v>未匹配</v>
      </c>
      <c r="E3783" s="20">
        <v>0</v>
      </c>
    </row>
    <row r="3784" spans="1:5">
      <c r="A3784" s="20" t="str">
        <v>00:00:00</v>
      </c>
      <c r="B3784" s="19">
        <v>0</v>
      </c>
      <c r="C3784" s="21">
        <v>0</v>
      </c>
      <c r="D3784" s="20" t="str">
        <v>未匹配</v>
      </c>
      <c r="E3784" s="20">
        <v>0</v>
      </c>
    </row>
    <row r="3785" spans="1:5">
      <c r="A3785" s="20" t="str">
        <v>00:00:00</v>
      </c>
      <c r="B3785" s="19">
        <v>0</v>
      </c>
      <c r="C3785" s="21">
        <v>0</v>
      </c>
      <c r="D3785" s="20" t="str">
        <v>未匹配</v>
      </c>
      <c r="E3785" s="20">
        <v>0</v>
      </c>
    </row>
    <row r="3786" spans="1:5">
      <c r="A3786" s="20" t="str">
        <v>00:00:00</v>
      </c>
      <c r="B3786" s="19">
        <v>0</v>
      </c>
      <c r="C3786" s="21">
        <v>0</v>
      </c>
      <c r="D3786" s="20" t="str">
        <v>未匹配</v>
      </c>
      <c r="E3786" s="20">
        <v>0</v>
      </c>
    </row>
    <row r="3787" spans="1:5">
      <c r="A3787" s="20" t="str">
        <v>00:00:00</v>
      </c>
      <c r="B3787" s="19">
        <v>0</v>
      </c>
      <c r="C3787" s="21">
        <v>0</v>
      </c>
      <c r="D3787" s="20" t="str">
        <v>未匹配</v>
      </c>
      <c r="E3787" s="20">
        <v>0</v>
      </c>
    </row>
    <row r="3788" spans="1:5">
      <c r="A3788" s="20" t="str">
        <v>00:00:00</v>
      </c>
      <c r="B3788" s="19">
        <v>0</v>
      </c>
      <c r="C3788" s="21">
        <v>0</v>
      </c>
      <c r="D3788" s="20" t="str">
        <v>未匹配</v>
      </c>
      <c r="E3788" s="20">
        <v>0</v>
      </c>
    </row>
    <row r="3789" spans="1:5">
      <c r="A3789" s="20" t="str">
        <v>00:00:00</v>
      </c>
      <c r="B3789" s="19">
        <v>0</v>
      </c>
      <c r="C3789" s="21">
        <v>0</v>
      </c>
      <c r="D3789" s="20" t="str">
        <v>未匹配</v>
      </c>
      <c r="E3789" s="20">
        <v>0</v>
      </c>
    </row>
    <row r="3790" spans="1:5">
      <c r="A3790" s="20" t="str">
        <v>00:00:00</v>
      </c>
      <c r="B3790" s="19">
        <v>0</v>
      </c>
      <c r="C3790" s="21">
        <v>0</v>
      </c>
      <c r="D3790" s="20" t="str">
        <v>未匹配</v>
      </c>
      <c r="E3790" s="20">
        <v>0</v>
      </c>
    </row>
    <row r="3791" spans="1:5">
      <c r="A3791" s="20" t="str">
        <v>00:00:00</v>
      </c>
      <c r="B3791" s="19">
        <v>0</v>
      </c>
      <c r="C3791" s="21">
        <v>0</v>
      </c>
      <c r="D3791" s="20" t="str">
        <v>未匹配</v>
      </c>
      <c r="E3791" s="20">
        <v>0</v>
      </c>
    </row>
    <row r="3792" spans="1:5">
      <c r="A3792" s="20" t="str">
        <v>00:00:00</v>
      </c>
      <c r="B3792" s="19">
        <v>0</v>
      </c>
      <c r="C3792" s="21">
        <v>0</v>
      </c>
      <c r="D3792" s="20" t="str">
        <v>未匹配</v>
      </c>
      <c r="E3792" s="20">
        <v>0</v>
      </c>
    </row>
    <row r="3793" spans="1:5">
      <c r="A3793" s="20" t="str">
        <v>00:00:00</v>
      </c>
      <c r="B3793" s="19">
        <v>0</v>
      </c>
      <c r="C3793" s="21">
        <v>0</v>
      </c>
      <c r="D3793" s="20" t="str">
        <v>未匹配</v>
      </c>
      <c r="E3793" s="20">
        <v>0</v>
      </c>
    </row>
    <row r="3794" spans="1:5">
      <c r="A3794" s="20" t="str">
        <v>00:00:00</v>
      </c>
      <c r="B3794" s="19">
        <v>0</v>
      </c>
      <c r="C3794" s="21">
        <v>0</v>
      </c>
      <c r="D3794" s="20" t="str">
        <v>未匹配</v>
      </c>
      <c r="E3794" s="20">
        <v>0</v>
      </c>
    </row>
    <row r="3795" spans="1:5">
      <c r="A3795" s="20" t="str">
        <v>00:00:00</v>
      </c>
      <c r="B3795" s="19">
        <v>0</v>
      </c>
      <c r="C3795" s="21">
        <v>0</v>
      </c>
      <c r="D3795" s="20" t="str">
        <v>未匹配</v>
      </c>
      <c r="E3795" s="20">
        <v>0</v>
      </c>
    </row>
    <row r="3796" spans="1:5">
      <c r="A3796" s="20" t="str">
        <v>00:00:00</v>
      </c>
      <c r="B3796" s="19">
        <v>0</v>
      </c>
      <c r="C3796" s="21">
        <v>0</v>
      </c>
      <c r="D3796" s="20" t="str">
        <v>未匹配</v>
      </c>
      <c r="E3796" s="20">
        <v>0</v>
      </c>
    </row>
    <row r="3797" spans="1:5">
      <c r="A3797" s="20" t="str">
        <v>00:00:00</v>
      </c>
      <c r="B3797" s="19">
        <v>0</v>
      </c>
      <c r="C3797" s="21">
        <v>0</v>
      </c>
      <c r="D3797" s="20" t="str">
        <v>未匹配</v>
      </c>
      <c r="E3797" s="20">
        <v>0</v>
      </c>
    </row>
    <row r="3798" spans="1:5">
      <c r="A3798" s="20" t="str">
        <v>00:00:00</v>
      </c>
      <c r="B3798" s="19">
        <v>0</v>
      </c>
      <c r="C3798" s="21">
        <v>0</v>
      </c>
      <c r="D3798" s="20" t="str">
        <v>未匹配</v>
      </c>
      <c r="E3798" s="20">
        <v>0</v>
      </c>
    </row>
    <row r="3799" spans="1:5">
      <c r="A3799" s="20" t="str">
        <v>00:00:00</v>
      </c>
      <c r="B3799" s="19">
        <v>0</v>
      </c>
      <c r="C3799" s="21">
        <v>0</v>
      </c>
      <c r="D3799" s="20" t="str">
        <v>未匹配</v>
      </c>
      <c r="E3799" s="20">
        <v>0</v>
      </c>
    </row>
    <row r="3800" spans="1:5">
      <c r="A3800" s="20" t="str">
        <v>00:00:00</v>
      </c>
      <c r="B3800" s="19">
        <v>0</v>
      </c>
      <c r="C3800" s="21">
        <v>0</v>
      </c>
      <c r="D3800" s="20" t="str">
        <v>未匹配</v>
      </c>
      <c r="E3800" s="20">
        <v>0</v>
      </c>
    </row>
    <row r="3801" spans="1:5">
      <c r="A3801" s="20" t="str">
        <v>00:00:00</v>
      </c>
      <c r="B3801" s="19">
        <v>0</v>
      </c>
      <c r="C3801" s="21">
        <v>0</v>
      </c>
      <c r="D3801" s="20" t="str">
        <v>未匹配</v>
      </c>
      <c r="E3801" s="20">
        <v>0</v>
      </c>
    </row>
    <row r="3802" spans="1:5">
      <c r="A3802" s="20" t="str">
        <v>00:00:00</v>
      </c>
      <c r="B3802" s="19">
        <v>0</v>
      </c>
      <c r="C3802" s="21">
        <v>0</v>
      </c>
      <c r="D3802" s="20" t="str">
        <v>未匹配</v>
      </c>
      <c r="E3802" s="20">
        <v>0</v>
      </c>
    </row>
    <row r="3803" spans="1:5">
      <c r="A3803" s="20" t="str">
        <v>00:00:00</v>
      </c>
      <c r="B3803" s="19">
        <v>0</v>
      </c>
      <c r="C3803" s="21">
        <v>0</v>
      </c>
      <c r="D3803" s="20" t="str">
        <v>未匹配</v>
      </c>
      <c r="E3803" s="20">
        <v>0</v>
      </c>
    </row>
    <row r="3804" spans="1:5">
      <c r="A3804" s="20" t="str">
        <v>00:00:00</v>
      </c>
      <c r="B3804" s="19">
        <v>0</v>
      </c>
      <c r="C3804" s="21">
        <v>0</v>
      </c>
      <c r="D3804" s="20" t="str">
        <v>未匹配</v>
      </c>
      <c r="E3804" s="20">
        <v>0</v>
      </c>
    </row>
    <row r="3805" spans="1:5">
      <c r="A3805" s="20" t="str">
        <v>00:00:00</v>
      </c>
      <c r="B3805" s="19">
        <v>0</v>
      </c>
      <c r="C3805" s="21">
        <v>0</v>
      </c>
      <c r="D3805" s="20" t="str">
        <v>未匹配</v>
      </c>
      <c r="E3805" s="20">
        <v>0</v>
      </c>
    </row>
    <row r="3806" spans="1:5">
      <c r="A3806" s="20" t="str">
        <v>00:00:00</v>
      </c>
      <c r="B3806" s="19">
        <v>0</v>
      </c>
      <c r="C3806" s="21">
        <v>0</v>
      </c>
      <c r="D3806" s="20" t="str">
        <v>未匹配</v>
      </c>
      <c r="E3806" s="20">
        <v>0</v>
      </c>
    </row>
    <row r="3807" spans="1:5">
      <c r="A3807" s="20" t="str">
        <v>00:00:00</v>
      </c>
      <c r="B3807" s="19">
        <v>0</v>
      </c>
      <c r="C3807" s="21">
        <v>0</v>
      </c>
      <c r="D3807" s="20" t="str">
        <v>未匹配</v>
      </c>
      <c r="E3807" s="20">
        <v>0</v>
      </c>
    </row>
    <row r="3808" spans="1:5">
      <c r="A3808" s="20" t="str">
        <v>00:00:00</v>
      </c>
      <c r="B3808" s="19">
        <v>0</v>
      </c>
      <c r="C3808" s="21">
        <v>0</v>
      </c>
      <c r="D3808" s="20" t="str">
        <v>未匹配</v>
      </c>
      <c r="E3808" s="20">
        <v>0</v>
      </c>
    </row>
    <row r="3809" spans="1:5">
      <c r="A3809" s="20" t="str">
        <v>00:00:00</v>
      </c>
      <c r="B3809" s="19">
        <v>0</v>
      </c>
      <c r="C3809" s="21">
        <v>0</v>
      </c>
      <c r="D3809" s="20" t="str">
        <v>未匹配</v>
      </c>
      <c r="E3809" s="20">
        <v>0</v>
      </c>
    </row>
    <row r="3810" spans="1:5">
      <c r="A3810" s="20" t="str">
        <v>00:00:00</v>
      </c>
      <c r="B3810" s="19">
        <v>0</v>
      </c>
      <c r="C3810" s="21">
        <v>0</v>
      </c>
      <c r="D3810" s="20" t="str">
        <v>未匹配</v>
      </c>
      <c r="E3810" s="20">
        <v>0</v>
      </c>
    </row>
    <row r="3811" spans="1:5">
      <c r="A3811" s="20" t="str">
        <v>00:00:00</v>
      </c>
      <c r="B3811" s="19">
        <v>0</v>
      </c>
      <c r="C3811" s="21">
        <v>0</v>
      </c>
      <c r="D3811" s="20" t="str">
        <v>未匹配</v>
      </c>
      <c r="E3811" s="20">
        <v>0</v>
      </c>
    </row>
    <row r="3812" spans="1:5">
      <c r="A3812" s="20" t="str">
        <v>00:00:00</v>
      </c>
      <c r="B3812" s="19">
        <v>0</v>
      </c>
      <c r="C3812" s="21">
        <v>0</v>
      </c>
      <c r="D3812" s="20" t="str">
        <v>未匹配</v>
      </c>
      <c r="E3812" s="20">
        <v>0</v>
      </c>
    </row>
    <row r="3813" spans="1:5">
      <c r="A3813" s="20" t="str">
        <v>00:00:00</v>
      </c>
      <c r="B3813" s="19">
        <v>0</v>
      </c>
      <c r="C3813" s="21">
        <v>0</v>
      </c>
      <c r="D3813" s="20" t="str">
        <v>未匹配</v>
      </c>
      <c r="E3813" s="20">
        <v>0</v>
      </c>
    </row>
    <row r="3814" spans="1:5">
      <c r="A3814" s="20" t="str">
        <v>00:00:00</v>
      </c>
      <c r="B3814" s="19">
        <v>0</v>
      </c>
      <c r="C3814" s="21">
        <v>0</v>
      </c>
      <c r="D3814" s="20" t="str">
        <v>未匹配</v>
      </c>
      <c r="E3814" s="20">
        <v>0</v>
      </c>
    </row>
    <row r="3815" spans="1:5">
      <c r="A3815" s="20" t="str">
        <v>00:00:00</v>
      </c>
      <c r="B3815" s="19">
        <v>0</v>
      </c>
      <c r="C3815" s="21">
        <v>0</v>
      </c>
      <c r="D3815" s="20" t="str">
        <v>未匹配</v>
      </c>
      <c r="E3815" s="20">
        <v>0</v>
      </c>
    </row>
    <row r="3816" spans="1:5">
      <c r="A3816" s="20" t="str">
        <v>00:00:00</v>
      </c>
      <c r="B3816" s="19">
        <v>0</v>
      </c>
      <c r="C3816" s="21">
        <v>0</v>
      </c>
      <c r="D3816" s="20" t="str">
        <v>未匹配</v>
      </c>
      <c r="E3816" s="20">
        <v>0</v>
      </c>
    </row>
    <row r="3817" spans="1:5">
      <c r="A3817" s="20" t="str">
        <v>00:00:00</v>
      </c>
      <c r="B3817" s="19">
        <v>0</v>
      </c>
      <c r="C3817" s="21">
        <v>0</v>
      </c>
      <c r="D3817" s="20" t="str">
        <v>未匹配</v>
      </c>
      <c r="E3817" s="20">
        <v>0</v>
      </c>
    </row>
    <row r="3818" spans="1:5">
      <c r="A3818" s="20" t="str">
        <v>00:00:00</v>
      </c>
      <c r="B3818" s="19">
        <v>0</v>
      </c>
      <c r="C3818" s="21">
        <v>0</v>
      </c>
      <c r="D3818" s="20" t="str">
        <v>未匹配</v>
      </c>
      <c r="E3818" s="20">
        <v>0</v>
      </c>
    </row>
    <row r="3819" spans="1:5">
      <c r="A3819" s="20" t="str">
        <v>00:00:00</v>
      </c>
      <c r="B3819" s="19">
        <v>0</v>
      </c>
      <c r="C3819" s="21">
        <v>0</v>
      </c>
      <c r="D3819" s="20" t="str">
        <v>未匹配</v>
      </c>
      <c r="E3819" s="20">
        <v>0</v>
      </c>
    </row>
    <row r="3820" spans="1:5">
      <c r="A3820" s="20" t="str">
        <v>00:00:00</v>
      </c>
      <c r="B3820" s="19">
        <v>0</v>
      </c>
      <c r="C3820" s="21">
        <v>0</v>
      </c>
      <c r="D3820" s="20" t="str">
        <v>未匹配</v>
      </c>
      <c r="E3820" s="20">
        <v>0</v>
      </c>
    </row>
    <row r="3821" spans="1:5">
      <c r="A3821" s="20" t="str">
        <v>00:00:00</v>
      </c>
      <c r="B3821" s="19">
        <v>0</v>
      </c>
      <c r="C3821" s="21">
        <v>0</v>
      </c>
      <c r="D3821" s="20" t="str">
        <v>未匹配</v>
      </c>
      <c r="E3821" s="20">
        <v>0</v>
      </c>
    </row>
    <row r="3822" spans="1:5">
      <c r="A3822" s="20" t="str">
        <v>00:00:00</v>
      </c>
      <c r="B3822" s="19">
        <v>0</v>
      </c>
      <c r="C3822" s="21">
        <v>0</v>
      </c>
      <c r="D3822" s="20" t="str">
        <v>未匹配</v>
      </c>
      <c r="E3822" s="20">
        <v>0</v>
      </c>
    </row>
    <row r="3823" spans="1:5">
      <c r="A3823" s="20" t="str">
        <v>00:00:00</v>
      </c>
      <c r="B3823" s="19">
        <v>0</v>
      </c>
      <c r="C3823" s="21">
        <v>0</v>
      </c>
      <c r="D3823" s="20" t="str">
        <v>未匹配</v>
      </c>
      <c r="E3823" s="20">
        <v>0</v>
      </c>
    </row>
    <row r="3824" spans="1:5">
      <c r="A3824" s="20" t="str">
        <v>00:00:00</v>
      </c>
      <c r="B3824" s="19">
        <v>0</v>
      </c>
      <c r="C3824" s="21">
        <v>0</v>
      </c>
      <c r="D3824" s="20" t="str">
        <v>未匹配</v>
      </c>
      <c r="E3824" s="20">
        <v>0</v>
      </c>
    </row>
    <row r="3825" spans="1:5">
      <c r="A3825" s="20" t="str">
        <v>00:00:00</v>
      </c>
      <c r="B3825" s="19">
        <v>0</v>
      </c>
      <c r="C3825" s="21">
        <v>0</v>
      </c>
      <c r="D3825" s="20" t="str">
        <v>未匹配</v>
      </c>
      <c r="E3825" s="20">
        <v>0</v>
      </c>
    </row>
    <row r="3826" spans="1:5">
      <c r="A3826" s="20" t="str">
        <v>00:00:00</v>
      </c>
      <c r="B3826" s="19">
        <v>0</v>
      </c>
      <c r="C3826" s="21">
        <v>0</v>
      </c>
      <c r="D3826" s="20" t="str">
        <v>未匹配</v>
      </c>
      <c r="E3826" s="20">
        <v>0</v>
      </c>
    </row>
    <row r="3827" spans="1:5">
      <c r="A3827" s="20" t="str">
        <v>00:00:00</v>
      </c>
      <c r="B3827" s="19">
        <v>0</v>
      </c>
      <c r="C3827" s="21">
        <v>0</v>
      </c>
      <c r="D3827" s="20" t="str">
        <v>未匹配</v>
      </c>
      <c r="E3827" s="20">
        <v>0</v>
      </c>
    </row>
    <row r="3828" spans="1:5">
      <c r="A3828" s="20" t="str">
        <v>00:00:00</v>
      </c>
      <c r="B3828" s="19">
        <v>0</v>
      </c>
      <c r="C3828" s="21">
        <v>0</v>
      </c>
      <c r="D3828" s="20" t="str">
        <v>未匹配</v>
      </c>
      <c r="E3828" s="20">
        <v>0</v>
      </c>
    </row>
    <row r="3829" spans="1:5">
      <c r="A3829" s="20" t="str">
        <v>00:00:00</v>
      </c>
      <c r="B3829" s="19">
        <v>0</v>
      </c>
      <c r="C3829" s="21">
        <v>0</v>
      </c>
      <c r="D3829" s="20" t="str">
        <v>未匹配</v>
      </c>
      <c r="E3829" s="20">
        <v>0</v>
      </c>
    </row>
    <row r="3830" spans="1:5">
      <c r="A3830" s="20" t="str">
        <v>00:00:00</v>
      </c>
      <c r="B3830" s="19">
        <v>0</v>
      </c>
      <c r="C3830" s="21">
        <v>0</v>
      </c>
      <c r="D3830" s="20" t="str">
        <v>未匹配</v>
      </c>
      <c r="E3830" s="20">
        <v>0</v>
      </c>
    </row>
    <row r="3831" spans="1:5">
      <c r="A3831" s="20" t="str">
        <v>00:00:00</v>
      </c>
      <c r="B3831" s="19">
        <v>0</v>
      </c>
      <c r="C3831" s="21">
        <v>0</v>
      </c>
      <c r="D3831" s="20" t="str">
        <v>未匹配</v>
      </c>
      <c r="E3831" s="20">
        <v>0</v>
      </c>
    </row>
    <row r="3832" spans="1:5">
      <c r="A3832" s="20" t="str">
        <v>00:00:00</v>
      </c>
      <c r="B3832" s="19">
        <v>0</v>
      </c>
      <c r="C3832" s="21">
        <v>0</v>
      </c>
      <c r="D3832" s="20" t="str">
        <v>未匹配</v>
      </c>
      <c r="E3832" s="20">
        <v>0</v>
      </c>
    </row>
    <row r="3833" spans="1:5">
      <c r="A3833" s="20" t="str">
        <v>00:00:00</v>
      </c>
      <c r="B3833" s="19">
        <v>0</v>
      </c>
      <c r="C3833" s="21">
        <v>0</v>
      </c>
      <c r="D3833" s="20" t="str">
        <v>未匹配</v>
      </c>
      <c r="E3833" s="20">
        <v>0</v>
      </c>
    </row>
    <row r="3834" spans="1:5">
      <c r="A3834" s="20" t="str">
        <v>00:00:00</v>
      </c>
      <c r="B3834" s="19">
        <v>0</v>
      </c>
      <c r="C3834" s="21">
        <v>0</v>
      </c>
      <c r="D3834" s="20" t="str">
        <v>未匹配</v>
      </c>
      <c r="E3834" s="20">
        <v>0</v>
      </c>
    </row>
    <row r="3835" spans="1:5">
      <c r="A3835" s="20" t="str">
        <v>00:00:00</v>
      </c>
      <c r="B3835" s="19">
        <v>0</v>
      </c>
      <c r="C3835" s="21">
        <v>0</v>
      </c>
      <c r="D3835" s="20" t="str">
        <v>未匹配</v>
      </c>
      <c r="E3835" s="20">
        <v>0</v>
      </c>
    </row>
    <row r="3836" spans="1:5">
      <c r="A3836" s="20" t="str">
        <v>00:00:00</v>
      </c>
      <c r="B3836" s="19">
        <v>0</v>
      </c>
      <c r="C3836" s="21">
        <v>0</v>
      </c>
      <c r="D3836" s="20" t="str">
        <v>未匹配</v>
      </c>
      <c r="E3836" s="20">
        <v>0</v>
      </c>
    </row>
    <row r="3837" spans="1:5">
      <c r="A3837" s="20" t="str">
        <v>00:00:00</v>
      </c>
      <c r="B3837" s="19">
        <v>0</v>
      </c>
      <c r="C3837" s="21">
        <v>0</v>
      </c>
      <c r="D3837" s="20" t="str">
        <v>未匹配</v>
      </c>
      <c r="E3837" s="20">
        <v>0</v>
      </c>
    </row>
    <row r="3838" spans="1:5">
      <c r="A3838" s="20" t="str">
        <v>00:00:00</v>
      </c>
      <c r="B3838" s="19">
        <v>0</v>
      </c>
      <c r="C3838" s="21">
        <v>0</v>
      </c>
      <c r="D3838" s="20" t="str">
        <v>未匹配</v>
      </c>
      <c r="E3838" s="20">
        <v>0</v>
      </c>
    </row>
    <row r="3839" spans="1:5">
      <c r="A3839" s="20" t="str">
        <v>00:00:00</v>
      </c>
      <c r="B3839" s="19">
        <v>0</v>
      </c>
      <c r="C3839" s="21">
        <v>0</v>
      </c>
      <c r="D3839" s="20" t="str">
        <v>未匹配</v>
      </c>
      <c r="E3839" s="20">
        <v>0</v>
      </c>
    </row>
    <row r="3840" spans="1:5">
      <c r="A3840" s="20" t="str">
        <v>00:00:00</v>
      </c>
      <c r="B3840" s="19">
        <v>0</v>
      </c>
      <c r="C3840" s="21">
        <v>0</v>
      </c>
      <c r="D3840" s="20" t="str">
        <v>未匹配</v>
      </c>
      <c r="E3840" s="20">
        <v>0</v>
      </c>
    </row>
    <row r="3841" spans="1:5">
      <c r="A3841" s="20" t="str">
        <v>00:00:00</v>
      </c>
      <c r="B3841" s="19">
        <v>0</v>
      </c>
      <c r="C3841" s="21">
        <v>0</v>
      </c>
      <c r="D3841" s="20" t="str">
        <v>未匹配</v>
      </c>
      <c r="E3841" s="20">
        <v>0</v>
      </c>
    </row>
    <row r="3842" spans="1:5">
      <c r="A3842" s="20" t="str">
        <v>00:00:00</v>
      </c>
      <c r="B3842" s="19">
        <v>0</v>
      </c>
      <c r="C3842" s="21">
        <v>0</v>
      </c>
      <c r="D3842" s="20" t="str">
        <v>未匹配</v>
      </c>
      <c r="E3842" s="20">
        <v>0</v>
      </c>
    </row>
    <row r="3843" spans="1:5">
      <c r="A3843" s="20" t="str">
        <v>00:00:00</v>
      </c>
      <c r="B3843" s="19">
        <v>0</v>
      </c>
      <c r="C3843" s="21">
        <v>0</v>
      </c>
      <c r="D3843" s="20" t="str">
        <v>未匹配</v>
      </c>
      <c r="E3843" s="20">
        <v>0</v>
      </c>
    </row>
    <row r="3844" spans="1:5">
      <c r="A3844" s="20" t="str">
        <v>00:00:00</v>
      </c>
      <c r="B3844" s="19">
        <v>0</v>
      </c>
      <c r="C3844" s="21">
        <v>0</v>
      </c>
      <c r="D3844" s="20" t="str">
        <v>未匹配</v>
      </c>
      <c r="E3844" s="20">
        <v>0</v>
      </c>
    </row>
    <row r="3845" spans="1:5">
      <c r="A3845" s="20" t="str">
        <v>00:00:00</v>
      </c>
      <c r="B3845" s="19">
        <v>0</v>
      </c>
      <c r="C3845" s="21">
        <v>0</v>
      </c>
      <c r="D3845" s="20" t="str">
        <v>未匹配</v>
      </c>
      <c r="E3845" s="20">
        <v>0</v>
      </c>
    </row>
    <row r="3846" spans="1:5">
      <c r="A3846" s="20" t="str">
        <v>00:00:00</v>
      </c>
      <c r="B3846" s="19">
        <v>0</v>
      </c>
      <c r="C3846" s="21">
        <v>0</v>
      </c>
      <c r="D3846" s="20" t="str">
        <v>未匹配</v>
      </c>
      <c r="E3846" s="20">
        <v>0</v>
      </c>
    </row>
    <row r="3847" spans="1:5">
      <c r="A3847" s="20" t="str">
        <v>00:00:00</v>
      </c>
      <c r="B3847" s="19">
        <v>0</v>
      </c>
      <c r="C3847" s="21">
        <v>0</v>
      </c>
      <c r="D3847" s="20" t="str">
        <v>未匹配</v>
      </c>
      <c r="E3847" s="20">
        <v>0</v>
      </c>
    </row>
    <row r="3848" spans="1:5">
      <c r="A3848" s="20" t="str">
        <v>00:00:00</v>
      </c>
      <c r="B3848" s="19">
        <v>0</v>
      </c>
      <c r="C3848" s="21">
        <v>0</v>
      </c>
      <c r="D3848" s="20" t="str">
        <v>未匹配</v>
      </c>
      <c r="E3848" s="20">
        <v>0</v>
      </c>
    </row>
    <row r="3849" spans="1:5">
      <c r="A3849" s="20" t="str">
        <v>00:00:00</v>
      </c>
      <c r="B3849" s="19">
        <v>0</v>
      </c>
      <c r="C3849" s="21">
        <v>0</v>
      </c>
      <c r="D3849" s="20" t="str">
        <v>未匹配</v>
      </c>
      <c r="E3849" s="20">
        <v>0</v>
      </c>
    </row>
    <row r="3850" spans="1:5">
      <c r="A3850" s="20" t="str">
        <v>00:00:00</v>
      </c>
      <c r="B3850" s="19">
        <v>0</v>
      </c>
      <c r="C3850" s="21">
        <v>0</v>
      </c>
      <c r="D3850" s="20" t="str">
        <v>未匹配</v>
      </c>
      <c r="E3850" s="20">
        <v>0</v>
      </c>
    </row>
    <row r="3851" spans="1:5">
      <c r="A3851" s="20" t="str">
        <v>00:00:00</v>
      </c>
      <c r="B3851" s="19">
        <v>0</v>
      </c>
      <c r="C3851" s="21">
        <v>0</v>
      </c>
      <c r="D3851" s="20" t="str">
        <v>未匹配</v>
      </c>
      <c r="E3851" s="20">
        <v>0</v>
      </c>
    </row>
    <row r="3852" spans="1:5">
      <c r="A3852" s="20" t="str">
        <v>00:00:00</v>
      </c>
      <c r="B3852" s="19">
        <v>0</v>
      </c>
      <c r="C3852" s="21">
        <v>0</v>
      </c>
      <c r="D3852" s="20" t="str">
        <v>未匹配</v>
      </c>
      <c r="E3852" s="20">
        <v>0</v>
      </c>
    </row>
    <row r="3853" spans="1:5">
      <c r="A3853" s="20" t="str">
        <v>00:00:00</v>
      </c>
      <c r="B3853" s="19">
        <v>0</v>
      </c>
      <c r="C3853" s="21">
        <v>0</v>
      </c>
      <c r="D3853" s="20" t="str">
        <v>未匹配</v>
      </c>
      <c r="E3853" s="20">
        <v>0</v>
      </c>
    </row>
    <row r="3854" spans="1:5">
      <c r="A3854" s="20" t="str">
        <v>00:00:00</v>
      </c>
      <c r="B3854" s="19">
        <v>0</v>
      </c>
      <c r="C3854" s="21">
        <v>0</v>
      </c>
      <c r="D3854" s="20" t="str">
        <v>未匹配</v>
      </c>
      <c r="E3854" s="20">
        <v>0</v>
      </c>
    </row>
    <row r="3855" spans="1:5">
      <c r="A3855" s="20" t="str">
        <v>00:00:00</v>
      </c>
      <c r="B3855" s="19">
        <v>0</v>
      </c>
      <c r="C3855" s="21">
        <v>0</v>
      </c>
      <c r="D3855" s="20" t="str">
        <v>未匹配</v>
      </c>
      <c r="E3855" s="20">
        <v>0</v>
      </c>
    </row>
    <row r="3856" spans="1:5">
      <c r="A3856" s="20" t="str">
        <v>00:00:00</v>
      </c>
      <c r="B3856" s="19">
        <v>0</v>
      </c>
      <c r="C3856" s="21">
        <v>0</v>
      </c>
      <c r="D3856" s="20" t="str">
        <v>未匹配</v>
      </c>
      <c r="E3856" s="20">
        <v>0</v>
      </c>
    </row>
    <row r="3857" spans="1:5">
      <c r="A3857" s="20" t="str">
        <v>00:00:00</v>
      </c>
      <c r="B3857" s="19">
        <v>0</v>
      </c>
      <c r="C3857" s="21">
        <v>0</v>
      </c>
      <c r="D3857" s="20" t="str">
        <v>未匹配</v>
      </c>
      <c r="E3857" s="20">
        <v>0</v>
      </c>
    </row>
    <row r="3858" spans="1:5">
      <c r="A3858" s="20" t="str">
        <v>00:00:00</v>
      </c>
      <c r="B3858" s="19">
        <v>0</v>
      </c>
      <c r="C3858" s="21">
        <v>0</v>
      </c>
      <c r="D3858" s="20" t="str">
        <v>未匹配</v>
      </c>
      <c r="E3858" s="20">
        <v>0</v>
      </c>
    </row>
    <row r="3859" spans="1:5">
      <c r="A3859" s="20" t="str">
        <v>00:00:00</v>
      </c>
      <c r="B3859" s="19">
        <v>0</v>
      </c>
      <c r="C3859" s="21">
        <v>0</v>
      </c>
      <c r="D3859" s="20" t="str">
        <v>未匹配</v>
      </c>
      <c r="E3859" s="20">
        <v>0</v>
      </c>
    </row>
    <row r="3860" spans="1:5">
      <c r="A3860" s="20" t="str">
        <v>00:00:00</v>
      </c>
      <c r="B3860" s="19">
        <v>0</v>
      </c>
      <c r="C3860" s="21">
        <v>0</v>
      </c>
      <c r="D3860" s="20" t="str">
        <v>未匹配</v>
      </c>
      <c r="E3860" s="20">
        <v>0</v>
      </c>
    </row>
    <row r="3861" spans="1:5">
      <c r="A3861" s="20" t="str">
        <v>00:00:00</v>
      </c>
      <c r="B3861" s="19">
        <v>0</v>
      </c>
      <c r="C3861" s="21">
        <v>0</v>
      </c>
      <c r="D3861" s="20" t="str">
        <v>未匹配</v>
      </c>
      <c r="E3861" s="20">
        <v>0</v>
      </c>
    </row>
    <row r="3862" spans="1:5">
      <c r="A3862" s="20" t="str">
        <v>00:00:00</v>
      </c>
      <c r="B3862" s="19">
        <v>0</v>
      </c>
      <c r="C3862" s="21">
        <v>0</v>
      </c>
      <c r="D3862" s="20" t="str">
        <v>未匹配</v>
      </c>
      <c r="E3862" s="20">
        <v>0</v>
      </c>
    </row>
    <row r="3863" spans="1:5">
      <c r="A3863" s="20" t="str">
        <v>00:00:00</v>
      </c>
      <c r="B3863" s="19">
        <v>0</v>
      </c>
      <c r="C3863" s="21">
        <v>0</v>
      </c>
      <c r="D3863" s="20" t="str">
        <v>未匹配</v>
      </c>
      <c r="E3863" s="20">
        <v>0</v>
      </c>
    </row>
    <row r="3864" spans="1:5">
      <c r="A3864" s="20" t="str">
        <v>00:00:00</v>
      </c>
      <c r="B3864" s="19">
        <v>0</v>
      </c>
      <c r="C3864" s="21">
        <v>0</v>
      </c>
      <c r="D3864" s="20" t="str">
        <v>未匹配</v>
      </c>
      <c r="E3864" s="20">
        <v>0</v>
      </c>
    </row>
    <row r="3865" spans="1:5">
      <c r="A3865" s="20" t="str">
        <v>00:00:00</v>
      </c>
      <c r="B3865" s="19">
        <v>0</v>
      </c>
      <c r="C3865" s="21">
        <v>0</v>
      </c>
      <c r="D3865" s="20" t="str">
        <v>未匹配</v>
      </c>
      <c r="E3865" s="20">
        <v>0</v>
      </c>
    </row>
    <row r="3866" spans="1:5">
      <c r="A3866" s="20" t="str">
        <v>00:00:00</v>
      </c>
      <c r="B3866" s="19">
        <v>0</v>
      </c>
      <c r="C3866" s="21">
        <v>0</v>
      </c>
      <c r="D3866" s="20" t="str">
        <v>未匹配</v>
      </c>
      <c r="E3866" s="20">
        <v>0</v>
      </c>
    </row>
    <row r="3867" spans="1:5">
      <c r="A3867" s="20" t="str">
        <v>00:00:00</v>
      </c>
      <c r="B3867" s="19">
        <v>0</v>
      </c>
      <c r="C3867" s="21">
        <v>0</v>
      </c>
      <c r="D3867" s="20" t="str">
        <v>未匹配</v>
      </c>
      <c r="E3867" s="20">
        <v>0</v>
      </c>
    </row>
    <row r="3868" spans="1:5">
      <c r="A3868" s="20" t="str">
        <v>00:00:00</v>
      </c>
      <c r="B3868" s="19">
        <v>0</v>
      </c>
      <c r="C3868" s="21">
        <v>0</v>
      </c>
      <c r="D3868" s="20" t="str">
        <v>未匹配</v>
      </c>
      <c r="E3868" s="20">
        <v>0</v>
      </c>
    </row>
    <row r="3869" spans="1:5">
      <c r="A3869" s="20" t="str">
        <v>00:00:00</v>
      </c>
      <c r="B3869" s="19">
        <v>0</v>
      </c>
      <c r="C3869" s="21">
        <v>0</v>
      </c>
      <c r="D3869" s="20" t="str">
        <v>未匹配</v>
      </c>
      <c r="E3869" s="20">
        <v>0</v>
      </c>
    </row>
    <row r="3870" spans="1:5">
      <c r="A3870" s="20" t="str">
        <v>00:00:00</v>
      </c>
      <c r="B3870" s="19">
        <v>0</v>
      </c>
      <c r="C3870" s="21">
        <v>0</v>
      </c>
      <c r="D3870" s="20" t="str">
        <v>未匹配</v>
      </c>
      <c r="E3870" s="20">
        <v>0</v>
      </c>
    </row>
    <row r="3871" spans="1:5">
      <c r="A3871" s="20" t="str">
        <v>00:00:00</v>
      </c>
      <c r="B3871" s="19">
        <v>0</v>
      </c>
      <c r="C3871" s="21">
        <v>0</v>
      </c>
      <c r="D3871" s="20" t="str">
        <v>未匹配</v>
      </c>
      <c r="E3871" s="20">
        <v>0</v>
      </c>
    </row>
    <row r="3872" spans="1:5">
      <c r="A3872" s="20" t="str">
        <v>00:00:00</v>
      </c>
      <c r="B3872" s="19">
        <v>0</v>
      </c>
      <c r="C3872" s="21">
        <v>0</v>
      </c>
      <c r="D3872" s="20" t="str">
        <v>未匹配</v>
      </c>
      <c r="E3872" s="20">
        <v>0</v>
      </c>
    </row>
    <row r="3873" spans="1:5">
      <c r="A3873" s="20" t="str">
        <v>00:00:00</v>
      </c>
      <c r="B3873" s="19">
        <v>0</v>
      </c>
      <c r="C3873" s="21">
        <v>0</v>
      </c>
      <c r="D3873" s="20" t="str">
        <v>未匹配</v>
      </c>
      <c r="E3873" s="20">
        <v>0</v>
      </c>
    </row>
    <row r="3874" spans="1:5">
      <c r="A3874" s="20" t="str">
        <v>00:00:00</v>
      </c>
      <c r="B3874" s="19">
        <v>0</v>
      </c>
      <c r="C3874" s="21">
        <v>0</v>
      </c>
      <c r="D3874" s="20" t="str">
        <v>未匹配</v>
      </c>
      <c r="E3874" s="20">
        <v>0</v>
      </c>
    </row>
    <row r="3875" spans="1:5">
      <c r="A3875" s="20" t="str">
        <v>00:00:00</v>
      </c>
      <c r="B3875" s="19">
        <v>0</v>
      </c>
      <c r="C3875" s="21">
        <v>0</v>
      </c>
      <c r="D3875" s="20" t="str">
        <v>未匹配</v>
      </c>
      <c r="E3875" s="20">
        <v>0</v>
      </c>
    </row>
    <row r="3876" spans="1:5">
      <c r="A3876" s="20" t="str">
        <v>00:00:00</v>
      </c>
      <c r="B3876" s="19">
        <v>0</v>
      </c>
      <c r="C3876" s="21">
        <v>0</v>
      </c>
      <c r="D3876" s="20" t="str">
        <v>未匹配</v>
      </c>
      <c r="E3876" s="20">
        <v>0</v>
      </c>
    </row>
    <row r="3877" spans="1:5">
      <c r="A3877" s="20" t="str">
        <v>00:00:00</v>
      </c>
      <c r="B3877" s="19">
        <v>0</v>
      </c>
      <c r="C3877" s="21">
        <v>0</v>
      </c>
      <c r="D3877" s="20" t="str">
        <v>未匹配</v>
      </c>
      <c r="E3877" s="20">
        <v>0</v>
      </c>
    </row>
    <row r="3878" spans="1:5">
      <c r="A3878" s="20" t="str">
        <v>00:00:00</v>
      </c>
      <c r="B3878" s="19">
        <v>0</v>
      </c>
      <c r="C3878" s="21">
        <v>0</v>
      </c>
      <c r="D3878" s="20" t="str">
        <v>未匹配</v>
      </c>
      <c r="E3878" s="20">
        <v>0</v>
      </c>
    </row>
    <row r="3879" spans="1:5">
      <c r="A3879" s="20" t="str">
        <v>00:00:00</v>
      </c>
      <c r="B3879" s="19">
        <v>0</v>
      </c>
      <c r="C3879" s="21">
        <v>0</v>
      </c>
      <c r="D3879" s="20" t="str">
        <v>未匹配</v>
      </c>
      <c r="E3879" s="20">
        <v>0</v>
      </c>
    </row>
    <row r="3880" spans="1:5">
      <c r="A3880" s="20" t="str">
        <v>00:00:00</v>
      </c>
      <c r="B3880" s="19">
        <v>0</v>
      </c>
      <c r="C3880" s="21">
        <v>0</v>
      </c>
      <c r="D3880" s="20" t="str">
        <v>未匹配</v>
      </c>
      <c r="E3880" s="20">
        <v>0</v>
      </c>
    </row>
    <row r="3881" spans="1:5">
      <c r="A3881" s="20" t="str">
        <v>00:00:00</v>
      </c>
      <c r="B3881" s="19">
        <v>0</v>
      </c>
      <c r="C3881" s="21">
        <v>0</v>
      </c>
      <c r="D3881" s="20" t="str">
        <v>未匹配</v>
      </c>
      <c r="E3881" s="20">
        <v>0</v>
      </c>
    </row>
    <row r="3882" spans="1:5">
      <c r="A3882" s="20" t="str">
        <v>00:00:00</v>
      </c>
      <c r="B3882" s="19">
        <v>0</v>
      </c>
      <c r="C3882" s="21">
        <v>0</v>
      </c>
      <c r="D3882" s="20" t="str">
        <v>未匹配</v>
      </c>
      <c r="E3882" s="20">
        <v>0</v>
      </c>
    </row>
    <row r="3883" spans="1:5">
      <c r="A3883" s="20" t="str">
        <v>00:00:00</v>
      </c>
      <c r="B3883" s="19">
        <v>0</v>
      </c>
      <c r="C3883" s="21">
        <v>0</v>
      </c>
      <c r="D3883" s="20" t="str">
        <v>未匹配</v>
      </c>
      <c r="E3883" s="20">
        <v>0</v>
      </c>
    </row>
    <row r="3884" spans="1:5">
      <c r="A3884" s="20" t="str">
        <v>00:00:00</v>
      </c>
      <c r="B3884" s="19">
        <v>0</v>
      </c>
      <c r="C3884" s="21">
        <v>0</v>
      </c>
      <c r="D3884" s="20" t="str">
        <v>未匹配</v>
      </c>
      <c r="E3884" s="20">
        <v>0</v>
      </c>
    </row>
    <row r="3885" spans="1:5">
      <c r="A3885" s="20" t="str">
        <v>00:00:00</v>
      </c>
      <c r="B3885" s="19">
        <v>0</v>
      </c>
      <c r="C3885" s="21">
        <v>0</v>
      </c>
      <c r="D3885" s="20" t="str">
        <v>未匹配</v>
      </c>
      <c r="E3885" s="20">
        <v>0</v>
      </c>
    </row>
    <row r="3886" spans="1:5">
      <c r="A3886" s="20" t="str">
        <v>00:00:00</v>
      </c>
      <c r="B3886" s="19">
        <v>0</v>
      </c>
      <c r="C3886" s="21">
        <v>0</v>
      </c>
      <c r="D3886" s="20" t="str">
        <v>未匹配</v>
      </c>
      <c r="E3886" s="20">
        <v>0</v>
      </c>
    </row>
    <row r="3887" spans="1:5">
      <c r="A3887" s="20" t="str">
        <v>00:00:00</v>
      </c>
      <c r="B3887" s="19">
        <v>0</v>
      </c>
      <c r="C3887" s="21">
        <v>0</v>
      </c>
      <c r="D3887" s="20" t="str">
        <v>未匹配</v>
      </c>
      <c r="E3887" s="20">
        <v>0</v>
      </c>
    </row>
    <row r="3888" spans="1:5">
      <c r="A3888" s="20" t="str">
        <v>00:00:00</v>
      </c>
      <c r="B3888" s="19">
        <v>0</v>
      </c>
      <c r="C3888" s="21">
        <v>0</v>
      </c>
      <c r="D3888" s="20" t="str">
        <v>未匹配</v>
      </c>
      <c r="E3888" s="20">
        <v>0</v>
      </c>
    </row>
    <row r="3889" spans="1:5">
      <c r="A3889" s="20" t="str">
        <v>00:00:00</v>
      </c>
      <c r="B3889" s="19">
        <v>0</v>
      </c>
      <c r="C3889" s="21">
        <v>0</v>
      </c>
      <c r="D3889" s="20" t="str">
        <v>未匹配</v>
      </c>
      <c r="E3889" s="20">
        <v>0</v>
      </c>
    </row>
    <row r="3890" spans="1:5">
      <c r="A3890" s="20" t="str">
        <v>00:00:00</v>
      </c>
      <c r="B3890" s="19">
        <v>0</v>
      </c>
      <c r="C3890" s="21">
        <v>0</v>
      </c>
      <c r="D3890" s="20" t="str">
        <v>未匹配</v>
      </c>
      <c r="E3890" s="20">
        <v>0</v>
      </c>
    </row>
    <row r="3891" spans="1:5">
      <c r="A3891" s="20" t="str">
        <v>00:00:00</v>
      </c>
      <c r="B3891" s="19">
        <v>0</v>
      </c>
      <c r="C3891" s="21">
        <v>0</v>
      </c>
      <c r="D3891" s="20" t="str">
        <v>未匹配</v>
      </c>
      <c r="E3891" s="20">
        <v>0</v>
      </c>
    </row>
    <row r="3892" spans="1:5">
      <c r="A3892" s="20" t="str">
        <v>00:00:00</v>
      </c>
      <c r="B3892" s="19">
        <v>0</v>
      </c>
      <c r="C3892" s="21">
        <v>0</v>
      </c>
      <c r="D3892" s="20" t="str">
        <v>未匹配</v>
      </c>
      <c r="E3892" s="20">
        <v>0</v>
      </c>
    </row>
    <row r="3893" spans="1:5">
      <c r="A3893" s="20" t="str">
        <v>00:00:00</v>
      </c>
      <c r="B3893" s="19">
        <v>0</v>
      </c>
      <c r="C3893" s="21">
        <v>0</v>
      </c>
      <c r="D3893" s="20" t="str">
        <v>未匹配</v>
      </c>
      <c r="E3893" s="20">
        <v>0</v>
      </c>
    </row>
    <row r="3894" spans="1:5">
      <c r="A3894" s="20" t="str">
        <v>00:00:00</v>
      </c>
      <c r="B3894" s="19">
        <v>0</v>
      </c>
      <c r="C3894" s="21">
        <v>0</v>
      </c>
      <c r="D3894" s="20" t="str">
        <v>未匹配</v>
      </c>
      <c r="E3894" s="20">
        <v>0</v>
      </c>
    </row>
    <row r="3895" spans="1:5">
      <c r="A3895" s="20" t="str">
        <v>00:00:00</v>
      </c>
      <c r="B3895" s="19">
        <v>0</v>
      </c>
      <c r="C3895" s="21">
        <v>0</v>
      </c>
      <c r="D3895" s="20" t="str">
        <v>未匹配</v>
      </c>
      <c r="E3895" s="20">
        <v>0</v>
      </c>
    </row>
    <row r="3896" spans="1:5">
      <c r="A3896" s="20" t="str">
        <v>00:00:00</v>
      </c>
      <c r="B3896" s="19">
        <v>0</v>
      </c>
      <c r="C3896" s="21">
        <v>0</v>
      </c>
      <c r="D3896" s="20" t="str">
        <v>未匹配</v>
      </c>
      <c r="E3896" s="20">
        <v>0</v>
      </c>
    </row>
    <row r="3897" spans="1:5">
      <c r="A3897" s="20" t="str">
        <v>00:00:00</v>
      </c>
      <c r="B3897" s="19">
        <v>0</v>
      </c>
      <c r="C3897" s="21">
        <v>0</v>
      </c>
      <c r="D3897" s="20" t="str">
        <v>未匹配</v>
      </c>
      <c r="E3897" s="20">
        <v>0</v>
      </c>
    </row>
    <row r="3898" spans="1:5">
      <c r="A3898" s="20" t="str">
        <v>00:00:00</v>
      </c>
      <c r="B3898" s="19">
        <v>0</v>
      </c>
      <c r="C3898" s="21">
        <v>0</v>
      </c>
      <c r="D3898" s="20" t="str">
        <v>未匹配</v>
      </c>
      <c r="E3898" s="20">
        <v>0</v>
      </c>
    </row>
    <row r="3899" spans="1:5">
      <c r="A3899" s="20" t="str">
        <v>00:00:00</v>
      </c>
      <c r="B3899" s="19">
        <v>0</v>
      </c>
      <c r="C3899" s="21">
        <v>0</v>
      </c>
      <c r="D3899" s="20" t="str">
        <v>未匹配</v>
      </c>
      <c r="E3899" s="20">
        <v>0</v>
      </c>
    </row>
    <row r="3900" spans="1:5">
      <c r="A3900" s="20" t="str">
        <v>00:00:00</v>
      </c>
      <c r="B3900" s="19">
        <v>0</v>
      </c>
      <c r="C3900" s="21">
        <v>0</v>
      </c>
      <c r="D3900" s="20" t="str">
        <v>未匹配</v>
      </c>
      <c r="E3900" s="20">
        <v>0</v>
      </c>
    </row>
    <row r="3901" spans="1:5">
      <c r="A3901" s="20" t="str">
        <v>00:00:00</v>
      </c>
      <c r="B3901" s="19">
        <v>0</v>
      </c>
      <c r="C3901" s="21">
        <v>0</v>
      </c>
      <c r="D3901" s="20" t="str">
        <v>未匹配</v>
      </c>
      <c r="E3901" s="20">
        <v>0</v>
      </c>
    </row>
    <row r="3902" spans="1:5">
      <c r="A3902" s="20" t="str">
        <v>00:00:00</v>
      </c>
      <c r="B3902" s="19">
        <v>0</v>
      </c>
      <c r="C3902" s="21">
        <v>0</v>
      </c>
      <c r="D3902" s="20" t="str">
        <v>未匹配</v>
      </c>
      <c r="E3902" s="20">
        <v>0</v>
      </c>
    </row>
    <row r="3903" spans="1:5">
      <c r="A3903" s="20" t="str">
        <v>00:00:00</v>
      </c>
      <c r="B3903" s="19">
        <v>0</v>
      </c>
      <c r="C3903" s="21">
        <v>0</v>
      </c>
      <c r="D3903" s="20" t="str">
        <v>未匹配</v>
      </c>
      <c r="E3903" s="20">
        <v>0</v>
      </c>
    </row>
    <row r="3904" spans="1:5">
      <c r="A3904" s="20" t="str">
        <v>00:00:00</v>
      </c>
      <c r="B3904" s="19">
        <v>0</v>
      </c>
      <c r="C3904" s="21">
        <v>0</v>
      </c>
      <c r="D3904" s="20" t="str">
        <v>未匹配</v>
      </c>
      <c r="E3904" s="20">
        <v>0</v>
      </c>
    </row>
    <row r="3905" spans="1:5">
      <c r="A3905" s="20" t="str">
        <v>00:00:00</v>
      </c>
      <c r="B3905" s="19">
        <v>0</v>
      </c>
      <c r="C3905" s="21">
        <v>0</v>
      </c>
      <c r="D3905" s="20" t="str">
        <v>未匹配</v>
      </c>
      <c r="E3905" s="20">
        <v>0</v>
      </c>
    </row>
    <row r="3906" spans="1:5">
      <c r="A3906" s="20" t="str">
        <v>00:00:00</v>
      </c>
      <c r="B3906" s="19">
        <v>0</v>
      </c>
      <c r="C3906" s="21">
        <v>0</v>
      </c>
      <c r="D3906" s="20" t="str">
        <v>未匹配</v>
      </c>
      <c r="E3906" s="20">
        <v>0</v>
      </c>
    </row>
    <row r="3907" spans="1:5">
      <c r="A3907" s="20" t="str">
        <v>00:00:00</v>
      </c>
      <c r="B3907" s="19">
        <v>0</v>
      </c>
      <c r="C3907" s="21">
        <v>0</v>
      </c>
      <c r="D3907" s="20" t="str">
        <v>未匹配</v>
      </c>
      <c r="E3907" s="20">
        <v>0</v>
      </c>
    </row>
    <row r="3908" spans="1:5">
      <c r="A3908" s="20" t="str">
        <v>00:00:00</v>
      </c>
      <c r="B3908" s="19">
        <v>0</v>
      </c>
      <c r="C3908" s="21">
        <v>0</v>
      </c>
      <c r="D3908" s="20" t="str">
        <v>未匹配</v>
      </c>
      <c r="E3908" s="20">
        <v>0</v>
      </c>
    </row>
    <row r="3909" spans="1:5">
      <c r="A3909" s="20" t="str">
        <v>00:00:00</v>
      </c>
      <c r="B3909" s="19">
        <v>0</v>
      </c>
      <c r="C3909" s="21">
        <v>0</v>
      </c>
      <c r="D3909" s="20" t="str">
        <v>未匹配</v>
      </c>
      <c r="E3909" s="20">
        <v>0</v>
      </c>
    </row>
    <row r="3910" spans="1:5">
      <c r="A3910" s="20" t="str">
        <v>00:00:00</v>
      </c>
      <c r="B3910" s="19">
        <v>0</v>
      </c>
      <c r="C3910" s="21">
        <v>0</v>
      </c>
      <c r="D3910" s="20" t="str">
        <v>未匹配</v>
      </c>
      <c r="E3910" s="20">
        <v>0</v>
      </c>
    </row>
    <row r="3911" spans="1:5">
      <c r="A3911" s="20" t="str">
        <v>00:00:00</v>
      </c>
      <c r="B3911" s="19">
        <v>0</v>
      </c>
      <c r="C3911" s="21">
        <v>0</v>
      </c>
      <c r="D3911" s="20" t="str">
        <v>未匹配</v>
      </c>
      <c r="E3911" s="20">
        <v>0</v>
      </c>
    </row>
    <row r="3912" spans="1:5">
      <c r="A3912" s="20" t="str">
        <v>00:00:00</v>
      </c>
      <c r="B3912" s="19">
        <v>0</v>
      </c>
      <c r="C3912" s="21">
        <v>0</v>
      </c>
      <c r="D3912" s="20" t="str">
        <v>未匹配</v>
      </c>
      <c r="E3912" s="20">
        <v>0</v>
      </c>
    </row>
    <row r="3913" spans="1:5">
      <c r="A3913" s="20" t="str">
        <v>00:00:00</v>
      </c>
      <c r="B3913" s="19">
        <v>0</v>
      </c>
      <c r="C3913" s="21">
        <v>0</v>
      </c>
      <c r="D3913" s="20" t="str">
        <v>未匹配</v>
      </c>
      <c r="E3913" s="20">
        <v>0</v>
      </c>
    </row>
    <row r="3914" spans="1:5">
      <c r="A3914" s="20" t="str">
        <v>00:00:00</v>
      </c>
      <c r="B3914" s="19">
        <v>0</v>
      </c>
      <c r="C3914" s="21">
        <v>0</v>
      </c>
      <c r="D3914" s="20" t="str">
        <v>未匹配</v>
      </c>
      <c r="E3914" s="20">
        <v>0</v>
      </c>
    </row>
    <row r="3915" spans="1:5">
      <c r="A3915" s="20" t="str">
        <v>00:00:00</v>
      </c>
      <c r="B3915" s="19">
        <v>0</v>
      </c>
      <c r="C3915" s="21">
        <v>0</v>
      </c>
      <c r="D3915" s="20" t="str">
        <v>未匹配</v>
      </c>
      <c r="E3915" s="20">
        <v>0</v>
      </c>
    </row>
    <row r="3916" spans="1:5">
      <c r="A3916" s="20" t="str">
        <v>00:00:00</v>
      </c>
      <c r="B3916" s="19">
        <v>0</v>
      </c>
      <c r="C3916" s="21">
        <v>0</v>
      </c>
      <c r="D3916" s="20" t="str">
        <v>未匹配</v>
      </c>
      <c r="E3916" s="20">
        <v>0</v>
      </c>
    </row>
    <row r="3917" spans="1:5">
      <c r="A3917" s="20" t="str">
        <v>00:00:00</v>
      </c>
      <c r="B3917" s="19">
        <v>0</v>
      </c>
      <c r="C3917" s="21">
        <v>0</v>
      </c>
      <c r="D3917" s="20" t="str">
        <v>未匹配</v>
      </c>
      <c r="E3917" s="20">
        <v>0</v>
      </c>
    </row>
    <row r="3918" spans="1:5">
      <c r="A3918" s="20" t="str">
        <v>00:00:00</v>
      </c>
      <c r="B3918" s="19">
        <v>0</v>
      </c>
      <c r="C3918" s="21">
        <v>0</v>
      </c>
      <c r="D3918" s="20" t="str">
        <v>未匹配</v>
      </c>
      <c r="E3918" s="20">
        <v>0</v>
      </c>
    </row>
    <row r="3919" spans="1:5">
      <c r="A3919" s="20" t="str">
        <v>00:00:00</v>
      </c>
      <c r="B3919" s="19">
        <v>0</v>
      </c>
      <c r="C3919" s="21">
        <v>0</v>
      </c>
      <c r="D3919" s="20" t="str">
        <v>未匹配</v>
      </c>
      <c r="E3919" s="20">
        <v>0</v>
      </c>
    </row>
    <row r="3920" spans="1:5">
      <c r="A3920" s="20" t="str">
        <v>00:00:00</v>
      </c>
      <c r="B3920" s="19">
        <v>0</v>
      </c>
      <c r="C3920" s="21">
        <v>0</v>
      </c>
      <c r="D3920" s="20" t="str">
        <v>未匹配</v>
      </c>
      <c r="E3920" s="20">
        <v>0</v>
      </c>
    </row>
    <row r="3921" spans="1:5">
      <c r="A3921" s="20" t="str">
        <v>00:00:00</v>
      </c>
      <c r="B3921" s="19">
        <v>0</v>
      </c>
      <c r="C3921" s="21">
        <v>0</v>
      </c>
      <c r="D3921" s="20" t="str">
        <v>未匹配</v>
      </c>
      <c r="E3921" s="20">
        <v>0</v>
      </c>
    </row>
    <row r="3922" spans="1:5">
      <c r="A3922" s="20" t="str">
        <v>00:00:00</v>
      </c>
      <c r="B3922" s="19">
        <v>0</v>
      </c>
      <c r="C3922" s="21">
        <v>0</v>
      </c>
      <c r="D3922" s="20" t="str">
        <v>未匹配</v>
      </c>
      <c r="E3922" s="20">
        <v>0</v>
      </c>
    </row>
    <row r="3923" spans="1:5">
      <c r="A3923" s="20" t="str">
        <v>00:00:00</v>
      </c>
      <c r="B3923" s="19">
        <v>0</v>
      </c>
      <c r="C3923" s="21">
        <v>0</v>
      </c>
      <c r="D3923" s="20" t="str">
        <v>未匹配</v>
      </c>
      <c r="E3923" s="20">
        <v>0</v>
      </c>
    </row>
    <row r="3924" spans="1:5">
      <c r="A3924" s="20" t="str">
        <v>00:00:00</v>
      </c>
      <c r="B3924" s="19">
        <v>0</v>
      </c>
      <c r="C3924" s="21">
        <v>0</v>
      </c>
      <c r="D3924" s="20" t="str">
        <v>未匹配</v>
      </c>
      <c r="E3924" s="20">
        <v>0</v>
      </c>
    </row>
    <row r="3925" spans="1:5">
      <c r="A3925" s="20" t="str">
        <v>00:00:00</v>
      </c>
      <c r="B3925" s="19">
        <v>0</v>
      </c>
      <c r="C3925" s="21">
        <v>0</v>
      </c>
      <c r="D3925" s="20" t="str">
        <v>未匹配</v>
      </c>
      <c r="E3925" s="20">
        <v>0</v>
      </c>
    </row>
    <row r="3926" spans="1:5">
      <c r="A3926" s="20" t="str">
        <v>00:00:00</v>
      </c>
      <c r="B3926" s="19">
        <v>0</v>
      </c>
      <c r="C3926" s="21">
        <v>0</v>
      </c>
      <c r="D3926" s="20" t="str">
        <v>未匹配</v>
      </c>
      <c r="E3926" s="20">
        <v>0</v>
      </c>
    </row>
    <row r="3927" spans="1:5">
      <c r="A3927" s="20" t="str">
        <v>00:00:00</v>
      </c>
      <c r="B3927" s="19">
        <v>0</v>
      </c>
      <c r="C3927" s="21">
        <v>0</v>
      </c>
      <c r="D3927" s="20" t="str">
        <v>未匹配</v>
      </c>
      <c r="E3927" s="20">
        <v>0</v>
      </c>
    </row>
    <row r="3928" spans="1:5">
      <c r="A3928" s="20" t="str">
        <v>00:00:00</v>
      </c>
      <c r="B3928" s="19">
        <v>0</v>
      </c>
      <c r="C3928" s="21">
        <v>0</v>
      </c>
      <c r="D3928" s="20" t="str">
        <v>未匹配</v>
      </c>
      <c r="E3928" s="20">
        <v>0</v>
      </c>
    </row>
    <row r="3929" spans="1:5">
      <c r="A3929" s="20" t="str">
        <v>00:00:00</v>
      </c>
      <c r="B3929" s="19">
        <v>0</v>
      </c>
      <c r="C3929" s="21">
        <v>0</v>
      </c>
      <c r="D3929" s="20" t="str">
        <v>未匹配</v>
      </c>
      <c r="E3929" s="20">
        <v>0</v>
      </c>
    </row>
    <row r="3930" spans="1:5">
      <c r="A3930" s="20" t="str">
        <v>00:00:00</v>
      </c>
      <c r="B3930" s="19">
        <v>0</v>
      </c>
      <c r="C3930" s="21">
        <v>0</v>
      </c>
      <c r="D3930" s="20" t="str">
        <v>未匹配</v>
      </c>
      <c r="E3930" s="20">
        <v>0</v>
      </c>
    </row>
    <row r="3931" spans="1:5">
      <c r="A3931" s="20" t="str">
        <v>00:00:00</v>
      </c>
      <c r="B3931" s="19">
        <v>0</v>
      </c>
      <c r="C3931" s="21">
        <v>0</v>
      </c>
      <c r="D3931" s="20" t="str">
        <v>未匹配</v>
      </c>
      <c r="E3931" s="20">
        <v>0</v>
      </c>
    </row>
    <row r="3932" spans="1:5">
      <c r="A3932" s="20" t="str">
        <v>00:00:00</v>
      </c>
      <c r="B3932" s="19">
        <v>0</v>
      </c>
      <c r="C3932" s="21">
        <v>0</v>
      </c>
      <c r="D3932" s="20" t="str">
        <v>未匹配</v>
      </c>
      <c r="E3932" s="20">
        <v>0</v>
      </c>
    </row>
    <row r="3933" spans="1:5">
      <c r="A3933" s="20" t="str">
        <v>00:00:00</v>
      </c>
      <c r="B3933" s="19">
        <v>0</v>
      </c>
      <c r="C3933" s="21">
        <v>0</v>
      </c>
      <c r="D3933" s="20" t="str">
        <v>未匹配</v>
      </c>
      <c r="E3933" s="20">
        <v>0</v>
      </c>
    </row>
    <row r="3934" spans="1:5">
      <c r="A3934" s="20" t="str">
        <v>00:00:00</v>
      </c>
      <c r="B3934" s="19">
        <v>0</v>
      </c>
      <c r="C3934" s="21">
        <v>0</v>
      </c>
      <c r="D3934" s="20" t="str">
        <v>未匹配</v>
      </c>
      <c r="E3934" s="20">
        <v>0</v>
      </c>
    </row>
    <row r="3935" spans="1:5">
      <c r="A3935" s="20" t="str">
        <v>00:00:00</v>
      </c>
      <c r="B3935" s="19">
        <v>0</v>
      </c>
      <c r="C3935" s="21">
        <v>0</v>
      </c>
      <c r="D3935" s="20" t="str">
        <v>未匹配</v>
      </c>
      <c r="E3935" s="20">
        <v>0</v>
      </c>
    </row>
    <row r="3936" spans="1:5">
      <c r="A3936" s="20" t="str">
        <v>00:00:00</v>
      </c>
      <c r="B3936" s="19">
        <v>0</v>
      </c>
      <c r="C3936" s="21">
        <v>0</v>
      </c>
      <c r="D3936" s="20" t="str">
        <v>未匹配</v>
      </c>
      <c r="E3936" s="20">
        <v>0</v>
      </c>
    </row>
    <row r="3937" spans="1:5">
      <c r="A3937" s="20" t="str">
        <v>00:00:00</v>
      </c>
      <c r="B3937" s="19">
        <v>0</v>
      </c>
      <c r="C3937" s="21">
        <v>0</v>
      </c>
      <c r="D3937" s="20" t="str">
        <v>未匹配</v>
      </c>
      <c r="E3937" s="20">
        <v>0</v>
      </c>
    </row>
    <row r="3938" spans="1:5">
      <c r="A3938" s="20" t="str">
        <v>00:00:00</v>
      </c>
      <c r="B3938" s="19">
        <v>0</v>
      </c>
      <c r="C3938" s="21">
        <v>0</v>
      </c>
      <c r="D3938" s="20" t="str">
        <v>未匹配</v>
      </c>
      <c r="E3938" s="20">
        <v>0</v>
      </c>
    </row>
    <row r="3939" spans="1:5">
      <c r="A3939" s="20" t="str">
        <v>00:00:00</v>
      </c>
      <c r="B3939" s="19">
        <v>0</v>
      </c>
      <c r="C3939" s="21">
        <v>0</v>
      </c>
      <c r="D3939" s="20" t="str">
        <v>未匹配</v>
      </c>
      <c r="E3939" s="20">
        <v>0</v>
      </c>
    </row>
    <row r="3940" spans="1:5">
      <c r="A3940" s="20" t="str">
        <v>00:00:00</v>
      </c>
      <c r="B3940" s="19">
        <v>0</v>
      </c>
      <c r="C3940" s="21">
        <v>0</v>
      </c>
      <c r="D3940" s="20" t="str">
        <v>未匹配</v>
      </c>
      <c r="E3940" s="20">
        <v>0</v>
      </c>
    </row>
    <row r="3941" spans="1:5">
      <c r="A3941" s="20" t="str">
        <v>00:00:00</v>
      </c>
      <c r="B3941" s="19">
        <v>0</v>
      </c>
      <c r="C3941" s="21">
        <v>0</v>
      </c>
      <c r="D3941" s="20" t="str">
        <v>未匹配</v>
      </c>
      <c r="E3941" s="20">
        <v>0</v>
      </c>
    </row>
    <row r="3942" spans="1:5">
      <c r="A3942" s="20" t="str">
        <v>00:00:00</v>
      </c>
      <c r="B3942" s="19">
        <v>0</v>
      </c>
      <c r="C3942" s="21">
        <v>0</v>
      </c>
      <c r="D3942" s="20" t="str">
        <v>未匹配</v>
      </c>
      <c r="E3942" s="20">
        <v>0</v>
      </c>
    </row>
    <row r="3943" spans="1:5">
      <c r="A3943" s="20" t="str">
        <v>00:00:00</v>
      </c>
      <c r="B3943" s="19">
        <v>0</v>
      </c>
      <c r="C3943" s="21">
        <v>0</v>
      </c>
      <c r="D3943" s="20" t="str">
        <v>未匹配</v>
      </c>
      <c r="E3943" s="20">
        <v>0</v>
      </c>
    </row>
    <row r="3944" spans="1:5">
      <c r="A3944" s="20" t="str">
        <v>00:00:00</v>
      </c>
      <c r="B3944" s="19">
        <v>0</v>
      </c>
      <c r="C3944" s="21">
        <v>0</v>
      </c>
      <c r="D3944" s="20" t="str">
        <v>未匹配</v>
      </c>
      <c r="E3944" s="20">
        <v>0</v>
      </c>
    </row>
    <row r="3945" spans="1:5">
      <c r="A3945" s="20" t="str">
        <v>00:00:00</v>
      </c>
      <c r="B3945" s="19">
        <v>0</v>
      </c>
      <c r="C3945" s="21">
        <v>0</v>
      </c>
      <c r="D3945" s="20" t="str">
        <v>未匹配</v>
      </c>
      <c r="E3945" s="20">
        <v>0</v>
      </c>
    </row>
    <row r="3946" spans="1:5">
      <c r="A3946" s="20" t="str">
        <v>00:00:00</v>
      </c>
      <c r="B3946" s="19">
        <v>0</v>
      </c>
      <c r="C3946" s="21">
        <v>0</v>
      </c>
      <c r="D3946" s="20" t="str">
        <v>未匹配</v>
      </c>
      <c r="E3946" s="20">
        <v>0</v>
      </c>
    </row>
    <row r="3947" spans="1:5">
      <c r="A3947" s="20" t="str">
        <v>00:00:00</v>
      </c>
      <c r="B3947" s="19">
        <v>0</v>
      </c>
      <c r="C3947" s="21">
        <v>0</v>
      </c>
      <c r="D3947" s="20" t="str">
        <v>未匹配</v>
      </c>
      <c r="E3947" s="20">
        <v>0</v>
      </c>
    </row>
    <row r="3948" spans="1:5">
      <c r="A3948" s="20" t="str">
        <v>00:00:00</v>
      </c>
      <c r="B3948" s="19">
        <v>0</v>
      </c>
      <c r="C3948" s="21">
        <v>0</v>
      </c>
      <c r="D3948" s="20" t="str">
        <v>未匹配</v>
      </c>
      <c r="E3948" s="20">
        <v>0</v>
      </c>
    </row>
    <row r="3949" spans="1:5">
      <c r="A3949" s="20" t="str">
        <v>00:00:00</v>
      </c>
      <c r="B3949" s="19">
        <v>0</v>
      </c>
      <c r="C3949" s="21">
        <v>0</v>
      </c>
      <c r="D3949" s="20" t="str">
        <v>未匹配</v>
      </c>
      <c r="E3949" s="20">
        <v>0</v>
      </c>
    </row>
    <row r="3950" spans="1:5">
      <c r="A3950" s="20" t="str">
        <v>00:00:00</v>
      </c>
      <c r="B3950" s="19">
        <v>0</v>
      </c>
      <c r="C3950" s="21">
        <v>0</v>
      </c>
      <c r="D3950" s="20" t="str">
        <v>未匹配</v>
      </c>
      <c r="E3950" s="20">
        <v>0</v>
      </c>
    </row>
    <row r="3951" spans="1:5">
      <c r="A3951" s="20" t="str">
        <v>00:00:00</v>
      </c>
      <c r="B3951" s="19">
        <v>0</v>
      </c>
      <c r="C3951" s="21">
        <v>0</v>
      </c>
      <c r="D3951" s="20" t="str">
        <v>未匹配</v>
      </c>
      <c r="E3951" s="20">
        <v>0</v>
      </c>
    </row>
    <row r="3952" spans="1:5">
      <c r="A3952" s="20" t="str">
        <v>00:00:00</v>
      </c>
      <c r="B3952" s="19">
        <v>0</v>
      </c>
      <c r="C3952" s="21">
        <v>0</v>
      </c>
      <c r="D3952" s="20" t="str">
        <v>未匹配</v>
      </c>
      <c r="E3952" s="20">
        <v>0</v>
      </c>
    </row>
    <row r="3953" spans="1:5">
      <c r="A3953" s="20" t="str">
        <v>00:00:00</v>
      </c>
      <c r="B3953" s="19">
        <v>0</v>
      </c>
      <c r="C3953" s="21">
        <v>0</v>
      </c>
      <c r="D3953" s="20" t="str">
        <v>未匹配</v>
      </c>
      <c r="E3953" s="20">
        <v>0</v>
      </c>
    </row>
    <row r="3954" spans="1:5">
      <c r="A3954" s="20" t="str">
        <v>00:00:00</v>
      </c>
      <c r="B3954" s="19">
        <v>0</v>
      </c>
      <c r="C3954" s="21">
        <v>0</v>
      </c>
      <c r="D3954" s="20" t="str">
        <v>未匹配</v>
      </c>
      <c r="E3954" s="20">
        <v>0</v>
      </c>
    </row>
    <row r="3955" spans="1:5">
      <c r="A3955" s="20" t="str">
        <v>00:00:00</v>
      </c>
      <c r="B3955" s="19">
        <v>0</v>
      </c>
      <c r="C3955" s="21">
        <v>0</v>
      </c>
      <c r="D3955" s="20" t="str">
        <v>未匹配</v>
      </c>
      <c r="E3955" s="20">
        <v>0</v>
      </c>
    </row>
    <row r="3956" spans="1:5">
      <c r="A3956" s="20" t="str">
        <v>00:00:00</v>
      </c>
      <c r="B3956" s="19">
        <v>0</v>
      </c>
      <c r="C3956" s="21">
        <v>0</v>
      </c>
      <c r="D3956" s="20" t="str">
        <v>未匹配</v>
      </c>
      <c r="E3956" s="20">
        <v>0</v>
      </c>
    </row>
    <row r="3957" spans="1:5">
      <c r="A3957" s="20" t="str">
        <v>00:00:00</v>
      </c>
      <c r="B3957" s="19">
        <v>0</v>
      </c>
      <c r="C3957" s="21">
        <v>0</v>
      </c>
      <c r="D3957" s="20" t="str">
        <v>未匹配</v>
      </c>
      <c r="E3957" s="20">
        <v>0</v>
      </c>
    </row>
    <row r="3958" spans="1:5">
      <c r="A3958" s="20" t="str">
        <v>00:00:00</v>
      </c>
      <c r="B3958" s="19">
        <v>0</v>
      </c>
      <c r="C3958" s="21">
        <v>0</v>
      </c>
      <c r="D3958" s="20" t="str">
        <v>未匹配</v>
      </c>
      <c r="E3958" s="20">
        <v>0</v>
      </c>
    </row>
    <row r="3959" spans="1:5">
      <c r="A3959" s="20" t="str">
        <v>00:00:00</v>
      </c>
      <c r="B3959" s="19">
        <v>0</v>
      </c>
      <c r="C3959" s="21">
        <v>0</v>
      </c>
      <c r="D3959" s="20" t="str">
        <v>未匹配</v>
      </c>
      <c r="E3959" s="20">
        <v>0</v>
      </c>
    </row>
    <row r="3960" spans="1:5">
      <c r="A3960" s="20" t="str">
        <v>00:00:00</v>
      </c>
      <c r="B3960" s="19">
        <v>0</v>
      </c>
      <c r="C3960" s="21">
        <v>0</v>
      </c>
      <c r="D3960" s="20" t="str">
        <v>未匹配</v>
      </c>
      <c r="E3960" s="20">
        <v>0</v>
      </c>
    </row>
    <row r="3961" spans="1:5">
      <c r="A3961" s="20" t="str">
        <v>00:00:00</v>
      </c>
      <c r="B3961" s="19">
        <v>0</v>
      </c>
      <c r="C3961" s="21">
        <v>0</v>
      </c>
      <c r="D3961" s="20" t="str">
        <v>未匹配</v>
      </c>
      <c r="E3961" s="20">
        <v>0</v>
      </c>
    </row>
    <row r="3962" spans="1:5">
      <c r="A3962" s="20" t="str">
        <v>00:00:00</v>
      </c>
      <c r="B3962" s="19">
        <v>0</v>
      </c>
      <c r="C3962" s="21">
        <v>0</v>
      </c>
      <c r="D3962" s="20" t="str">
        <v>未匹配</v>
      </c>
      <c r="E3962" s="20">
        <v>0</v>
      </c>
    </row>
    <row r="3963" spans="1:5">
      <c r="A3963" s="20" t="str">
        <v>00:00:00</v>
      </c>
      <c r="B3963" s="19">
        <v>0</v>
      </c>
      <c r="C3963" s="21">
        <v>0</v>
      </c>
      <c r="D3963" s="20" t="str">
        <v>未匹配</v>
      </c>
      <c r="E3963" s="20">
        <v>0</v>
      </c>
    </row>
    <row r="3964" spans="1:5">
      <c r="A3964" s="20" t="str">
        <v>00:00:00</v>
      </c>
      <c r="B3964" s="19">
        <v>0</v>
      </c>
      <c r="C3964" s="21">
        <v>0</v>
      </c>
      <c r="D3964" s="20" t="str">
        <v>未匹配</v>
      </c>
      <c r="E3964" s="20">
        <v>0</v>
      </c>
    </row>
    <row r="3965" spans="1:5">
      <c r="A3965" s="20" t="str">
        <v>00:00:00</v>
      </c>
      <c r="B3965" s="19">
        <v>0</v>
      </c>
      <c r="C3965" s="21">
        <v>0</v>
      </c>
      <c r="D3965" s="20" t="str">
        <v>未匹配</v>
      </c>
      <c r="E3965" s="20">
        <v>0</v>
      </c>
    </row>
    <row r="3966" spans="1:5">
      <c r="A3966" s="20" t="str">
        <v>00:00:00</v>
      </c>
      <c r="B3966" s="19">
        <v>0</v>
      </c>
      <c r="C3966" s="21">
        <v>0</v>
      </c>
      <c r="D3966" s="20" t="str">
        <v>未匹配</v>
      </c>
      <c r="E3966" s="20">
        <v>0</v>
      </c>
    </row>
    <row r="3967" spans="1:5">
      <c r="A3967" s="20" t="str">
        <v>00:00:00</v>
      </c>
      <c r="B3967" s="19">
        <v>0</v>
      </c>
      <c r="C3967" s="21">
        <v>0</v>
      </c>
      <c r="D3967" s="20" t="str">
        <v>未匹配</v>
      </c>
      <c r="E3967" s="20">
        <v>0</v>
      </c>
    </row>
    <row r="3968" spans="1:5">
      <c r="A3968" s="20" t="str">
        <v>00:00:00</v>
      </c>
      <c r="B3968" s="19">
        <v>0</v>
      </c>
      <c r="C3968" s="21">
        <v>0</v>
      </c>
      <c r="D3968" s="20" t="str">
        <v>未匹配</v>
      </c>
      <c r="E3968" s="20">
        <v>0</v>
      </c>
    </row>
    <row r="3969" spans="1:5">
      <c r="A3969" s="20" t="str">
        <v>00:00:00</v>
      </c>
      <c r="B3969" s="19">
        <v>0</v>
      </c>
      <c r="C3969" s="21">
        <v>0</v>
      </c>
      <c r="D3969" s="20" t="str">
        <v>未匹配</v>
      </c>
      <c r="E3969" s="20">
        <v>0</v>
      </c>
    </row>
    <row r="3970" spans="1:5">
      <c r="A3970" s="20" t="str">
        <v>00:00:00</v>
      </c>
      <c r="B3970" s="19">
        <v>0</v>
      </c>
      <c r="C3970" s="21">
        <v>0</v>
      </c>
      <c r="D3970" s="20" t="str">
        <v>未匹配</v>
      </c>
      <c r="E3970" s="20">
        <v>0</v>
      </c>
    </row>
    <row r="3971" spans="1:5">
      <c r="A3971" s="20" t="str">
        <v>00:00:00</v>
      </c>
      <c r="B3971" s="19">
        <v>0</v>
      </c>
      <c r="C3971" s="21">
        <v>0</v>
      </c>
      <c r="D3971" s="20" t="str">
        <v>未匹配</v>
      </c>
      <c r="E3971" s="20">
        <v>0</v>
      </c>
    </row>
    <row r="3972" spans="1:5">
      <c r="A3972" s="20" t="str">
        <v>00:00:00</v>
      </c>
      <c r="B3972" s="19">
        <v>0</v>
      </c>
      <c r="C3972" s="21">
        <v>0</v>
      </c>
      <c r="D3972" s="20" t="str">
        <v>未匹配</v>
      </c>
      <c r="E3972" s="20">
        <v>0</v>
      </c>
    </row>
    <row r="3973" spans="1:5">
      <c r="A3973" s="20" t="str">
        <v>00:00:00</v>
      </c>
      <c r="B3973" s="19">
        <v>0</v>
      </c>
      <c r="C3973" s="21">
        <v>0</v>
      </c>
      <c r="D3973" s="20" t="str">
        <v>未匹配</v>
      </c>
      <c r="E3973" s="20">
        <v>0</v>
      </c>
    </row>
    <row r="3974" spans="1:5">
      <c r="A3974" s="20" t="str">
        <v>00:00:00</v>
      </c>
      <c r="B3974" s="19">
        <v>0</v>
      </c>
      <c r="C3974" s="21">
        <v>0</v>
      </c>
      <c r="D3974" s="20" t="str">
        <v>未匹配</v>
      </c>
      <c r="E3974" s="20">
        <v>0</v>
      </c>
    </row>
    <row r="3975" spans="1:5">
      <c r="A3975" s="20" t="str">
        <v>00:00:00</v>
      </c>
      <c r="B3975" s="19">
        <v>0</v>
      </c>
      <c r="C3975" s="21">
        <v>0</v>
      </c>
      <c r="D3975" s="20" t="str">
        <v>未匹配</v>
      </c>
      <c r="E3975" s="20">
        <v>0</v>
      </c>
    </row>
    <row r="3976" spans="1:5">
      <c r="A3976" s="20" t="str">
        <v>00:00:00</v>
      </c>
      <c r="B3976" s="19">
        <v>0</v>
      </c>
      <c r="C3976" s="21">
        <v>0</v>
      </c>
      <c r="D3976" s="20" t="str">
        <v>未匹配</v>
      </c>
      <c r="E3976" s="20">
        <v>0</v>
      </c>
    </row>
    <row r="3977" spans="1:5">
      <c r="A3977" s="20" t="str">
        <v>00:00:00</v>
      </c>
      <c r="B3977" s="19">
        <v>0</v>
      </c>
      <c r="C3977" s="21">
        <v>0</v>
      </c>
      <c r="D3977" s="20" t="str">
        <v>未匹配</v>
      </c>
      <c r="E3977" s="20">
        <v>0</v>
      </c>
    </row>
    <row r="3978" spans="1:5">
      <c r="A3978" s="20" t="str">
        <v>00:00:00</v>
      </c>
      <c r="B3978" s="19">
        <v>0</v>
      </c>
      <c r="C3978" s="21">
        <v>0</v>
      </c>
      <c r="D3978" s="20" t="str">
        <v>未匹配</v>
      </c>
      <c r="E3978" s="20">
        <v>0</v>
      </c>
    </row>
    <row r="3979" spans="1:5">
      <c r="A3979" s="20" t="str">
        <v>00:00:00</v>
      </c>
      <c r="B3979" s="19">
        <v>0</v>
      </c>
      <c r="C3979" s="21">
        <v>0</v>
      </c>
      <c r="D3979" s="20" t="str">
        <v>未匹配</v>
      </c>
      <c r="E3979" s="20">
        <v>0</v>
      </c>
    </row>
    <row r="3980" spans="1:5">
      <c r="A3980" s="20" t="str">
        <v>00:00:00</v>
      </c>
      <c r="B3980" s="19">
        <v>0</v>
      </c>
      <c r="C3980" s="21">
        <v>0</v>
      </c>
      <c r="D3980" s="20" t="str">
        <v>未匹配</v>
      </c>
      <c r="E3980" s="20">
        <v>0</v>
      </c>
    </row>
    <row r="3981" spans="1:5">
      <c r="A3981" s="20" t="str">
        <v>00:00:00</v>
      </c>
      <c r="B3981" s="19">
        <v>0</v>
      </c>
      <c r="C3981" s="21">
        <v>0</v>
      </c>
      <c r="D3981" s="20" t="str">
        <v>未匹配</v>
      </c>
      <c r="E3981" s="20">
        <v>0</v>
      </c>
    </row>
    <row r="3982" spans="1:5">
      <c r="A3982" s="20" t="str">
        <v>00:00:00</v>
      </c>
      <c r="B3982" s="19">
        <v>0</v>
      </c>
      <c r="C3982" s="21">
        <v>0</v>
      </c>
      <c r="D3982" s="20" t="str">
        <v>未匹配</v>
      </c>
      <c r="E3982" s="20">
        <v>0</v>
      </c>
    </row>
    <row r="3983" spans="1:5">
      <c r="A3983" s="20" t="str">
        <v>00:00:00</v>
      </c>
      <c r="B3983" s="19">
        <v>0</v>
      </c>
      <c r="C3983" s="21">
        <v>0</v>
      </c>
      <c r="D3983" s="20" t="str">
        <v>未匹配</v>
      </c>
      <c r="E3983" s="20">
        <v>0</v>
      </c>
    </row>
    <row r="3984" spans="1:5">
      <c r="A3984" s="20" t="str">
        <v>00:00:00</v>
      </c>
      <c r="B3984" s="19">
        <v>0</v>
      </c>
      <c r="C3984" s="21">
        <v>0</v>
      </c>
      <c r="D3984" s="20" t="str">
        <v>未匹配</v>
      </c>
      <c r="E3984" s="20">
        <v>0</v>
      </c>
    </row>
    <row r="3985" spans="1:5">
      <c r="A3985" s="20" t="str">
        <v>00:00:00</v>
      </c>
      <c r="B3985" s="19">
        <v>0</v>
      </c>
      <c r="C3985" s="21">
        <v>0</v>
      </c>
      <c r="D3985" s="20" t="str">
        <v>未匹配</v>
      </c>
      <c r="E3985" s="20">
        <v>0</v>
      </c>
    </row>
    <row r="3986" spans="1:5">
      <c r="A3986" s="20" t="str">
        <v>00:00:00</v>
      </c>
      <c r="B3986" s="19">
        <v>0</v>
      </c>
      <c r="C3986" s="21">
        <v>0</v>
      </c>
      <c r="D3986" s="20" t="str">
        <v>未匹配</v>
      </c>
      <c r="E3986" s="20">
        <v>0</v>
      </c>
    </row>
    <row r="3987" spans="1:5">
      <c r="A3987" s="20" t="str">
        <v>00:00:00</v>
      </c>
      <c r="B3987" s="19">
        <v>0</v>
      </c>
      <c r="C3987" s="21">
        <v>0</v>
      </c>
      <c r="D3987" s="20" t="str">
        <v>未匹配</v>
      </c>
      <c r="E3987" s="20">
        <v>0</v>
      </c>
    </row>
    <row r="3988" spans="1:5">
      <c r="A3988" s="20" t="str">
        <v>00:00:00</v>
      </c>
      <c r="B3988" s="19">
        <v>0</v>
      </c>
      <c r="C3988" s="21">
        <v>0</v>
      </c>
      <c r="D3988" s="20" t="str">
        <v>未匹配</v>
      </c>
      <c r="E3988" s="20">
        <v>0</v>
      </c>
    </row>
    <row r="3989" spans="1:5">
      <c r="A3989" s="20" t="str">
        <v>00:00:00</v>
      </c>
      <c r="B3989" s="19">
        <v>0</v>
      </c>
      <c r="C3989" s="21">
        <v>0</v>
      </c>
      <c r="D3989" s="20" t="str">
        <v>未匹配</v>
      </c>
      <c r="E3989" s="20">
        <v>0</v>
      </c>
    </row>
    <row r="3990" spans="1:5">
      <c r="A3990" s="20" t="str">
        <v>00:00:00</v>
      </c>
      <c r="B3990" s="19">
        <v>0</v>
      </c>
      <c r="C3990" s="21">
        <v>0</v>
      </c>
      <c r="D3990" s="20" t="str">
        <v>未匹配</v>
      </c>
      <c r="E3990" s="20">
        <v>0</v>
      </c>
    </row>
    <row r="3991" spans="1:5">
      <c r="A3991" s="20" t="str">
        <v>00:00:00</v>
      </c>
      <c r="B3991" s="19">
        <v>0</v>
      </c>
      <c r="C3991" s="21">
        <v>0</v>
      </c>
      <c r="D3991" s="20" t="str">
        <v>未匹配</v>
      </c>
      <c r="E3991" s="20">
        <v>0</v>
      </c>
    </row>
    <row r="3992" spans="1:5">
      <c r="A3992" s="20" t="str">
        <v>00:00:00</v>
      </c>
      <c r="B3992" s="19">
        <v>0</v>
      </c>
      <c r="C3992" s="21">
        <v>0</v>
      </c>
      <c r="D3992" s="20" t="str">
        <v>未匹配</v>
      </c>
      <c r="E3992" s="20">
        <v>0</v>
      </c>
    </row>
    <row r="3993" spans="1:5">
      <c r="A3993" s="20" t="str">
        <v>00:00:00</v>
      </c>
      <c r="B3993" s="19">
        <v>0</v>
      </c>
      <c r="C3993" s="21">
        <v>0</v>
      </c>
      <c r="D3993" s="20" t="str">
        <v>未匹配</v>
      </c>
      <c r="E3993" s="20">
        <v>0</v>
      </c>
    </row>
    <row r="3994" spans="1:5">
      <c r="A3994" s="20" t="str">
        <v>00:00:00</v>
      </c>
      <c r="B3994" s="19">
        <v>0</v>
      </c>
      <c r="C3994" s="21">
        <v>0</v>
      </c>
      <c r="D3994" s="20" t="str">
        <v>未匹配</v>
      </c>
      <c r="E3994" s="20">
        <v>0</v>
      </c>
    </row>
    <row r="3995" spans="1:5">
      <c r="A3995" s="20" t="str">
        <v>00:00:00</v>
      </c>
      <c r="B3995" s="19">
        <v>0</v>
      </c>
      <c r="C3995" s="21">
        <v>0</v>
      </c>
      <c r="D3995" s="20" t="str">
        <v>未匹配</v>
      </c>
      <c r="E3995" s="20">
        <v>0</v>
      </c>
    </row>
    <row r="3996" spans="1:5">
      <c r="A3996" s="20" t="str">
        <v>00:00:00</v>
      </c>
      <c r="B3996" s="19">
        <v>0</v>
      </c>
      <c r="C3996" s="21">
        <v>0</v>
      </c>
      <c r="D3996" s="20" t="str">
        <v>未匹配</v>
      </c>
      <c r="E3996" s="20">
        <v>0</v>
      </c>
    </row>
    <row r="3997" spans="1:5">
      <c r="A3997" s="20" t="str">
        <v>00:00:00</v>
      </c>
      <c r="B3997" s="19">
        <v>0</v>
      </c>
      <c r="C3997" s="21">
        <v>0</v>
      </c>
      <c r="D3997" s="20" t="str">
        <v>未匹配</v>
      </c>
      <c r="E3997" s="20">
        <v>0</v>
      </c>
    </row>
    <row r="3998" spans="1:5">
      <c r="A3998" s="20" t="str">
        <v>00:00:00</v>
      </c>
      <c r="B3998" s="19">
        <v>0</v>
      </c>
      <c r="C3998" s="21">
        <v>0</v>
      </c>
      <c r="D3998" s="20" t="str">
        <v>未匹配</v>
      </c>
      <c r="E3998" s="20">
        <v>0</v>
      </c>
    </row>
    <row r="3999" spans="1:5">
      <c r="A3999" s="20" t="str">
        <v>00:00:00</v>
      </c>
      <c r="B3999" s="19">
        <v>0</v>
      </c>
      <c r="C3999" s="21">
        <v>0</v>
      </c>
      <c r="D3999" s="20" t="str">
        <v>未匹配</v>
      </c>
      <c r="E3999" s="20">
        <v>0</v>
      </c>
    </row>
    <row r="4000" spans="1:5">
      <c r="A4000" s="20" t="str">
        <v>00:00:00</v>
      </c>
      <c r="B4000" s="19">
        <v>0</v>
      </c>
      <c r="C4000" s="21">
        <v>0</v>
      </c>
      <c r="D4000" s="20" t="str">
        <v>未匹配</v>
      </c>
      <c r="E4000" s="20">
        <v>0</v>
      </c>
    </row>
    <row r="4001" spans="1:5">
      <c r="A4001" s="20" t="str">
        <v>00:00:00</v>
      </c>
      <c r="B4001" s="19">
        <v>0</v>
      </c>
      <c r="C4001" s="21">
        <v>0</v>
      </c>
      <c r="D4001" s="20" t="str">
        <v>未匹配</v>
      </c>
      <c r="E4001" s="20">
        <v>0</v>
      </c>
    </row>
    <row r="4002" spans="1:5">
      <c r="A4002" s="20" t="str">
        <v>00:00:00</v>
      </c>
      <c r="B4002" s="19">
        <v>0</v>
      </c>
      <c r="C4002" s="21">
        <v>0</v>
      </c>
      <c r="D4002" s="20" t="str">
        <v>未匹配</v>
      </c>
      <c r="E4002" s="20">
        <v>0</v>
      </c>
    </row>
    <row r="4003" spans="1:5">
      <c r="A4003" s="20" t="str">
        <v>00:00:00</v>
      </c>
      <c r="B4003" s="19">
        <v>0</v>
      </c>
      <c r="C4003" s="21">
        <v>0</v>
      </c>
      <c r="D4003" s="20" t="str">
        <v>未匹配</v>
      </c>
      <c r="E4003" s="20">
        <v>0</v>
      </c>
    </row>
    <row r="4004" spans="1:5">
      <c r="A4004" s="20" t="str">
        <v>00:00:00</v>
      </c>
      <c r="B4004" s="19">
        <v>0</v>
      </c>
      <c r="C4004" s="21">
        <v>0</v>
      </c>
      <c r="D4004" s="20" t="str">
        <v>未匹配</v>
      </c>
      <c r="E4004" s="20">
        <v>0</v>
      </c>
    </row>
    <row r="4005" spans="1:5">
      <c r="A4005" s="20" t="str">
        <v>00:00:00</v>
      </c>
      <c r="B4005" s="19">
        <v>0</v>
      </c>
      <c r="C4005" s="21">
        <v>0</v>
      </c>
      <c r="D4005" s="20" t="str">
        <v>未匹配</v>
      </c>
      <c r="E4005" s="20">
        <v>0</v>
      </c>
    </row>
    <row r="4006" spans="1:5">
      <c r="A4006" s="20" t="str">
        <v>00:00:00</v>
      </c>
      <c r="B4006" s="19">
        <v>0</v>
      </c>
      <c r="C4006" s="21">
        <v>0</v>
      </c>
      <c r="D4006" s="20" t="str">
        <v>未匹配</v>
      </c>
      <c r="E4006" s="20">
        <v>0</v>
      </c>
    </row>
    <row r="4007" spans="1:5">
      <c r="A4007" s="20" t="str">
        <v>00:00:00</v>
      </c>
      <c r="B4007" s="19">
        <v>0</v>
      </c>
      <c r="C4007" s="21">
        <v>0</v>
      </c>
      <c r="D4007" s="20" t="str">
        <v>未匹配</v>
      </c>
      <c r="E4007" s="20">
        <v>0</v>
      </c>
    </row>
    <row r="4008" spans="1:5">
      <c r="A4008" s="20" t="str">
        <v>00:00:00</v>
      </c>
      <c r="B4008" s="19">
        <v>0</v>
      </c>
      <c r="C4008" s="21">
        <v>0</v>
      </c>
      <c r="D4008" s="20" t="str">
        <v>未匹配</v>
      </c>
      <c r="E4008" s="20">
        <v>0</v>
      </c>
    </row>
    <row r="4009" spans="1:5">
      <c r="A4009" s="20" t="str">
        <v>00:00:00</v>
      </c>
      <c r="B4009" s="19">
        <v>0</v>
      </c>
      <c r="C4009" s="21">
        <v>0</v>
      </c>
      <c r="D4009" s="20" t="str">
        <v>未匹配</v>
      </c>
      <c r="E4009" s="20">
        <v>0</v>
      </c>
    </row>
    <row r="4010" spans="1:5">
      <c r="A4010" s="20" t="str">
        <v>00:00:00</v>
      </c>
      <c r="B4010" s="19">
        <v>0</v>
      </c>
      <c r="C4010" s="21">
        <v>0</v>
      </c>
      <c r="D4010" s="20" t="str">
        <v>未匹配</v>
      </c>
      <c r="E4010" s="20">
        <v>0</v>
      </c>
    </row>
    <row r="4011" spans="1:5">
      <c r="A4011" s="20" t="str">
        <v>00:00:00</v>
      </c>
      <c r="B4011" s="19">
        <v>0</v>
      </c>
      <c r="C4011" s="21">
        <v>0</v>
      </c>
      <c r="D4011" s="20" t="str">
        <v>未匹配</v>
      </c>
      <c r="E4011" s="20">
        <v>0</v>
      </c>
    </row>
    <row r="4012" spans="1:5">
      <c r="A4012" s="20" t="str">
        <v>00:00:00</v>
      </c>
      <c r="B4012" s="19">
        <v>0</v>
      </c>
      <c r="C4012" s="21">
        <v>0</v>
      </c>
      <c r="D4012" s="20" t="str">
        <v>未匹配</v>
      </c>
      <c r="E4012" s="20">
        <v>0</v>
      </c>
    </row>
    <row r="4013" spans="1:5">
      <c r="A4013" s="20" t="str">
        <v>00:00:00</v>
      </c>
      <c r="B4013" s="19">
        <v>0</v>
      </c>
      <c r="C4013" s="21">
        <v>0</v>
      </c>
      <c r="D4013" s="20" t="str">
        <v>未匹配</v>
      </c>
      <c r="E4013" s="20">
        <v>0</v>
      </c>
    </row>
    <row r="4014" spans="1:5">
      <c r="A4014" s="20" t="str">
        <v>00:00:00</v>
      </c>
      <c r="B4014" s="19">
        <v>0</v>
      </c>
      <c r="C4014" s="21">
        <v>0</v>
      </c>
      <c r="D4014" s="20" t="str">
        <v>未匹配</v>
      </c>
      <c r="E4014" s="20">
        <v>0</v>
      </c>
    </row>
    <row r="4015" spans="1:5">
      <c r="A4015" s="20" t="str">
        <v>00:00:00</v>
      </c>
      <c r="B4015" s="19">
        <v>0</v>
      </c>
      <c r="C4015" s="21">
        <v>0</v>
      </c>
      <c r="D4015" s="20" t="str">
        <v>未匹配</v>
      </c>
      <c r="E4015" s="20">
        <v>0</v>
      </c>
    </row>
    <row r="4016" spans="1:5">
      <c r="A4016" s="20" t="str">
        <v>00:00:00</v>
      </c>
      <c r="B4016" s="19">
        <v>0</v>
      </c>
      <c r="C4016" s="21">
        <v>0</v>
      </c>
      <c r="D4016" s="20" t="str">
        <v>未匹配</v>
      </c>
      <c r="E4016" s="20">
        <v>0</v>
      </c>
    </row>
    <row r="4017" spans="1:5">
      <c r="A4017" s="20" t="str">
        <v>00:00:00</v>
      </c>
      <c r="B4017" s="19">
        <v>0</v>
      </c>
      <c r="C4017" s="21">
        <v>0</v>
      </c>
      <c r="D4017" s="20" t="str">
        <v>未匹配</v>
      </c>
      <c r="E4017" s="20">
        <v>0</v>
      </c>
    </row>
    <row r="4018" spans="1:5">
      <c r="A4018" s="20" t="str">
        <v>00:00:00</v>
      </c>
      <c r="B4018" s="19">
        <v>0</v>
      </c>
      <c r="C4018" s="21">
        <v>0</v>
      </c>
      <c r="D4018" s="20" t="str">
        <v>未匹配</v>
      </c>
      <c r="E4018" s="20">
        <v>0</v>
      </c>
    </row>
    <row r="4019" spans="1:5">
      <c r="A4019" s="20" t="str">
        <v>00:00:00</v>
      </c>
      <c r="B4019" s="19">
        <v>0</v>
      </c>
      <c r="C4019" s="21">
        <v>0</v>
      </c>
      <c r="D4019" s="20" t="str">
        <v>未匹配</v>
      </c>
      <c r="E4019" s="20">
        <v>0</v>
      </c>
    </row>
    <row r="4020" spans="1:5">
      <c r="A4020" s="20" t="str">
        <v>00:00:00</v>
      </c>
      <c r="B4020" s="19">
        <v>0</v>
      </c>
      <c r="C4020" s="21">
        <v>0</v>
      </c>
      <c r="D4020" s="20" t="str">
        <v>未匹配</v>
      </c>
      <c r="E4020" s="20">
        <v>0</v>
      </c>
    </row>
    <row r="4021" spans="1:5">
      <c r="A4021" s="20" t="str">
        <v>00:00:00</v>
      </c>
      <c r="B4021" s="19">
        <v>0</v>
      </c>
      <c r="C4021" s="21">
        <v>0</v>
      </c>
      <c r="D4021" s="20" t="str">
        <v>未匹配</v>
      </c>
      <c r="E4021" s="20">
        <v>0</v>
      </c>
    </row>
    <row r="4022" spans="1:5">
      <c r="A4022" s="20" t="str">
        <v>00:00:00</v>
      </c>
      <c r="B4022" s="19">
        <v>0</v>
      </c>
      <c r="C4022" s="21">
        <v>0</v>
      </c>
      <c r="D4022" s="20" t="str">
        <v>未匹配</v>
      </c>
      <c r="E4022" s="20">
        <v>0</v>
      </c>
    </row>
    <row r="4023" spans="1:5">
      <c r="A4023" s="20" t="str">
        <v>00:00:00</v>
      </c>
      <c r="B4023" s="19">
        <v>0</v>
      </c>
      <c r="C4023" s="21">
        <v>0</v>
      </c>
      <c r="D4023" s="20" t="str">
        <v>未匹配</v>
      </c>
      <c r="E4023" s="20">
        <v>0</v>
      </c>
    </row>
    <row r="4024" spans="1:5">
      <c r="A4024" s="20" t="str">
        <v>00:00:00</v>
      </c>
      <c r="B4024" s="19">
        <v>0</v>
      </c>
      <c r="C4024" s="21">
        <v>0</v>
      </c>
      <c r="D4024" s="20" t="str">
        <v>未匹配</v>
      </c>
      <c r="E4024" s="20">
        <v>0</v>
      </c>
    </row>
    <row r="4025" spans="1:5">
      <c r="A4025" s="20" t="str">
        <v>00:00:00</v>
      </c>
      <c r="B4025" s="19">
        <v>0</v>
      </c>
      <c r="C4025" s="21">
        <v>0</v>
      </c>
      <c r="D4025" s="20" t="str">
        <v>未匹配</v>
      </c>
      <c r="E4025" s="20">
        <v>0</v>
      </c>
    </row>
    <row r="4026" spans="1:5">
      <c r="A4026" s="20" t="str">
        <v>00:00:00</v>
      </c>
      <c r="B4026" s="19">
        <v>0</v>
      </c>
      <c r="C4026" s="21">
        <v>0</v>
      </c>
      <c r="D4026" s="20" t="str">
        <v>未匹配</v>
      </c>
      <c r="E4026" s="20">
        <v>0</v>
      </c>
    </row>
    <row r="4027" spans="1:5">
      <c r="A4027" s="20" t="str">
        <v>00:00:00</v>
      </c>
      <c r="B4027" s="19">
        <v>0</v>
      </c>
      <c r="C4027" s="21">
        <v>0</v>
      </c>
      <c r="D4027" s="20" t="str">
        <v>未匹配</v>
      </c>
      <c r="E4027" s="20">
        <v>0</v>
      </c>
    </row>
    <row r="4028" spans="1:5">
      <c r="A4028" s="20" t="str">
        <v>00:00:00</v>
      </c>
      <c r="B4028" s="19">
        <v>0</v>
      </c>
      <c r="C4028" s="21">
        <v>0</v>
      </c>
      <c r="D4028" s="20" t="str">
        <v>未匹配</v>
      </c>
      <c r="E4028" s="20">
        <v>0</v>
      </c>
    </row>
    <row r="4029" spans="1:5">
      <c r="A4029" s="20" t="str">
        <v>00:00:00</v>
      </c>
      <c r="B4029" s="19">
        <v>0</v>
      </c>
      <c r="C4029" s="21">
        <v>0</v>
      </c>
      <c r="D4029" s="20" t="str">
        <v>未匹配</v>
      </c>
      <c r="E4029" s="20">
        <v>0</v>
      </c>
    </row>
    <row r="4030" spans="1:5">
      <c r="A4030" s="20" t="str">
        <v>00:00:00</v>
      </c>
      <c r="B4030" s="19">
        <v>0</v>
      </c>
      <c r="C4030" s="21">
        <v>0</v>
      </c>
      <c r="D4030" s="20" t="str">
        <v>未匹配</v>
      </c>
      <c r="E4030" s="20">
        <v>0</v>
      </c>
    </row>
    <row r="4031" spans="1:5">
      <c r="A4031" s="20" t="str">
        <v>00:00:00</v>
      </c>
      <c r="B4031" s="19">
        <v>0</v>
      </c>
      <c r="C4031" s="21">
        <v>0</v>
      </c>
      <c r="D4031" s="20" t="str">
        <v>未匹配</v>
      </c>
      <c r="E4031" s="20">
        <v>0</v>
      </c>
    </row>
    <row r="4032" spans="1:5">
      <c r="A4032" s="20" t="str">
        <v>00:00:00</v>
      </c>
      <c r="B4032" s="19">
        <v>0</v>
      </c>
      <c r="C4032" s="21">
        <v>0</v>
      </c>
      <c r="D4032" s="20" t="str">
        <v>未匹配</v>
      </c>
      <c r="E4032" s="20">
        <v>0</v>
      </c>
    </row>
    <row r="4033" spans="1:5">
      <c r="A4033" s="20" t="str">
        <v>00:00:00</v>
      </c>
      <c r="B4033" s="19">
        <v>0</v>
      </c>
      <c r="C4033" s="21">
        <v>0</v>
      </c>
      <c r="D4033" s="20" t="str">
        <v>未匹配</v>
      </c>
      <c r="E4033" s="20">
        <v>0</v>
      </c>
    </row>
    <row r="4034" spans="1:5">
      <c r="A4034" s="20" t="str">
        <v>00:00:00</v>
      </c>
      <c r="B4034" s="19">
        <v>0</v>
      </c>
      <c r="C4034" s="21">
        <v>0</v>
      </c>
      <c r="D4034" s="20" t="str">
        <v>未匹配</v>
      </c>
      <c r="E4034" s="20">
        <v>0</v>
      </c>
    </row>
    <row r="4035" spans="1:5">
      <c r="A4035" s="20" t="str">
        <v>00:00:00</v>
      </c>
      <c r="B4035" s="19">
        <v>0</v>
      </c>
      <c r="C4035" s="21">
        <v>0</v>
      </c>
      <c r="D4035" s="20" t="str">
        <v>未匹配</v>
      </c>
      <c r="E4035" s="20">
        <v>0</v>
      </c>
    </row>
    <row r="4036" spans="1:5">
      <c r="A4036" s="20" t="str">
        <v>00:00:00</v>
      </c>
      <c r="B4036" s="19">
        <v>0</v>
      </c>
      <c r="C4036" s="21">
        <v>0</v>
      </c>
      <c r="D4036" s="20" t="str">
        <v>未匹配</v>
      </c>
      <c r="E4036" s="20">
        <v>0</v>
      </c>
    </row>
    <row r="4037" spans="1:5">
      <c r="A4037" s="20" t="str">
        <v>00:00:00</v>
      </c>
      <c r="B4037" s="19">
        <v>0</v>
      </c>
      <c r="C4037" s="21">
        <v>0</v>
      </c>
      <c r="D4037" s="20" t="str">
        <v>未匹配</v>
      </c>
      <c r="E4037" s="20">
        <v>0</v>
      </c>
    </row>
    <row r="4038" spans="1:5">
      <c r="A4038" s="20" t="str">
        <v>00:00:00</v>
      </c>
      <c r="B4038" s="19">
        <v>0</v>
      </c>
      <c r="C4038" s="21">
        <v>0</v>
      </c>
      <c r="D4038" s="20" t="str">
        <v>未匹配</v>
      </c>
      <c r="E4038" s="20">
        <v>0</v>
      </c>
    </row>
    <row r="4039" spans="1:5">
      <c r="A4039" s="20" t="str">
        <v>00:00:00</v>
      </c>
      <c r="B4039" s="19">
        <v>0</v>
      </c>
      <c r="C4039" s="21">
        <v>0</v>
      </c>
      <c r="D4039" s="20" t="str">
        <v>未匹配</v>
      </c>
      <c r="E4039" s="20">
        <v>0</v>
      </c>
    </row>
    <row r="4040" spans="1:5">
      <c r="A4040" s="20" t="str">
        <v>00:00:00</v>
      </c>
      <c r="B4040" s="19">
        <v>0</v>
      </c>
      <c r="C4040" s="21">
        <v>0</v>
      </c>
      <c r="D4040" s="20" t="str">
        <v>未匹配</v>
      </c>
      <c r="E4040" s="20">
        <v>0</v>
      </c>
    </row>
    <row r="4041" spans="1:5">
      <c r="A4041" s="20" t="str">
        <v>00:00:00</v>
      </c>
      <c r="B4041" s="19">
        <v>0</v>
      </c>
      <c r="C4041" s="21">
        <v>0</v>
      </c>
      <c r="D4041" s="20" t="str">
        <v>未匹配</v>
      </c>
      <c r="E4041" s="20">
        <v>0</v>
      </c>
    </row>
    <row r="4042" spans="1:5">
      <c r="A4042" s="20" t="str">
        <v>00:00:00</v>
      </c>
      <c r="B4042" s="19">
        <v>0</v>
      </c>
      <c r="C4042" s="21">
        <v>0</v>
      </c>
      <c r="D4042" s="20" t="str">
        <v>未匹配</v>
      </c>
      <c r="E4042" s="20">
        <v>0</v>
      </c>
    </row>
    <row r="4043" spans="1:5">
      <c r="A4043" s="20" t="str">
        <v>00:00:00</v>
      </c>
      <c r="B4043" s="19">
        <v>0</v>
      </c>
      <c r="C4043" s="21">
        <v>0</v>
      </c>
      <c r="D4043" s="20" t="str">
        <v>未匹配</v>
      </c>
      <c r="E4043" s="20">
        <v>0</v>
      </c>
    </row>
    <row r="4044" spans="1:5">
      <c r="A4044" s="20" t="str">
        <v>00:00:00</v>
      </c>
      <c r="B4044" s="19">
        <v>0</v>
      </c>
      <c r="C4044" s="21">
        <v>0</v>
      </c>
      <c r="D4044" s="20" t="str">
        <v>未匹配</v>
      </c>
      <c r="E4044" s="20">
        <v>0</v>
      </c>
    </row>
    <row r="4045" spans="1:5">
      <c r="A4045" s="20" t="str">
        <v>00:00:00</v>
      </c>
      <c r="B4045" s="19">
        <v>0</v>
      </c>
      <c r="C4045" s="21">
        <v>0</v>
      </c>
      <c r="D4045" s="20" t="str">
        <v>未匹配</v>
      </c>
      <c r="E4045" s="20">
        <v>0</v>
      </c>
    </row>
    <row r="4046" spans="1:5">
      <c r="A4046" s="20" t="str">
        <v>00:00:00</v>
      </c>
      <c r="B4046" s="19">
        <v>0</v>
      </c>
      <c r="C4046" s="21">
        <v>0</v>
      </c>
      <c r="D4046" s="20" t="str">
        <v>未匹配</v>
      </c>
      <c r="E4046" s="20">
        <v>0</v>
      </c>
    </row>
    <row r="4047" spans="1:5">
      <c r="A4047" s="20" t="str">
        <v>00:00:00</v>
      </c>
      <c r="B4047" s="19">
        <v>0</v>
      </c>
      <c r="C4047" s="21">
        <v>0</v>
      </c>
      <c r="D4047" s="20" t="str">
        <v>未匹配</v>
      </c>
      <c r="E4047" s="20">
        <v>0</v>
      </c>
    </row>
    <row r="4048" spans="1:5">
      <c r="A4048" s="20" t="str">
        <v>00:00:00</v>
      </c>
      <c r="B4048" s="19">
        <v>0</v>
      </c>
      <c r="C4048" s="21">
        <v>0</v>
      </c>
      <c r="D4048" s="20" t="str">
        <v>未匹配</v>
      </c>
      <c r="E4048" s="20">
        <v>0</v>
      </c>
    </row>
    <row r="4049" spans="1:5">
      <c r="A4049" s="20" t="str">
        <v>00:00:00</v>
      </c>
      <c r="B4049" s="19">
        <v>0</v>
      </c>
      <c r="C4049" s="21">
        <v>0</v>
      </c>
      <c r="D4049" s="20" t="str">
        <v>未匹配</v>
      </c>
      <c r="E4049" s="20">
        <v>0</v>
      </c>
    </row>
    <row r="4050" spans="1:5">
      <c r="A4050" s="20" t="str">
        <v>00:00:00</v>
      </c>
      <c r="B4050" s="19">
        <v>0</v>
      </c>
      <c r="C4050" s="21">
        <v>0</v>
      </c>
      <c r="D4050" s="20" t="str">
        <v>未匹配</v>
      </c>
      <c r="E4050" s="20">
        <v>0</v>
      </c>
    </row>
    <row r="4051" spans="1:5">
      <c r="A4051" s="20" t="str">
        <v>00:00:00</v>
      </c>
      <c r="B4051" s="19">
        <v>0</v>
      </c>
      <c r="C4051" s="21">
        <v>0</v>
      </c>
      <c r="D4051" s="20" t="str">
        <v>未匹配</v>
      </c>
      <c r="E4051" s="20">
        <v>0</v>
      </c>
    </row>
    <row r="4052" spans="1:5">
      <c r="A4052" s="20" t="str">
        <v>00:00:00</v>
      </c>
      <c r="B4052" s="19">
        <v>0</v>
      </c>
      <c r="C4052" s="21">
        <v>0</v>
      </c>
      <c r="D4052" s="20" t="str">
        <v>未匹配</v>
      </c>
      <c r="E4052" s="20">
        <v>0</v>
      </c>
    </row>
    <row r="4053" spans="1:5">
      <c r="A4053" s="20" t="str">
        <v>00:00:00</v>
      </c>
      <c r="B4053" s="19">
        <v>0</v>
      </c>
      <c r="C4053" s="21">
        <v>0</v>
      </c>
      <c r="D4053" s="20" t="str">
        <v>未匹配</v>
      </c>
      <c r="E4053" s="20">
        <v>0</v>
      </c>
    </row>
    <row r="4054" spans="1:5">
      <c r="A4054" s="20" t="str">
        <v>00:00:00</v>
      </c>
      <c r="B4054" s="19">
        <v>0</v>
      </c>
      <c r="C4054" s="21">
        <v>0</v>
      </c>
      <c r="D4054" s="20" t="str">
        <v>未匹配</v>
      </c>
      <c r="E4054" s="20">
        <v>0</v>
      </c>
    </row>
    <row r="4055" spans="1:5">
      <c r="A4055" s="20" t="str">
        <v>00:00:00</v>
      </c>
      <c r="B4055" s="19">
        <v>0</v>
      </c>
      <c r="C4055" s="21">
        <v>0</v>
      </c>
      <c r="D4055" s="20" t="str">
        <v>未匹配</v>
      </c>
      <c r="E4055" s="20">
        <v>0</v>
      </c>
    </row>
    <row r="4056" spans="1:5">
      <c r="A4056" s="20" t="str">
        <v>00:00:00</v>
      </c>
      <c r="B4056" s="19">
        <v>0</v>
      </c>
      <c r="C4056" s="21">
        <v>0</v>
      </c>
      <c r="D4056" s="20" t="str">
        <v>未匹配</v>
      </c>
      <c r="E4056" s="20">
        <v>0</v>
      </c>
    </row>
    <row r="4057" spans="1:5">
      <c r="A4057" s="20" t="str">
        <v>00:00:00</v>
      </c>
      <c r="B4057" s="19">
        <v>0</v>
      </c>
      <c r="C4057" s="21">
        <v>0</v>
      </c>
      <c r="D4057" s="20" t="str">
        <v>未匹配</v>
      </c>
      <c r="E4057" s="20">
        <v>0</v>
      </c>
    </row>
    <row r="4058" spans="1:5">
      <c r="A4058" s="20" t="str">
        <v>00:00:00</v>
      </c>
      <c r="B4058" s="19">
        <v>0</v>
      </c>
      <c r="C4058" s="21">
        <v>0</v>
      </c>
      <c r="D4058" s="20" t="str">
        <v>未匹配</v>
      </c>
      <c r="E4058" s="20">
        <v>0</v>
      </c>
    </row>
    <row r="4059" spans="1:5">
      <c r="A4059" s="20" t="str">
        <v>00:00:00</v>
      </c>
      <c r="B4059" s="19">
        <v>0</v>
      </c>
      <c r="C4059" s="21">
        <v>0</v>
      </c>
      <c r="D4059" s="20" t="str">
        <v>未匹配</v>
      </c>
      <c r="E4059" s="20">
        <v>0</v>
      </c>
    </row>
    <row r="4060" spans="1:5">
      <c r="A4060" s="20" t="str">
        <v>00:00:00</v>
      </c>
      <c r="B4060" s="19">
        <v>0</v>
      </c>
      <c r="C4060" s="21">
        <v>0</v>
      </c>
      <c r="D4060" s="20" t="str">
        <v>未匹配</v>
      </c>
      <c r="E4060" s="20">
        <v>0</v>
      </c>
    </row>
    <row r="4061" spans="1:5">
      <c r="A4061" s="20" t="str">
        <v>00:00:00</v>
      </c>
      <c r="B4061" s="19">
        <v>0</v>
      </c>
      <c r="C4061" s="21">
        <v>0</v>
      </c>
      <c r="D4061" s="20" t="str">
        <v>未匹配</v>
      </c>
      <c r="E4061" s="20">
        <v>0</v>
      </c>
    </row>
    <row r="4062" spans="1:5">
      <c r="A4062" s="20" t="str">
        <v>00:00:00</v>
      </c>
      <c r="B4062" s="19">
        <v>0</v>
      </c>
      <c r="C4062" s="21">
        <v>0</v>
      </c>
      <c r="D4062" s="20" t="str">
        <v>未匹配</v>
      </c>
      <c r="E4062" s="20">
        <v>0</v>
      </c>
    </row>
    <row r="4063" spans="1:5">
      <c r="A4063" s="20" t="str">
        <v>00:00:00</v>
      </c>
      <c r="B4063" s="19">
        <v>0</v>
      </c>
      <c r="C4063" s="21">
        <v>0</v>
      </c>
      <c r="D4063" s="20" t="str">
        <v>未匹配</v>
      </c>
      <c r="E4063" s="20">
        <v>0</v>
      </c>
    </row>
    <row r="4064" spans="1:5">
      <c r="A4064" s="20" t="str">
        <v>00:00:00</v>
      </c>
      <c r="B4064" s="19">
        <v>0</v>
      </c>
      <c r="C4064" s="21">
        <v>0</v>
      </c>
      <c r="D4064" s="20" t="str">
        <v>未匹配</v>
      </c>
      <c r="E4064" s="20">
        <v>0</v>
      </c>
    </row>
    <row r="4065" spans="1:5">
      <c r="A4065" s="20" t="str">
        <v>00:00:00</v>
      </c>
      <c r="B4065" s="19">
        <v>0</v>
      </c>
      <c r="C4065" s="21">
        <v>0</v>
      </c>
      <c r="D4065" s="20" t="str">
        <v>未匹配</v>
      </c>
      <c r="E4065" s="20">
        <v>0</v>
      </c>
    </row>
    <row r="4066" spans="1:5">
      <c r="A4066" s="20" t="str">
        <v>00:00:00</v>
      </c>
      <c r="B4066" s="19">
        <v>0</v>
      </c>
      <c r="C4066" s="21">
        <v>0</v>
      </c>
      <c r="D4066" s="20" t="str">
        <v>未匹配</v>
      </c>
      <c r="E4066" s="20">
        <v>0</v>
      </c>
    </row>
    <row r="4067" spans="1:5">
      <c r="A4067" s="20" t="str">
        <v>00:00:00</v>
      </c>
      <c r="B4067" s="19">
        <v>0</v>
      </c>
      <c r="C4067" s="21">
        <v>0</v>
      </c>
      <c r="D4067" s="20" t="str">
        <v>未匹配</v>
      </c>
      <c r="E4067" s="20">
        <v>0</v>
      </c>
    </row>
    <row r="4068" spans="1:5">
      <c r="A4068" s="20" t="str">
        <v>00:00:00</v>
      </c>
      <c r="B4068" s="19">
        <v>0</v>
      </c>
      <c r="C4068" s="21">
        <v>0</v>
      </c>
      <c r="D4068" s="20" t="str">
        <v>未匹配</v>
      </c>
      <c r="E4068" s="20">
        <v>0</v>
      </c>
    </row>
    <row r="4069" spans="1:5">
      <c r="A4069" s="20" t="str">
        <v>00:00:00</v>
      </c>
      <c r="B4069" s="19">
        <v>0</v>
      </c>
      <c r="C4069" s="21">
        <v>0</v>
      </c>
      <c r="D4069" s="20" t="str">
        <v>未匹配</v>
      </c>
      <c r="E4069" s="20">
        <v>0</v>
      </c>
    </row>
    <row r="4070" spans="1:5">
      <c r="A4070" s="20" t="str">
        <v>00:00:00</v>
      </c>
      <c r="B4070" s="19">
        <v>0</v>
      </c>
      <c r="C4070" s="21">
        <v>0</v>
      </c>
      <c r="D4070" s="20" t="str">
        <v>未匹配</v>
      </c>
      <c r="E4070" s="20">
        <v>0</v>
      </c>
    </row>
    <row r="4071" spans="1:5">
      <c r="A4071" s="20" t="str">
        <v>00:00:00</v>
      </c>
      <c r="B4071" s="19">
        <v>0</v>
      </c>
      <c r="C4071" s="21">
        <v>0</v>
      </c>
      <c r="D4071" s="20" t="str">
        <v>未匹配</v>
      </c>
      <c r="E4071" s="20">
        <v>0</v>
      </c>
    </row>
    <row r="4072" spans="1:5">
      <c r="A4072" s="20" t="str">
        <v>00:00:00</v>
      </c>
      <c r="B4072" s="19">
        <v>0</v>
      </c>
      <c r="C4072" s="21">
        <v>0</v>
      </c>
      <c r="D4072" s="20" t="str">
        <v>未匹配</v>
      </c>
      <c r="E4072" s="20">
        <v>0</v>
      </c>
    </row>
    <row r="4073" spans="1:5">
      <c r="A4073" s="20" t="str">
        <v>00:00:00</v>
      </c>
      <c r="B4073" s="19">
        <v>0</v>
      </c>
      <c r="C4073" s="21">
        <v>0</v>
      </c>
      <c r="D4073" s="20" t="str">
        <v>未匹配</v>
      </c>
      <c r="E4073" s="20">
        <v>0</v>
      </c>
    </row>
    <row r="4074" spans="1:5">
      <c r="A4074" s="20" t="str">
        <v>00:00:00</v>
      </c>
      <c r="B4074" s="19">
        <v>0</v>
      </c>
      <c r="C4074" s="21">
        <v>0</v>
      </c>
      <c r="D4074" s="20" t="str">
        <v>未匹配</v>
      </c>
      <c r="E4074" s="20">
        <v>0</v>
      </c>
    </row>
    <row r="4075" spans="1:5">
      <c r="A4075" s="20" t="str">
        <v>00:00:00</v>
      </c>
      <c r="B4075" s="19">
        <v>0</v>
      </c>
      <c r="C4075" s="21">
        <v>0</v>
      </c>
      <c r="D4075" s="20" t="str">
        <v>未匹配</v>
      </c>
      <c r="E4075" s="20">
        <v>0</v>
      </c>
    </row>
    <row r="4076" spans="1:5">
      <c r="A4076" s="20" t="str">
        <v>00:00:00</v>
      </c>
      <c r="B4076" s="19">
        <v>0</v>
      </c>
      <c r="C4076" s="21">
        <v>0</v>
      </c>
      <c r="D4076" s="20" t="str">
        <v>未匹配</v>
      </c>
      <c r="E4076" s="20">
        <v>0</v>
      </c>
    </row>
    <row r="4077" spans="1:5">
      <c r="A4077" s="20" t="str">
        <v>00:00:00</v>
      </c>
      <c r="B4077" s="19">
        <v>0</v>
      </c>
      <c r="C4077" s="21">
        <v>0</v>
      </c>
      <c r="D4077" s="20" t="str">
        <v>未匹配</v>
      </c>
      <c r="E4077" s="20">
        <v>0</v>
      </c>
    </row>
    <row r="4078" spans="1:5">
      <c r="A4078" s="20" t="str">
        <v>00:00:00</v>
      </c>
      <c r="B4078" s="19">
        <v>0</v>
      </c>
      <c r="C4078" s="21">
        <v>0</v>
      </c>
      <c r="D4078" s="20" t="str">
        <v>未匹配</v>
      </c>
      <c r="E4078" s="20">
        <v>0</v>
      </c>
    </row>
    <row r="4079" spans="1:5">
      <c r="A4079" s="20" t="str">
        <v>00:00:00</v>
      </c>
      <c r="B4079" s="19">
        <v>0</v>
      </c>
      <c r="C4079" s="21">
        <v>0</v>
      </c>
      <c r="D4079" s="20" t="str">
        <v>未匹配</v>
      </c>
      <c r="E4079" s="20">
        <v>0</v>
      </c>
    </row>
    <row r="4080" spans="1:5">
      <c r="A4080" s="20" t="str">
        <v>00:00:00</v>
      </c>
      <c r="B4080" s="19">
        <v>0</v>
      </c>
      <c r="C4080" s="21">
        <v>0</v>
      </c>
      <c r="D4080" s="20" t="str">
        <v>未匹配</v>
      </c>
      <c r="E4080" s="20">
        <v>0</v>
      </c>
    </row>
    <row r="4081" spans="1:5">
      <c r="A4081" s="20" t="str">
        <v>00:00:00</v>
      </c>
      <c r="B4081" s="19">
        <v>0</v>
      </c>
      <c r="C4081" s="21">
        <v>0</v>
      </c>
      <c r="D4081" s="20" t="str">
        <v>未匹配</v>
      </c>
      <c r="E4081" s="20">
        <v>0</v>
      </c>
    </row>
    <row r="4082" spans="1:5">
      <c r="A4082" s="20" t="str">
        <v>00:00:00</v>
      </c>
      <c r="B4082" s="19">
        <v>0</v>
      </c>
      <c r="C4082" s="21">
        <v>0</v>
      </c>
      <c r="D4082" s="20" t="str">
        <v>未匹配</v>
      </c>
      <c r="E4082" s="20">
        <v>0</v>
      </c>
    </row>
    <row r="4083" spans="1:5">
      <c r="A4083" s="20" t="str">
        <v>00:00:00</v>
      </c>
      <c r="B4083" s="19">
        <v>0</v>
      </c>
      <c r="C4083" s="21">
        <v>0</v>
      </c>
      <c r="D4083" s="20" t="str">
        <v>未匹配</v>
      </c>
      <c r="E4083" s="20">
        <v>0</v>
      </c>
    </row>
    <row r="4084" spans="1:5">
      <c r="A4084" s="20" t="str">
        <v>00:00:00</v>
      </c>
      <c r="B4084" s="19">
        <v>0</v>
      </c>
      <c r="C4084" s="21">
        <v>0</v>
      </c>
      <c r="D4084" s="20" t="str">
        <v>未匹配</v>
      </c>
      <c r="E4084" s="20">
        <v>0</v>
      </c>
    </row>
    <row r="4085" spans="1:5">
      <c r="A4085" s="20" t="str">
        <v>00:00:00</v>
      </c>
      <c r="B4085" s="19">
        <v>0</v>
      </c>
      <c r="C4085" s="21">
        <v>0</v>
      </c>
      <c r="D4085" s="20" t="str">
        <v>未匹配</v>
      </c>
      <c r="E4085" s="20">
        <v>0</v>
      </c>
    </row>
    <row r="4086" spans="1:5">
      <c r="A4086" s="20" t="str">
        <v>00:00:00</v>
      </c>
      <c r="B4086" s="19">
        <v>0</v>
      </c>
      <c r="C4086" s="21">
        <v>0</v>
      </c>
      <c r="D4086" s="20" t="str">
        <v>未匹配</v>
      </c>
      <c r="E4086" s="20">
        <v>0</v>
      </c>
    </row>
    <row r="4087" spans="1:5">
      <c r="A4087" s="20" t="str">
        <v>00:00:00</v>
      </c>
      <c r="B4087" s="19">
        <v>0</v>
      </c>
      <c r="C4087" s="21">
        <v>0</v>
      </c>
      <c r="D4087" s="20" t="str">
        <v>未匹配</v>
      </c>
      <c r="E4087" s="20">
        <v>0</v>
      </c>
    </row>
    <row r="4088" spans="1:5">
      <c r="A4088" s="20" t="str">
        <v>00:00:00</v>
      </c>
      <c r="B4088" s="19">
        <v>0</v>
      </c>
      <c r="C4088" s="21">
        <v>0</v>
      </c>
      <c r="D4088" s="20" t="str">
        <v>未匹配</v>
      </c>
      <c r="E4088" s="20">
        <v>0</v>
      </c>
    </row>
    <row r="4089" spans="1:5">
      <c r="A4089" s="20" t="str">
        <v>00:00:00</v>
      </c>
      <c r="B4089" s="19">
        <v>0</v>
      </c>
      <c r="C4089" s="21">
        <v>0</v>
      </c>
      <c r="D4089" s="20" t="str">
        <v>未匹配</v>
      </c>
      <c r="E4089" s="20">
        <v>0</v>
      </c>
    </row>
    <row r="4090" spans="1:5">
      <c r="A4090" s="20" t="str">
        <v>00:00:00</v>
      </c>
      <c r="B4090" s="19">
        <v>0</v>
      </c>
      <c r="C4090" s="21">
        <v>0</v>
      </c>
      <c r="D4090" s="20" t="str">
        <v>未匹配</v>
      </c>
      <c r="E4090" s="20">
        <v>0</v>
      </c>
    </row>
    <row r="4091" spans="1:5">
      <c r="A4091" s="20" t="str">
        <v>00:00:00</v>
      </c>
      <c r="B4091" s="19">
        <v>0</v>
      </c>
      <c r="C4091" s="21">
        <v>0</v>
      </c>
      <c r="D4091" s="20" t="str">
        <v>未匹配</v>
      </c>
      <c r="E4091" s="20">
        <v>0</v>
      </c>
    </row>
    <row r="4092" spans="1:5">
      <c r="A4092" s="20" t="str">
        <v>00:00:00</v>
      </c>
      <c r="B4092" s="19">
        <v>0</v>
      </c>
      <c r="C4092" s="21">
        <v>0</v>
      </c>
      <c r="D4092" s="20" t="str">
        <v>未匹配</v>
      </c>
      <c r="E4092" s="20">
        <v>0</v>
      </c>
    </row>
    <row r="4093" spans="1:5">
      <c r="A4093" s="20" t="str">
        <v>00:00:00</v>
      </c>
      <c r="B4093" s="19">
        <v>0</v>
      </c>
      <c r="C4093" s="21">
        <v>0</v>
      </c>
      <c r="D4093" s="20" t="str">
        <v>未匹配</v>
      </c>
      <c r="E4093" s="20">
        <v>0</v>
      </c>
    </row>
    <row r="4094" spans="1:5">
      <c r="A4094" s="20" t="str">
        <v>00:00:00</v>
      </c>
      <c r="B4094" s="19">
        <v>0</v>
      </c>
      <c r="C4094" s="21">
        <v>0</v>
      </c>
      <c r="D4094" s="20" t="str">
        <v>未匹配</v>
      </c>
      <c r="E4094" s="20">
        <v>0</v>
      </c>
    </row>
    <row r="4095" spans="1:5">
      <c r="A4095" s="20" t="str">
        <v>00:00:00</v>
      </c>
      <c r="B4095" s="19">
        <v>0</v>
      </c>
      <c r="C4095" s="21">
        <v>0</v>
      </c>
      <c r="D4095" s="20" t="str">
        <v>未匹配</v>
      </c>
      <c r="E4095" s="20">
        <v>0</v>
      </c>
    </row>
    <row r="4096" spans="1:5">
      <c r="A4096" s="20" t="str">
        <v>00:00:00</v>
      </c>
      <c r="B4096" s="19">
        <v>0</v>
      </c>
      <c r="C4096" s="21">
        <v>0</v>
      </c>
      <c r="D4096" s="20" t="str">
        <v>未匹配</v>
      </c>
      <c r="E4096" s="20">
        <v>0</v>
      </c>
    </row>
    <row r="4097" spans="1:5">
      <c r="A4097" s="20" t="str">
        <v>00:00:00</v>
      </c>
      <c r="B4097" s="19">
        <v>0</v>
      </c>
      <c r="C4097" s="21">
        <v>0</v>
      </c>
      <c r="D4097" s="20" t="str">
        <v>未匹配</v>
      </c>
      <c r="E4097" s="20">
        <v>0</v>
      </c>
    </row>
    <row r="4098" spans="1:5">
      <c r="A4098" s="20" t="str">
        <v>00:00:00</v>
      </c>
      <c r="B4098" s="19">
        <v>0</v>
      </c>
      <c r="C4098" s="21">
        <v>0</v>
      </c>
      <c r="D4098" s="20" t="str">
        <v>未匹配</v>
      </c>
      <c r="E4098" s="20">
        <v>0</v>
      </c>
    </row>
    <row r="4099" spans="1:5">
      <c r="A4099" s="20" t="str">
        <v>00:00:00</v>
      </c>
      <c r="B4099" s="19">
        <v>0</v>
      </c>
      <c r="C4099" s="21">
        <v>0</v>
      </c>
      <c r="D4099" s="20" t="str">
        <v>未匹配</v>
      </c>
      <c r="E4099" s="20">
        <v>0</v>
      </c>
    </row>
    <row r="4100" spans="1:5">
      <c r="A4100" s="20" t="str">
        <v>00:00:00</v>
      </c>
      <c r="B4100" s="19">
        <v>0</v>
      </c>
      <c r="C4100" s="21">
        <v>0</v>
      </c>
      <c r="D4100" s="20" t="str">
        <v>未匹配</v>
      </c>
      <c r="E4100" s="20">
        <v>0</v>
      </c>
    </row>
    <row r="4101" spans="1:5">
      <c r="A4101" s="20" t="str">
        <v>00:00:00</v>
      </c>
      <c r="B4101" s="19">
        <v>0</v>
      </c>
      <c r="C4101" s="21">
        <v>0</v>
      </c>
      <c r="D4101" s="20" t="str">
        <v>未匹配</v>
      </c>
      <c r="E4101" s="20">
        <v>0</v>
      </c>
    </row>
    <row r="4102" spans="1:5">
      <c r="A4102" s="20" t="str">
        <v>00:00:00</v>
      </c>
      <c r="B4102" s="19">
        <v>0</v>
      </c>
      <c r="C4102" s="21">
        <v>0</v>
      </c>
      <c r="D4102" s="20" t="str">
        <v>未匹配</v>
      </c>
      <c r="E4102" s="20">
        <v>0</v>
      </c>
    </row>
    <row r="4103" spans="1:5">
      <c r="A4103" s="20" t="str">
        <v>00:00:00</v>
      </c>
      <c r="B4103" s="19">
        <v>0</v>
      </c>
      <c r="C4103" s="21">
        <v>0</v>
      </c>
      <c r="D4103" s="20" t="str">
        <v>未匹配</v>
      </c>
      <c r="E4103" s="20">
        <v>0</v>
      </c>
    </row>
    <row r="4104" spans="1:5">
      <c r="A4104" s="20" t="str">
        <v>00:00:00</v>
      </c>
      <c r="B4104" s="19">
        <v>0</v>
      </c>
      <c r="C4104" s="21">
        <v>0</v>
      </c>
      <c r="D4104" s="20" t="str">
        <v>未匹配</v>
      </c>
      <c r="E4104" s="20">
        <v>0</v>
      </c>
    </row>
    <row r="4105" spans="1:5">
      <c r="A4105" s="20" t="str">
        <v>00:00:00</v>
      </c>
      <c r="B4105" s="19">
        <v>0</v>
      </c>
      <c r="C4105" s="21">
        <v>0</v>
      </c>
      <c r="D4105" s="20" t="str">
        <v>未匹配</v>
      </c>
      <c r="E4105" s="20">
        <v>0</v>
      </c>
    </row>
    <row r="4106" spans="1:5">
      <c r="A4106" s="20" t="str">
        <v>00:00:00</v>
      </c>
      <c r="B4106" s="19">
        <v>0</v>
      </c>
      <c r="C4106" s="21">
        <v>0</v>
      </c>
      <c r="D4106" s="20" t="str">
        <v>未匹配</v>
      </c>
      <c r="E4106" s="20">
        <v>0</v>
      </c>
    </row>
    <row r="4107" spans="1:5">
      <c r="A4107" s="20" t="str">
        <v>00:00:00</v>
      </c>
      <c r="B4107" s="19">
        <v>0</v>
      </c>
      <c r="C4107" s="21">
        <v>0</v>
      </c>
      <c r="D4107" s="20" t="str">
        <v>未匹配</v>
      </c>
      <c r="E4107" s="20">
        <v>0</v>
      </c>
    </row>
    <row r="4108" spans="1:5">
      <c r="A4108" s="20" t="str">
        <v>00:00:00</v>
      </c>
      <c r="B4108" s="19">
        <v>0</v>
      </c>
      <c r="C4108" s="21">
        <v>0</v>
      </c>
      <c r="D4108" s="20" t="str">
        <v>未匹配</v>
      </c>
      <c r="E4108" s="20">
        <v>0</v>
      </c>
    </row>
    <row r="4109" spans="1:5">
      <c r="A4109" s="20" t="str">
        <v>00:00:00</v>
      </c>
      <c r="B4109" s="19">
        <v>0</v>
      </c>
      <c r="C4109" s="21">
        <v>0</v>
      </c>
      <c r="D4109" s="20" t="str">
        <v>未匹配</v>
      </c>
      <c r="E4109" s="20">
        <v>0</v>
      </c>
    </row>
    <row r="4110" spans="1:5">
      <c r="A4110" s="20" t="str">
        <v>00:00:00</v>
      </c>
      <c r="B4110" s="19">
        <v>0</v>
      </c>
      <c r="C4110" s="21">
        <v>0</v>
      </c>
      <c r="D4110" s="20" t="str">
        <v>未匹配</v>
      </c>
      <c r="E4110" s="20">
        <v>0</v>
      </c>
    </row>
    <row r="4111" spans="1:5">
      <c r="A4111" s="20" t="str">
        <v>00:00:00</v>
      </c>
      <c r="B4111" s="19">
        <v>0</v>
      </c>
      <c r="C4111" s="21">
        <v>0</v>
      </c>
      <c r="D4111" s="20" t="str">
        <v>未匹配</v>
      </c>
      <c r="E4111" s="20">
        <v>0</v>
      </c>
    </row>
    <row r="4112" spans="1:5">
      <c r="A4112" s="20" t="str">
        <v>00:00:00</v>
      </c>
      <c r="B4112" s="19">
        <v>0</v>
      </c>
      <c r="C4112" s="21">
        <v>0</v>
      </c>
      <c r="D4112" s="20" t="str">
        <v>未匹配</v>
      </c>
      <c r="E4112" s="20">
        <v>0</v>
      </c>
    </row>
    <row r="4113" spans="1:5">
      <c r="A4113" s="20" t="str">
        <v>00:00:00</v>
      </c>
      <c r="B4113" s="19">
        <v>0</v>
      </c>
      <c r="C4113" s="21">
        <v>0</v>
      </c>
      <c r="D4113" s="20" t="str">
        <v>未匹配</v>
      </c>
      <c r="E4113" s="20">
        <v>0</v>
      </c>
    </row>
    <row r="4114" spans="1:5">
      <c r="A4114" s="20" t="str">
        <v>00:00:00</v>
      </c>
      <c r="B4114" s="19">
        <v>0</v>
      </c>
      <c r="C4114" s="21">
        <v>0</v>
      </c>
      <c r="D4114" s="20" t="str">
        <v>未匹配</v>
      </c>
      <c r="E4114" s="20">
        <v>0</v>
      </c>
    </row>
    <row r="4115" spans="1:5">
      <c r="A4115" s="20" t="str">
        <v>00:00:00</v>
      </c>
      <c r="B4115" s="19">
        <v>0</v>
      </c>
      <c r="C4115" s="21">
        <v>0</v>
      </c>
      <c r="D4115" s="20" t="str">
        <v>未匹配</v>
      </c>
      <c r="E4115" s="20">
        <v>0</v>
      </c>
    </row>
    <row r="4116" spans="1:5">
      <c r="A4116" s="20" t="str">
        <v>00:00:00</v>
      </c>
      <c r="B4116" s="19">
        <v>0</v>
      </c>
      <c r="C4116" s="21">
        <v>0</v>
      </c>
      <c r="D4116" s="20" t="str">
        <v>未匹配</v>
      </c>
      <c r="E4116" s="20">
        <v>0</v>
      </c>
    </row>
    <row r="4117" spans="1:5">
      <c r="A4117" s="20" t="str">
        <v>00:00:00</v>
      </c>
      <c r="B4117" s="19">
        <v>0</v>
      </c>
      <c r="C4117" s="21">
        <v>0</v>
      </c>
      <c r="D4117" s="20" t="str">
        <v>未匹配</v>
      </c>
      <c r="E4117" s="20">
        <v>0</v>
      </c>
    </row>
    <row r="4118" spans="1:5">
      <c r="A4118" s="20" t="str">
        <v>00:00:00</v>
      </c>
      <c r="B4118" s="19">
        <v>0</v>
      </c>
      <c r="C4118" s="21">
        <v>0</v>
      </c>
      <c r="D4118" s="20" t="str">
        <v>未匹配</v>
      </c>
      <c r="E4118" s="20">
        <v>0</v>
      </c>
    </row>
    <row r="4119" spans="1:5">
      <c r="A4119" s="20" t="str">
        <v>00:00:00</v>
      </c>
      <c r="B4119" s="19">
        <v>0</v>
      </c>
      <c r="C4119" s="21">
        <v>0</v>
      </c>
      <c r="D4119" s="20" t="str">
        <v>未匹配</v>
      </c>
      <c r="E4119" s="20">
        <v>0</v>
      </c>
    </row>
    <row r="4120" spans="1:5">
      <c r="A4120" s="20" t="str">
        <v>00:00:00</v>
      </c>
      <c r="B4120" s="19">
        <v>0</v>
      </c>
      <c r="C4120" s="21">
        <v>0</v>
      </c>
      <c r="D4120" s="20" t="str">
        <v>未匹配</v>
      </c>
      <c r="E4120" s="20">
        <v>0</v>
      </c>
    </row>
    <row r="4121" spans="1:5">
      <c r="A4121" s="20" t="str">
        <v>00:00:00</v>
      </c>
      <c r="B4121" s="19">
        <v>0</v>
      </c>
      <c r="C4121" s="21">
        <v>0</v>
      </c>
      <c r="D4121" s="20" t="str">
        <v>未匹配</v>
      </c>
      <c r="E4121" s="20">
        <v>0</v>
      </c>
    </row>
    <row r="4122" spans="1:5">
      <c r="A4122" s="20" t="str">
        <v>00:00:00</v>
      </c>
      <c r="B4122" s="19">
        <v>0</v>
      </c>
      <c r="C4122" s="21">
        <v>0</v>
      </c>
      <c r="D4122" s="20" t="str">
        <v>未匹配</v>
      </c>
      <c r="E4122" s="20">
        <v>0</v>
      </c>
    </row>
    <row r="4123" spans="1:5">
      <c r="A4123" s="20" t="str">
        <v>00:00:00</v>
      </c>
      <c r="B4123" s="19">
        <v>0</v>
      </c>
      <c r="C4123" s="21">
        <v>0</v>
      </c>
      <c r="D4123" s="20" t="str">
        <v>未匹配</v>
      </c>
      <c r="E4123" s="20">
        <v>0</v>
      </c>
    </row>
    <row r="4124" spans="1:5">
      <c r="A4124" s="20" t="str">
        <v>00:00:00</v>
      </c>
      <c r="B4124" s="19">
        <v>0</v>
      </c>
      <c r="C4124" s="21">
        <v>0</v>
      </c>
      <c r="D4124" s="20" t="str">
        <v>未匹配</v>
      </c>
      <c r="E4124" s="20">
        <v>0</v>
      </c>
    </row>
    <row r="4125" spans="1:5">
      <c r="A4125" s="20" t="str">
        <v>00:00:00</v>
      </c>
      <c r="B4125" s="19">
        <v>0</v>
      </c>
      <c r="C4125" s="21">
        <v>0</v>
      </c>
      <c r="D4125" s="20" t="str">
        <v>未匹配</v>
      </c>
      <c r="E4125" s="20">
        <v>0</v>
      </c>
    </row>
    <row r="4126" spans="1:5">
      <c r="A4126" s="20" t="str">
        <v>00:00:00</v>
      </c>
      <c r="B4126" s="19">
        <v>0</v>
      </c>
      <c r="C4126" s="21">
        <v>0</v>
      </c>
      <c r="D4126" s="20" t="str">
        <v>未匹配</v>
      </c>
      <c r="E4126" s="20">
        <v>0</v>
      </c>
    </row>
    <row r="4127" spans="1:5">
      <c r="A4127" s="20" t="str">
        <v>00:00:00</v>
      </c>
      <c r="B4127" s="19">
        <v>0</v>
      </c>
      <c r="C4127" s="21">
        <v>0</v>
      </c>
      <c r="D4127" s="20" t="str">
        <v>未匹配</v>
      </c>
      <c r="E4127" s="20">
        <v>0</v>
      </c>
    </row>
    <row r="4128" spans="1:5">
      <c r="A4128" s="20" t="str">
        <v>00:00:00</v>
      </c>
      <c r="B4128" s="19">
        <v>0</v>
      </c>
      <c r="C4128" s="21">
        <v>0</v>
      </c>
      <c r="D4128" s="20" t="str">
        <v>未匹配</v>
      </c>
      <c r="E4128" s="20">
        <v>0</v>
      </c>
    </row>
    <row r="4129" spans="1:5">
      <c r="A4129" s="20" t="str">
        <v>00:00:00</v>
      </c>
      <c r="B4129" s="19">
        <v>0</v>
      </c>
      <c r="C4129" s="21">
        <v>0</v>
      </c>
      <c r="D4129" s="20" t="str">
        <v>未匹配</v>
      </c>
      <c r="E4129" s="20">
        <v>0</v>
      </c>
    </row>
    <row r="4130" spans="1:5">
      <c r="A4130" s="20" t="str">
        <v>00:00:00</v>
      </c>
      <c r="B4130" s="19">
        <v>0</v>
      </c>
      <c r="C4130" s="21">
        <v>0</v>
      </c>
      <c r="D4130" s="20" t="str">
        <v>未匹配</v>
      </c>
      <c r="E4130" s="20">
        <v>0</v>
      </c>
    </row>
    <row r="4131" spans="1:5">
      <c r="A4131" s="20" t="str">
        <v>00:00:00</v>
      </c>
      <c r="B4131" s="19">
        <v>0</v>
      </c>
      <c r="C4131" s="21">
        <v>0</v>
      </c>
      <c r="D4131" s="20" t="str">
        <v>未匹配</v>
      </c>
      <c r="E4131" s="20">
        <v>0</v>
      </c>
    </row>
    <row r="4132" spans="1:5">
      <c r="A4132" s="20" t="str">
        <v>00:00:00</v>
      </c>
      <c r="B4132" s="19">
        <v>0</v>
      </c>
      <c r="C4132" s="21">
        <v>0</v>
      </c>
      <c r="D4132" s="20" t="str">
        <v>未匹配</v>
      </c>
      <c r="E4132" s="20">
        <v>0</v>
      </c>
    </row>
    <row r="4133" spans="1:5">
      <c r="A4133" s="20" t="str">
        <v>00:00:00</v>
      </c>
      <c r="B4133" s="19">
        <v>0</v>
      </c>
      <c r="C4133" s="21">
        <v>0</v>
      </c>
      <c r="D4133" s="20" t="str">
        <v>未匹配</v>
      </c>
      <c r="E4133" s="20">
        <v>0</v>
      </c>
    </row>
    <row r="4134" spans="1:5">
      <c r="A4134" s="20" t="str">
        <v>00:00:00</v>
      </c>
      <c r="B4134" s="19">
        <v>0</v>
      </c>
      <c r="C4134" s="21">
        <v>0</v>
      </c>
      <c r="D4134" s="20" t="str">
        <v>未匹配</v>
      </c>
      <c r="E4134" s="20">
        <v>0</v>
      </c>
    </row>
    <row r="4135" spans="1:5">
      <c r="A4135" s="20" t="str">
        <v>00:00:00</v>
      </c>
      <c r="B4135" s="19">
        <v>0</v>
      </c>
      <c r="C4135" s="21">
        <v>0</v>
      </c>
      <c r="D4135" s="20" t="str">
        <v>未匹配</v>
      </c>
      <c r="E4135" s="20">
        <v>0</v>
      </c>
    </row>
    <row r="4136" spans="1:5">
      <c r="A4136" s="20" t="str">
        <v>00:00:00</v>
      </c>
      <c r="B4136" s="19">
        <v>0</v>
      </c>
      <c r="C4136" s="21">
        <v>0</v>
      </c>
      <c r="D4136" s="20" t="str">
        <v>未匹配</v>
      </c>
      <c r="E4136" s="20">
        <v>0</v>
      </c>
    </row>
    <row r="4137" spans="1:5">
      <c r="A4137" s="20" t="str">
        <v>00:00:00</v>
      </c>
      <c r="B4137" s="19">
        <v>0</v>
      </c>
      <c r="C4137" s="21">
        <v>0</v>
      </c>
      <c r="D4137" s="20" t="str">
        <v>未匹配</v>
      </c>
      <c r="E4137" s="20">
        <v>0</v>
      </c>
    </row>
    <row r="4138" spans="1:5">
      <c r="A4138" s="20" t="str">
        <v>00:00:00</v>
      </c>
      <c r="B4138" s="19">
        <v>0</v>
      </c>
      <c r="C4138" s="21">
        <v>0</v>
      </c>
      <c r="D4138" s="20" t="str">
        <v>未匹配</v>
      </c>
      <c r="E4138" s="20">
        <v>0</v>
      </c>
    </row>
    <row r="4139" spans="1:5">
      <c r="A4139" s="20" t="str">
        <v>00:00:00</v>
      </c>
      <c r="B4139" s="19">
        <v>0</v>
      </c>
      <c r="C4139" s="21">
        <v>0</v>
      </c>
      <c r="D4139" s="20" t="str">
        <v>未匹配</v>
      </c>
      <c r="E4139" s="20">
        <v>0</v>
      </c>
    </row>
    <row r="4140" spans="1:5">
      <c r="A4140" s="20" t="str">
        <v>00:00:00</v>
      </c>
      <c r="B4140" s="19">
        <v>0</v>
      </c>
      <c r="C4140" s="21">
        <v>0</v>
      </c>
      <c r="D4140" s="20" t="str">
        <v>未匹配</v>
      </c>
      <c r="E4140" s="20">
        <v>0</v>
      </c>
    </row>
    <row r="4141" spans="1:5">
      <c r="A4141" s="20" t="str">
        <v>00:00:00</v>
      </c>
      <c r="B4141" s="19">
        <v>0</v>
      </c>
      <c r="C4141" s="21">
        <v>0</v>
      </c>
      <c r="D4141" s="20" t="str">
        <v>未匹配</v>
      </c>
      <c r="E4141" s="20">
        <v>0</v>
      </c>
    </row>
    <row r="4142" spans="1:5">
      <c r="A4142" s="20" t="str">
        <v>00:00:00</v>
      </c>
      <c r="B4142" s="19">
        <v>0</v>
      </c>
      <c r="C4142" s="21">
        <v>0</v>
      </c>
      <c r="D4142" s="20" t="str">
        <v>未匹配</v>
      </c>
      <c r="E4142" s="20">
        <v>0</v>
      </c>
    </row>
    <row r="4143" spans="1:5">
      <c r="A4143" s="20" t="str">
        <v>00:00:00</v>
      </c>
      <c r="B4143" s="19">
        <v>0</v>
      </c>
      <c r="C4143" s="21">
        <v>0</v>
      </c>
      <c r="D4143" s="20" t="str">
        <v>未匹配</v>
      </c>
      <c r="E4143" s="20">
        <v>0</v>
      </c>
    </row>
    <row r="4144" spans="1:5">
      <c r="A4144" s="20" t="str">
        <v>00:00:00</v>
      </c>
      <c r="B4144" s="19">
        <v>0</v>
      </c>
      <c r="C4144" s="21">
        <v>0</v>
      </c>
      <c r="D4144" s="20" t="str">
        <v>未匹配</v>
      </c>
      <c r="E4144" s="20">
        <v>0</v>
      </c>
    </row>
    <row r="4145" spans="1:5">
      <c r="A4145" s="20" t="str">
        <v>00:00:00</v>
      </c>
      <c r="B4145" s="19">
        <v>0</v>
      </c>
      <c r="C4145" s="21">
        <v>0</v>
      </c>
      <c r="D4145" s="20" t="str">
        <v>未匹配</v>
      </c>
      <c r="E4145" s="20">
        <v>0</v>
      </c>
    </row>
    <row r="4146" spans="1:5">
      <c r="A4146" s="20" t="str">
        <v>00:00:00</v>
      </c>
      <c r="B4146" s="19">
        <v>0</v>
      </c>
      <c r="C4146" s="21">
        <v>0</v>
      </c>
      <c r="D4146" s="20" t="str">
        <v>未匹配</v>
      </c>
      <c r="E4146" s="20">
        <v>0</v>
      </c>
    </row>
    <row r="4147" spans="1:5">
      <c r="A4147" s="20" t="str">
        <v>00:00:00</v>
      </c>
      <c r="B4147" s="19">
        <v>0</v>
      </c>
      <c r="C4147" s="21">
        <v>0</v>
      </c>
      <c r="D4147" s="20" t="str">
        <v>未匹配</v>
      </c>
      <c r="E4147" s="20">
        <v>0</v>
      </c>
    </row>
    <row r="4148" spans="1:5">
      <c r="A4148" s="20" t="str">
        <v>00:00:00</v>
      </c>
      <c r="B4148" s="19">
        <v>0</v>
      </c>
      <c r="C4148" s="21">
        <v>0</v>
      </c>
      <c r="D4148" s="20" t="str">
        <v>未匹配</v>
      </c>
      <c r="E4148" s="20">
        <v>0</v>
      </c>
    </row>
    <row r="4149" spans="1:5">
      <c r="A4149" s="20" t="str">
        <v>00:00:00</v>
      </c>
      <c r="B4149" s="19">
        <v>0</v>
      </c>
      <c r="C4149" s="21">
        <v>0</v>
      </c>
      <c r="D4149" s="20" t="str">
        <v>未匹配</v>
      </c>
      <c r="E4149" s="20">
        <v>0</v>
      </c>
    </row>
    <row r="4150" spans="1:5">
      <c r="A4150" s="20" t="str">
        <v>00:00:00</v>
      </c>
      <c r="B4150" s="19">
        <v>0</v>
      </c>
      <c r="C4150" s="21">
        <v>0</v>
      </c>
      <c r="D4150" s="20" t="str">
        <v>未匹配</v>
      </c>
      <c r="E4150" s="20">
        <v>0</v>
      </c>
    </row>
    <row r="4151" spans="1:5">
      <c r="A4151" s="20" t="str">
        <v>00:00:00</v>
      </c>
      <c r="B4151" s="19">
        <v>0</v>
      </c>
      <c r="C4151" s="21">
        <v>0</v>
      </c>
      <c r="D4151" s="20" t="str">
        <v>未匹配</v>
      </c>
      <c r="E4151" s="20">
        <v>0</v>
      </c>
    </row>
    <row r="4152" spans="1:5">
      <c r="A4152" s="20" t="str">
        <v>00:00:00</v>
      </c>
      <c r="B4152" s="19">
        <v>0</v>
      </c>
      <c r="C4152" s="21">
        <v>0</v>
      </c>
      <c r="D4152" s="20" t="str">
        <v>未匹配</v>
      </c>
      <c r="E4152" s="20">
        <v>0</v>
      </c>
    </row>
    <row r="4153" spans="1:5">
      <c r="A4153" s="20" t="str">
        <v>00:00:00</v>
      </c>
      <c r="B4153" s="19">
        <v>0</v>
      </c>
      <c r="C4153" s="21">
        <v>0</v>
      </c>
      <c r="D4153" s="20" t="str">
        <v>未匹配</v>
      </c>
      <c r="E4153" s="20">
        <v>0</v>
      </c>
    </row>
    <row r="4154" spans="1:5">
      <c r="A4154" s="20" t="str">
        <v>00:00:00</v>
      </c>
      <c r="B4154" s="19">
        <v>0</v>
      </c>
      <c r="C4154" s="21">
        <v>0</v>
      </c>
      <c r="D4154" s="20" t="str">
        <v>未匹配</v>
      </c>
      <c r="E4154" s="20">
        <v>0</v>
      </c>
    </row>
    <row r="4155" spans="1:5">
      <c r="A4155" s="20" t="str">
        <v>00:00:00</v>
      </c>
      <c r="B4155" s="19">
        <v>0</v>
      </c>
      <c r="C4155" s="21">
        <v>0</v>
      </c>
      <c r="D4155" s="20" t="str">
        <v>未匹配</v>
      </c>
      <c r="E4155" s="20">
        <v>0</v>
      </c>
    </row>
    <row r="4156" spans="1:5">
      <c r="A4156" s="20" t="str">
        <v>00:00:00</v>
      </c>
      <c r="B4156" s="19">
        <v>0</v>
      </c>
      <c r="C4156" s="21">
        <v>0</v>
      </c>
      <c r="D4156" s="20" t="str">
        <v>未匹配</v>
      </c>
      <c r="E4156" s="20">
        <v>0</v>
      </c>
    </row>
    <row r="4157" spans="1:5">
      <c r="A4157" s="20" t="str">
        <v>00:00:00</v>
      </c>
      <c r="B4157" s="19">
        <v>0</v>
      </c>
      <c r="C4157" s="21">
        <v>0</v>
      </c>
      <c r="D4157" s="20" t="str">
        <v>未匹配</v>
      </c>
      <c r="E4157" s="20">
        <v>0</v>
      </c>
    </row>
    <row r="4158" spans="1:5">
      <c r="A4158" s="20" t="str">
        <v>00:00:00</v>
      </c>
      <c r="B4158" s="19">
        <v>0</v>
      </c>
      <c r="C4158" s="21">
        <v>0</v>
      </c>
      <c r="D4158" s="20" t="str">
        <v>未匹配</v>
      </c>
      <c r="E4158" s="20">
        <v>0</v>
      </c>
    </row>
    <row r="4159" spans="1:5">
      <c r="A4159" s="20" t="str">
        <v>00:00:00</v>
      </c>
      <c r="B4159" s="19">
        <v>0</v>
      </c>
      <c r="C4159" s="21">
        <v>0</v>
      </c>
      <c r="D4159" s="20" t="str">
        <v>未匹配</v>
      </c>
      <c r="E4159" s="20">
        <v>0</v>
      </c>
    </row>
    <row r="4160" spans="1:5">
      <c r="A4160" s="20" t="str">
        <v>00:00:00</v>
      </c>
      <c r="B4160" s="19">
        <v>0</v>
      </c>
      <c r="C4160" s="21">
        <v>0</v>
      </c>
      <c r="D4160" s="20" t="str">
        <v>未匹配</v>
      </c>
      <c r="E4160" s="20">
        <v>0</v>
      </c>
    </row>
    <row r="4161" spans="1:5">
      <c r="A4161" s="20" t="str">
        <v>00:00:00</v>
      </c>
      <c r="B4161" s="19">
        <v>0</v>
      </c>
      <c r="C4161" s="21">
        <v>0</v>
      </c>
      <c r="D4161" s="20" t="str">
        <v>未匹配</v>
      </c>
      <c r="E4161" s="20">
        <v>0</v>
      </c>
    </row>
    <row r="4162" spans="1:5">
      <c r="A4162" s="20" t="str">
        <v>00:00:00</v>
      </c>
      <c r="B4162" s="19">
        <v>0</v>
      </c>
      <c r="C4162" s="21">
        <v>0</v>
      </c>
      <c r="D4162" s="20" t="str">
        <v>未匹配</v>
      </c>
      <c r="E4162" s="20">
        <v>0</v>
      </c>
    </row>
    <row r="4163" spans="1:5">
      <c r="A4163" s="20" t="str">
        <v>00:00:00</v>
      </c>
      <c r="B4163" s="19">
        <v>0</v>
      </c>
      <c r="C4163" s="21">
        <v>0</v>
      </c>
      <c r="D4163" s="20" t="str">
        <v>未匹配</v>
      </c>
      <c r="E4163" s="20">
        <v>0</v>
      </c>
    </row>
    <row r="4164" spans="1:5">
      <c r="A4164" s="20" t="str">
        <v>00:00:00</v>
      </c>
      <c r="B4164" s="19">
        <v>0</v>
      </c>
      <c r="C4164" s="21">
        <v>0</v>
      </c>
      <c r="D4164" s="20" t="str">
        <v>未匹配</v>
      </c>
      <c r="E4164" s="20">
        <v>0</v>
      </c>
    </row>
    <row r="4165" spans="1:5">
      <c r="A4165" s="20" t="str">
        <v>00:00:00</v>
      </c>
      <c r="B4165" s="19">
        <v>0</v>
      </c>
      <c r="C4165" s="21">
        <v>0</v>
      </c>
      <c r="D4165" s="20" t="str">
        <v>未匹配</v>
      </c>
      <c r="E4165" s="20">
        <v>0</v>
      </c>
    </row>
    <row r="4166" spans="1:5">
      <c r="A4166" s="20" t="str">
        <v>00:00:00</v>
      </c>
      <c r="B4166" s="19">
        <v>0</v>
      </c>
      <c r="C4166" s="21">
        <v>0</v>
      </c>
      <c r="D4166" s="20" t="str">
        <v>未匹配</v>
      </c>
      <c r="E4166" s="20">
        <v>0</v>
      </c>
    </row>
    <row r="4167" spans="1:5">
      <c r="A4167" s="20" t="str">
        <v>00:00:00</v>
      </c>
      <c r="B4167" s="19">
        <v>0</v>
      </c>
      <c r="C4167" s="21">
        <v>0</v>
      </c>
      <c r="D4167" s="20" t="str">
        <v>未匹配</v>
      </c>
      <c r="E4167" s="20">
        <v>0</v>
      </c>
    </row>
    <row r="4168" spans="1:5">
      <c r="A4168" s="20" t="str">
        <v>00:00:00</v>
      </c>
      <c r="B4168" s="19">
        <v>0</v>
      </c>
      <c r="C4168" s="21">
        <v>0</v>
      </c>
      <c r="D4168" s="20" t="str">
        <v>未匹配</v>
      </c>
      <c r="E4168" s="20">
        <v>0</v>
      </c>
    </row>
    <row r="4169" spans="1:5">
      <c r="A4169" s="20" t="str">
        <v>00:00:00</v>
      </c>
      <c r="B4169" s="19">
        <v>0</v>
      </c>
      <c r="C4169" s="21">
        <v>0</v>
      </c>
      <c r="D4169" s="20" t="str">
        <v>未匹配</v>
      </c>
      <c r="E4169" s="20">
        <v>0</v>
      </c>
    </row>
    <row r="4170" spans="1:5">
      <c r="A4170" s="20" t="str">
        <v>00:00:00</v>
      </c>
      <c r="B4170" s="19">
        <v>0</v>
      </c>
      <c r="C4170" s="21">
        <v>0</v>
      </c>
      <c r="D4170" s="20" t="str">
        <v>未匹配</v>
      </c>
      <c r="E4170" s="20">
        <v>0</v>
      </c>
    </row>
    <row r="4171" spans="1:5">
      <c r="A4171" s="20" t="str">
        <v>00:00:00</v>
      </c>
      <c r="B4171" s="19">
        <v>0</v>
      </c>
      <c r="C4171" s="21">
        <v>0</v>
      </c>
      <c r="D4171" s="20" t="str">
        <v>未匹配</v>
      </c>
      <c r="E4171" s="20">
        <v>0</v>
      </c>
    </row>
    <row r="4172" spans="1:5">
      <c r="A4172" s="20" t="str">
        <v>00:00:00</v>
      </c>
      <c r="B4172" s="19">
        <v>0</v>
      </c>
      <c r="C4172" s="21">
        <v>0</v>
      </c>
      <c r="D4172" s="20" t="str">
        <v>未匹配</v>
      </c>
      <c r="E4172" s="20">
        <v>0</v>
      </c>
    </row>
    <row r="4173" spans="1:5">
      <c r="A4173" s="20" t="str">
        <v>00:00:00</v>
      </c>
      <c r="B4173" s="19">
        <v>0</v>
      </c>
      <c r="C4173" s="21">
        <v>0</v>
      </c>
      <c r="D4173" s="20" t="str">
        <v>未匹配</v>
      </c>
      <c r="E4173" s="20">
        <v>0</v>
      </c>
    </row>
    <row r="4174" spans="1:5">
      <c r="A4174" s="20" t="str">
        <v>00:00:00</v>
      </c>
      <c r="B4174" s="19">
        <v>0</v>
      </c>
      <c r="C4174" s="21">
        <v>0</v>
      </c>
      <c r="D4174" s="20" t="str">
        <v>未匹配</v>
      </c>
      <c r="E4174" s="20">
        <v>0</v>
      </c>
    </row>
    <row r="4175" spans="1:5">
      <c r="A4175" s="20" t="str">
        <v>00:00:00</v>
      </c>
      <c r="B4175" s="19">
        <v>0</v>
      </c>
      <c r="C4175" s="21">
        <v>0</v>
      </c>
      <c r="D4175" s="20" t="str">
        <v>未匹配</v>
      </c>
      <c r="E4175" s="20">
        <v>0</v>
      </c>
    </row>
    <row r="4176" spans="1:5">
      <c r="A4176" s="20" t="str">
        <v>00:00:00</v>
      </c>
      <c r="B4176" s="19">
        <v>0</v>
      </c>
      <c r="C4176" s="21">
        <v>0</v>
      </c>
      <c r="D4176" s="20" t="str">
        <v>未匹配</v>
      </c>
      <c r="E4176" s="20">
        <v>0</v>
      </c>
    </row>
    <row r="4177" spans="1:5">
      <c r="A4177" s="20" t="str">
        <v>00:00:00</v>
      </c>
      <c r="B4177" s="19">
        <v>0</v>
      </c>
      <c r="C4177" s="21">
        <v>0</v>
      </c>
      <c r="D4177" s="20" t="str">
        <v>未匹配</v>
      </c>
      <c r="E4177" s="20">
        <v>0</v>
      </c>
    </row>
    <row r="4178" spans="1:5">
      <c r="A4178" s="20" t="str">
        <v>00:00:00</v>
      </c>
      <c r="B4178" s="19">
        <v>0</v>
      </c>
      <c r="C4178" s="21">
        <v>0</v>
      </c>
      <c r="D4178" s="20" t="str">
        <v>未匹配</v>
      </c>
      <c r="E4178" s="20">
        <v>0</v>
      </c>
    </row>
    <row r="4179" spans="1:5">
      <c r="A4179" s="20" t="str">
        <v>00:00:00</v>
      </c>
      <c r="B4179" s="19">
        <v>0</v>
      </c>
      <c r="C4179" s="21">
        <v>0</v>
      </c>
      <c r="D4179" s="20" t="str">
        <v>未匹配</v>
      </c>
      <c r="E4179" s="20">
        <v>0</v>
      </c>
    </row>
    <row r="4180" spans="1:5">
      <c r="A4180" s="20" t="str">
        <v>00:00:00</v>
      </c>
      <c r="B4180" s="19">
        <v>0</v>
      </c>
      <c r="C4180" s="21">
        <v>0</v>
      </c>
      <c r="D4180" s="20" t="str">
        <v>未匹配</v>
      </c>
      <c r="E4180" s="20">
        <v>0</v>
      </c>
    </row>
    <row r="4181" spans="1:5">
      <c r="A4181" s="20" t="str">
        <v>00:00:00</v>
      </c>
      <c r="B4181" s="19">
        <v>0</v>
      </c>
      <c r="C4181" s="21">
        <v>0</v>
      </c>
      <c r="D4181" s="20" t="str">
        <v>未匹配</v>
      </c>
      <c r="E4181" s="20">
        <v>0</v>
      </c>
    </row>
    <row r="4182" spans="1:5">
      <c r="A4182" s="20" t="str">
        <v>00:00:00</v>
      </c>
      <c r="B4182" s="19">
        <v>0</v>
      </c>
      <c r="C4182" s="21">
        <v>0</v>
      </c>
      <c r="D4182" s="20" t="str">
        <v>未匹配</v>
      </c>
      <c r="E4182" s="20">
        <v>0</v>
      </c>
    </row>
    <row r="4183" spans="1:5">
      <c r="A4183" s="20" t="str">
        <v>00:00:00</v>
      </c>
      <c r="B4183" s="19">
        <v>0</v>
      </c>
      <c r="C4183" s="21">
        <v>0</v>
      </c>
      <c r="D4183" s="20" t="str">
        <v>未匹配</v>
      </c>
      <c r="E4183" s="20">
        <v>0</v>
      </c>
    </row>
    <row r="4184" spans="1:5">
      <c r="A4184" s="20" t="str">
        <v>00:00:00</v>
      </c>
      <c r="B4184" s="19">
        <v>0</v>
      </c>
      <c r="C4184" s="21">
        <v>0</v>
      </c>
      <c r="D4184" s="20" t="str">
        <v>未匹配</v>
      </c>
      <c r="E4184" s="20">
        <v>0</v>
      </c>
    </row>
    <row r="4185" spans="1:5">
      <c r="A4185" s="20" t="str">
        <v>00:00:00</v>
      </c>
      <c r="B4185" s="19">
        <v>0</v>
      </c>
      <c r="C4185" s="21">
        <v>0</v>
      </c>
      <c r="D4185" s="20" t="str">
        <v>未匹配</v>
      </c>
      <c r="E4185" s="20">
        <v>0</v>
      </c>
    </row>
    <row r="4186" spans="1:5">
      <c r="A4186" s="20" t="str">
        <v>00:00:00</v>
      </c>
      <c r="B4186" s="19">
        <v>0</v>
      </c>
      <c r="C4186" s="21">
        <v>0</v>
      </c>
      <c r="D4186" s="20" t="str">
        <v>未匹配</v>
      </c>
      <c r="E4186" s="20">
        <v>0</v>
      </c>
    </row>
    <row r="4187" spans="1:5">
      <c r="A4187" s="20" t="str">
        <v>00:00:00</v>
      </c>
      <c r="B4187" s="19">
        <v>0</v>
      </c>
      <c r="C4187" s="21">
        <v>0</v>
      </c>
      <c r="D4187" s="20" t="str">
        <v>未匹配</v>
      </c>
      <c r="E4187" s="20">
        <v>0</v>
      </c>
    </row>
    <row r="4188" spans="1:5">
      <c r="A4188" s="20" t="str">
        <v>00:00:00</v>
      </c>
      <c r="B4188" s="19">
        <v>0</v>
      </c>
      <c r="C4188" s="21">
        <v>0</v>
      </c>
      <c r="D4188" s="20" t="str">
        <v>未匹配</v>
      </c>
      <c r="E4188" s="20">
        <v>0</v>
      </c>
    </row>
    <row r="4189" spans="1:5">
      <c r="A4189" s="20" t="str">
        <v>00:00:00</v>
      </c>
      <c r="B4189" s="19">
        <v>0</v>
      </c>
      <c r="C4189" s="21">
        <v>0</v>
      </c>
      <c r="D4189" s="20" t="str">
        <v>未匹配</v>
      </c>
      <c r="E4189" s="20">
        <v>0</v>
      </c>
    </row>
    <row r="4190" spans="1:5">
      <c r="A4190" s="20" t="str">
        <v>00:00:00</v>
      </c>
      <c r="B4190" s="19">
        <v>0</v>
      </c>
      <c r="C4190" s="21">
        <v>0</v>
      </c>
      <c r="D4190" s="20" t="str">
        <v>未匹配</v>
      </c>
      <c r="E4190" s="20">
        <v>0</v>
      </c>
    </row>
    <row r="4191" spans="1:5">
      <c r="A4191" s="20" t="str">
        <v>00:00:00</v>
      </c>
      <c r="B4191" s="19">
        <v>0</v>
      </c>
      <c r="C4191" s="21">
        <v>0</v>
      </c>
      <c r="D4191" s="20" t="str">
        <v>未匹配</v>
      </c>
      <c r="E4191" s="20">
        <v>0</v>
      </c>
    </row>
    <row r="4192" spans="1:5">
      <c r="A4192" s="20" t="str">
        <v>00:00:00</v>
      </c>
      <c r="B4192" s="19">
        <v>0</v>
      </c>
      <c r="C4192" s="21">
        <v>0</v>
      </c>
      <c r="D4192" s="20" t="str">
        <v>未匹配</v>
      </c>
      <c r="E4192" s="20">
        <v>0</v>
      </c>
    </row>
    <row r="4193" spans="1:5">
      <c r="A4193" s="20" t="str">
        <v>00:00:00</v>
      </c>
      <c r="B4193" s="19">
        <v>0</v>
      </c>
      <c r="C4193" s="21">
        <v>0</v>
      </c>
      <c r="D4193" s="20" t="str">
        <v>未匹配</v>
      </c>
      <c r="E4193" s="20">
        <v>0</v>
      </c>
    </row>
    <row r="4194" spans="1:5">
      <c r="A4194" s="20" t="str">
        <v>00:00:00</v>
      </c>
      <c r="B4194" s="19">
        <v>0</v>
      </c>
      <c r="C4194" s="21">
        <v>0</v>
      </c>
      <c r="D4194" s="20" t="str">
        <v>未匹配</v>
      </c>
      <c r="E4194" s="20">
        <v>0</v>
      </c>
    </row>
    <row r="4195" spans="1:5">
      <c r="A4195" s="20" t="str">
        <v>00:00:00</v>
      </c>
      <c r="B4195" s="19">
        <v>0</v>
      </c>
      <c r="C4195" s="21">
        <v>0</v>
      </c>
      <c r="D4195" s="20" t="str">
        <v>未匹配</v>
      </c>
      <c r="E4195" s="20">
        <v>0</v>
      </c>
    </row>
    <row r="4196" spans="1:5">
      <c r="A4196" s="20" t="str">
        <v>00:00:00</v>
      </c>
      <c r="B4196" s="19">
        <v>0</v>
      </c>
      <c r="C4196" s="21">
        <v>0</v>
      </c>
      <c r="D4196" s="20" t="str">
        <v>未匹配</v>
      </c>
      <c r="E4196" s="20">
        <v>0</v>
      </c>
    </row>
    <row r="4197" spans="1:5">
      <c r="A4197" s="20" t="str">
        <v>00:00:00</v>
      </c>
      <c r="B4197" s="19">
        <v>0</v>
      </c>
      <c r="C4197" s="21">
        <v>0</v>
      </c>
      <c r="D4197" s="20" t="str">
        <v>未匹配</v>
      </c>
      <c r="E4197" s="20">
        <v>0</v>
      </c>
    </row>
    <row r="4198" spans="1:5">
      <c r="A4198" s="20" t="str">
        <v>00:00:00</v>
      </c>
      <c r="B4198" s="19">
        <v>0</v>
      </c>
      <c r="C4198" s="21">
        <v>0</v>
      </c>
      <c r="D4198" s="20" t="str">
        <v>未匹配</v>
      </c>
      <c r="E4198" s="20">
        <v>0</v>
      </c>
    </row>
    <row r="4199" spans="1:5">
      <c r="A4199" s="20" t="str">
        <v>00:00:00</v>
      </c>
      <c r="B4199" s="19">
        <v>0</v>
      </c>
      <c r="C4199" s="21">
        <v>0</v>
      </c>
      <c r="D4199" s="20" t="str">
        <v>未匹配</v>
      </c>
      <c r="E4199" s="20">
        <v>0</v>
      </c>
    </row>
    <row r="4200" spans="1:5">
      <c r="A4200" s="20" t="str">
        <v>00:00:00</v>
      </c>
      <c r="B4200" s="19">
        <v>0</v>
      </c>
      <c r="C4200" s="21">
        <v>0</v>
      </c>
      <c r="D4200" s="20" t="str">
        <v>未匹配</v>
      </c>
      <c r="E4200" s="20">
        <v>0</v>
      </c>
    </row>
    <row r="4201" spans="1:5">
      <c r="A4201" s="20" t="str">
        <v>00:00:00</v>
      </c>
      <c r="B4201" s="19">
        <v>0</v>
      </c>
      <c r="C4201" s="21">
        <v>0</v>
      </c>
      <c r="D4201" s="20" t="str">
        <v>未匹配</v>
      </c>
      <c r="E4201" s="20">
        <v>0</v>
      </c>
    </row>
    <row r="4202" spans="1:5">
      <c r="A4202" s="20" t="str">
        <v>00:00:00</v>
      </c>
      <c r="B4202" s="19">
        <v>0</v>
      </c>
      <c r="C4202" s="21">
        <v>0</v>
      </c>
      <c r="D4202" s="20" t="str">
        <v>未匹配</v>
      </c>
      <c r="E4202" s="20">
        <v>0</v>
      </c>
    </row>
    <row r="4203" spans="1:5">
      <c r="A4203" s="20" t="str">
        <v>00:00:00</v>
      </c>
      <c r="B4203" s="19">
        <v>0</v>
      </c>
      <c r="C4203" s="21">
        <v>0</v>
      </c>
      <c r="D4203" s="20" t="str">
        <v>未匹配</v>
      </c>
      <c r="E4203" s="20">
        <v>0</v>
      </c>
    </row>
    <row r="4204" spans="1:5">
      <c r="A4204" s="20" t="str">
        <v>00:00:00</v>
      </c>
      <c r="B4204" s="19">
        <v>0</v>
      </c>
      <c r="C4204" s="21">
        <v>0</v>
      </c>
      <c r="D4204" s="20" t="str">
        <v>未匹配</v>
      </c>
      <c r="E4204" s="20">
        <v>0</v>
      </c>
    </row>
    <row r="4205" spans="1:5">
      <c r="A4205" s="20" t="str">
        <v>00:00:00</v>
      </c>
      <c r="B4205" s="19">
        <v>0</v>
      </c>
      <c r="C4205" s="21">
        <v>0</v>
      </c>
      <c r="D4205" s="20" t="str">
        <v>未匹配</v>
      </c>
      <c r="E4205" s="20">
        <v>0</v>
      </c>
    </row>
    <row r="4206" spans="1:5">
      <c r="A4206" s="20" t="str">
        <v>00:00:00</v>
      </c>
      <c r="B4206" s="19">
        <v>0</v>
      </c>
      <c r="C4206" s="21">
        <v>0</v>
      </c>
      <c r="D4206" s="20" t="str">
        <v>未匹配</v>
      </c>
      <c r="E4206" s="20">
        <v>0</v>
      </c>
    </row>
    <row r="4207" spans="1:5">
      <c r="A4207" s="20" t="str">
        <v>00:00:00</v>
      </c>
      <c r="B4207" s="19">
        <v>0</v>
      </c>
      <c r="C4207" s="21">
        <v>0</v>
      </c>
      <c r="D4207" s="20" t="str">
        <v>未匹配</v>
      </c>
      <c r="E4207" s="20">
        <v>0</v>
      </c>
    </row>
    <row r="4208" spans="1:5">
      <c r="A4208" s="20" t="str">
        <v>00:00:00</v>
      </c>
      <c r="B4208" s="19">
        <v>0</v>
      </c>
      <c r="C4208" s="21">
        <v>0</v>
      </c>
      <c r="D4208" s="20" t="str">
        <v>未匹配</v>
      </c>
      <c r="E4208" s="20">
        <v>0</v>
      </c>
    </row>
    <row r="4209" spans="1:5">
      <c r="A4209" s="20" t="str">
        <v>00:00:00</v>
      </c>
      <c r="B4209" s="19">
        <v>0</v>
      </c>
      <c r="C4209" s="21">
        <v>0</v>
      </c>
      <c r="D4209" s="20" t="str">
        <v>未匹配</v>
      </c>
      <c r="E4209" s="20">
        <v>0</v>
      </c>
    </row>
    <row r="4210" spans="1:5">
      <c r="A4210" s="20" t="str">
        <v>00:00:00</v>
      </c>
      <c r="B4210" s="19">
        <v>0</v>
      </c>
      <c r="C4210" s="21">
        <v>0</v>
      </c>
      <c r="D4210" s="20" t="str">
        <v>未匹配</v>
      </c>
      <c r="E4210" s="20">
        <v>0</v>
      </c>
    </row>
    <row r="4211" spans="1:5">
      <c r="A4211" s="20" t="str">
        <v>00:00:00</v>
      </c>
      <c r="B4211" s="19">
        <v>0</v>
      </c>
      <c r="C4211" s="21">
        <v>0</v>
      </c>
      <c r="D4211" s="20" t="str">
        <v>未匹配</v>
      </c>
      <c r="E4211" s="20">
        <v>0</v>
      </c>
    </row>
    <row r="4212" spans="1:5">
      <c r="A4212" s="20" t="str">
        <v>00:00:00</v>
      </c>
      <c r="B4212" s="19">
        <v>0</v>
      </c>
      <c r="C4212" s="21">
        <v>0</v>
      </c>
      <c r="D4212" s="20" t="str">
        <v>未匹配</v>
      </c>
      <c r="E4212" s="20">
        <v>0</v>
      </c>
    </row>
    <row r="4213" spans="1:5">
      <c r="A4213" s="20" t="str">
        <v>00:00:00</v>
      </c>
      <c r="B4213" s="19">
        <v>0</v>
      </c>
      <c r="C4213" s="21">
        <v>0</v>
      </c>
      <c r="D4213" s="20" t="str">
        <v>未匹配</v>
      </c>
      <c r="E4213" s="20">
        <v>0</v>
      </c>
    </row>
    <row r="4214" spans="1:5">
      <c r="A4214" s="20" t="str">
        <v>00:00:00</v>
      </c>
      <c r="B4214" s="19">
        <v>0</v>
      </c>
      <c r="C4214" s="21">
        <v>0</v>
      </c>
      <c r="D4214" s="20" t="str">
        <v>未匹配</v>
      </c>
      <c r="E4214" s="20">
        <v>0</v>
      </c>
    </row>
    <row r="4215" spans="1:5">
      <c r="A4215" s="20" t="str">
        <v>00:00:00</v>
      </c>
      <c r="B4215" s="19">
        <v>0</v>
      </c>
      <c r="C4215" s="21">
        <v>0</v>
      </c>
      <c r="D4215" s="20" t="str">
        <v>未匹配</v>
      </c>
      <c r="E4215" s="20">
        <v>0</v>
      </c>
    </row>
    <row r="4216" spans="1:5">
      <c r="A4216" s="20" t="str">
        <v>00:00:00</v>
      </c>
      <c r="B4216" s="19">
        <v>0</v>
      </c>
      <c r="C4216" s="21">
        <v>0</v>
      </c>
      <c r="D4216" s="20" t="str">
        <v>未匹配</v>
      </c>
      <c r="E4216" s="20">
        <v>0</v>
      </c>
    </row>
    <row r="4217" spans="1:5">
      <c r="A4217" s="20" t="str">
        <v>00:00:00</v>
      </c>
      <c r="B4217" s="19">
        <v>0</v>
      </c>
      <c r="C4217" s="21">
        <v>0</v>
      </c>
      <c r="D4217" s="20" t="str">
        <v>未匹配</v>
      </c>
      <c r="E4217" s="20">
        <v>0</v>
      </c>
    </row>
    <row r="4218" spans="1:5">
      <c r="A4218" s="20" t="str">
        <v>00:00:00</v>
      </c>
      <c r="B4218" s="19">
        <v>0</v>
      </c>
      <c r="C4218" s="21">
        <v>0</v>
      </c>
      <c r="D4218" s="20" t="str">
        <v>未匹配</v>
      </c>
      <c r="E4218" s="20">
        <v>0</v>
      </c>
    </row>
    <row r="4219" spans="1:5">
      <c r="A4219" s="20" t="str">
        <v>00:00:00</v>
      </c>
      <c r="B4219" s="19">
        <v>0</v>
      </c>
      <c r="C4219" s="21">
        <v>0</v>
      </c>
      <c r="D4219" s="20" t="str">
        <v>未匹配</v>
      </c>
      <c r="E4219" s="20">
        <v>0</v>
      </c>
    </row>
    <row r="4220" spans="1:5">
      <c r="A4220" s="20" t="str">
        <v>00:00:00</v>
      </c>
      <c r="B4220" s="19">
        <v>0</v>
      </c>
      <c r="C4220" s="21">
        <v>0</v>
      </c>
      <c r="D4220" s="20" t="str">
        <v>未匹配</v>
      </c>
      <c r="E4220" s="20">
        <v>0</v>
      </c>
    </row>
    <row r="4221" spans="1:5">
      <c r="A4221" s="20" t="str">
        <v>00:00:00</v>
      </c>
      <c r="B4221" s="19">
        <v>0</v>
      </c>
      <c r="C4221" s="21">
        <v>0</v>
      </c>
      <c r="D4221" s="20" t="str">
        <v>未匹配</v>
      </c>
      <c r="E4221" s="20">
        <v>0</v>
      </c>
    </row>
    <row r="4222" spans="1:5">
      <c r="A4222" s="20" t="str">
        <v>00:00:00</v>
      </c>
      <c r="B4222" s="19">
        <v>0</v>
      </c>
      <c r="C4222" s="21">
        <v>0</v>
      </c>
      <c r="D4222" s="20" t="str">
        <v>未匹配</v>
      </c>
      <c r="E4222" s="20">
        <v>0</v>
      </c>
    </row>
    <row r="4223" spans="1:5">
      <c r="A4223" s="20" t="str">
        <v>00:00:00</v>
      </c>
      <c r="B4223" s="19">
        <v>0</v>
      </c>
      <c r="C4223" s="21">
        <v>0</v>
      </c>
      <c r="D4223" s="20" t="str">
        <v>未匹配</v>
      </c>
      <c r="E4223" s="20">
        <v>0</v>
      </c>
    </row>
    <row r="4224" spans="1:5">
      <c r="A4224" s="20" t="str">
        <v>00:00:00</v>
      </c>
      <c r="B4224" s="19">
        <v>0</v>
      </c>
      <c r="C4224" s="21">
        <v>0</v>
      </c>
      <c r="D4224" s="20" t="str">
        <v>未匹配</v>
      </c>
      <c r="E4224" s="20">
        <v>0</v>
      </c>
    </row>
    <row r="4225" spans="1:5">
      <c r="A4225" s="20" t="str">
        <v>00:00:00</v>
      </c>
      <c r="B4225" s="19">
        <v>0</v>
      </c>
      <c r="C4225" s="21">
        <v>0</v>
      </c>
      <c r="D4225" s="20" t="str">
        <v>未匹配</v>
      </c>
      <c r="E4225" s="20">
        <v>0</v>
      </c>
    </row>
    <row r="4226" spans="1:5">
      <c r="A4226" s="20" t="str">
        <v>00:00:00</v>
      </c>
      <c r="B4226" s="19">
        <v>0</v>
      </c>
      <c r="C4226" s="21">
        <v>0</v>
      </c>
      <c r="D4226" s="20" t="str">
        <v>未匹配</v>
      </c>
      <c r="E4226" s="20">
        <v>0</v>
      </c>
    </row>
    <row r="4227" spans="1:5">
      <c r="A4227" s="20" t="str">
        <v>00:00:00</v>
      </c>
      <c r="B4227" s="19">
        <v>0</v>
      </c>
      <c r="C4227" s="21">
        <v>0</v>
      </c>
      <c r="D4227" s="20" t="str">
        <v>未匹配</v>
      </c>
      <c r="E4227" s="20">
        <v>0</v>
      </c>
    </row>
    <row r="4228" spans="1:5">
      <c r="A4228" s="20" t="str">
        <v>00:00:00</v>
      </c>
      <c r="B4228" s="19">
        <v>0</v>
      </c>
      <c r="C4228" s="21">
        <v>0</v>
      </c>
      <c r="D4228" s="20" t="str">
        <v>未匹配</v>
      </c>
      <c r="E4228" s="20">
        <v>0</v>
      </c>
    </row>
    <row r="4229" spans="1:5">
      <c r="A4229" s="20" t="str">
        <v>00:00:00</v>
      </c>
      <c r="B4229" s="19">
        <v>0</v>
      </c>
      <c r="C4229" s="21">
        <v>0</v>
      </c>
      <c r="D4229" s="20" t="str">
        <v>未匹配</v>
      </c>
      <c r="E4229" s="20">
        <v>0</v>
      </c>
    </row>
    <row r="4230" spans="1:5">
      <c r="A4230" s="20" t="str">
        <v>00:00:00</v>
      </c>
      <c r="B4230" s="19">
        <v>0</v>
      </c>
      <c r="C4230" s="21">
        <v>0</v>
      </c>
      <c r="D4230" s="20" t="str">
        <v>未匹配</v>
      </c>
      <c r="E4230" s="20">
        <v>0</v>
      </c>
    </row>
    <row r="4231" spans="1:5">
      <c r="A4231" s="20" t="str">
        <v>00:00:00</v>
      </c>
      <c r="B4231" s="19">
        <v>0</v>
      </c>
      <c r="C4231" s="21">
        <v>0</v>
      </c>
      <c r="D4231" s="20" t="str">
        <v>未匹配</v>
      </c>
      <c r="E4231" s="20">
        <v>0</v>
      </c>
    </row>
    <row r="4232" spans="1:5">
      <c r="A4232" s="20" t="str">
        <v>00:00:00</v>
      </c>
      <c r="B4232" s="19">
        <v>0</v>
      </c>
      <c r="C4232" s="21">
        <v>0</v>
      </c>
      <c r="D4232" s="20" t="str">
        <v>未匹配</v>
      </c>
      <c r="E4232" s="20">
        <v>0</v>
      </c>
    </row>
    <row r="4233" spans="1:5">
      <c r="A4233" s="20" t="str">
        <v>00:00:00</v>
      </c>
      <c r="B4233" s="19">
        <v>0</v>
      </c>
      <c r="C4233" s="21">
        <v>0</v>
      </c>
      <c r="D4233" s="20" t="str">
        <v>未匹配</v>
      </c>
      <c r="E4233" s="20">
        <v>0</v>
      </c>
    </row>
    <row r="4234" spans="1:5">
      <c r="A4234" s="20" t="str">
        <v>00:00:00</v>
      </c>
      <c r="B4234" s="19">
        <v>0</v>
      </c>
      <c r="C4234" s="21">
        <v>0</v>
      </c>
      <c r="D4234" s="20" t="str">
        <v>未匹配</v>
      </c>
      <c r="E4234" s="20">
        <v>0</v>
      </c>
    </row>
    <row r="4235" spans="1:5">
      <c r="A4235" s="20" t="str">
        <v>00:00:00</v>
      </c>
      <c r="B4235" s="19">
        <v>0</v>
      </c>
      <c r="C4235" s="21">
        <v>0</v>
      </c>
      <c r="D4235" s="20" t="str">
        <v>未匹配</v>
      </c>
      <c r="E4235" s="20">
        <v>0</v>
      </c>
    </row>
    <row r="4236" spans="1:5">
      <c r="A4236" s="20" t="str">
        <v>00:00:00</v>
      </c>
      <c r="B4236" s="19">
        <v>0</v>
      </c>
      <c r="C4236" s="21">
        <v>0</v>
      </c>
      <c r="D4236" s="20" t="str">
        <v>未匹配</v>
      </c>
      <c r="E4236" s="20">
        <v>0</v>
      </c>
    </row>
    <row r="4237" spans="1:5">
      <c r="A4237" s="20" t="str">
        <v>00:00:00</v>
      </c>
      <c r="B4237" s="19">
        <v>0</v>
      </c>
      <c r="C4237" s="21">
        <v>0</v>
      </c>
      <c r="D4237" s="20" t="str">
        <v>未匹配</v>
      </c>
      <c r="E4237" s="20">
        <v>0</v>
      </c>
    </row>
    <row r="4238" spans="1:5">
      <c r="A4238" s="20" t="str">
        <v>00:00:00</v>
      </c>
      <c r="B4238" s="19">
        <v>0</v>
      </c>
      <c r="C4238" s="21">
        <v>0</v>
      </c>
      <c r="D4238" s="20" t="str">
        <v>未匹配</v>
      </c>
      <c r="E4238" s="20">
        <v>0</v>
      </c>
    </row>
    <row r="4239" spans="1:5">
      <c r="A4239" s="20" t="str">
        <v>00:00:00</v>
      </c>
      <c r="B4239" s="19">
        <v>0</v>
      </c>
      <c r="C4239" s="21">
        <v>0</v>
      </c>
      <c r="D4239" s="20" t="str">
        <v>未匹配</v>
      </c>
      <c r="E4239" s="20">
        <v>0</v>
      </c>
    </row>
    <row r="4240" spans="1:5">
      <c r="A4240" s="20" t="str">
        <v>00:00:00</v>
      </c>
      <c r="B4240" s="19">
        <v>0</v>
      </c>
      <c r="C4240" s="21">
        <v>0</v>
      </c>
      <c r="D4240" s="20" t="str">
        <v>未匹配</v>
      </c>
      <c r="E4240" s="20">
        <v>0</v>
      </c>
    </row>
    <row r="4241" spans="1:5">
      <c r="A4241" s="20" t="str">
        <v>00:00:00</v>
      </c>
      <c r="B4241" s="19">
        <v>0</v>
      </c>
      <c r="C4241" s="21">
        <v>0</v>
      </c>
      <c r="D4241" s="20" t="str">
        <v>未匹配</v>
      </c>
      <c r="E4241" s="20">
        <v>0</v>
      </c>
    </row>
    <row r="4242" spans="1:5">
      <c r="A4242" s="20" t="str">
        <v>00:00:00</v>
      </c>
      <c r="B4242" s="19">
        <v>0</v>
      </c>
      <c r="C4242" s="21">
        <v>0</v>
      </c>
      <c r="D4242" s="20" t="str">
        <v>未匹配</v>
      </c>
      <c r="E4242" s="20">
        <v>0</v>
      </c>
    </row>
    <row r="4243" spans="1:5">
      <c r="A4243" s="20" t="str">
        <v>00:00:00</v>
      </c>
      <c r="B4243" s="19">
        <v>0</v>
      </c>
      <c r="C4243" s="21">
        <v>0</v>
      </c>
      <c r="D4243" s="20" t="str">
        <v>未匹配</v>
      </c>
      <c r="E4243" s="20">
        <v>0</v>
      </c>
    </row>
    <row r="4244" spans="1:5">
      <c r="A4244" s="20" t="str">
        <v>00:00:00</v>
      </c>
      <c r="B4244" s="19">
        <v>0</v>
      </c>
      <c r="C4244" s="21">
        <v>0</v>
      </c>
      <c r="D4244" s="20" t="str">
        <v>未匹配</v>
      </c>
      <c r="E4244" s="20">
        <v>0</v>
      </c>
    </row>
    <row r="4245" spans="1:5">
      <c r="A4245" s="20" t="str">
        <v>00:00:00</v>
      </c>
      <c r="B4245" s="19">
        <v>0</v>
      </c>
      <c r="C4245" s="21">
        <v>0</v>
      </c>
      <c r="D4245" s="20" t="str">
        <v>未匹配</v>
      </c>
      <c r="E4245" s="20">
        <v>0</v>
      </c>
    </row>
    <row r="4246" spans="1:5">
      <c r="A4246" s="20" t="str">
        <v>00:00:00</v>
      </c>
      <c r="B4246" s="19">
        <v>0</v>
      </c>
      <c r="C4246" s="21">
        <v>0</v>
      </c>
      <c r="D4246" s="20" t="str">
        <v>未匹配</v>
      </c>
      <c r="E4246" s="20">
        <v>0</v>
      </c>
    </row>
    <row r="4247" spans="1:5">
      <c r="A4247" s="20" t="str">
        <v>00:00:00</v>
      </c>
      <c r="B4247" s="19">
        <v>0</v>
      </c>
      <c r="C4247" s="21">
        <v>0</v>
      </c>
      <c r="D4247" s="20" t="str">
        <v>未匹配</v>
      </c>
      <c r="E4247" s="20">
        <v>0</v>
      </c>
    </row>
    <row r="4248" spans="1:5">
      <c r="A4248" s="20" t="str">
        <v>00:00:00</v>
      </c>
      <c r="B4248" s="19">
        <v>0</v>
      </c>
      <c r="C4248" s="21">
        <v>0</v>
      </c>
      <c r="D4248" s="20" t="str">
        <v>未匹配</v>
      </c>
      <c r="E4248" s="20">
        <v>0</v>
      </c>
    </row>
    <row r="4249" spans="1:5">
      <c r="A4249" s="20" t="str">
        <v>00:00:00</v>
      </c>
      <c r="B4249" s="19">
        <v>0</v>
      </c>
      <c r="C4249" s="21">
        <v>0</v>
      </c>
      <c r="D4249" s="20" t="str">
        <v>未匹配</v>
      </c>
      <c r="E4249" s="20">
        <v>0</v>
      </c>
    </row>
    <row r="4250" spans="1:5">
      <c r="A4250" s="20" t="str">
        <v>00:00:00</v>
      </c>
      <c r="B4250" s="19">
        <v>0</v>
      </c>
      <c r="C4250" s="21">
        <v>0</v>
      </c>
      <c r="D4250" s="20" t="str">
        <v>未匹配</v>
      </c>
      <c r="E4250" s="20">
        <v>0</v>
      </c>
    </row>
    <row r="4251" spans="1:5">
      <c r="A4251" s="20" t="str">
        <v>00:00:00</v>
      </c>
      <c r="B4251" s="19">
        <v>0</v>
      </c>
      <c r="C4251" s="21">
        <v>0</v>
      </c>
      <c r="D4251" s="20" t="str">
        <v>未匹配</v>
      </c>
      <c r="E4251" s="20">
        <v>0</v>
      </c>
    </row>
    <row r="4252" spans="1:5">
      <c r="A4252" s="20" t="str">
        <v>00:00:00</v>
      </c>
      <c r="B4252" s="19">
        <v>0</v>
      </c>
      <c r="C4252" s="21">
        <v>0</v>
      </c>
      <c r="D4252" s="20" t="str">
        <v>未匹配</v>
      </c>
      <c r="E4252" s="20">
        <v>0</v>
      </c>
    </row>
    <row r="4253" spans="1:5">
      <c r="A4253" s="20" t="str">
        <v>00:00:00</v>
      </c>
      <c r="B4253" s="19">
        <v>0</v>
      </c>
      <c r="C4253" s="21">
        <v>0</v>
      </c>
      <c r="D4253" s="20" t="str">
        <v>未匹配</v>
      </c>
      <c r="E4253" s="20">
        <v>0</v>
      </c>
    </row>
    <row r="4254" spans="1:5">
      <c r="A4254" s="20" t="str">
        <v>00:00:00</v>
      </c>
      <c r="B4254" s="19">
        <v>0</v>
      </c>
      <c r="C4254" s="21">
        <v>0</v>
      </c>
      <c r="D4254" s="20" t="str">
        <v>未匹配</v>
      </c>
      <c r="E4254" s="20">
        <v>0</v>
      </c>
    </row>
    <row r="4255" spans="1:5">
      <c r="A4255" s="20" t="str">
        <v>00:00:00</v>
      </c>
      <c r="B4255" s="19">
        <v>0</v>
      </c>
      <c r="C4255" s="21">
        <v>0</v>
      </c>
      <c r="D4255" s="20" t="str">
        <v>未匹配</v>
      </c>
      <c r="E4255" s="20">
        <v>0</v>
      </c>
    </row>
    <row r="4256" spans="1:5">
      <c r="A4256" s="20" t="str">
        <v>00:00:00</v>
      </c>
      <c r="B4256" s="19">
        <v>0</v>
      </c>
      <c r="C4256" s="21">
        <v>0</v>
      </c>
      <c r="D4256" s="20" t="str">
        <v>未匹配</v>
      </c>
      <c r="E4256" s="20">
        <v>0</v>
      </c>
    </row>
    <row r="4257" spans="1:5">
      <c r="A4257" s="20" t="str">
        <v>00:00:00</v>
      </c>
      <c r="B4257" s="19">
        <v>0</v>
      </c>
      <c r="C4257" s="21">
        <v>0</v>
      </c>
      <c r="D4257" s="20" t="str">
        <v>未匹配</v>
      </c>
      <c r="E4257" s="20">
        <v>0</v>
      </c>
    </row>
    <row r="4258" spans="1:5">
      <c r="A4258" s="20" t="str">
        <v>00:00:00</v>
      </c>
      <c r="B4258" s="19">
        <v>0</v>
      </c>
      <c r="C4258" s="21">
        <v>0</v>
      </c>
      <c r="D4258" s="20" t="str">
        <v>未匹配</v>
      </c>
      <c r="E4258" s="20">
        <v>0</v>
      </c>
    </row>
    <row r="4259" spans="1:5">
      <c r="A4259" s="20" t="str">
        <v>00:00:00</v>
      </c>
      <c r="B4259" s="19">
        <v>0</v>
      </c>
      <c r="C4259" s="21">
        <v>0</v>
      </c>
      <c r="D4259" s="20" t="str">
        <v>未匹配</v>
      </c>
      <c r="E4259" s="20">
        <v>0</v>
      </c>
    </row>
    <row r="4260" spans="1:5">
      <c r="A4260" s="20" t="str">
        <v>00:00:00</v>
      </c>
      <c r="B4260" s="19">
        <v>0</v>
      </c>
      <c r="C4260" s="21">
        <v>0</v>
      </c>
      <c r="D4260" s="20" t="str">
        <v>未匹配</v>
      </c>
      <c r="E4260" s="20">
        <v>0</v>
      </c>
    </row>
    <row r="4261" spans="1:5">
      <c r="A4261" s="20" t="str">
        <v>00:00:00</v>
      </c>
      <c r="B4261" s="19">
        <v>0</v>
      </c>
      <c r="C4261" s="21">
        <v>0</v>
      </c>
      <c r="D4261" s="20" t="str">
        <v>未匹配</v>
      </c>
      <c r="E4261" s="20">
        <v>0</v>
      </c>
    </row>
    <row r="4262" spans="1:5">
      <c r="A4262" s="20" t="str">
        <v>00:00:00</v>
      </c>
      <c r="B4262" s="19">
        <v>0</v>
      </c>
      <c r="C4262" s="21">
        <v>0</v>
      </c>
      <c r="D4262" s="20" t="str">
        <v>未匹配</v>
      </c>
      <c r="E4262" s="20">
        <v>0</v>
      </c>
    </row>
    <row r="4263" spans="1:5">
      <c r="A4263" s="20" t="str">
        <v>00:00:00</v>
      </c>
      <c r="B4263" s="19">
        <v>0</v>
      </c>
      <c r="C4263" s="21">
        <v>0</v>
      </c>
      <c r="D4263" s="20" t="str">
        <v>未匹配</v>
      </c>
      <c r="E4263" s="20">
        <v>0</v>
      </c>
    </row>
    <row r="4264" spans="1:5">
      <c r="A4264" s="20" t="str">
        <v>00:00:00</v>
      </c>
      <c r="B4264" s="19">
        <v>0</v>
      </c>
      <c r="C4264" s="21">
        <v>0</v>
      </c>
      <c r="D4264" s="20" t="str">
        <v>未匹配</v>
      </c>
      <c r="E4264" s="20">
        <v>0</v>
      </c>
    </row>
    <row r="4265" spans="1:5">
      <c r="A4265" s="20" t="str">
        <v>00:00:00</v>
      </c>
      <c r="B4265" s="19">
        <v>0</v>
      </c>
      <c r="C4265" s="21">
        <v>0</v>
      </c>
      <c r="D4265" s="20" t="str">
        <v>未匹配</v>
      </c>
      <c r="E4265" s="20">
        <v>0</v>
      </c>
    </row>
    <row r="4266" spans="1:5">
      <c r="A4266" s="20" t="str">
        <v>00:00:00</v>
      </c>
      <c r="B4266" s="19">
        <v>0</v>
      </c>
      <c r="C4266" s="21">
        <v>0</v>
      </c>
      <c r="D4266" s="20" t="str">
        <v>未匹配</v>
      </c>
      <c r="E4266" s="20">
        <v>0</v>
      </c>
    </row>
    <row r="4267" spans="1:5">
      <c r="A4267" s="20" t="str">
        <v>00:00:00</v>
      </c>
      <c r="B4267" s="19">
        <v>0</v>
      </c>
      <c r="C4267" s="21">
        <v>0</v>
      </c>
      <c r="D4267" s="20" t="str">
        <v>未匹配</v>
      </c>
      <c r="E4267" s="20">
        <v>0</v>
      </c>
    </row>
    <row r="4268" spans="1:5">
      <c r="A4268" s="20" t="str">
        <v>00:00:00</v>
      </c>
      <c r="B4268" s="19">
        <v>0</v>
      </c>
      <c r="C4268" s="21">
        <v>0</v>
      </c>
      <c r="D4268" s="20" t="str">
        <v>未匹配</v>
      </c>
      <c r="E4268" s="20">
        <v>0</v>
      </c>
    </row>
    <row r="4269" spans="1:5">
      <c r="A4269" s="20" t="str">
        <v>00:00:00</v>
      </c>
      <c r="B4269" s="19">
        <v>0</v>
      </c>
      <c r="C4269" s="21">
        <v>0</v>
      </c>
      <c r="D4269" s="20" t="str">
        <v>未匹配</v>
      </c>
      <c r="E4269" s="20">
        <v>0</v>
      </c>
    </row>
    <row r="4270" spans="1:5">
      <c r="A4270" s="20" t="str">
        <v>00:00:00</v>
      </c>
      <c r="B4270" s="19">
        <v>0</v>
      </c>
      <c r="C4270" s="21">
        <v>0</v>
      </c>
      <c r="D4270" s="20" t="str">
        <v>未匹配</v>
      </c>
      <c r="E4270" s="20">
        <v>0</v>
      </c>
    </row>
    <row r="4271" spans="1:5">
      <c r="A4271" s="20" t="str">
        <v>00:00:00</v>
      </c>
      <c r="B4271" s="19">
        <v>0</v>
      </c>
      <c r="C4271" s="21">
        <v>0</v>
      </c>
      <c r="D4271" s="20" t="str">
        <v>未匹配</v>
      </c>
      <c r="E4271" s="20">
        <v>0</v>
      </c>
    </row>
    <row r="4272" spans="1:5">
      <c r="A4272" s="20" t="str">
        <v>00:00:00</v>
      </c>
      <c r="B4272" s="19">
        <v>0</v>
      </c>
      <c r="C4272" s="21">
        <v>0</v>
      </c>
      <c r="D4272" s="20" t="str">
        <v>未匹配</v>
      </c>
      <c r="E4272" s="20">
        <v>0</v>
      </c>
    </row>
    <row r="4273" spans="1:5">
      <c r="A4273" s="20" t="str">
        <v>00:00:00</v>
      </c>
      <c r="B4273" s="19">
        <v>0</v>
      </c>
      <c r="C4273" s="21">
        <v>0</v>
      </c>
      <c r="D4273" s="20" t="str">
        <v>未匹配</v>
      </c>
      <c r="E4273" s="20">
        <v>0</v>
      </c>
    </row>
    <row r="4274" spans="1:5">
      <c r="A4274" s="20" t="str">
        <v>00:00:00</v>
      </c>
      <c r="B4274" s="19">
        <v>0</v>
      </c>
      <c r="C4274" s="21">
        <v>0</v>
      </c>
      <c r="D4274" s="20" t="str">
        <v>未匹配</v>
      </c>
      <c r="E4274" s="20">
        <v>0</v>
      </c>
    </row>
    <row r="4275" spans="1:5">
      <c r="A4275" s="20" t="str">
        <v>00:00:00</v>
      </c>
      <c r="B4275" s="19">
        <v>0</v>
      </c>
      <c r="C4275" s="21">
        <v>0</v>
      </c>
      <c r="D4275" s="20" t="str">
        <v>未匹配</v>
      </c>
      <c r="E4275" s="20">
        <v>0</v>
      </c>
    </row>
    <row r="4276" spans="1:5">
      <c r="A4276" s="20" t="str">
        <v>00:00:00</v>
      </c>
      <c r="B4276" s="19">
        <v>0</v>
      </c>
      <c r="C4276" s="21">
        <v>0</v>
      </c>
      <c r="D4276" s="20" t="str">
        <v>未匹配</v>
      </c>
      <c r="E4276" s="20">
        <v>0</v>
      </c>
    </row>
    <row r="4277" spans="1:5">
      <c r="A4277" s="20" t="str">
        <v>00:00:00</v>
      </c>
      <c r="B4277" s="19">
        <v>0</v>
      </c>
      <c r="C4277" s="21">
        <v>0</v>
      </c>
      <c r="D4277" s="20" t="str">
        <v>未匹配</v>
      </c>
      <c r="E4277" s="20">
        <v>0</v>
      </c>
    </row>
    <row r="4278" spans="1:5">
      <c r="A4278" s="20" t="str">
        <v>00:00:00</v>
      </c>
      <c r="B4278" s="19">
        <v>0</v>
      </c>
      <c r="C4278" s="21">
        <v>0</v>
      </c>
      <c r="D4278" s="20" t="str">
        <v>未匹配</v>
      </c>
      <c r="E4278" s="20">
        <v>0</v>
      </c>
    </row>
    <row r="4279" spans="1:5">
      <c r="A4279" s="20" t="str">
        <v>00:00:00</v>
      </c>
      <c r="B4279" s="19">
        <v>0</v>
      </c>
      <c r="C4279" s="21">
        <v>0</v>
      </c>
      <c r="D4279" s="20" t="str">
        <v>未匹配</v>
      </c>
      <c r="E4279" s="20">
        <v>0</v>
      </c>
    </row>
    <row r="4280" spans="1:5">
      <c r="A4280" s="20" t="str">
        <v>00:00:00</v>
      </c>
      <c r="B4280" s="19">
        <v>0</v>
      </c>
      <c r="C4280" s="21">
        <v>0</v>
      </c>
      <c r="D4280" s="20" t="str">
        <v>未匹配</v>
      </c>
      <c r="E4280" s="20">
        <v>0</v>
      </c>
    </row>
    <row r="4281" spans="1:5">
      <c r="A4281" s="20" t="str">
        <v>00:00:00</v>
      </c>
      <c r="B4281" s="19">
        <v>0</v>
      </c>
      <c r="C4281" s="21">
        <v>0</v>
      </c>
      <c r="D4281" s="20" t="str">
        <v>未匹配</v>
      </c>
      <c r="E4281" s="20">
        <v>0</v>
      </c>
    </row>
    <row r="4282" spans="1:5">
      <c r="A4282" s="20" t="str">
        <v>00:00:00</v>
      </c>
      <c r="B4282" s="19">
        <v>0</v>
      </c>
      <c r="C4282" s="21">
        <v>0</v>
      </c>
      <c r="D4282" s="20" t="str">
        <v>未匹配</v>
      </c>
      <c r="E4282" s="20">
        <v>0</v>
      </c>
    </row>
    <row r="4283" spans="1:5">
      <c r="A4283" s="20" t="str">
        <v>00:00:00</v>
      </c>
      <c r="B4283" s="19">
        <v>0</v>
      </c>
      <c r="C4283" s="21">
        <v>0</v>
      </c>
      <c r="D4283" s="20" t="str">
        <v>未匹配</v>
      </c>
      <c r="E4283" s="20">
        <v>0</v>
      </c>
    </row>
    <row r="4284" spans="1:5">
      <c r="A4284" s="20" t="str">
        <v>00:00:00</v>
      </c>
      <c r="B4284" s="19">
        <v>0</v>
      </c>
      <c r="C4284" s="21">
        <v>0</v>
      </c>
      <c r="D4284" s="20" t="str">
        <v>未匹配</v>
      </c>
      <c r="E4284" s="20">
        <v>0</v>
      </c>
    </row>
    <row r="4285" spans="1:5">
      <c r="A4285" s="20" t="str">
        <v>00:00:00</v>
      </c>
      <c r="B4285" s="19">
        <v>0</v>
      </c>
      <c r="C4285" s="21">
        <v>0</v>
      </c>
      <c r="D4285" s="20" t="str">
        <v>未匹配</v>
      </c>
      <c r="E4285" s="20">
        <v>0</v>
      </c>
    </row>
    <row r="4286" spans="1:5">
      <c r="A4286" s="20" t="str">
        <v>00:00:00</v>
      </c>
      <c r="B4286" s="19">
        <v>0</v>
      </c>
      <c r="C4286" s="21">
        <v>0</v>
      </c>
      <c r="D4286" s="20" t="str">
        <v>未匹配</v>
      </c>
      <c r="E4286" s="20">
        <v>0</v>
      </c>
    </row>
    <row r="4287" spans="1:5">
      <c r="A4287" s="20" t="str">
        <v>00:00:00</v>
      </c>
      <c r="B4287" s="19">
        <v>0</v>
      </c>
      <c r="C4287" s="21">
        <v>0</v>
      </c>
      <c r="D4287" s="20" t="str">
        <v>未匹配</v>
      </c>
      <c r="E4287" s="20">
        <v>0</v>
      </c>
    </row>
    <row r="4288" spans="1:5">
      <c r="A4288" s="20" t="str">
        <v>00:00:00</v>
      </c>
      <c r="B4288" s="19">
        <v>0</v>
      </c>
      <c r="C4288" s="21">
        <v>0</v>
      </c>
      <c r="D4288" s="20" t="str">
        <v>未匹配</v>
      </c>
      <c r="E4288" s="20">
        <v>0</v>
      </c>
    </row>
    <row r="4289" spans="1:5">
      <c r="A4289" s="20" t="str">
        <v>00:00:00</v>
      </c>
      <c r="B4289" s="19">
        <v>0</v>
      </c>
      <c r="C4289" s="21">
        <v>0</v>
      </c>
      <c r="D4289" s="20" t="str">
        <v>未匹配</v>
      </c>
      <c r="E4289" s="20">
        <v>0</v>
      </c>
    </row>
    <row r="4290" spans="1:5">
      <c r="A4290" s="20" t="str">
        <v>00:00:00</v>
      </c>
      <c r="B4290" s="19">
        <v>0</v>
      </c>
      <c r="C4290" s="21">
        <v>0</v>
      </c>
      <c r="D4290" s="20" t="str">
        <v>未匹配</v>
      </c>
      <c r="E4290" s="20">
        <v>0</v>
      </c>
    </row>
    <row r="4291" spans="1:5">
      <c r="A4291" s="20" t="str">
        <v>00:00:00</v>
      </c>
      <c r="B4291" s="19">
        <v>0</v>
      </c>
      <c r="C4291" s="21">
        <v>0</v>
      </c>
      <c r="D4291" s="20" t="str">
        <v>未匹配</v>
      </c>
      <c r="E4291" s="20">
        <v>0</v>
      </c>
    </row>
    <row r="4292" spans="1:5">
      <c r="A4292" s="20" t="str">
        <v>00:00:00</v>
      </c>
      <c r="B4292" s="19">
        <v>0</v>
      </c>
      <c r="C4292" s="21">
        <v>0</v>
      </c>
      <c r="D4292" s="20" t="str">
        <v>未匹配</v>
      </c>
      <c r="E4292" s="20">
        <v>0</v>
      </c>
    </row>
    <row r="4293" spans="1:5">
      <c r="A4293" s="20" t="str">
        <v>00:00:00</v>
      </c>
      <c r="B4293" s="19">
        <v>0</v>
      </c>
      <c r="C4293" s="21">
        <v>0</v>
      </c>
      <c r="D4293" s="20" t="str">
        <v>未匹配</v>
      </c>
      <c r="E4293" s="20">
        <v>0</v>
      </c>
    </row>
    <row r="4294" spans="1:5">
      <c r="A4294" s="20" t="str">
        <v>00:00:00</v>
      </c>
      <c r="B4294" s="19">
        <v>0</v>
      </c>
      <c r="C4294" s="21">
        <v>0</v>
      </c>
      <c r="D4294" s="20" t="str">
        <v>未匹配</v>
      </c>
      <c r="E4294" s="20">
        <v>0</v>
      </c>
    </row>
    <row r="4295" spans="1:5">
      <c r="A4295" s="20" t="str">
        <v>00:00:00</v>
      </c>
      <c r="B4295" s="19">
        <v>0</v>
      </c>
      <c r="C4295" s="21">
        <v>0</v>
      </c>
      <c r="D4295" s="20" t="str">
        <v>未匹配</v>
      </c>
      <c r="E4295" s="20">
        <v>0</v>
      </c>
    </row>
    <row r="4296" spans="1:5">
      <c r="A4296" s="20" t="str">
        <v>00:00:00</v>
      </c>
      <c r="B4296" s="19">
        <v>0</v>
      </c>
      <c r="C4296" s="21">
        <v>0</v>
      </c>
      <c r="D4296" s="20" t="str">
        <v>未匹配</v>
      </c>
      <c r="E4296" s="20">
        <v>0</v>
      </c>
    </row>
    <row r="4297" spans="1:5">
      <c r="A4297" s="20" t="str">
        <v>00:00:00</v>
      </c>
      <c r="B4297" s="19">
        <v>0</v>
      </c>
      <c r="C4297" s="21">
        <v>0</v>
      </c>
      <c r="D4297" s="20" t="str">
        <v>未匹配</v>
      </c>
      <c r="E4297" s="20">
        <v>0</v>
      </c>
    </row>
    <row r="4298" spans="1:5">
      <c r="A4298" s="20" t="str">
        <v>00:00:00</v>
      </c>
      <c r="B4298" s="19">
        <v>0</v>
      </c>
      <c r="C4298" s="21">
        <v>0</v>
      </c>
      <c r="D4298" s="20" t="str">
        <v>未匹配</v>
      </c>
      <c r="E4298" s="20">
        <v>0</v>
      </c>
    </row>
    <row r="4299" spans="1:5">
      <c r="A4299" s="20" t="str">
        <v>00:00:00</v>
      </c>
      <c r="B4299" s="19">
        <v>0</v>
      </c>
      <c r="C4299" s="21">
        <v>0</v>
      </c>
      <c r="D4299" s="20" t="str">
        <v>未匹配</v>
      </c>
      <c r="E4299" s="20">
        <v>0</v>
      </c>
    </row>
    <row r="4300" spans="1:5">
      <c r="A4300" s="20" t="str">
        <v>00:00:00</v>
      </c>
      <c r="B4300" s="19">
        <v>0</v>
      </c>
      <c r="C4300" s="21">
        <v>0</v>
      </c>
      <c r="D4300" s="20" t="str">
        <v>未匹配</v>
      </c>
      <c r="E4300" s="20">
        <v>0</v>
      </c>
    </row>
    <row r="4301" spans="1:5">
      <c r="A4301" s="20" t="str">
        <v>00:00:00</v>
      </c>
      <c r="B4301" s="19">
        <v>0</v>
      </c>
      <c r="C4301" s="21">
        <v>0</v>
      </c>
      <c r="D4301" s="20" t="str">
        <v>未匹配</v>
      </c>
      <c r="E4301" s="20">
        <v>0</v>
      </c>
    </row>
    <row r="4302" spans="1:5">
      <c r="A4302" s="20" t="str">
        <v>00:00:00</v>
      </c>
      <c r="B4302" s="19">
        <v>0</v>
      </c>
      <c r="C4302" s="21">
        <v>0</v>
      </c>
      <c r="D4302" s="20" t="str">
        <v>未匹配</v>
      </c>
      <c r="E4302" s="20">
        <v>0</v>
      </c>
    </row>
    <row r="4303" spans="1:5">
      <c r="A4303" s="20" t="str">
        <v>00:00:00</v>
      </c>
      <c r="B4303" s="19">
        <v>0</v>
      </c>
      <c r="C4303" s="21">
        <v>0</v>
      </c>
      <c r="D4303" s="20" t="str">
        <v>未匹配</v>
      </c>
      <c r="E4303" s="20">
        <v>0</v>
      </c>
    </row>
    <row r="4304" spans="1:5">
      <c r="A4304" s="20" t="str">
        <v>00:00:00</v>
      </c>
      <c r="B4304" s="19">
        <v>0</v>
      </c>
      <c r="C4304" s="21">
        <v>0</v>
      </c>
      <c r="D4304" s="20" t="str">
        <v>未匹配</v>
      </c>
      <c r="E4304" s="20">
        <v>0</v>
      </c>
    </row>
    <row r="4305" spans="1:5">
      <c r="A4305" s="20" t="str">
        <v>00:00:00</v>
      </c>
      <c r="B4305" s="19">
        <v>0</v>
      </c>
      <c r="C4305" s="21">
        <v>0</v>
      </c>
      <c r="D4305" s="20" t="str">
        <v>未匹配</v>
      </c>
      <c r="E4305" s="20">
        <v>0</v>
      </c>
    </row>
    <row r="4306" spans="1:5">
      <c r="A4306" s="20" t="str">
        <v>00:00:00</v>
      </c>
      <c r="B4306" s="19">
        <v>0</v>
      </c>
      <c r="C4306" s="21">
        <v>0</v>
      </c>
      <c r="D4306" s="20" t="str">
        <v>未匹配</v>
      </c>
      <c r="E4306" s="20">
        <v>0</v>
      </c>
    </row>
    <row r="4307" spans="1:5">
      <c r="A4307" s="20" t="str">
        <v>00:00:00</v>
      </c>
      <c r="B4307" s="19">
        <v>0</v>
      </c>
      <c r="C4307" s="21">
        <v>0</v>
      </c>
      <c r="D4307" s="20" t="str">
        <v>未匹配</v>
      </c>
      <c r="E4307" s="20">
        <v>0</v>
      </c>
    </row>
    <row r="4308" spans="1:5">
      <c r="A4308" s="20" t="str">
        <v>00:00:00</v>
      </c>
      <c r="B4308" s="19">
        <v>0</v>
      </c>
      <c r="C4308" s="21">
        <v>0</v>
      </c>
      <c r="D4308" s="20" t="str">
        <v>未匹配</v>
      </c>
      <c r="E4308" s="20">
        <v>0</v>
      </c>
    </row>
    <row r="4309" spans="1:5">
      <c r="A4309" s="20" t="str">
        <v>00:00:00</v>
      </c>
      <c r="B4309" s="19">
        <v>0</v>
      </c>
      <c r="C4309" s="21">
        <v>0</v>
      </c>
      <c r="D4309" s="20" t="str">
        <v>未匹配</v>
      </c>
      <c r="E4309" s="20">
        <v>0</v>
      </c>
    </row>
    <row r="4310" spans="1:5">
      <c r="A4310" s="20" t="str">
        <v>00:00:00</v>
      </c>
      <c r="B4310" s="19">
        <v>0</v>
      </c>
      <c r="C4310" s="21">
        <v>0</v>
      </c>
      <c r="D4310" s="20" t="str">
        <v>未匹配</v>
      </c>
      <c r="E4310" s="20">
        <v>0</v>
      </c>
    </row>
    <row r="4311" spans="1:5">
      <c r="A4311" s="20" t="str">
        <v>00:00:00</v>
      </c>
      <c r="B4311" s="19">
        <v>0</v>
      </c>
      <c r="C4311" s="21">
        <v>0</v>
      </c>
      <c r="D4311" s="20" t="str">
        <v>未匹配</v>
      </c>
      <c r="E4311" s="20">
        <v>0</v>
      </c>
    </row>
    <row r="4312" spans="1:5">
      <c r="A4312" s="20" t="str">
        <v>00:00:00</v>
      </c>
      <c r="B4312" s="19">
        <v>0</v>
      </c>
      <c r="C4312" s="21">
        <v>0</v>
      </c>
      <c r="D4312" s="20" t="str">
        <v>未匹配</v>
      </c>
      <c r="E4312" s="20">
        <v>0</v>
      </c>
    </row>
    <row r="4313" spans="1:5">
      <c r="A4313" s="20" t="str">
        <v>00:00:00</v>
      </c>
      <c r="B4313" s="19">
        <v>0</v>
      </c>
      <c r="C4313" s="21">
        <v>0</v>
      </c>
      <c r="D4313" s="20" t="str">
        <v>未匹配</v>
      </c>
      <c r="E4313" s="20">
        <v>0</v>
      </c>
    </row>
    <row r="4314" spans="1:5">
      <c r="A4314" s="20" t="str">
        <v>00:00:00</v>
      </c>
      <c r="B4314" s="19">
        <v>0</v>
      </c>
      <c r="C4314" s="21">
        <v>0</v>
      </c>
      <c r="D4314" s="20" t="str">
        <v>未匹配</v>
      </c>
      <c r="E4314" s="20">
        <v>0</v>
      </c>
    </row>
    <row r="4315" spans="1:5">
      <c r="A4315" s="20" t="str">
        <v>00:00:00</v>
      </c>
      <c r="B4315" s="19">
        <v>0</v>
      </c>
      <c r="C4315" s="21">
        <v>0</v>
      </c>
      <c r="D4315" s="20" t="str">
        <v>未匹配</v>
      </c>
      <c r="E4315" s="20">
        <v>0</v>
      </c>
    </row>
    <row r="4316" spans="1:5">
      <c r="A4316" s="20" t="str">
        <v>00:00:00</v>
      </c>
      <c r="B4316" s="19">
        <v>0</v>
      </c>
      <c r="C4316" s="21">
        <v>0</v>
      </c>
      <c r="D4316" s="20" t="str">
        <v>未匹配</v>
      </c>
      <c r="E4316" s="20">
        <v>0</v>
      </c>
    </row>
    <row r="4317" spans="1:5">
      <c r="A4317" s="20" t="str">
        <v>00:00:00</v>
      </c>
      <c r="B4317" s="19">
        <v>0</v>
      </c>
      <c r="C4317" s="21">
        <v>0</v>
      </c>
      <c r="D4317" s="20" t="str">
        <v>未匹配</v>
      </c>
      <c r="E4317" s="20">
        <v>0</v>
      </c>
    </row>
    <row r="4318" spans="1:5">
      <c r="A4318" s="20" t="str">
        <v>00:00:00</v>
      </c>
      <c r="B4318" s="19">
        <v>0</v>
      </c>
      <c r="C4318" s="21">
        <v>0</v>
      </c>
      <c r="D4318" s="20" t="str">
        <v>未匹配</v>
      </c>
      <c r="E4318" s="20">
        <v>0</v>
      </c>
    </row>
    <row r="4319" spans="1:5">
      <c r="A4319" s="20" t="str">
        <v>00:00:00</v>
      </c>
      <c r="B4319" s="19">
        <v>0</v>
      </c>
      <c r="C4319" s="21">
        <v>0</v>
      </c>
      <c r="D4319" s="20" t="str">
        <v>未匹配</v>
      </c>
      <c r="E4319" s="20">
        <v>0</v>
      </c>
    </row>
    <row r="4320" spans="1:5">
      <c r="A4320" s="20" t="str">
        <v>00:00:00</v>
      </c>
      <c r="B4320" s="19">
        <v>0</v>
      </c>
      <c r="C4320" s="21">
        <v>0</v>
      </c>
      <c r="D4320" s="20" t="str">
        <v>未匹配</v>
      </c>
      <c r="E4320" s="20">
        <v>0</v>
      </c>
    </row>
    <row r="4321" spans="1:5">
      <c r="A4321" s="20" t="str">
        <v>00:00:00</v>
      </c>
      <c r="B4321" s="19">
        <v>0</v>
      </c>
      <c r="C4321" s="21">
        <v>0</v>
      </c>
      <c r="D4321" s="20" t="str">
        <v>未匹配</v>
      </c>
      <c r="E4321" s="20">
        <v>0</v>
      </c>
    </row>
    <row r="4322" spans="1:5">
      <c r="A4322" s="20" t="str">
        <v>00:00:00</v>
      </c>
      <c r="B4322" s="19">
        <v>0</v>
      </c>
      <c r="C4322" s="21">
        <v>0</v>
      </c>
      <c r="D4322" s="20" t="str">
        <v>未匹配</v>
      </c>
      <c r="E4322" s="20">
        <v>0</v>
      </c>
    </row>
    <row r="4323" spans="1:5">
      <c r="A4323" s="20" t="str">
        <v>00:00:00</v>
      </c>
      <c r="B4323" s="19">
        <v>0</v>
      </c>
      <c r="C4323" s="21">
        <v>0</v>
      </c>
      <c r="D4323" s="20" t="str">
        <v>未匹配</v>
      </c>
      <c r="E4323" s="20">
        <v>0</v>
      </c>
    </row>
    <row r="4324" spans="1:5">
      <c r="A4324" s="20" t="str">
        <v>00:00:00</v>
      </c>
      <c r="B4324" s="19">
        <v>0</v>
      </c>
      <c r="C4324" s="21">
        <v>0</v>
      </c>
      <c r="D4324" s="20" t="str">
        <v>未匹配</v>
      </c>
      <c r="E4324" s="20">
        <v>0</v>
      </c>
    </row>
    <row r="4325" spans="1:5">
      <c r="A4325" s="20" t="str">
        <v>00:00:00</v>
      </c>
      <c r="B4325" s="19">
        <v>0</v>
      </c>
      <c r="C4325" s="21">
        <v>0</v>
      </c>
      <c r="D4325" s="20" t="str">
        <v>未匹配</v>
      </c>
      <c r="E4325" s="20">
        <v>0</v>
      </c>
    </row>
    <row r="4326" spans="1:5">
      <c r="A4326" s="20" t="str">
        <v>00:00:00</v>
      </c>
      <c r="B4326" s="19">
        <v>0</v>
      </c>
      <c r="C4326" s="21">
        <v>0</v>
      </c>
      <c r="D4326" s="20" t="str">
        <v>未匹配</v>
      </c>
      <c r="E4326" s="20">
        <v>0</v>
      </c>
    </row>
    <row r="4327" spans="1:5">
      <c r="A4327" s="20" t="str">
        <v>00:00:00</v>
      </c>
      <c r="B4327" s="19">
        <v>0</v>
      </c>
      <c r="C4327" s="21">
        <v>0</v>
      </c>
      <c r="D4327" s="20" t="str">
        <v>未匹配</v>
      </c>
      <c r="E4327" s="20">
        <v>0</v>
      </c>
    </row>
    <row r="4328" spans="1:5">
      <c r="A4328" s="20" t="str">
        <v>00:00:00</v>
      </c>
      <c r="B4328" s="19">
        <v>0</v>
      </c>
      <c r="C4328" s="21">
        <v>0</v>
      </c>
      <c r="D4328" s="20" t="str">
        <v>未匹配</v>
      </c>
      <c r="E4328" s="20">
        <v>0</v>
      </c>
    </row>
    <row r="4329" spans="1:5">
      <c r="A4329" s="20" t="str">
        <v>00:00:00</v>
      </c>
      <c r="B4329" s="19">
        <v>0</v>
      </c>
      <c r="C4329" s="21">
        <v>0</v>
      </c>
      <c r="D4329" s="20" t="str">
        <v>未匹配</v>
      </c>
      <c r="E4329" s="20">
        <v>0</v>
      </c>
    </row>
    <row r="4330" spans="1:5">
      <c r="A4330" s="20" t="str">
        <v>00:00:00</v>
      </c>
      <c r="B4330" s="19">
        <v>0</v>
      </c>
      <c r="C4330" s="21">
        <v>0</v>
      </c>
      <c r="D4330" s="20" t="str">
        <v>未匹配</v>
      </c>
      <c r="E4330" s="20">
        <v>0</v>
      </c>
    </row>
    <row r="4331" spans="1:5">
      <c r="A4331" s="20" t="str">
        <v>00:00:00</v>
      </c>
      <c r="B4331" s="19">
        <v>0</v>
      </c>
      <c r="C4331" s="21">
        <v>0</v>
      </c>
      <c r="D4331" s="20" t="str">
        <v>未匹配</v>
      </c>
      <c r="E4331" s="20">
        <v>0</v>
      </c>
    </row>
    <row r="4332" spans="1:5">
      <c r="A4332" s="20" t="str">
        <v>00:00:00</v>
      </c>
      <c r="B4332" s="19">
        <v>0</v>
      </c>
      <c r="C4332" s="21">
        <v>0</v>
      </c>
      <c r="D4332" s="20" t="str">
        <v>未匹配</v>
      </c>
      <c r="E4332" s="20">
        <v>0</v>
      </c>
    </row>
    <row r="4333" spans="1:5">
      <c r="A4333" s="20" t="str">
        <v>00:00:00</v>
      </c>
      <c r="B4333" s="19">
        <v>0</v>
      </c>
      <c r="C4333" s="21">
        <v>0</v>
      </c>
      <c r="D4333" s="20" t="str">
        <v>未匹配</v>
      </c>
      <c r="E4333" s="20">
        <v>0</v>
      </c>
    </row>
    <row r="4334" spans="1:5">
      <c r="A4334" s="20" t="str">
        <v>00:00:00</v>
      </c>
      <c r="B4334" s="19">
        <v>0</v>
      </c>
      <c r="C4334" s="21">
        <v>0</v>
      </c>
      <c r="D4334" s="20" t="str">
        <v>未匹配</v>
      </c>
      <c r="E4334" s="20">
        <v>0</v>
      </c>
    </row>
    <row r="4335" spans="1:5">
      <c r="A4335" s="20" t="str">
        <v>00:00:00</v>
      </c>
      <c r="B4335" s="19">
        <v>0</v>
      </c>
      <c r="C4335" s="21">
        <v>0</v>
      </c>
      <c r="D4335" s="20" t="str">
        <v>未匹配</v>
      </c>
      <c r="E4335" s="20">
        <v>0</v>
      </c>
    </row>
    <row r="4336" spans="1:5">
      <c r="A4336" s="20" t="str">
        <v>00:00:00</v>
      </c>
      <c r="B4336" s="19">
        <v>0</v>
      </c>
      <c r="C4336" s="21">
        <v>0</v>
      </c>
      <c r="D4336" s="20" t="str">
        <v>未匹配</v>
      </c>
      <c r="E4336" s="20">
        <v>0</v>
      </c>
    </row>
    <row r="4337" spans="1:5">
      <c r="A4337" s="20" t="str">
        <v>00:00:00</v>
      </c>
      <c r="B4337" s="19">
        <v>0</v>
      </c>
      <c r="C4337" s="21">
        <v>0</v>
      </c>
      <c r="D4337" s="20" t="str">
        <v>未匹配</v>
      </c>
      <c r="E4337" s="20">
        <v>0</v>
      </c>
    </row>
    <row r="4338" spans="1:5">
      <c r="A4338" s="20" t="str">
        <v>00:00:00</v>
      </c>
      <c r="B4338" s="19">
        <v>0</v>
      </c>
      <c r="C4338" s="21">
        <v>0</v>
      </c>
      <c r="D4338" s="20" t="str">
        <v>未匹配</v>
      </c>
      <c r="E4338" s="20">
        <v>0</v>
      </c>
    </row>
    <row r="4339" spans="1:5">
      <c r="A4339" s="20" t="str">
        <v>00:00:00</v>
      </c>
      <c r="B4339" s="19">
        <v>0</v>
      </c>
      <c r="C4339" s="21">
        <v>0</v>
      </c>
      <c r="D4339" s="20" t="str">
        <v>未匹配</v>
      </c>
      <c r="E4339" s="20">
        <v>0</v>
      </c>
    </row>
    <row r="4340" spans="1:5">
      <c r="A4340" s="20" t="str">
        <v>00:00:00</v>
      </c>
      <c r="B4340" s="19">
        <v>0</v>
      </c>
      <c r="C4340" s="21">
        <v>0</v>
      </c>
      <c r="D4340" s="20" t="str">
        <v>未匹配</v>
      </c>
      <c r="E4340" s="20">
        <v>0</v>
      </c>
    </row>
    <row r="4341" spans="1:5">
      <c r="A4341" s="20" t="str">
        <v>00:00:00</v>
      </c>
      <c r="B4341" s="19">
        <v>0</v>
      </c>
      <c r="C4341" s="21">
        <v>0</v>
      </c>
      <c r="D4341" s="20" t="str">
        <v>未匹配</v>
      </c>
      <c r="E4341" s="20">
        <v>0</v>
      </c>
    </row>
    <row r="4342" spans="1:5">
      <c r="A4342" s="20" t="str">
        <v>00:00:00</v>
      </c>
      <c r="B4342" s="19">
        <v>0</v>
      </c>
      <c r="C4342" s="21">
        <v>0</v>
      </c>
      <c r="D4342" s="20" t="str">
        <v>未匹配</v>
      </c>
      <c r="E4342" s="20">
        <v>0</v>
      </c>
    </row>
    <row r="4343" spans="1:5">
      <c r="A4343" s="20" t="str">
        <v>00:00:00</v>
      </c>
      <c r="B4343" s="19">
        <v>0</v>
      </c>
      <c r="C4343" s="21">
        <v>0</v>
      </c>
      <c r="D4343" s="20" t="str">
        <v>未匹配</v>
      </c>
      <c r="E4343" s="20">
        <v>0</v>
      </c>
    </row>
    <row r="4344" spans="1:5">
      <c r="A4344" s="20" t="str">
        <v>00:00:00</v>
      </c>
      <c r="B4344" s="19">
        <v>0</v>
      </c>
      <c r="C4344" s="21">
        <v>0</v>
      </c>
      <c r="D4344" s="20" t="str">
        <v>未匹配</v>
      </c>
      <c r="E4344" s="20">
        <v>0</v>
      </c>
    </row>
    <row r="4345" spans="1:5">
      <c r="A4345" s="20" t="str">
        <v>00:00:00</v>
      </c>
      <c r="B4345" s="19">
        <v>0</v>
      </c>
      <c r="C4345" s="21">
        <v>0</v>
      </c>
      <c r="D4345" s="20" t="str">
        <v>未匹配</v>
      </c>
      <c r="E4345" s="20">
        <v>0</v>
      </c>
    </row>
    <row r="4346" spans="1:5">
      <c r="A4346" s="20" t="str">
        <v>00:00:00</v>
      </c>
      <c r="B4346" s="19">
        <v>0</v>
      </c>
      <c r="C4346" s="21">
        <v>0</v>
      </c>
      <c r="D4346" s="20" t="str">
        <v>未匹配</v>
      </c>
      <c r="E4346" s="20">
        <v>0</v>
      </c>
    </row>
    <row r="4347" spans="1:5">
      <c r="A4347" s="20" t="str">
        <v>00:00:00</v>
      </c>
      <c r="B4347" s="19">
        <v>0</v>
      </c>
      <c r="C4347" s="21">
        <v>0</v>
      </c>
      <c r="D4347" s="20" t="str">
        <v>未匹配</v>
      </c>
      <c r="E4347" s="20">
        <v>0</v>
      </c>
    </row>
    <row r="4348" spans="1:5">
      <c r="A4348" s="20" t="str">
        <v>00:00:00</v>
      </c>
      <c r="B4348" s="19">
        <v>0</v>
      </c>
      <c r="C4348" s="21">
        <v>0</v>
      </c>
      <c r="D4348" s="20" t="str">
        <v>未匹配</v>
      </c>
      <c r="E4348" s="20">
        <v>0</v>
      </c>
    </row>
    <row r="4349" spans="1:5">
      <c r="A4349" s="20" t="str">
        <v>00:00:00</v>
      </c>
      <c r="B4349" s="19">
        <v>0</v>
      </c>
      <c r="C4349" s="21">
        <v>0</v>
      </c>
      <c r="D4349" s="20" t="str">
        <v>未匹配</v>
      </c>
      <c r="E4349" s="20">
        <v>0</v>
      </c>
    </row>
    <row r="4350" spans="1:5">
      <c r="A4350" s="20" t="str">
        <v>00:00:00</v>
      </c>
      <c r="B4350" s="19">
        <v>0</v>
      </c>
      <c r="C4350" s="21">
        <v>0</v>
      </c>
      <c r="D4350" s="20" t="str">
        <v>未匹配</v>
      </c>
      <c r="E4350" s="20">
        <v>0</v>
      </c>
    </row>
    <row r="4351" spans="1:5">
      <c r="A4351" s="20" t="str">
        <v>00:00:00</v>
      </c>
      <c r="B4351" s="19">
        <v>0</v>
      </c>
      <c r="C4351" s="21">
        <v>0</v>
      </c>
      <c r="D4351" s="20" t="str">
        <v>未匹配</v>
      </c>
      <c r="E4351" s="20">
        <v>0</v>
      </c>
    </row>
    <row r="4352" spans="1:5">
      <c r="A4352" s="20" t="str">
        <v>00:00:00</v>
      </c>
      <c r="B4352" s="19">
        <v>0</v>
      </c>
      <c r="C4352" s="21">
        <v>0</v>
      </c>
      <c r="D4352" s="20" t="str">
        <v>未匹配</v>
      </c>
      <c r="E4352" s="20">
        <v>0</v>
      </c>
    </row>
    <row r="4353" spans="1:5">
      <c r="A4353" s="20" t="str">
        <v>00:00:00</v>
      </c>
      <c r="B4353" s="19">
        <v>0</v>
      </c>
      <c r="C4353" s="21">
        <v>0</v>
      </c>
      <c r="D4353" s="20" t="str">
        <v>未匹配</v>
      </c>
      <c r="E4353" s="20">
        <v>0</v>
      </c>
    </row>
    <row r="4354" spans="1:5">
      <c r="A4354" s="20" t="str">
        <v>00:00:00</v>
      </c>
      <c r="B4354" s="19">
        <v>0</v>
      </c>
      <c r="C4354" s="21">
        <v>0</v>
      </c>
      <c r="D4354" s="20" t="str">
        <v>未匹配</v>
      </c>
      <c r="E4354" s="20">
        <v>0</v>
      </c>
    </row>
    <row r="4355" spans="1:5">
      <c r="A4355" s="20" t="str">
        <v>00:00:00</v>
      </c>
      <c r="B4355" s="19">
        <v>0</v>
      </c>
      <c r="C4355" s="21">
        <v>0</v>
      </c>
      <c r="D4355" s="20" t="str">
        <v>未匹配</v>
      </c>
      <c r="E4355" s="20">
        <v>0</v>
      </c>
    </row>
    <row r="4356" spans="1:5">
      <c r="A4356" s="20" t="str">
        <v>00:00:00</v>
      </c>
      <c r="B4356" s="19">
        <v>0</v>
      </c>
      <c r="C4356" s="21">
        <v>0</v>
      </c>
      <c r="D4356" s="20" t="str">
        <v>未匹配</v>
      </c>
      <c r="E4356" s="20">
        <v>0</v>
      </c>
    </row>
    <row r="4357" spans="1:5">
      <c r="A4357" s="20" t="str">
        <v>00:00:00</v>
      </c>
      <c r="B4357" s="19">
        <v>0</v>
      </c>
      <c r="C4357" s="21">
        <v>0</v>
      </c>
      <c r="D4357" s="20" t="str">
        <v>未匹配</v>
      </c>
      <c r="E4357" s="20">
        <v>0</v>
      </c>
    </row>
    <row r="4358" spans="1:5">
      <c r="A4358" s="20" t="str">
        <v>00:00:00</v>
      </c>
      <c r="B4358" s="19">
        <v>0</v>
      </c>
      <c r="C4358" s="21">
        <v>0</v>
      </c>
      <c r="D4358" s="20" t="str">
        <v>未匹配</v>
      </c>
      <c r="E4358" s="20">
        <v>0</v>
      </c>
    </row>
    <row r="4359" spans="1:5">
      <c r="A4359" s="20" t="str">
        <v>00:00:00</v>
      </c>
      <c r="B4359" s="19">
        <v>0</v>
      </c>
      <c r="C4359" s="21">
        <v>0</v>
      </c>
      <c r="D4359" s="20" t="str">
        <v>未匹配</v>
      </c>
      <c r="E4359" s="20">
        <v>0</v>
      </c>
    </row>
    <row r="4360" spans="1:5">
      <c r="A4360" s="20" t="str">
        <v>00:00:00</v>
      </c>
      <c r="B4360" s="19">
        <v>0</v>
      </c>
      <c r="C4360" s="21">
        <v>0</v>
      </c>
      <c r="D4360" s="20" t="str">
        <v>未匹配</v>
      </c>
      <c r="E4360" s="20">
        <v>0</v>
      </c>
    </row>
    <row r="4361" spans="1:5">
      <c r="A4361" s="20" t="str">
        <v>00:00:00</v>
      </c>
      <c r="B4361" s="19">
        <v>0</v>
      </c>
      <c r="C4361" s="21">
        <v>0</v>
      </c>
      <c r="D4361" s="20" t="str">
        <v>未匹配</v>
      </c>
      <c r="E4361" s="20">
        <v>0</v>
      </c>
    </row>
    <row r="4362" spans="1:5">
      <c r="A4362" s="20" t="str">
        <v>00:00:00</v>
      </c>
      <c r="B4362" s="19">
        <v>0</v>
      </c>
      <c r="C4362" s="21">
        <v>0</v>
      </c>
      <c r="D4362" s="20" t="str">
        <v>未匹配</v>
      </c>
      <c r="E4362" s="20">
        <v>0</v>
      </c>
    </row>
    <row r="4363" spans="1:5">
      <c r="A4363" s="20" t="str">
        <v>00:00:00</v>
      </c>
      <c r="B4363" s="19">
        <v>0</v>
      </c>
      <c r="C4363" s="21">
        <v>0</v>
      </c>
      <c r="D4363" s="20" t="str">
        <v>未匹配</v>
      </c>
      <c r="E4363" s="20">
        <v>0</v>
      </c>
    </row>
    <row r="4364" spans="1:5">
      <c r="A4364" s="20" t="str">
        <v>00:00:00</v>
      </c>
      <c r="B4364" s="19">
        <v>0</v>
      </c>
      <c r="C4364" s="21">
        <v>0</v>
      </c>
      <c r="D4364" s="20" t="str">
        <v>未匹配</v>
      </c>
      <c r="E4364" s="20">
        <v>0</v>
      </c>
    </row>
    <row r="4365" spans="1:5">
      <c r="A4365" s="20" t="str">
        <v>00:00:00</v>
      </c>
      <c r="B4365" s="19">
        <v>0</v>
      </c>
      <c r="C4365" s="21">
        <v>0</v>
      </c>
      <c r="D4365" s="20" t="str">
        <v>未匹配</v>
      </c>
      <c r="E4365" s="20">
        <v>0</v>
      </c>
    </row>
    <row r="4366" spans="1:5">
      <c r="A4366" s="20" t="str">
        <v>00:00:00</v>
      </c>
      <c r="B4366" s="19">
        <v>0</v>
      </c>
      <c r="C4366" s="21">
        <v>0</v>
      </c>
      <c r="D4366" s="20" t="str">
        <v>未匹配</v>
      </c>
      <c r="E4366" s="20">
        <v>0</v>
      </c>
    </row>
    <row r="4367" spans="1:5">
      <c r="A4367" s="20" t="str">
        <v>00:00:00</v>
      </c>
      <c r="B4367" s="19">
        <v>0</v>
      </c>
      <c r="C4367" s="21">
        <v>0</v>
      </c>
      <c r="D4367" s="20" t="str">
        <v>未匹配</v>
      </c>
      <c r="E4367" s="20">
        <v>0</v>
      </c>
    </row>
    <row r="4368" spans="1:5">
      <c r="A4368" s="20" t="str">
        <v>00:00:00</v>
      </c>
      <c r="B4368" s="19">
        <v>0</v>
      </c>
      <c r="C4368" s="21">
        <v>0</v>
      </c>
      <c r="D4368" s="20" t="str">
        <v>未匹配</v>
      </c>
      <c r="E4368" s="20">
        <v>0</v>
      </c>
    </row>
    <row r="4369" spans="1:5">
      <c r="A4369" s="20" t="str">
        <v>00:00:00</v>
      </c>
      <c r="B4369" s="19">
        <v>0</v>
      </c>
      <c r="C4369" s="21">
        <v>0</v>
      </c>
      <c r="D4369" s="20" t="str">
        <v>未匹配</v>
      </c>
      <c r="E4369" s="20">
        <v>0</v>
      </c>
    </row>
    <row r="4370" spans="1:5">
      <c r="A4370" s="20" t="str">
        <v>00:00:00</v>
      </c>
      <c r="B4370" s="19">
        <v>0</v>
      </c>
      <c r="C4370" s="21">
        <v>0</v>
      </c>
      <c r="D4370" s="20" t="str">
        <v>未匹配</v>
      </c>
      <c r="E4370" s="20">
        <v>0</v>
      </c>
    </row>
    <row r="4371" spans="1:5">
      <c r="A4371" s="20" t="str">
        <v>00:00:00</v>
      </c>
      <c r="B4371" s="19">
        <v>0</v>
      </c>
      <c r="C4371" s="21">
        <v>0</v>
      </c>
      <c r="D4371" s="20" t="str">
        <v>未匹配</v>
      </c>
      <c r="E4371" s="20">
        <v>0</v>
      </c>
    </row>
    <row r="4372" spans="1:5">
      <c r="A4372" s="20" t="str">
        <v>00:00:00</v>
      </c>
      <c r="B4372" s="19">
        <v>0</v>
      </c>
      <c r="C4372" s="21">
        <v>0</v>
      </c>
      <c r="D4372" s="20" t="str">
        <v>未匹配</v>
      </c>
      <c r="E4372" s="20">
        <v>0</v>
      </c>
    </row>
    <row r="4373" spans="1:5">
      <c r="A4373" s="20" t="str">
        <v>00:00:00</v>
      </c>
      <c r="B4373" s="19">
        <v>0</v>
      </c>
      <c r="C4373" s="21">
        <v>0</v>
      </c>
      <c r="D4373" s="20" t="str">
        <v>未匹配</v>
      </c>
      <c r="E4373" s="20">
        <v>0</v>
      </c>
    </row>
    <row r="4374" spans="1:5">
      <c r="A4374" s="20" t="str">
        <v>00:00:00</v>
      </c>
      <c r="B4374" s="19">
        <v>0</v>
      </c>
      <c r="C4374" s="21">
        <v>0</v>
      </c>
      <c r="D4374" s="20" t="str">
        <v>未匹配</v>
      </c>
      <c r="E4374" s="20">
        <v>0</v>
      </c>
    </row>
    <row r="4375" spans="1:5">
      <c r="A4375" s="20" t="str">
        <v>00:00:00</v>
      </c>
      <c r="B4375" s="19">
        <v>0</v>
      </c>
      <c r="C4375" s="21">
        <v>0</v>
      </c>
      <c r="D4375" s="20" t="str">
        <v>未匹配</v>
      </c>
      <c r="E4375" s="20">
        <v>0</v>
      </c>
    </row>
    <row r="4376" spans="1:5">
      <c r="A4376" s="20" t="str">
        <v>00:00:00</v>
      </c>
      <c r="B4376" s="19">
        <v>0</v>
      </c>
      <c r="C4376" s="21">
        <v>0</v>
      </c>
      <c r="D4376" s="20" t="str">
        <v>未匹配</v>
      </c>
      <c r="E4376" s="20">
        <v>0</v>
      </c>
    </row>
    <row r="4377" spans="1:5">
      <c r="A4377" s="20" t="str">
        <v>00:00:00</v>
      </c>
      <c r="B4377" s="19">
        <v>0</v>
      </c>
      <c r="C4377" s="21">
        <v>0</v>
      </c>
      <c r="D4377" s="20" t="str">
        <v>未匹配</v>
      </c>
      <c r="E4377" s="20">
        <v>0</v>
      </c>
    </row>
    <row r="4378" spans="1:5">
      <c r="A4378" s="20" t="str">
        <v>00:00:00</v>
      </c>
      <c r="B4378" s="19">
        <v>0</v>
      </c>
      <c r="C4378" s="21">
        <v>0</v>
      </c>
      <c r="D4378" s="20" t="str">
        <v>未匹配</v>
      </c>
      <c r="E4378" s="20">
        <v>0</v>
      </c>
    </row>
    <row r="4379" spans="1:5">
      <c r="A4379" s="20" t="str">
        <v>00:00:00</v>
      </c>
      <c r="B4379" s="19">
        <v>0</v>
      </c>
      <c r="C4379" s="21">
        <v>0</v>
      </c>
      <c r="D4379" s="20" t="str">
        <v>未匹配</v>
      </c>
      <c r="E4379" s="20">
        <v>0</v>
      </c>
    </row>
    <row r="4380" spans="1:5">
      <c r="A4380" s="20" t="str">
        <v>00:00:00</v>
      </c>
      <c r="B4380" s="19">
        <v>0</v>
      </c>
      <c r="C4380" s="21">
        <v>0</v>
      </c>
      <c r="D4380" s="20" t="str">
        <v>未匹配</v>
      </c>
      <c r="E4380" s="20">
        <v>0</v>
      </c>
    </row>
    <row r="4381" spans="1:5">
      <c r="A4381" s="20" t="str">
        <v>00:00:00</v>
      </c>
      <c r="B4381" s="19">
        <v>0</v>
      </c>
      <c r="C4381" s="21">
        <v>0</v>
      </c>
      <c r="D4381" s="20" t="str">
        <v>未匹配</v>
      </c>
      <c r="E4381" s="20">
        <v>0</v>
      </c>
    </row>
    <row r="4382" spans="1:5">
      <c r="A4382" s="20" t="str">
        <v>00:00:00</v>
      </c>
      <c r="B4382" s="19">
        <v>0</v>
      </c>
      <c r="C4382" s="21">
        <v>0</v>
      </c>
      <c r="D4382" s="20" t="str">
        <v>未匹配</v>
      </c>
      <c r="E4382" s="20">
        <v>0</v>
      </c>
    </row>
    <row r="4383" spans="1:5">
      <c r="A4383" s="20" t="str">
        <v>00:00:00</v>
      </c>
      <c r="B4383" s="19">
        <v>0</v>
      </c>
      <c r="C4383" s="21">
        <v>0</v>
      </c>
      <c r="D4383" s="20" t="str">
        <v>未匹配</v>
      </c>
      <c r="E4383" s="20">
        <v>0</v>
      </c>
    </row>
    <row r="4384" spans="1:5">
      <c r="A4384" s="20" t="str">
        <v>00:00:00</v>
      </c>
      <c r="B4384" s="19">
        <v>0</v>
      </c>
      <c r="C4384" s="21">
        <v>0</v>
      </c>
      <c r="D4384" s="20" t="str">
        <v>未匹配</v>
      </c>
      <c r="E4384" s="20">
        <v>0</v>
      </c>
    </row>
    <row r="4385" spans="1:5">
      <c r="A4385" s="20" t="str">
        <v>00:00:00</v>
      </c>
      <c r="B4385" s="19">
        <v>0</v>
      </c>
      <c r="C4385" s="21">
        <v>0</v>
      </c>
      <c r="D4385" s="20" t="str">
        <v>未匹配</v>
      </c>
      <c r="E4385" s="20">
        <v>0</v>
      </c>
    </row>
    <row r="4386" spans="1:5">
      <c r="A4386" s="20" t="str">
        <v>00:00:00</v>
      </c>
      <c r="B4386" s="19">
        <v>0</v>
      </c>
      <c r="C4386" s="21">
        <v>0</v>
      </c>
      <c r="D4386" s="20" t="str">
        <v>未匹配</v>
      </c>
      <c r="E4386" s="20">
        <v>0</v>
      </c>
    </row>
    <row r="4387" spans="1:5">
      <c r="A4387" s="20" t="str">
        <v>00:00:00</v>
      </c>
      <c r="B4387" s="19">
        <v>0</v>
      </c>
      <c r="C4387" s="21">
        <v>0</v>
      </c>
      <c r="D4387" s="20" t="str">
        <v>未匹配</v>
      </c>
      <c r="E4387" s="20">
        <v>0</v>
      </c>
    </row>
    <row r="4388" spans="1:5">
      <c r="A4388" s="20" t="str">
        <v>00:00:00</v>
      </c>
      <c r="B4388" s="19">
        <v>0</v>
      </c>
      <c r="C4388" s="21">
        <v>0</v>
      </c>
      <c r="D4388" s="20" t="str">
        <v>未匹配</v>
      </c>
      <c r="E4388" s="20">
        <v>0</v>
      </c>
    </row>
    <row r="4389" spans="1:5">
      <c r="A4389" s="20" t="str">
        <v>00:00:00</v>
      </c>
      <c r="B4389" s="19">
        <v>0</v>
      </c>
      <c r="C4389" s="21">
        <v>0</v>
      </c>
      <c r="D4389" s="20" t="str">
        <v>未匹配</v>
      </c>
      <c r="E4389" s="20">
        <v>0</v>
      </c>
    </row>
    <row r="4390" spans="1:5">
      <c r="A4390" s="20" t="str">
        <v>00:00:00</v>
      </c>
      <c r="B4390" s="19">
        <v>0</v>
      </c>
      <c r="C4390" s="21">
        <v>0</v>
      </c>
      <c r="D4390" s="20" t="str">
        <v>未匹配</v>
      </c>
      <c r="E4390" s="20">
        <v>0</v>
      </c>
    </row>
    <row r="4391" spans="1:5">
      <c r="A4391" s="20" t="str">
        <v>00:00:00</v>
      </c>
      <c r="B4391" s="19">
        <v>0</v>
      </c>
      <c r="C4391" s="21">
        <v>0</v>
      </c>
      <c r="D4391" s="20" t="str">
        <v>未匹配</v>
      </c>
      <c r="E4391" s="20">
        <v>0</v>
      </c>
    </row>
    <row r="4392" spans="1:5">
      <c r="A4392" s="20" t="str">
        <v>00:00:00</v>
      </c>
      <c r="B4392" s="19">
        <v>0</v>
      </c>
      <c r="C4392" s="21">
        <v>0</v>
      </c>
      <c r="D4392" s="20" t="str">
        <v>未匹配</v>
      </c>
      <c r="E4392" s="20">
        <v>0</v>
      </c>
    </row>
    <row r="4393" spans="1:5">
      <c r="A4393" s="20" t="str">
        <v>00:00:00</v>
      </c>
      <c r="B4393" s="19">
        <v>0</v>
      </c>
      <c r="C4393" s="21">
        <v>0</v>
      </c>
      <c r="D4393" s="20" t="str">
        <v>未匹配</v>
      </c>
      <c r="E4393" s="20">
        <v>0</v>
      </c>
    </row>
    <row r="4394" spans="1:5">
      <c r="A4394" s="20" t="str">
        <v>00:00:00</v>
      </c>
      <c r="B4394" s="19">
        <v>0</v>
      </c>
      <c r="C4394" s="21">
        <v>0</v>
      </c>
      <c r="D4394" s="20" t="str">
        <v>未匹配</v>
      </c>
      <c r="E4394" s="20">
        <v>0</v>
      </c>
    </row>
    <row r="4395" spans="1:5">
      <c r="A4395" s="20" t="str">
        <v>00:00:00</v>
      </c>
      <c r="B4395" s="19">
        <v>0</v>
      </c>
      <c r="C4395" s="21">
        <v>0</v>
      </c>
      <c r="D4395" s="20" t="str">
        <v>未匹配</v>
      </c>
      <c r="E4395" s="20">
        <v>0</v>
      </c>
    </row>
    <row r="4396" spans="1:5">
      <c r="A4396" s="20" t="str">
        <v>00:00:00</v>
      </c>
      <c r="B4396" s="19">
        <v>0</v>
      </c>
      <c r="C4396" s="21">
        <v>0</v>
      </c>
      <c r="D4396" s="20" t="str">
        <v>未匹配</v>
      </c>
      <c r="E4396" s="20">
        <v>0</v>
      </c>
    </row>
    <row r="4397" spans="1:5">
      <c r="A4397" s="20" t="str">
        <v>00:00:00</v>
      </c>
      <c r="B4397" s="19">
        <v>0</v>
      </c>
      <c r="C4397" s="21">
        <v>0</v>
      </c>
      <c r="D4397" s="20" t="str">
        <v>未匹配</v>
      </c>
      <c r="E4397" s="20">
        <v>0</v>
      </c>
    </row>
    <row r="4398" spans="1:5">
      <c r="A4398" s="20" t="str">
        <v>00:00:00</v>
      </c>
      <c r="B4398" s="19">
        <v>0</v>
      </c>
      <c r="C4398" s="21">
        <v>0</v>
      </c>
      <c r="D4398" s="20" t="str">
        <v>未匹配</v>
      </c>
      <c r="E4398" s="20">
        <v>0</v>
      </c>
    </row>
    <row r="4399" spans="1:5">
      <c r="A4399" s="20" t="str">
        <v>00:00:00</v>
      </c>
      <c r="B4399" s="19">
        <v>0</v>
      </c>
      <c r="C4399" s="21">
        <v>0</v>
      </c>
      <c r="D4399" s="20" t="str">
        <v>未匹配</v>
      </c>
      <c r="E4399" s="20">
        <v>0</v>
      </c>
    </row>
    <row r="4400" spans="1:5">
      <c r="A4400" s="20" t="str">
        <v>00:00:00</v>
      </c>
      <c r="B4400" s="19">
        <v>0</v>
      </c>
      <c r="C4400" s="21">
        <v>0</v>
      </c>
      <c r="D4400" s="20" t="str">
        <v>未匹配</v>
      </c>
      <c r="E4400" s="20">
        <v>0</v>
      </c>
    </row>
    <row r="4401" spans="1:5">
      <c r="A4401" s="20" t="str">
        <v>00:00:00</v>
      </c>
      <c r="B4401" s="19">
        <v>0</v>
      </c>
      <c r="C4401" s="21">
        <v>0</v>
      </c>
      <c r="D4401" s="20" t="str">
        <v>未匹配</v>
      </c>
      <c r="E4401" s="20">
        <v>0</v>
      </c>
    </row>
    <row r="4402" spans="1:5">
      <c r="A4402" s="20" t="str">
        <v>00:00:00</v>
      </c>
      <c r="B4402" s="19">
        <v>0</v>
      </c>
      <c r="C4402" s="21">
        <v>0</v>
      </c>
      <c r="D4402" s="20" t="str">
        <v>未匹配</v>
      </c>
      <c r="E4402" s="20">
        <v>0</v>
      </c>
    </row>
    <row r="4403" spans="1:5">
      <c r="A4403" s="20" t="str">
        <v>00:00:00</v>
      </c>
      <c r="B4403" s="19">
        <v>0</v>
      </c>
      <c r="C4403" s="21">
        <v>0</v>
      </c>
      <c r="D4403" s="20" t="str">
        <v>未匹配</v>
      </c>
      <c r="E4403" s="20">
        <v>0</v>
      </c>
    </row>
    <row r="4404" spans="1:5">
      <c r="A4404" s="20" t="str">
        <v>00:00:00</v>
      </c>
      <c r="B4404" s="19">
        <v>0</v>
      </c>
      <c r="C4404" s="21">
        <v>0</v>
      </c>
      <c r="D4404" s="20" t="str">
        <v>未匹配</v>
      </c>
      <c r="E4404" s="20">
        <v>0</v>
      </c>
    </row>
    <row r="4405" spans="1:5">
      <c r="A4405" s="20" t="str">
        <v>00:00:00</v>
      </c>
      <c r="B4405" s="19">
        <v>0</v>
      </c>
      <c r="C4405" s="21">
        <v>0</v>
      </c>
      <c r="D4405" s="20" t="str">
        <v>未匹配</v>
      </c>
      <c r="E4405" s="20">
        <v>0</v>
      </c>
    </row>
    <row r="4406" spans="1:5">
      <c r="A4406" s="20" t="str">
        <v>00:00:00</v>
      </c>
      <c r="B4406" s="19">
        <v>0</v>
      </c>
      <c r="C4406" s="21">
        <v>0</v>
      </c>
      <c r="D4406" s="20" t="str">
        <v>未匹配</v>
      </c>
      <c r="E4406" s="20">
        <v>0</v>
      </c>
    </row>
    <row r="4407" spans="1:5">
      <c r="A4407" s="20" t="str">
        <v>00:00:00</v>
      </c>
      <c r="B4407" s="19">
        <v>0</v>
      </c>
      <c r="C4407" s="21">
        <v>0</v>
      </c>
      <c r="D4407" s="20" t="str">
        <v>未匹配</v>
      </c>
      <c r="E4407" s="20">
        <v>0</v>
      </c>
    </row>
    <row r="4408" spans="1:5">
      <c r="A4408" s="20" t="str">
        <v>00:00:00</v>
      </c>
      <c r="B4408" s="19">
        <v>0</v>
      </c>
      <c r="C4408" s="21">
        <v>0</v>
      </c>
      <c r="D4408" s="20" t="str">
        <v>未匹配</v>
      </c>
      <c r="E4408" s="20">
        <v>0</v>
      </c>
    </row>
    <row r="4409" spans="1:5">
      <c r="A4409" s="20" t="str">
        <v>00:00:00</v>
      </c>
      <c r="B4409" s="19">
        <v>0</v>
      </c>
      <c r="C4409" s="21">
        <v>0</v>
      </c>
      <c r="D4409" s="20" t="str">
        <v>未匹配</v>
      </c>
      <c r="E4409" s="20">
        <v>0</v>
      </c>
    </row>
    <row r="4410" spans="1:5">
      <c r="A4410" s="20" t="str">
        <v>00:00:00</v>
      </c>
      <c r="B4410" s="19">
        <v>0</v>
      </c>
      <c r="C4410" s="21">
        <v>0</v>
      </c>
      <c r="D4410" s="20" t="str">
        <v>未匹配</v>
      </c>
      <c r="E4410" s="20">
        <v>0</v>
      </c>
    </row>
    <row r="4411" spans="1:5">
      <c r="A4411" s="20" t="str">
        <v>00:00:00</v>
      </c>
      <c r="B4411" s="19">
        <v>0</v>
      </c>
      <c r="C4411" s="21">
        <v>0</v>
      </c>
      <c r="D4411" s="20" t="str">
        <v>未匹配</v>
      </c>
      <c r="E4411" s="20">
        <v>0</v>
      </c>
    </row>
    <row r="4412" spans="1:5">
      <c r="A4412" s="20" t="str">
        <v>00:00:00</v>
      </c>
      <c r="B4412" s="19">
        <v>0</v>
      </c>
      <c r="C4412" s="21">
        <v>0</v>
      </c>
      <c r="D4412" s="20" t="str">
        <v>未匹配</v>
      </c>
      <c r="E4412" s="20">
        <v>0</v>
      </c>
    </row>
    <row r="4413" spans="1:5">
      <c r="A4413" s="20" t="str">
        <v>00:00:00</v>
      </c>
      <c r="B4413" s="19">
        <v>0</v>
      </c>
      <c r="C4413" s="21">
        <v>0</v>
      </c>
      <c r="D4413" s="20" t="str">
        <v>未匹配</v>
      </c>
      <c r="E4413" s="20">
        <v>0</v>
      </c>
    </row>
    <row r="4414" spans="1:5">
      <c r="A4414" s="20" t="str">
        <v>00:00:00</v>
      </c>
      <c r="B4414" s="19">
        <v>0</v>
      </c>
      <c r="C4414" s="21">
        <v>0</v>
      </c>
      <c r="D4414" s="20" t="str">
        <v>未匹配</v>
      </c>
      <c r="E4414" s="20">
        <v>0</v>
      </c>
    </row>
    <row r="4415" spans="1:5">
      <c r="A4415" s="20" t="str">
        <v>00:00:00</v>
      </c>
      <c r="B4415" s="19">
        <v>0</v>
      </c>
      <c r="C4415" s="21">
        <v>0</v>
      </c>
      <c r="D4415" s="20" t="str">
        <v>未匹配</v>
      </c>
      <c r="E4415" s="20">
        <v>0</v>
      </c>
    </row>
    <row r="4416" spans="1:5">
      <c r="A4416" s="20" t="str">
        <v>00:00:00</v>
      </c>
      <c r="B4416" s="19">
        <v>0</v>
      </c>
      <c r="C4416" s="21">
        <v>0</v>
      </c>
      <c r="D4416" s="20" t="str">
        <v>未匹配</v>
      </c>
      <c r="E4416" s="20">
        <v>0</v>
      </c>
    </row>
    <row r="4417" spans="1:5">
      <c r="A4417" s="20" t="str">
        <v>00:00:00</v>
      </c>
      <c r="B4417" s="19">
        <v>0</v>
      </c>
      <c r="C4417" s="21">
        <v>0</v>
      </c>
      <c r="D4417" s="20" t="str">
        <v>未匹配</v>
      </c>
      <c r="E4417" s="20">
        <v>0</v>
      </c>
    </row>
    <row r="4418" spans="1:5">
      <c r="A4418" s="20" t="str">
        <v>00:00:00</v>
      </c>
      <c r="B4418" s="19">
        <v>0</v>
      </c>
      <c r="C4418" s="21">
        <v>0</v>
      </c>
      <c r="D4418" s="20" t="str">
        <v>未匹配</v>
      </c>
      <c r="E4418" s="20">
        <v>0</v>
      </c>
    </row>
    <row r="4419" spans="1:5">
      <c r="A4419" s="20" t="str">
        <v>00:00:00</v>
      </c>
      <c r="B4419" s="19">
        <v>0</v>
      </c>
      <c r="C4419" s="21">
        <v>0</v>
      </c>
      <c r="D4419" s="20" t="str">
        <v>未匹配</v>
      </c>
      <c r="E4419" s="20">
        <v>0</v>
      </c>
    </row>
    <row r="4420" spans="1:5">
      <c r="A4420" s="20" t="str">
        <v>00:00:00</v>
      </c>
      <c r="B4420" s="19">
        <v>0</v>
      </c>
      <c r="C4420" s="21">
        <v>0</v>
      </c>
      <c r="D4420" s="20" t="str">
        <v>未匹配</v>
      </c>
      <c r="E4420" s="20">
        <v>0</v>
      </c>
    </row>
    <row r="4421" spans="1:5">
      <c r="A4421" s="20" t="str">
        <v>00:00:00</v>
      </c>
      <c r="B4421" s="19">
        <v>0</v>
      </c>
      <c r="C4421" s="21">
        <v>0</v>
      </c>
      <c r="D4421" s="20" t="str">
        <v>未匹配</v>
      </c>
      <c r="E4421" s="20">
        <v>0</v>
      </c>
    </row>
    <row r="4422" spans="1:5">
      <c r="A4422" s="20" t="str">
        <v>00:00:00</v>
      </c>
      <c r="B4422" s="19">
        <v>0</v>
      </c>
      <c r="C4422" s="21">
        <v>0</v>
      </c>
      <c r="D4422" s="20" t="str">
        <v>未匹配</v>
      </c>
      <c r="E4422" s="20">
        <v>0</v>
      </c>
    </row>
    <row r="4423" spans="1:5">
      <c r="A4423" s="20" t="str">
        <v>00:00:00</v>
      </c>
      <c r="B4423" s="19">
        <v>0</v>
      </c>
      <c r="C4423" s="21">
        <v>0</v>
      </c>
      <c r="D4423" s="20" t="str">
        <v>未匹配</v>
      </c>
      <c r="E4423" s="20">
        <v>0</v>
      </c>
    </row>
    <row r="4424" spans="1:5">
      <c r="A4424" s="20" t="str">
        <v>00:00:00</v>
      </c>
      <c r="B4424" s="19">
        <v>0</v>
      </c>
      <c r="C4424" s="21">
        <v>0</v>
      </c>
      <c r="D4424" s="20" t="str">
        <v>未匹配</v>
      </c>
      <c r="E4424" s="20">
        <v>0</v>
      </c>
    </row>
    <row r="4425" spans="1:5">
      <c r="A4425" s="20" t="str">
        <v>00:00:00</v>
      </c>
      <c r="B4425" s="19">
        <v>0</v>
      </c>
      <c r="C4425" s="21">
        <v>0</v>
      </c>
      <c r="D4425" s="20" t="str">
        <v>未匹配</v>
      </c>
      <c r="E4425" s="20">
        <v>0</v>
      </c>
    </row>
    <row r="4426" spans="1:5">
      <c r="A4426" s="20" t="str">
        <v>00:00:00</v>
      </c>
      <c r="B4426" s="19">
        <v>0</v>
      </c>
      <c r="C4426" s="21">
        <v>0</v>
      </c>
      <c r="D4426" s="20" t="str">
        <v>未匹配</v>
      </c>
      <c r="E4426" s="20">
        <v>0</v>
      </c>
    </row>
    <row r="4427" spans="1:5">
      <c r="A4427" s="20" t="str">
        <v>00:00:00</v>
      </c>
      <c r="B4427" s="19">
        <v>0</v>
      </c>
      <c r="C4427" s="21">
        <v>0</v>
      </c>
      <c r="D4427" s="20" t="str">
        <v>未匹配</v>
      </c>
      <c r="E4427" s="20">
        <v>0</v>
      </c>
    </row>
    <row r="4428" spans="1:5">
      <c r="A4428" s="20" t="str">
        <v>00:00:00</v>
      </c>
      <c r="B4428" s="19">
        <v>0</v>
      </c>
      <c r="C4428" s="21">
        <v>0</v>
      </c>
      <c r="D4428" s="20" t="str">
        <v>未匹配</v>
      </c>
      <c r="E4428" s="20">
        <v>0</v>
      </c>
    </row>
    <row r="4429" spans="1:5">
      <c r="A4429" s="20" t="str">
        <v>00:00:00</v>
      </c>
      <c r="B4429" s="19">
        <v>0</v>
      </c>
      <c r="C4429" s="21">
        <v>0</v>
      </c>
      <c r="D4429" s="20" t="str">
        <v>未匹配</v>
      </c>
      <c r="E4429" s="20">
        <v>0</v>
      </c>
    </row>
    <row r="4430" spans="1:5">
      <c r="A4430" s="20" t="str">
        <v>00:00:00</v>
      </c>
      <c r="B4430" s="19">
        <v>0</v>
      </c>
      <c r="C4430" s="21">
        <v>0</v>
      </c>
      <c r="D4430" s="20" t="str">
        <v>未匹配</v>
      </c>
      <c r="E4430" s="20">
        <v>0</v>
      </c>
    </row>
    <row r="4431" spans="1:5">
      <c r="A4431" s="20" t="str">
        <v>00:00:00</v>
      </c>
      <c r="B4431" s="19">
        <v>0</v>
      </c>
      <c r="C4431" s="21">
        <v>0</v>
      </c>
      <c r="D4431" s="20" t="str">
        <v>未匹配</v>
      </c>
      <c r="E4431" s="20">
        <v>0</v>
      </c>
    </row>
    <row r="4432" spans="1:5">
      <c r="A4432" s="20" t="str">
        <v>00:00:00</v>
      </c>
      <c r="B4432" s="19">
        <v>0</v>
      </c>
      <c r="C4432" s="21">
        <v>0</v>
      </c>
      <c r="D4432" s="20" t="str">
        <v>未匹配</v>
      </c>
      <c r="E4432" s="20">
        <v>0</v>
      </c>
    </row>
    <row r="4433" spans="1:5">
      <c r="A4433" s="20" t="str">
        <v>00:00:00</v>
      </c>
      <c r="B4433" s="19">
        <v>0</v>
      </c>
      <c r="C4433" s="21">
        <v>0</v>
      </c>
      <c r="D4433" s="20" t="str">
        <v>未匹配</v>
      </c>
      <c r="E4433" s="20">
        <v>0</v>
      </c>
    </row>
    <row r="4434" spans="1:5">
      <c r="A4434" s="20" t="str">
        <v>00:00:00</v>
      </c>
      <c r="B4434" s="19">
        <v>0</v>
      </c>
      <c r="C4434" s="21">
        <v>0</v>
      </c>
      <c r="D4434" s="20" t="str">
        <v>未匹配</v>
      </c>
      <c r="E4434" s="20">
        <v>0</v>
      </c>
    </row>
    <row r="4435" spans="1:5">
      <c r="A4435" s="20" t="str">
        <v>00:00:00</v>
      </c>
      <c r="B4435" s="19">
        <v>0</v>
      </c>
      <c r="C4435" s="21">
        <v>0</v>
      </c>
      <c r="D4435" s="20" t="str">
        <v>未匹配</v>
      </c>
      <c r="E4435" s="20">
        <v>0</v>
      </c>
    </row>
    <row r="4436" spans="1:5">
      <c r="A4436" s="20" t="str">
        <v>00:00:00</v>
      </c>
      <c r="B4436" s="19">
        <v>0</v>
      </c>
      <c r="C4436" s="21">
        <v>0</v>
      </c>
      <c r="D4436" s="20" t="str">
        <v>未匹配</v>
      </c>
      <c r="E4436" s="20">
        <v>0</v>
      </c>
    </row>
    <row r="4437" spans="1:5">
      <c r="A4437" s="20" t="str">
        <v>00:00:00</v>
      </c>
      <c r="B4437" s="19">
        <v>0</v>
      </c>
      <c r="C4437" s="21">
        <v>0</v>
      </c>
      <c r="D4437" s="20" t="str">
        <v>未匹配</v>
      </c>
      <c r="E4437" s="20">
        <v>0</v>
      </c>
    </row>
    <row r="4438" spans="1:5">
      <c r="A4438" s="20" t="str">
        <v>00:00:00</v>
      </c>
      <c r="B4438" s="19">
        <v>0</v>
      </c>
      <c r="C4438" s="21">
        <v>0</v>
      </c>
      <c r="D4438" s="20" t="str">
        <v>未匹配</v>
      </c>
      <c r="E4438" s="20">
        <v>0</v>
      </c>
    </row>
    <row r="4439" spans="1:5">
      <c r="A4439" s="20" t="str">
        <v>00:00:00</v>
      </c>
      <c r="B4439" s="19">
        <v>0</v>
      </c>
      <c r="C4439" s="21">
        <v>0</v>
      </c>
      <c r="D4439" s="20" t="str">
        <v>未匹配</v>
      </c>
      <c r="E4439" s="20">
        <v>0</v>
      </c>
    </row>
    <row r="4440" spans="1:5">
      <c r="A4440" s="20" t="str">
        <v>00:00:00</v>
      </c>
      <c r="B4440" s="19">
        <v>0</v>
      </c>
      <c r="C4440" s="21">
        <v>0</v>
      </c>
      <c r="D4440" s="20" t="str">
        <v>未匹配</v>
      </c>
      <c r="E4440" s="20">
        <v>0</v>
      </c>
    </row>
    <row r="4441" spans="1:5">
      <c r="A4441" s="20" t="str">
        <v>00:00:00</v>
      </c>
      <c r="B4441" s="19">
        <v>0</v>
      </c>
      <c r="C4441" s="21">
        <v>0</v>
      </c>
      <c r="D4441" s="20" t="str">
        <v>未匹配</v>
      </c>
      <c r="E4441" s="20">
        <v>0</v>
      </c>
    </row>
    <row r="4442" spans="1:5">
      <c r="A4442" s="20" t="str">
        <v>00:00:00</v>
      </c>
      <c r="B4442" s="19">
        <v>0</v>
      </c>
      <c r="C4442" s="21">
        <v>0</v>
      </c>
      <c r="D4442" s="20" t="str">
        <v>未匹配</v>
      </c>
      <c r="E4442" s="20">
        <v>0</v>
      </c>
    </row>
    <row r="4443" spans="1:5">
      <c r="A4443" s="20" t="str">
        <v>00:00:00</v>
      </c>
      <c r="B4443" s="19">
        <v>0</v>
      </c>
      <c r="C4443" s="21">
        <v>0</v>
      </c>
      <c r="D4443" s="20" t="str">
        <v>未匹配</v>
      </c>
      <c r="E4443" s="20">
        <v>0</v>
      </c>
    </row>
    <row r="4444" spans="1:5">
      <c r="A4444" s="20" t="str">
        <v>00:00:00</v>
      </c>
      <c r="B4444" s="19">
        <v>0</v>
      </c>
      <c r="C4444" s="21">
        <v>0</v>
      </c>
      <c r="D4444" s="20" t="str">
        <v>未匹配</v>
      </c>
      <c r="E4444" s="20">
        <v>0</v>
      </c>
    </row>
    <row r="4445" spans="1:5">
      <c r="A4445" s="20" t="str">
        <v>00:00:00</v>
      </c>
      <c r="B4445" s="19">
        <v>0</v>
      </c>
      <c r="C4445" s="21">
        <v>0</v>
      </c>
      <c r="D4445" s="20" t="str">
        <v>未匹配</v>
      </c>
      <c r="E4445" s="20">
        <v>0</v>
      </c>
    </row>
    <row r="4446" spans="1:5">
      <c r="A4446" s="20" t="str">
        <v>00:00:00</v>
      </c>
      <c r="B4446" s="19">
        <v>0</v>
      </c>
      <c r="C4446" s="21">
        <v>0</v>
      </c>
      <c r="D4446" s="20" t="str">
        <v>未匹配</v>
      </c>
      <c r="E4446" s="20">
        <v>0</v>
      </c>
    </row>
    <row r="4447" spans="1:5">
      <c r="A4447" s="20" t="str">
        <v>00:00:00</v>
      </c>
      <c r="B4447" s="19">
        <v>0</v>
      </c>
      <c r="C4447" s="21">
        <v>0</v>
      </c>
      <c r="D4447" s="20" t="str">
        <v>未匹配</v>
      </c>
      <c r="E4447" s="20">
        <v>0</v>
      </c>
    </row>
    <row r="4448" spans="1:5">
      <c r="A4448" s="20" t="str">
        <v>00:00:00</v>
      </c>
      <c r="B4448" s="19">
        <v>0</v>
      </c>
      <c r="C4448" s="21">
        <v>0</v>
      </c>
      <c r="D4448" s="20" t="str">
        <v>未匹配</v>
      </c>
      <c r="E4448" s="20">
        <v>0</v>
      </c>
    </row>
    <row r="4449" spans="1:5">
      <c r="A4449" s="20" t="str">
        <v>00:00:00</v>
      </c>
      <c r="B4449" s="19">
        <v>0</v>
      </c>
      <c r="C4449" s="21">
        <v>0</v>
      </c>
      <c r="D4449" s="20" t="str">
        <v>未匹配</v>
      </c>
      <c r="E4449" s="20">
        <v>0</v>
      </c>
    </row>
    <row r="4450" spans="1:5">
      <c r="A4450" s="20" t="str">
        <v>00:00:00</v>
      </c>
      <c r="B4450" s="19">
        <v>0</v>
      </c>
      <c r="C4450" s="21">
        <v>0</v>
      </c>
      <c r="D4450" s="20" t="str">
        <v>未匹配</v>
      </c>
      <c r="E4450" s="20">
        <v>0</v>
      </c>
    </row>
    <row r="4451" spans="1:5">
      <c r="A4451" s="20" t="str">
        <v>00:00:00</v>
      </c>
      <c r="B4451" s="19">
        <v>0</v>
      </c>
      <c r="C4451" s="21">
        <v>0</v>
      </c>
      <c r="D4451" s="20" t="str">
        <v>未匹配</v>
      </c>
      <c r="E4451" s="20">
        <v>0</v>
      </c>
    </row>
    <row r="4452" spans="1:5">
      <c r="A4452" s="20" t="str">
        <v>00:00:00</v>
      </c>
      <c r="B4452" s="19">
        <v>0</v>
      </c>
      <c r="C4452" s="21">
        <v>0</v>
      </c>
      <c r="D4452" s="20" t="str">
        <v>未匹配</v>
      </c>
      <c r="E4452" s="20">
        <v>0</v>
      </c>
    </row>
    <row r="4453" spans="1:5">
      <c r="A4453" s="20" t="str">
        <v>00:00:00</v>
      </c>
      <c r="B4453" s="19">
        <v>0</v>
      </c>
      <c r="C4453" s="21">
        <v>0</v>
      </c>
      <c r="D4453" s="20" t="str">
        <v>未匹配</v>
      </c>
      <c r="E4453" s="20">
        <v>0</v>
      </c>
    </row>
    <row r="4454" spans="1:5">
      <c r="A4454" s="20" t="str">
        <v>00:00:00</v>
      </c>
      <c r="B4454" s="19">
        <v>0</v>
      </c>
      <c r="C4454" s="21">
        <v>0</v>
      </c>
      <c r="D4454" s="20" t="str">
        <v>未匹配</v>
      </c>
      <c r="E4454" s="20">
        <v>0</v>
      </c>
    </row>
    <row r="4455" spans="1:5">
      <c r="A4455" s="20" t="str">
        <v>00:00:00</v>
      </c>
      <c r="B4455" s="19">
        <v>0</v>
      </c>
      <c r="C4455" s="21">
        <v>0</v>
      </c>
      <c r="D4455" s="20" t="str">
        <v>未匹配</v>
      </c>
      <c r="E4455" s="20">
        <v>0</v>
      </c>
    </row>
    <row r="4456" spans="1:5">
      <c r="A4456" s="20" t="str">
        <v>00:00:00</v>
      </c>
      <c r="B4456" s="19">
        <v>0</v>
      </c>
      <c r="C4456" s="21">
        <v>0</v>
      </c>
      <c r="D4456" s="20" t="str">
        <v>未匹配</v>
      </c>
      <c r="E4456" s="20">
        <v>0</v>
      </c>
    </row>
    <row r="4457" spans="1:5">
      <c r="A4457" s="20" t="str">
        <v>00:00:00</v>
      </c>
      <c r="B4457" s="19">
        <v>0</v>
      </c>
      <c r="C4457" s="21">
        <v>0</v>
      </c>
      <c r="D4457" s="20" t="str">
        <v>未匹配</v>
      </c>
      <c r="E4457" s="20">
        <v>0</v>
      </c>
    </row>
    <row r="4458" spans="1:5">
      <c r="A4458" s="20" t="str">
        <v>00:00:00</v>
      </c>
      <c r="B4458" s="19">
        <v>0</v>
      </c>
      <c r="C4458" s="21">
        <v>0</v>
      </c>
      <c r="D4458" s="20" t="str">
        <v>未匹配</v>
      </c>
      <c r="E4458" s="20">
        <v>0</v>
      </c>
    </row>
    <row r="4459" spans="1:5">
      <c r="A4459" s="20" t="str">
        <v>00:00:00</v>
      </c>
      <c r="B4459" s="19">
        <v>0</v>
      </c>
      <c r="C4459" s="21">
        <v>0</v>
      </c>
      <c r="D4459" s="20" t="str">
        <v>未匹配</v>
      </c>
      <c r="E4459" s="20">
        <v>0</v>
      </c>
    </row>
    <row r="4460" spans="1:5">
      <c r="A4460" s="20" t="str">
        <v>00:00:00</v>
      </c>
      <c r="B4460" s="19">
        <v>0</v>
      </c>
      <c r="C4460" s="21">
        <v>0</v>
      </c>
      <c r="D4460" s="20" t="str">
        <v>未匹配</v>
      </c>
      <c r="E4460" s="20">
        <v>0</v>
      </c>
    </row>
    <row r="4461" spans="1:5">
      <c r="A4461" s="20" t="str">
        <v>00:00:00</v>
      </c>
      <c r="B4461" s="19">
        <v>0</v>
      </c>
      <c r="C4461" s="21">
        <v>0</v>
      </c>
      <c r="D4461" s="20" t="str">
        <v>未匹配</v>
      </c>
      <c r="E4461" s="20">
        <v>0</v>
      </c>
    </row>
    <row r="4462" spans="1:5">
      <c r="A4462" s="20" t="str">
        <v>00:00:00</v>
      </c>
      <c r="B4462" s="19">
        <v>0</v>
      </c>
      <c r="C4462" s="21">
        <v>0</v>
      </c>
      <c r="D4462" s="20" t="str">
        <v>未匹配</v>
      </c>
      <c r="E4462" s="20">
        <v>0</v>
      </c>
    </row>
    <row r="4463" spans="1:5">
      <c r="A4463" s="20" t="str">
        <v>00:00:00</v>
      </c>
      <c r="B4463" s="19">
        <v>0</v>
      </c>
      <c r="C4463" s="21">
        <v>0</v>
      </c>
      <c r="D4463" s="20" t="str">
        <v>未匹配</v>
      </c>
      <c r="E4463" s="20">
        <v>0</v>
      </c>
    </row>
    <row r="4464" spans="1:5">
      <c r="A4464" s="20" t="str">
        <v>00:00:00</v>
      </c>
      <c r="B4464" s="19">
        <v>0</v>
      </c>
      <c r="C4464" s="21">
        <v>0</v>
      </c>
      <c r="D4464" s="20" t="str">
        <v>未匹配</v>
      </c>
      <c r="E4464" s="20">
        <v>0</v>
      </c>
    </row>
    <row r="4465" spans="1:5">
      <c r="A4465" s="20" t="str">
        <v>00:00:00</v>
      </c>
      <c r="B4465" s="19">
        <v>0</v>
      </c>
      <c r="C4465" s="21">
        <v>0</v>
      </c>
      <c r="D4465" s="20" t="str">
        <v>未匹配</v>
      </c>
      <c r="E4465" s="20">
        <v>0</v>
      </c>
    </row>
    <row r="4466" spans="1:5">
      <c r="A4466" s="20" t="str">
        <v>00:00:00</v>
      </c>
      <c r="B4466" s="19">
        <v>0</v>
      </c>
      <c r="C4466" s="21">
        <v>0</v>
      </c>
      <c r="D4466" s="20" t="str">
        <v>未匹配</v>
      </c>
      <c r="E4466" s="20">
        <v>0</v>
      </c>
    </row>
    <row r="4467" spans="1:5">
      <c r="A4467" s="20" t="str">
        <v>00:00:00</v>
      </c>
      <c r="B4467" s="19">
        <v>0</v>
      </c>
      <c r="C4467" s="21">
        <v>0</v>
      </c>
      <c r="D4467" s="20" t="str">
        <v>未匹配</v>
      </c>
      <c r="E4467" s="20">
        <v>0</v>
      </c>
    </row>
    <row r="4468" spans="1:5">
      <c r="A4468" s="20" t="str">
        <v>00:00:00</v>
      </c>
      <c r="B4468" s="19">
        <v>0</v>
      </c>
      <c r="C4468" s="21">
        <v>0</v>
      </c>
      <c r="D4468" s="20" t="str">
        <v>未匹配</v>
      </c>
      <c r="E4468" s="20">
        <v>0</v>
      </c>
    </row>
    <row r="4469" spans="1:5">
      <c r="A4469" s="20" t="str">
        <v>00:00:00</v>
      </c>
      <c r="B4469" s="19">
        <v>0</v>
      </c>
      <c r="C4469" s="21">
        <v>0</v>
      </c>
      <c r="D4469" s="20" t="str">
        <v>未匹配</v>
      </c>
      <c r="E4469" s="20">
        <v>0</v>
      </c>
    </row>
    <row r="4470" spans="1:5">
      <c r="A4470" s="20" t="str">
        <v>00:00:00</v>
      </c>
      <c r="B4470" s="19">
        <v>0</v>
      </c>
      <c r="C4470" s="21">
        <v>0</v>
      </c>
      <c r="D4470" s="20" t="str">
        <v>未匹配</v>
      </c>
      <c r="E4470" s="20">
        <v>0</v>
      </c>
    </row>
    <row r="4471" spans="1:5">
      <c r="A4471" s="20" t="str">
        <v>00:00:00</v>
      </c>
      <c r="B4471" s="19">
        <v>0</v>
      </c>
      <c r="C4471" s="21">
        <v>0</v>
      </c>
      <c r="D4471" s="20" t="str">
        <v>未匹配</v>
      </c>
      <c r="E4471" s="20">
        <v>0</v>
      </c>
    </row>
    <row r="4472" spans="1:5">
      <c r="A4472" s="20" t="str">
        <v>00:00:00</v>
      </c>
      <c r="B4472" s="19">
        <v>0</v>
      </c>
      <c r="C4472" s="21">
        <v>0</v>
      </c>
      <c r="D4472" s="20" t="str">
        <v>未匹配</v>
      </c>
      <c r="E4472" s="20">
        <v>0</v>
      </c>
    </row>
    <row r="4473" spans="1:5">
      <c r="A4473" s="20" t="str">
        <v>00:00:00</v>
      </c>
      <c r="B4473" s="19">
        <v>0</v>
      </c>
      <c r="C4473" s="21">
        <v>0</v>
      </c>
      <c r="D4473" s="20" t="str">
        <v>未匹配</v>
      </c>
      <c r="E4473" s="20">
        <v>0</v>
      </c>
    </row>
    <row r="4474" spans="1:5">
      <c r="A4474" s="20" t="str">
        <v>00:00:00</v>
      </c>
      <c r="B4474" s="19">
        <v>0</v>
      </c>
      <c r="C4474" s="21">
        <v>0</v>
      </c>
      <c r="D4474" s="20" t="str">
        <v>未匹配</v>
      </c>
      <c r="E4474" s="20">
        <v>0</v>
      </c>
    </row>
    <row r="4475" spans="1:5">
      <c r="A4475" s="20" t="str">
        <v>00:00:00</v>
      </c>
      <c r="B4475" s="19">
        <v>0</v>
      </c>
      <c r="C4475" s="21">
        <v>0</v>
      </c>
      <c r="D4475" s="20" t="str">
        <v>未匹配</v>
      </c>
      <c r="E4475" s="20">
        <v>0</v>
      </c>
    </row>
    <row r="4476" spans="1:5">
      <c r="A4476" s="20" t="str">
        <v>00:00:00</v>
      </c>
      <c r="B4476" s="19">
        <v>0</v>
      </c>
      <c r="C4476" s="21">
        <v>0</v>
      </c>
      <c r="D4476" s="20" t="str">
        <v>未匹配</v>
      </c>
      <c r="E4476" s="20">
        <v>0</v>
      </c>
    </row>
    <row r="4477" spans="1:5">
      <c r="A4477" s="20" t="str">
        <v>00:00:00</v>
      </c>
      <c r="B4477" s="19">
        <v>0</v>
      </c>
      <c r="C4477" s="21">
        <v>0</v>
      </c>
      <c r="D4477" s="20" t="str">
        <v>未匹配</v>
      </c>
      <c r="E4477" s="20">
        <v>0</v>
      </c>
    </row>
    <row r="4478" spans="1:5">
      <c r="A4478" s="20" t="str">
        <v>00:00:00</v>
      </c>
      <c r="B4478" s="19">
        <v>0</v>
      </c>
      <c r="C4478" s="21">
        <v>0</v>
      </c>
      <c r="D4478" s="20" t="str">
        <v>未匹配</v>
      </c>
      <c r="E4478" s="20">
        <v>0</v>
      </c>
    </row>
    <row r="4479" spans="1:5">
      <c r="A4479" s="20" t="str">
        <v>00:00:00</v>
      </c>
      <c r="B4479" s="19">
        <v>0</v>
      </c>
      <c r="C4479" s="21">
        <v>0</v>
      </c>
      <c r="D4479" s="20" t="str">
        <v>未匹配</v>
      </c>
      <c r="E4479" s="20">
        <v>0</v>
      </c>
    </row>
    <row r="4480" spans="1:5">
      <c r="A4480" s="20" t="str">
        <v>00:00:00</v>
      </c>
      <c r="B4480" s="19">
        <v>0</v>
      </c>
      <c r="C4480" s="21">
        <v>0</v>
      </c>
      <c r="D4480" s="20" t="str">
        <v>未匹配</v>
      </c>
      <c r="E4480" s="20">
        <v>0</v>
      </c>
    </row>
    <row r="4481" spans="1:5">
      <c r="A4481" s="20" t="str">
        <v>00:00:00</v>
      </c>
      <c r="B4481" s="19">
        <v>0</v>
      </c>
      <c r="C4481" s="21">
        <v>0</v>
      </c>
      <c r="D4481" s="20" t="str">
        <v>未匹配</v>
      </c>
      <c r="E4481" s="20">
        <v>0</v>
      </c>
    </row>
    <row r="4482" spans="1:5">
      <c r="A4482" s="20" t="str">
        <v>00:00:00</v>
      </c>
      <c r="B4482" s="19">
        <v>0</v>
      </c>
      <c r="C4482" s="21">
        <v>0</v>
      </c>
      <c r="D4482" s="20" t="str">
        <v>未匹配</v>
      </c>
      <c r="E4482" s="20">
        <v>0</v>
      </c>
    </row>
    <row r="4483" spans="1:5">
      <c r="A4483" s="20" t="str">
        <v>00:00:00</v>
      </c>
      <c r="B4483" s="19">
        <v>0</v>
      </c>
      <c r="C4483" s="21">
        <v>0</v>
      </c>
      <c r="D4483" s="20" t="str">
        <v>未匹配</v>
      </c>
      <c r="E4483" s="20">
        <v>0</v>
      </c>
    </row>
    <row r="4484" spans="1:5">
      <c r="A4484" s="20" t="str">
        <v>00:00:00</v>
      </c>
      <c r="B4484" s="19">
        <v>0</v>
      </c>
      <c r="C4484" s="21">
        <v>0</v>
      </c>
      <c r="D4484" s="20" t="str">
        <v>未匹配</v>
      </c>
      <c r="E4484" s="20">
        <v>0</v>
      </c>
    </row>
    <row r="4485" spans="1:5">
      <c r="A4485" s="20" t="str">
        <v>00:00:00</v>
      </c>
      <c r="B4485" s="19">
        <v>0</v>
      </c>
      <c r="C4485" s="21">
        <v>0</v>
      </c>
      <c r="D4485" s="20" t="str">
        <v>未匹配</v>
      </c>
      <c r="E4485" s="20">
        <v>0</v>
      </c>
    </row>
    <row r="4486" spans="1:5">
      <c r="A4486" s="20" t="str">
        <v>00:00:00</v>
      </c>
      <c r="B4486" s="19">
        <v>0</v>
      </c>
      <c r="C4486" s="21">
        <v>0</v>
      </c>
      <c r="D4486" s="20" t="str">
        <v>未匹配</v>
      </c>
      <c r="E4486" s="20">
        <v>0</v>
      </c>
    </row>
    <row r="4487" spans="1:5">
      <c r="A4487" s="20" t="str">
        <v>00:00:00</v>
      </c>
      <c r="B4487" s="19">
        <v>0</v>
      </c>
      <c r="C4487" s="21">
        <v>0</v>
      </c>
      <c r="D4487" s="20" t="str">
        <v>未匹配</v>
      </c>
      <c r="E4487" s="20">
        <v>0</v>
      </c>
    </row>
    <row r="4488" spans="1:5">
      <c r="A4488" s="20" t="str">
        <v>00:00:00</v>
      </c>
      <c r="B4488" s="19">
        <v>0</v>
      </c>
      <c r="C4488" s="21">
        <v>0</v>
      </c>
      <c r="D4488" s="20" t="str">
        <v>未匹配</v>
      </c>
      <c r="E4488" s="20">
        <v>0</v>
      </c>
    </row>
    <row r="4489" spans="1:5">
      <c r="A4489" s="20" t="str">
        <v>00:00:00</v>
      </c>
      <c r="B4489" s="19">
        <v>0</v>
      </c>
      <c r="C4489" s="21">
        <v>0</v>
      </c>
      <c r="D4489" s="20" t="str">
        <v>未匹配</v>
      </c>
      <c r="E4489" s="20">
        <v>0</v>
      </c>
    </row>
    <row r="4490" spans="1:5">
      <c r="A4490" s="20" t="str">
        <v>00:00:00</v>
      </c>
      <c r="B4490" s="19">
        <v>0</v>
      </c>
      <c r="C4490" s="21">
        <v>0</v>
      </c>
      <c r="D4490" s="20" t="str">
        <v>未匹配</v>
      </c>
      <c r="E4490" s="20">
        <v>0</v>
      </c>
    </row>
    <row r="4491" spans="1:5">
      <c r="A4491" s="20" t="str">
        <v>00:00:00</v>
      </c>
      <c r="B4491" s="19">
        <v>0</v>
      </c>
      <c r="C4491" s="21">
        <v>0</v>
      </c>
      <c r="D4491" s="20" t="str">
        <v>未匹配</v>
      </c>
      <c r="E4491" s="20">
        <v>0</v>
      </c>
    </row>
    <row r="4492" spans="1:5">
      <c r="A4492" s="20" t="str">
        <v>00:00:00</v>
      </c>
      <c r="B4492" s="19">
        <v>0</v>
      </c>
      <c r="C4492" s="21">
        <v>0</v>
      </c>
      <c r="D4492" s="20" t="str">
        <v>未匹配</v>
      </c>
      <c r="E4492" s="20">
        <v>0</v>
      </c>
    </row>
    <row r="4493" spans="1:5">
      <c r="A4493" s="20" t="str">
        <v>00:00:00</v>
      </c>
      <c r="B4493" s="19">
        <v>0</v>
      </c>
      <c r="C4493" s="21">
        <v>0</v>
      </c>
      <c r="D4493" s="20" t="str">
        <v>未匹配</v>
      </c>
      <c r="E4493" s="20">
        <v>0</v>
      </c>
    </row>
    <row r="4494" spans="1:5">
      <c r="A4494" s="20" t="str">
        <v>00:00:00</v>
      </c>
      <c r="B4494" s="19">
        <v>0</v>
      </c>
      <c r="C4494" s="21">
        <v>0</v>
      </c>
      <c r="D4494" s="20" t="str">
        <v>未匹配</v>
      </c>
      <c r="E4494" s="20">
        <v>0</v>
      </c>
    </row>
    <row r="4495" spans="1:5">
      <c r="A4495" s="20" t="str">
        <v>00:00:00</v>
      </c>
      <c r="B4495" s="19">
        <v>0</v>
      </c>
      <c r="C4495" s="21">
        <v>0</v>
      </c>
      <c r="D4495" s="20" t="str">
        <v>未匹配</v>
      </c>
      <c r="E4495" s="20">
        <v>0</v>
      </c>
    </row>
    <row r="4496" spans="1:5">
      <c r="A4496" s="20" t="str">
        <v>00:00:00</v>
      </c>
      <c r="B4496" s="19">
        <v>0</v>
      </c>
      <c r="C4496" s="21">
        <v>0</v>
      </c>
      <c r="D4496" s="20" t="str">
        <v>未匹配</v>
      </c>
      <c r="E4496" s="20">
        <v>0</v>
      </c>
    </row>
    <row r="4497" spans="1:5">
      <c r="A4497" s="20" t="str">
        <v>00:00:00</v>
      </c>
      <c r="B4497" s="19">
        <v>0</v>
      </c>
      <c r="C4497" s="21">
        <v>0</v>
      </c>
      <c r="D4497" s="20" t="str">
        <v>未匹配</v>
      </c>
      <c r="E4497" s="20">
        <v>0</v>
      </c>
    </row>
    <row r="4498" spans="1:5">
      <c r="A4498" s="20" t="str">
        <v>00:00:00</v>
      </c>
      <c r="B4498" s="19">
        <v>0</v>
      </c>
      <c r="C4498" s="21">
        <v>0</v>
      </c>
      <c r="D4498" s="20" t="str">
        <v>未匹配</v>
      </c>
      <c r="E4498" s="20">
        <v>0</v>
      </c>
    </row>
    <row r="4499" spans="1:5">
      <c r="A4499" s="20" t="str">
        <v>00:00:00</v>
      </c>
      <c r="B4499" s="19">
        <v>0</v>
      </c>
      <c r="C4499" s="21">
        <v>0</v>
      </c>
      <c r="D4499" s="20" t="str">
        <v>未匹配</v>
      </c>
      <c r="E4499" s="20">
        <v>0</v>
      </c>
    </row>
    <row r="4500" spans="1:5">
      <c r="A4500" s="20" t="str">
        <v>00:00:00</v>
      </c>
      <c r="B4500" s="19">
        <v>0</v>
      </c>
      <c r="C4500" s="21">
        <v>0</v>
      </c>
      <c r="D4500" s="20" t="str">
        <v>未匹配</v>
      </c>
      <c r="E4500" s="20">
        <v>0</v>
      </c>
    </row>
    <row r="4501" spans="1:5">
      <c r="A4501" s="20" t="str">
        <v>00:00:00</v>
      </c>
      <c r="B4501" s="19">
        <v>0</v>
      </c>
      <c r="C4501" s="21">
        <v>0</v>
      </c>
      <c r="D4501" s="20" t="str">
        <v>未匹配</v>
      </c>
      <c r="E4501" s="20">
        <v>0</v>
      </c>
    </row>
    <row r="4502" spans="1:5">
      <c r="A4502" s="20" t="str">
        <v>00:00:00</v>
      </c>
      <c r="B4502" s="19">
        <v>0</v>
      </c>
      <c r="C4502" s="21">
        <v>0</v>
      </c>
      <c r="D4502" s="20" t="str">
        <v>未匹配</v>
      </c>
      <c r="E4502" s="20">
        <v>0</v>
      </c>
    </row>
    <row r="4503" spans="1:5">
      <c r="A4503" s="20" t="str">
        <v>00:00:00</v>
      </c>
      <c r="B4503" s="19">
        <v>0</v>
      </c>
      <c r="C4503" s="21">
        <v>0</v>
      </c>
      <c r="D4503" s="20" t="str">
        <v>未匹配</v>
      </c>
      <c r="E4503" s="20">
        <v>0</v>
      </c>
    </row>
    <row r="4504" spans="1:5">
      <c r="A4504" s="20" t="str">
        <v>00:00:00</v>
      </c>
      <c r="B4504" s="19">
        <v>0</v>
      </c>
      <c r="C4504" s="21">
        <v>0</v>
      </c>
      <c r="D4504" s="20" t="str">
        <v>未匹配</v>
      </c>
      <c r="E4504" s="20">
        <v>0</v>
      </c>
    </row>
    <row r="4505" spans="1:5">
      <c r="A4505" s="20" t="str">
        <v>00:00:00</v>
      </c>
      <c r="B4505" s="19">
        <v>0</v>
      </c>
      <c r="C4505" s="21">
        <v>0</v>
      </c>
      <c r="D4505" s="20" t="str">
        <v>未匹配</v>
      </c>
      <c r="E4505" s="20">
        <v>0</v>
      </c>
    </row>
    <row r="4506" spans="1:5">
      <c r="A4506" s="20" t="str">
        <v>00:00:00</v>
      </c>
      <c r="B4506" s="19">
        <v>0</v>
      </c>
      <c r="C4506" s="21">
        <v>0</v>
      </c>
      <c r="D4506" s="20" t="str">
        <v>未匹配</v>
      </c>
      <c r="E4506" s="20">
        <v>0</v>
      </c>
    </row>
    <row r="4507" spans="1:5">
      <c r="A4507" s="20" t="str">
        <v>00:00:00</v>
      </c>
      <c r="B4507" s="19">
        <v>0</v>
      </c>
      <c r="C4507" s="21">
        <v>0</v>
      </c>
      <c r="D4507" s="20" t="str">
        <v>未匹配</v>
      </c>
      <c r="E4507" s="20">
        <v>0</v>
      </c>
    </row>
    <row r="4508" spans="1:5">
      <c r="A4508" s="20" t="str">
        <v>00:00:00</v>
      </c>
      <c r="B4508" s="19">
        <v>0</v>
      </c>
      <c r="C4508" s="21">
        <v>0</v>
      </c>
      <c r="D4508" s="20" t="str">
        <v>未匹配</v>
      </c>
      <c r="E4508" s="20">
        <v>0</v>
      </c>
    </row>
    <row r="4509" spans="1:5">
      <c r="A4509" s="20" t="str">
        <v>00:00:00</v>
      </c>
      <c r="B4509" s="19">
        <v>0</v>
      </c>
      <c r="C4509" s="21">
        <v>0</v>
      </c>
      <c r="D4509" s="20" t="str">
        <v>未匹配</v>
      </c>
      <c r="E4509" s="20">
        <v>0</v>
      </c>
    </row>
    <row r="4510" spans="1:5">
      <c r="A4510" s="20" t="str">
        <v>00:00:00</v>
      </c>
      <c r="B4510" s="19">
        <v>0</v>
      </c>
      <c r="C4510" s="21">
        <v>0</v>
      </c>
      <c r="D4510" s="20" t="str">
        <v>未匹配</v>
      </c>
      <c r="E4510" s="20">
        <v>0</v>
      </c>
    </row>
    <row r="4511" spans="1:5">
      <c r="A4511" s="20" t="str">
        <v>00:00:00</v>
      </c>
      <c r="B4511" s="19">
        <v>0</v>
      </c>
      <c r="C4511" s="21">
        <v>0</v>
      </c>
      <c r="D4511" s="20" t="str">
        <v>未匹配</v>
      </c>
      <c r="E4511" s="20">
        <v>0</v>
      </c>
    </row>
    <row r="4512" spans="1:5">
      <c r="A4512" s="20" t="str">
        <v>00:00:00</v>
      </c>
      <c r="B4512" s="19">
        <v>0</v>
      </c>
      <c r="C4512" s="21">
        <v>0</v>
      </c>
      <c r="D4512" s="20" t="str">
        <v>未匹配</v>
      </c>
      <c r="E4512" s="20">
        <v>0</v>
      </c>
    </row>
    <row r="4513" spans="1:5">
      <c r="A4513" s="20" t="str">
        <v>00:00:00</v>
      </c>
      <c r="B4513" s="19">
        <v>0</v>
      </c>
      <c r="C4513" s="21">
        <v>0</v>
      </c>
      <c r="D4513" s="20" t="str">
        <v>未匹配</v>
      </c>
      <c r="E4513" s="20">
        <v>0</v>
      </c>
    </row>
    <row r="4514" spans="1:5">
      <c r="A4514" s="20" t="str">
        <v>00:00:00</v>
      </c>
      <c r="B4514" s="19">
        <v>0</v>
      </c>
      <c r="C4514" s="21">
        <v>0</v>
      </c>
      <c r="D4514" s="20" t="str">
        <v>未匹配</v>
      </c>
      <c r="E4514" s="20">
        <v>0</v>
      </c>
    </row>
    <row r="4515" spans="1:5">
      <c r="A4515" s="20" t="str">
        <v>00:00:00</v>
      </c>
      <c r="B4515" s="19">
        <v>0</v>
      </c>
      <c r="C4515" s="21">
        <v>0</v>
      </c>
      <c r="D4515" s="20" t="str">
        <v>未匹配</v>
      </c>
      <c r="E4515" s="20">
        <v>0</v>
      </c>
    </row>
    <row r="4516" spans="1:5">
      <c r="A4516" s="20" t="str">
        <v>00:00:00</v>
      </c>
      <c r="B4516" s="19">
        <v>0</v>
      </c>
      <c r="C4516" s="21">
        <v>0</v>
      </c>
      <c r="D4516" s="20" t="str">
        <v>未匹配</v>
      </c>
      <c r="E4516" s="20">
        <v>0</v>
      </c>
    </row>
    <row r="4517" spans="1:5">
      <c r="A4517" s="20" t="str">
        <v>00:00:00</v>
      </c>
      <c r="B4517" s="19">
        <v>0</v>
      </c>
      <c r="C4517" s="21">
        <v>0</v>
      </c>
      <c r="D4517" s="20" t="str">
        <v>未匹配</v>
      </c>
      <c r="E4517" s="20">
        <v>0</v>
      </c>
    </row>
    <row r="4518" spans="1:5">
      <c r="A4518" s="20" t="str">
        <v>00:00:00</v>
      </c>
      <c r="B4518" s="19">
        <v>0</v>
      </c>
      <c r="C4518" s="21">
        <v>0</v>
      </c>
      <c r="D4518" s="20" t="str">
        <v>未匹配</v>
      </c>
      <c r="E4518" s="20">
        <v>0</v>
      </c>
    </row>
    <row r="4519" spans="1:5">
      <c r="A4519" s="20" t="str">
        <v>00:00:00</v>
      </c>
      <c r="B4519" s="19">
        <v>0</v>
      </c>
      <c r="C4519" s="21">
        <v>0</v>
      </c>
      <c r="D4519" s="20" t="str">
        <v>未匹配</v>
      </c>
      <c r="E4519" s="20">
        <v>0</v>
      </c>
    </row>
    <row r="4520" spans="1:5">
      <c r="A4520" s="20" t="str">
        <v>00:00:00</v>
      </c>
      <c r="B4520" s="19">
        <v>0</v>
      </c>
      <c r="C4520" s="21">
        <v>0</v>
      </c>
      <c r="D4520" s="20" t="str">
        <v>未匹配</v>
      </c>
      <c r="E4520" s="20">
        <v>0</v>
      </c>
    </row>
    <row r="4521" spans="1:5">
      <c r="A4521" s="20" t="str">
        <v>00:00:00</v>
      </c>
      <c r="B4521" s="19">
        <v>0</v>
      </c>
      <c r="C4521" s="21">
        <v>0</v>
      </c>
      <c r="D4521" s="20" t="str">
        <v>未匹配</v>
      </c>
      <c r="E4521" s="20">
        <v>0</v>
      </c>
    </row>
    <row r="4522" spans="1:5">
      <c r="A4522" s="20" t="str">
        <v>00:00:00</v>
      </c>
      <c r="B4522" s="19">
        <v>0</v>
      </c>
      <c r="C4522" s="21">
        <v>0</v>
      </c>
      <c r="D4522" s="20" t="str">
        <v>未匹配</v>
      </c>
      <c r="E4522" s="20">
        <v>0</v>
      </c>
    </row>
    <row r="4523" spans="1:5">
      <c r="A4523" s="20" t="str">
        <v>00:00:00</v>
      </c>
      <c r="B4523" s="19">
        <v>0</v>
      </c>
      <c r="C4523" s="21">
        <v>0</v>
      </c>
      <c r="D4523" s="20" t="str">
        <v>未匹配</v>
      </c>
      <c r="E4523" s="20">
        <v>0</v>
      </c>
    </row>
    <row r="4524" spans="1:5">
      <c r="A4524" s="20" t="str">
        <v>00:00:00</v>
      </c>
      <c r="B4524" s="19">
        <v>0</v>
      </c>
      <c r="C4524" s="21">
        <v>0</v>
      </c>
      <c r="D4524" s="20" t="str">
        <v>未匹配</v>
      </c>
      <c r="E4524" s="20">
        <v>0</v>
      </c>
    </row>
    <row r="4525" spans="1:5">
      <c r="A4525" s="20" t="str">
        <v>00:00:00</v>
      </c>
      <c r="B4525" s="19">
        <v>0</v>
      </c>
      <c r="C4525" s="21">
        <v>0</v>
      </c>
      <c r="D4525" s="20" t="str">
        <v>未匹配</v>
      </c>
      <c r="E4525" s="20">
        <v>0</v>
      </c>
    </row>
    <row r="4526" spans="1:5">
      <c r="A4526" s="20" t="str">
        <v>00:00:00</v>
      </c>
      <c r="B4526" s="19">
        <v>0</v>
      </c>
      <c r="C4526" s="21">
        <v>0</v>
      </c>
      <c r="D4526" s="20" t="str">
        <v>未匹配</v>
      </c>
      <c r="E4526" s="20">
        <v>0</v>
      </c>
    </row>
    <row r="4527" spans="1:5">
      <c r="A4527" s="20" t="str">
        <v>00:00:00</v>
      </c>
      <c r="B4527" s="19">
        <v>0</v>
      </c>
      <c r="C4527" s="21">
        <v>0</v>
      </c>
      <c r="D4527" s="20" t="str">
        <v>未匹配</v>
      </c>
      <c r="E4527" s="20">
        <v>0</v>
      </c>
    </row>
    <row r="4528" spans="1:5">
      <c r="A4528" s="20" t="str">
        <v>00:00:00</v>
      </c>
      <c r="B4528" s="19">
        <v>0</v>
      </c>
      <c r="C4528" s="21">
        <v>0</v>
      </c>
      <c r="D4528" s="20" t="str">
        <v>未匹配</v>
      </c>
      <c r="E4528" s="20">
        <v>0</v>
      </c>
    </row>
    <row r="4529" spans="1:5">
      <c r="A4529" s="20" t="str">
        <v>00:00:00</v>
      </c>
      <c r="B4529" s="19">
        <v>0</v>
      </c>
      <c r="C4529" s="21">
        <v>0</v>
      </c>
      <c r="D4529" s="20" t="str">
        <v>未匹配</v>
      </c>
      <c r="E4529" s="20">
        <v>0</v>
      </c>
    </row>
    <row r="4530" spans="1:5">
      <c r="A4530" s="20" t="str">
        <v>00:00:00</v>
      </c>
      <c r="B4530" s="19">
        <v>0</v>
      </c>
      <c r="C4530" s="21">
        <v>0</v>
      </c>
      <c r="D4530" s="20" t="str">
        <v>未匹配</v>
      </c>
      <c r="E4530" s="20">
        <v>0</v>
      </c>
    </row>
    <row r="4531" spans="1:5">
      <c r="A4531" s="20" t="str">
        <v>00:00:00</v>
      </c>
      <c r="B4531" s="19">
        <v>0</v>
      </c>
      <c r="C4531" s="21">
        <v>0</v>
      </c>
      <c r="D4531" s="20" t="str">
        <v>未匹配</v>
      </c>
      <c r="E4531" s="20">
        <v>0</v>
      </c>
    </row>
    <row r="4532" spans="1:5">
      <c r="A4532" s="20" t="str">
        <v>00:00:00</v>
      </c>
      <c r="B4532" s="19">
        <v>0</v>
      </c>
      <c r="C4532" s="21">
        <v>0</v>
      </c>
      <c r="D4532" s="20" t="str">
        <v>未匹配</v>
      </c>
      <c r="E4532" s="20">
        <v>0</v>
      </c>
    </row>
    <row r="4533" spans="1:5">
      <c r="A4533" s="20" t="str">
        <v>00:00:00</v>
      </c>
      <c r="B4533" s="19">
        <v>0</v>
      </c>
      <c r="C4533" s="21">
        <v>0</v>
      </c>
      <c r="D4533" s="20" t="str">
        <v>未匹配</v>
      </c>
      <c r="E4533" s="20">
        <v>0</v>
      </c>
    </row>
    <row r="4534" spans="1:5">
      <c r="A4534" s="20" t="str">
        <v>00:00:00</v>
      </c>
      <c r="B4534" s="19">
        <v>0</v>
      </c>
      <c r="C4534" s="21">
        <v>0</v>
      </c>
      <c r="D4534" s="20" t="str">
        <v>未匹配</v>
      </c>
      <c r="E4534" s="20">
        <v>0</v>
      </c>
    </row>
    <row r="4535" spans="1:5">
      <c r="A4535" s="20" t="str">
        <v>00:00:00</v>
      </c>
      <c r="B4535" s="19">
        <v>0</v>
      </c>
      <c r="C4535" s="21">
        <v>0</v>
      </c>
      <c r="D4535" s="20" t="str">
        <v>未匹配</v>
      </c>
      <c r="E4535" s="20">
        <v>0</v>
      </c>
    </row>
    <row r="4536" spans="1:5">
      <c r="A4536" s="20" t="str">
        <v>00:00:00</v>
      </c>
      <c r="B4536" s="19">
        <v>0</v>
      </c>
      <c r="C4536" s="21">
        <v>0</v>
      </c>
      <c r="D4536" s="20" t="str">
        <v>未匹配</v>
      </c>
      <c r="E4536" s="20">
        <v>0</v>
      </c>
    </row>
    <row r="4537" spans="1:5">
      <c r="A4537" s="20" t="str">
        <v>00:00:00</v>
      </c>
      <c r="B4537" s="19">
        <v>0</v>
      </c>
      <c r="C4537" s="21">
        <v>0</v>
      </c>
      <c r="D4537" s="20" t="str">
        <v>未匹配</v>
      </c>
      <c r="E4537" s="20">
        <v>0</v>
      </c>
    </row>
    <row r="4538" spans="1:5">
      <c r="A4538" s="20" t="str">
        <v>00:00:00</v>
      </c>
      <c r="B4538" s="19">
        <v>0</v>
      </c>
      <c r="C4538" s="21">
        <v>0</v>
      </c>
      <c r="D4538" s="20" t="str">
        <v>未匹配</v>
      </c>
      <c r="E4538" s="20">
        <v>0</v>
      </c>
    </row>
    <row r="4539" spans="1:5">
      <c r="A4539" s="20" t="str">
        <v>00:00:00</v>
      </c>
      <c r="B4539" s="19">
        <v>0</v>
      </c>
      <c r="C4539" s="21">
        <v>0</v>
      </c>
      <c r="D4539" s="20" t="str">
        <v>未匹配</v>
      </c>
      <c r="E4539" s="20">
        <v>0</v>
      </c>
    </row>
    <row r="4540" spans="1:5">
      <c r="A4540" s="20" t="str">
        <v>00:00:00</v>
      </c>
      <c r="B4540" s="19">
        <v>0</v>
      </c>
      <c r="C4540" s="21">
        <v>0</v>
      </c>
      <c r="D4540" s="20" t="str">
        <v>未匹配</v>
      </c>
      <c r="E4540" s="20">
        <v>0</v>
      </c>
    </row>
    <row r="4541" spans="1:5">
      <c r="A4541" s="20" t="str">
        <v>00:00:00</v>
      </c>
      <c r="B4541" s="19">
        <v>0</v>
      </c>
      <c r="C4541" s="21">
        <v>0</v>
      </c>
      <c r="D4541" s="20" t="str">
        <v>未匹配</v>
      </c>
      <c r="E4541" s="20">
        <v>0</v>
      </c>
    </row>
    <row r="4542" spans="1:5">
      <c r="A4542" s="20" t="str">
        <v>00:00:00</v>
      </c>
      <c r="B4542" s="19">
        <v>0</v>
      </c>
      <c r="C4542" s="21">
        <v>0</v>
      </c>
      <c r="D4542" s="20" t="str">
        <v>未匹配</v>
      </c>
      <c r="E4542" s="20">
        <v>0</v>
      </c>
    </row>
    <row r="4543" spans="1:5">
      <c r="A4543" s="20" t="str">
        <v>00:00:00</v>
      </c>
      <c r="B4543" s="19">
        <v>0</v>
      </c>
      <c r="C4543" s="21">
        <v>0</v>
      </c>
      <c r="D4543" s="20" t="str">
        <v>未匹配</v>
      </c>
      <c r="E4543" s="20">
        <v>0</v>
      </c>
    </row>
    <row r="4544" spans="1:5">
      <c r="A4544" s="20" t="str">
        <v>00:00:00</v>
      </c>
      <c r="B4544" s="19">
        <v>0</v>
      </c>
      <c r="C4544" s="21">
        <v>0</v>
      </c>
      <c r="D4544" s="20" t="str">
        <v>未匹配</v>
      </c>
      <c r="E4544" s="20">
        <v>0</v>
      </c>
    </row>
    <row r="4545" spans="1:5">
      <c r="A4545" s="20" t="str">
        <v>00:00:00</v>
      </c>
      <c r="B4545" s="19">
        <v>0</v>
      </c>
      <c r="C4545" s="21">
        <v>0</v>
      </c>
      <c r="D4545" s="20" t="str">
        <v>未匹配</v>
      </c>
      <c r="E4545" s="20">
        <v>0</v>
      </c>
    </row>
    <row r="4546" spans="1:5">
      <c r="A4546" s="20" t="str">
        <v>00:00:00</v>
      </c>
      <c r="B4546" s="19">
        <v>0</v>
      </c>
      <c r="C4546" s="21">
        <v>0</v>
      </c>
      <c r="D4546" s="20" t="str">
        <v>未匹配</v>
      </c>
      <c r="E4546" s="20">
        <v>0</v>
      </c>
    </row>
    <row r="4547" spans="1:5">
      <c r="A4547" s="20" t="str">
        <v>00:00:00</v>
      </c>
      <c r="B4547" s="19">
        <v>0</v>
      </c>
      <c r="C4547" s="21">
        <v>0</v>
      </c>
      <c r="D4547" s="20" t="str">
        <v>未匹配</v>
      </c>
      <c r="E4547" s="20">
        <v>0</v>
      </c>
    </row>
    <row r="4548" spans="1:5">
      <c r="A4548" s="20" t="str">
        <v>00:00:00</v>
      </c>
      <c r="B4548" s="19">
        <v>0</v>
      </c>
      <c r="C4548" s="21">
        <v>0</v>
      </c>
      <c r="D4548" s="20" t="str">
        <v>未匹配</v>
      </c>
      <c r="E4548" s="20">
        <v>0</v>
      </c>
    </row>
    <row r="4549" spans="1:5">
      <c r="A4549" s="20" t="str">
        <v>00:00:00</v>
      </c>
      <c r="B4549" s="19">
        <v>0</v>
      </c>
      <c r="C4549" s="21">
        <v>0</v>
      </c>
      <c r="D4549" s="20" t="str">
        <v>未匹配</v>
      </c>
      <c r="E4549" s="20">
        <v>0</v>
      </c>
    </row>
    <row r="4550" spans="1:5">
      <c r="A4550" s="20" t="str">
        <v>00:00:00</v>
      </c>
      <c r="B4550" s="19">
        <v>0</v>
      </c>
      <c r="C4550" s="21">
        <v>0</v>
      </c>
      <c r="D4550" s="20" t="str">
        <v>未匹配</v>
      </c>
      <c r="E4550" s="20">
        <v>0</v>
      </c>
    </row>
    <row r="4551" spans="1:5">
      <c r="A4551" s="20" t="str">
        <v>00:00:00</v>
      </c>
      <c r="B4551" s="19">
        <v>0</v>
      </c>
      <c r="C4551" s="21">
        <v>0</v>
      </c>
      <c r="D4551" s="20" t="str">
        <v>未匹配</v>
      </c>
      <c r="E4551" s="20">
        <v>0</v>
      </c>
    </row>
    <row r="4552" spans="1:5">
      <c r="A4552" s="20" t="str">
        <v>00:00:00</v>
      </c>
      <c r="B4552" s="19">
        <v>0</v>
      </c>
      <c r="C4552" s="21">
        <v>0</v>
      </c>
      <c r="D4552" s="20" t="str">
        <v>未匹配</v>
      </c>
      <c r="E4552" s="20">
        <v>0</v>
      </c>
    </row>
    <row r="4553" spans="1:5">
      <c r="A4553" s="20" t="str">
        <v>00:00:00</v>
      </c>
      <c r="B4553" s="19">
        <v>0</v>
      </c>
      <c r="C4553" s="21">
        <v>0</v>
      </c>
      <c r="D4553" s="20" t="str">
        <v>未匹配</v>
      </c>
      <c r="E4553" s="20">
        <v>0</v>
      </c>
    </row>
    <row r="4554" spans="1:5">
      <c r="A4554" s="20" t="str">
        <v>00:00:00</v>
      </c>
      <c r="B4554" s="19">
        <v>0</v>
      </c>
      <c r="C4554" s="21">
        <v>0</v>
      </c>
      <c r="D4554" s="20" t="str">
        <v>未匹配</v>
      </c>
      <c r="E4554" s="20">
        <v>0</v>
      </c>
    </row>
    <row r="4555" spans="1:5">
      <c r="A4555" s="20" t="str">
        <v>00:00:00</v>
      </c>
      <c r="B4555" s="19">
        <v>0</v>
      </c>
      <c r="C4555" s="21">
        <v>0</v>
      </c>
      <c r="D4555" s="20" t="str">
        <v>未匹配</v>
      </c>
      <c r="E4555" s="20">
        <v>0</v>
      </c>
    </row>
    <row r="4556" spans="1:5">
      <c r="A4556" s="20" t="str">
        <v>00:00:00</v>
      </c>
      <c r="B4556" s="19">
        <v>0</v>
      </c>
      <c r="C4556" s="21">
        <v>0</v>
      </c>
      <c r="D4556" s="20" t="str">
        <v>未匹配</v>
      </c>
      <c r="E4556" s="20">
        <v>0</v>
      </c>
    </row>
    <row r="4557" spans="1:5">
      <c r="A4557" s="20" t="str">
        <v>00:00:00</v>
      </c>
      <c r="B4557" s="19">
        <v>0</v>
      </c>
      <c r="C4557" s="21">
        <v>0</v>
      </c>
      <c r="D4557" s="20" t="str">
        <v>未匹配</v>
      </c>
      <c r="E4557" s="20">
        <v>0</v>
      </c>
    </row>
    <row r="4558" spans="1:5">
      <c r="A4558" s="20" t="str">
        <v>00:00:00</v>
      </c>
      <c r="B4558" s="19">
        <v>0</v>
      </c>
      <c r="C4558" s="21">
        <v>0</v>
      </c>
      <c r="D4558" s="20" t="str">
        <v>未匹配</v>
      </c>
      <c r="E4558" s="20">
        <v>0</v>
      </c>
    </row>
    <row r="4559" spans="1:5">
      <c r="A4559" s="20" t="str">
        <v>00:00:00</v>
      </c>
      <c r="B4559" s="19">
        <v>0</v>
      </c>
      <c r="C4559" s="21">
        <v>0</v>
      </c>
      <c r="D4559" s="20" t="str">
        <v>未匹配</v>
      </c>
      <c r="E4559" s="20">
        <v>0</v>
      </c>
    </row>
    <row r="4560" spans="1:5">
      <c r="A4560" s="20" t="str">
        <v>00:00:00</v>
      </c>
      <c r="B4560" s="19">
        <v>0</v>
      </c>
      <c r="C4560" s="21">
        <v>0</v>
      </c>
      <c r="D4560" s="20" t="str">
        <v>未匹配</v>
      </c>
      <c r="E4560" s="20">
        <v>0</v>
      </c>
    </row>
    <row r="4561" spans="1:5">
      <c r="A4561" s="20" t="str">
        <v>00:00:00</v>
      </c>
      <c r="B4561" s="19">
        <v>0</v>
      </c>
      <c r="C4561" s="21">
        <v>0</v>
      </c>
      <c r="D4561" s="20" t="str">
        <v>未匹配</v>
      </c>
      <c r="E4561" s="20">
        <v>0</v>
      </c>
    </row>
    <row r="4562" spans="1:5">
      <c r="A4562" s="20" t="str">
        <v>00:00:00</v>
      </c>
      <c r="B4562" s="19">
        <v>0</v>
      </c>
      <c r="C4562" s="21">
        <v>0</v>
      </c>
      <c r="D4562" s="20" t="str">
        <v>未匹配</v>
      </c>
      <c r="E4562" s="20">
        <v>0</v>
      </c>
    </row>
    <row r="4563" spans="1:5">
      <c r="A4563" s="20" t="str">
        <v>00:00:00</v>
      </c>
      <c r="B4563" s="19">
        <v>0</v>
      </c>
      <c r="C4563" s="21">
        <v>0</v>
      </c>
      <c r="D4563" s="20" t="str">
        <v>未匹配</v>
      </c>
      <c r="E4563" s="20">
        <v>0</v>
      </c>
    </row>
    <row r="4564" spans="1:5">
      <c r="A4564" s="20" t="str">
        <v>00:00:00</v>
      </c>
      <c r="B4564" s="19">
        <v>0</v>
      </c>
      <c r="C4564" s="21">
        <v>0</v>
      </c>
      <c r="D4564" s="20" t="str">
        <v>未匹配</v>
      </c>
      <c r="E4564" s="20">
        <v>0</v>
      </c>
    </row>
    <row r="4565" spans="1:5">
      <c r="A4565" s="20" t="str">
        <v>00:00:00</v>
      </c>
      <c r="B4565" s="19">
        <v>0</v>
      </c>
      <c r="C4565" s="21">
        <v>0</v>
      </c>
      <c r="D4565" s="20" t="str">
        <v>未匹配</v>
      </c>
      <c r="E4565" s="20">
        <v>0</v>
      </c>
    </row>
    <row r="4566" spans="1:5">
      <c r="A4566" s="20" t="str">
        <v>00:00:00</v>
      </c>
      <c r="B4566" s="19">
        <v>0</v>
      </c>
      <c r="C4566" s="21">
        <v>0</v>
      </c>
      <c r="D4566" s="20" t="str">
        <v>未匹配</v>
      </c>
      <c r="E4566" s="20">
        <v>0</v>
      </c>
    </row>
    <row r="4567" spans="1:5">
      <c r="A4567" s="20" t="str">
        <v>00:00:00</v>
      </c>
      <c r="B4567" s="19">
        <v>0</v>
      </c>
      <c r="C4567" s="21">
        <v>0</v>
      </c>
      <c r="D4567" s="20" t="str">
        <v>未匹配</v>
      </c>
      <c r="E4567" s="20">
        <v>0</v>
      </c>
    </row>
    <row r="4568" spans="1:5">
      <c r="A4568" s="20" t="str">
        <v>00:00:00</v>
      </c>
      <c r="B4568" s="19">
        <v>0</v>
      </c>
      <c r="C4568" s="21">
        <v>0</v>
      </c>
      <c r="D4568" s="20" t="str">
        <v>未匹配</v>
      </c>
      <c r="E4568" s="20">
        <v>0</v>
      </c>
    </row>
    <row r="4569" spans="1:5">
      <c r="A4569" s="20" t="str">
        <v>00:00:00</v>
      </c>
      <c r="B4569" s="19">
        <v>0</v>
      </c>
      <c r="C4569" s="21">
        <v>0</v>
      </c>
      <c r="D4569" s="20" t="str">
        <v>未匹配</v>
      </c>
      <c r="E4569" s="20">
        <v>0</v>
      </c>
    </row>
    <row r="4570" spans="1:5">
      <c r="A4570" s="20" t="str">
        <v>00:00:00</v>
      </c>
      <c r="B4570" s="19">
        <v>0</v>
      </c>
      <c r="C4570" s="21">
        <v>0</v>
      </c>
      <c r="D4570" s="20" t="str">
        <v>未匹配</v>
      </c>
      <c r="E4570" s="20">
        <v>0</v>
      </c>
    </row>
    <row r="4571" spans="1:5">
      <c r="A4571" s="20" t="str">
        <v>00:00:00</v>
      </c>
      <c r="B4571" s="19">
        <v>0</v>
      </c>
      <c r="C4571" s="21">
        <v>0</v>
      </c>
      <c r="D4571" s="20" t="str">
        <v>未匹配</v>
      </c>
      <c r="E4571" s="20">
        <v>0</v>
      </c>
    </row>
    <row r="4572" spans="1:5">
      <c r="A4572" s="20" t="str">
        <v>00:00:00</v>
      </c>
      <c r="B4572" s="19">
        <v>0</v>
      </c>
      <c r="C4572" s="21">
        <v>0</v>
      </c>
      <c r="D4572" s="20" t="str">
        <v>未匹配</v>
      </c>
      <c r="E4572" s="20">
        <v>0</v>
      </c>
    </row>
    <row r="4573" spans="1:5">
      <c r="A4573" s="20" t="str">
        <v>00:00:00</v>
      </c>
      <c r="B4573" s="19">
        <v>0</v>
      </c>
      <c r="C4573" s="21">
        <v>0</v>
      </c>
      <c r="D4573" s="20" t="str">
        <v>未匹配</v>
      </c>
      <c r="E4573" s="20">
        <v>0</v>
      </c>
    </row>
    <row r="4574" spans="1:5">
      <c r="A4574" s="20" t="str">
        <v>00:00:00</v>
      </c>
      <c r="B4574" s="19">
        <v>0</v>
      </c>
      <c r="C4574" s="21">
        <v>0</v>
      </c>
      <c r="D4574" s="20" t="str">
        <v>未匹配</v>
      </c>
      <c r="E4574" s="20">
        <v>0</v>
      </c>
    </row>
    <row r="4575" spans="1:5">
      <c r="A4575" s="20" t="str">
        <v>00:00:00</v>
      </c>
      <c r="B4575" s="19">
        <v>0</v>
      </c>
      <c r="C4575" s="21">
        <v>0</v>
      </c>
      <c r="D4575" s="20" t="str">
        <v>未匹配</v>
      </c>
      <c r="E4575" s="20">
        <v>0</v>
      </c>
    </row>
    <row r="4576" spans="1:5">
      <c r="A4576" s="20" t="str">
        <v>00:00:00</v>
      </c>
      <c r="B4576" s="19">
        <v>0</v>
      </c>
      <c r="C4576" s="21">
        <v>0</v>
      </c>
      <c r="D4576" s="20" t="str">
        <v>未匹配</v>
      </c>
      <c r="E4576" s="20">
        <v>0</v>
      </c>
    </row>
    <row r="4577" spans="1:5">
      <c r="A4577" s="20" t="str">
        <v>00:00:00</v>
      </c>
      <c r="B4577" s="19">
        <v>0</v>
      </c>
      <c r="C4577" s="21">
        <v>0</v>
      </c>
      <c r="D4577" s="20" t="str">
        <v>未匹配</v>
      </c>
      <c r="E4577" s="20">
        <v>0</v>
      </c>
    </row>
    <row r="4578" spans="1:5">
      <c r="A4578" s="20" t="str">
        <v>00:00:00</v>
      </c>
      <c r="B4578" s="19">
        <v>0</v>
      </c>
      <c r="C4578" s="21">
        <v>0</v>
      </c>
      <c r="D4578" s="20" t="str">
        <v>未匹配</v>
      </c>
      <c r="E4578" s="20">
        <v>0</v>
      </c>
    </row>
    <row r="4579" spans="1:5">
      <c r="A4579" s="20" t="str">
        <v>00:00:00</v>
      </c>
      <c r="B4579" s="19">
        <v>0</v>
      </c>
      <c r="C4579" s="21">
        <v>0</v>
      </c>
      <c r="D4579" s="20" t="str">
        <v>未匹配</v>
      </c>
      <c r="E4579" s="20">
        <v>0</v>
      </c>
    </row>
    <row r="4580" spans="1:5">
      <c r="A4580" s="20" t="str">
        <v>00:00:00</v>
      </c>
      <c r="B4580" s="19">
        <v>0</v>
      </c>
      <c r="C4580" s="21">
        <v>0</v>
      </c>
      <c r="D4580" s="20" t="str">
        <v>未匹配</v>
      </c>
      <c r="E4580" s="20">
        <v>0</v>
      </c>
    </row>
    <row r="4581" spans="1:5">
      <c r="A4581" s="20" t="str">
        <v>00:00:00</v>
      </c>
      <c r="B4581" s="19">
        <v>0</v>
      </c>
      <c r="C4581" s="21">
        <v>0</v>
      </c>
      <c r="D4581" s="20" t="str">
        <v>未匹配</v>
      </c>
      <c r="E4581" s="20">
        <v>0</v>
      </c>
    </row>
    <row r="4582" spans="1:5">
      <c r="A4582" s="20" t="str">
        <v>00:00:00</v>
      </c>
      <c r="B4582" s="19">
        <v>0</v>
      </c>
      <c r="C4582" s="21">
        <v>0</v>
      </c>
      <c r="D4582" s="20" t="str">
        <v>未匹配</v>
      </c>
      <c r="E4582" s="20">
        <v>0</v>
      </c>
    </row>
    <row r="4583" spans="1:5">
      <c r="A4583" s="20" t="str">
        <v>00:00:00</v>
      </c>
      <c r="B4583" s="19">
        <v>0</v>
      </c>
      <c r="C4583" s="21">
        <v>0</v>
      </c>
      <c r="D4583" s="20" t="str">
        <v>未匹配</v>
      </c>
      <c r="E4583" s="20">
        <v>0</v>
      </c>
    </row>
    <row r="4584" spans="1:5">
      <c r="A4584" s="20" t="str">
        <v>00:00:00</v>
      </c>
      <c r="B4584" s="19">
        <v>0</v>
      </c>
      <c r="C4584" s="21">
        <v>0</v>
      </c>
      <c r="D4584" s="20" t="str">
        <v>未匹配</v>
      </c>
      <c r="E4584" s="20">
        <v>0</v>
      </c>
    </row>
    <row r="4585" spans="1:5">
      <c r="A4585" s="20" t="str">
        <v>00:00:00</v>
      </c>
      <c r="B4585" s="19">
        <v>0</v>
      </c>
      <c r="C4585" s="21">
        <v>0</v>
      </c>
      <c r="D4585" s="20" t="str">
        <v>未匹配</v>
      </c>
      <c r="E4585" s="20">
        <v>0</v>
      </c>
    </row>
    <row r="4586" spans="1:5">
      <c r="A4586" s="20" t="str">
        <v>00:00:00</v>
      </c>
      <c r="B4586" s="19">
        <v>0</v>
      </c>
      <c r="C4586" s="21">
        <v>0</v>
      </c>
      <c r="D4586" s="20" t="str">
        <v>未匹配</v>
      </c>
      <c r="E4586" s="20">
        <v>0</v>
      </c>
    </row>
    <row r="4587" spans="1:5">
      <c r="A4587" s="20" t="str">
        <v>00:00:00</v>
      </c>
      <c r="B4587" s="19">
        <v>0</v>
      </c>
      <c r="C4587" s="21">
        <v>0</v>
      </c>
      <c r="D4587" s="20" t="str">
        <v>未匹配</v>
      </c>
      <c r="E4587" s="20">
        <v>0</v>
      </c>
    </row>
    <row r="4588" spans="1:5">
      <c r="A4588" s="20" t="str">
        <v>00:00:00</v>
      </c>
      <c r="B4588" s="19">
        <v>0</v>
      </c>
      <c r="C4588" s="21">
        <v>0</v>
      </c>
      <c r="D4588" s="20" t="str">
        <v>未匹配</v>
      </c>
      <c r="E4588" s="20">
        <v>0</v>
      </c>
    </row>
    <row r="4589" spans="1:5">
      <c r="A4589" s="20" t="str">
        <v>00:00:00</v>
      </c>
      <c r="B4589" s="19">
        <v>0</v>
      </c>
      <c r="C4589" s="21">
        <v>0</v>
      </c>
      <c r="D4589" s="20" t="str">
        <v>未匹配</v>
      </c>
      <c r="E4589" s="20">
        <v>0</v>
      </c>
    </row>
    <row r="4590" spans="1:5">
      <c r="A4590" s="20" t="str">
        <v>00:00:00</v>
      </c>
      <c r="B4590" s="19">
        <v>0</v>
      </c>
      <c r="C4590" s="21">
        <v>0</v>
      </c>
      <c r="D4590" s="20" t="str">
        <v>未匹配</v>
      </c>
      <c r="E4590" s="20">
        <v>0</v>
      </c>
    </row>
    <row r="4591" spans="1:5">
      <c r="A4591" s="20" t="str">
        <v>00:00:00</v>
      </c>
      <c r="B4591" s="19">
        <v>0</v>
      </c>
      <c r="C4591" s="21">
        <v>0</v>
      </c>
      <c r="D4591" s="20" t="str">
        <v>未匹配</v>
      </c>
      <c r="E4591" s="20">
        <v>0</v>
      </c>
    </row>
    <row r="4592" spans="1:5">
      <c r="A4592" s="20" t="str">
        <v>00:00:00</v>
      </c>
      <c r="B4592" s="19">
        <v>0</v>
      </c>
      <c r="C4592" s="21">
        <v>0</v>
      </c>
      <c r="D4592" s="20" t="str">
        <v>未匹配</v>
      </c>
      <c r="E4592" s="20">
        <v>0</v>
      </c>
    </row>
    <row r="4593" spans="1:5">
      <c r="A4593" s="20" t="str">
        <v>00:00:00</v>
      </c>
      <c r="B4593" s="19">
        <v>0</v>
      </c>
      <c r="C4593" s="21">
        <v>0</v>
      </c>
      <c r="D4593" s="20" t="str">
        <v>未匹配</v>
      </c>
      <c r="E4593" s="20">
        <v>0</v>
      </c>
    </row>
    <row r="4594" spans="1:5">
      <c r="A4594" s="20" t="str">
        <v>00:00:00</v>
      </c>
      <c r="B4594" s="19">
        <v>0</v>
      </c>
      <c r="C4594" s="21">
        <v>0</v>
      </c>
      <c r="D4594" s="20" t="str">
        <v>未匹配</v>
      </c>
      <c r="E4594" s="20">
        <v>0</v>
      </c>
    </row>
    <row r="4595" spans="1:5">
      <c r="A4595" s="20" t="str">
        <v>00:00:00</v>
      </c>
      <c r="B4595" s="19">
        <v>0</v>
      </c>
      <c r="C4595" s="21">
        <v>0</v>
      </c>
      <c r="D4595" s="20" t="str">
        <v>未匹配</v>
      </c>
      <c r="E4595" s="20">
        <v>0</v>
      </c>
    </row>
    <row r="4596" spans="1:5">
      <c r="A4596" s="20" t="str">
        <v>00:00:00</v>
      </c>
      <c r="B4596" s="19">
        <v>0</v>
      </c>
      <c r="C4596" s="21">
        <v>0</v>
      </c>
      <c r="D4596" s="20" t="str">
        <v>未匹配</v>
      </c>
      <c r="E4596" s="20">
        <v>0</v>
      </c>
    </row>
    <row r="4597" spans="1:5">
      <c r="A4597" s="20" t="str">
        <v>00:00:00</v>
      </c>
      <c r="B4597" s="19">
        <v>0</v>
      </c>
      <c r="C4597" s="21">
        <v>0</v>
      </c>
      <c r="D4597" s="20" t="str">
        <v>未匹配</v>
      </c>
      <c r="E4597" s="20">
        <v>0</v>
      </c>
    </row>
    <row r="4598" spans="1:5">
      <c r="A4598" s="20" t="str">
        <v>00:00:00</v>
      </c>
      <c r="B4598" s="19">
        <v>0</v>
      </c>
      <c r="C4598" s="21">
        <v>0</v>
      </c>
      <c r="D4598" s="20" t="str">
        <v>未匹配</v>
      </c>
      <c r="E4598" s="20">
        <v>0</v>
      </c>
    </row>
    <row r="4599" spans="1:5">
      <c r="A4599" s="20" t="str">
        <v>00:00:00</v>
      </c>
      <c r="B4599" s="19">
        <v>0</v>
      </c>
      <c r="C4599" s="21">
        <v>0</v>
      </c>
      <c r="D4599" s="20" t="str">
        <v>未匹配</v>
      </c>
      <c r="E4599" s="20">
        <v>0</v>
      </c>
    </row>
    <row r="4600" spans="1:5">
      <c r="A4600" s="20" t="str">
        <v>00:00:00</v>
      </c>
      <c r="B4600" s="19">
        <v>0</v>
      </c>
      <c r="C4600" s="21">
        <v>0</v>
      </c>
      <c r="D4600" s="20" t="str">
        <v>未匹配</v>
      </c>
      <c r="E4600" s="20">
        <v>0</v>
      </c>
    </row>
    <row r="4601" spans="1:5">
      <c r="A4601" s="20" t="str">
        <v>00:00:00</v>
      </c>
      <c r="B4601" s="19">
        <v>0</v>
      </c>
      <c r="C4601" s="21">
        <v>0</v>
      </c>
      <c r="D4601" s="20" t="str">
        <v>未匹配</v>
      </c>
      <c r="E4601" s="20">
        <v>0</v>
      </c>
    </row>
    <row r="4602" spans="1:5">
      <c r="A4602" s="20" t="str">
        <v>00:00:00</v>
      </c>
      <c r="B4602" s="19">
        <v>0</v>
      </c>
      <c r="C4602" s="21">
        <v>0</v>
      </c>
      <c r="D4602" s="20" t="str">
        <v>未匹配</v>
      </c>
      <c r="E4602" s="20">
        <v>0</v>
      </c>
    </row>
    <row r="4603" spans="1:5">
      <c r="A4603" s="20" t="str">
        <v>00:00:00</v>
      </c>
      <c r="B4603" s="19">
        <v>0</v>
      </c>
      <c r="C4603" s="21">
        <v>0</v>
      </c>
      <c r="D4603" s="20" t="str">
        <v>未匹配</v>
      </c>
      <c r="E4603" s="20">
        <v>0</v>
      </c>
    </row>
    <row r="4604" spans="1:5">
      <c r="A4604" s="20" t="str">
        <v>00:00:00</v>
      </c>
      <c r="B4604" s="19">
        <v>0</v>
      </c>
      <c r="C4604" s="21">
        <v>0</v>
      </c>
      <c r="D4604" s="20" t="str">
        <v>未匹配</v>
      </c>
      <c r="E4604" s="20">
        <v>0</v>
      </c>
    </row>
    <row r="4605" spans="1:5">
      <c r="A4605" s="20" t="str">
        <v>00:00:00</v>
      </c>
      <c r="B4605" s="19">
        <v>0</v>
      </c>
      <c r="C4605" s="21">
        <v>0</v>
      </c>
      <c r="D4605" s="20" t="str">
        <v>未匹配</v>
      </c>
      <c r="E4605" s="20">
        <v>0</v>
      </c>
    </row>
    <row r="4606" spans="1:5">
      <c r="A4606" s="20" t="str">
        <v>00:00:00</v>
      </c>
      <c r="B4606" s="19">
        <v>0</v>
      </c>
      <c r="C4606" s="21">
        <v>0</v>
      </c>
      <c r="D4606" s="20" t="str">
        <v>未匹配</v>
      </c>
      <c r="E4606" s="20">
        <v>0</v>
      </c>
    </row>
    <row r="4607" spans="1:5">
      <c r="A4607" s="20" t="str">
        <v>00:00:00</v>
      </c>
      <c r="B4607" s="19">
        <v>0</v>
      </c>
      <c r="C4607" s="21">
        <v>0</v>
      </c>
      <c r="D4607" s="20" t="str">
        <v>未匹配</v>
      </c>
      <c r="E4607" s="20">
        <v>0</v>
      </c>
    </row>
    <row r="4608" spans="1:5">
      <c r="A4608" s="20" t="str">
        <v>00:00:00</v>
      </c>
      <c r="B4608" s="19">
        <v>0</v>
      </c>
      <c r="C4608" s="21">
        <v>0</v>
      </c>
      <c r="D4608" s="20" t="str">
        <v>未匹配</v>
      </c>
      <c r="E4608" s="20">
        <v>0</v>
      </c>
    </row>
    <row r="4609" spans="1:5">
      <c r="A4609" s="20" t="str">
        <v>00:00:00</v>
      </c>
      <c r="B4609" s="19">
        <v>0</v>
      </c>
      <c r="C4609" s="21">
        <v>0</v>
      </c>
      <c r="D4609" s="20" t="str">
        <v>未匹配</v>
      </c>
      <c r="E4609" s="20">
        <v>0</v>
      </c>
    </row>
    <row r="4610" spans="1:5">
      <c r="A4610" s="20" t="str">
        <v>00:00:00</v>
      </c>
      <c r="B4610" s="19">
        <v>0</v>
      </c>
      <c r="C4610" s="21">
        <v>0</v>
      </c>
      <c r="D4610" s="20" t="str">
        <v>未匹配</v>
      </c>
      <c r="E4610" s="20">
        <v>0</v>
      </c>
    </row>
    <row r="4611" spans="1:5">
      <c r="A4611" s="20" t="str">
        <v>00:00:00</v>
      </c>
      <c r="B4611" s="19">
        <v>0</v>
      </c>
      <c r="C4611" s="21">
        <v>0</v>
      </c>
      <c r="D4611" s="20" t="str">
        <v>未匹配</v>
      </c>
      <c r="E4611" s="20">
        <v>0</v>
      </c>
    </row>
    <row r="4612" spans="1:5">
      <c r="A4612" s="20" t="str">
        <v>00:00:00</v>
      </c>
      <c r="B4612" s="19">
        <v>0</v>
      </c>
      <c r="C4612" s="21">
        <v>0</v>
      </c>
      <c r="D4612" s="20" t="str">
        <v>未匹配</v>
      </c>
      <c r="E4612" s="20">
        <v>0</v>
      </c>
    </row>
    <row r="4613" spans="1:5">
      <c r="A4613" s="20" t="str">
        <v>00:00:00</v>
      </c>
      <c r="B4613" s="19">
        <v>0</v>
      </c>
      <c r="C4613" s="21">
        <v>0</v>
      </c>
      <c r="D4613" s="20" t="str">
        <v>未匹配</v>
      </c>
      <c r="E4613" s="20">
        <v>0</v>
      </c>
    </row>
    <row r="4614" spans="1:5">
      <c r="A4614" s="20" t="str">
        <v>00:00:00</v>
      </c>
      <c r="B4614" s="19">
        <v>0</v>
      </c>
      <c r="C4614" s="21">
        <v>0</v>
      </c>
      <c r="D4614" s="20" t="str">
        <v>未匹配</v>
      </c>
      <c r="E4614" s="20">
        <v>0</v>
      </c>
    </row>
    <row r="4615" spans="1:5">
      <c r="A4615" s="20" t="str">
        <v>00:00:00</v>
      </c>
      <c r="B4615" s="19">
        <v>0</v>
      </c>
      <c r="C4615" s="21">
        <v>0</v>
      </c>
      <c r="D4615" s="20" t="str">
        <v>未匹配</v>
      </c>
      <c r="E4615" s="20">
        <v>0</v>
      </c>
    </row>
    <row r="4616" spans="1:5">
      <c r="A4616" s="20" t="str">
        <v>00:00:00</v>
      </c>
      <c r="B4616" s="19">
        <v>0</v>
      </c>
      <c r="C4616" s="21">
        <v>0</v>
      </c>
      <c r="D4616" s="20" t="str">
        <v>未匹配</v>
      </c>
      <c r="E4616" s="20">
        <v>0</v>
      </c>
    </row>
    <row r="4617" spans="1:5">
      <c r="A4617" s="20" t="str">
        <v>00:00:00</v>
      </c>
      <c r="B4617" s="19">
        <v>0</v>
      </c>
      <c r="C4617" s="21">
        <v>0</v>
      </c>
      <c r="D4617" s="20" t="str">
        <v>未匹配</v>
      </c>
      <c r="E4617" s="20">
        <v>0</v>
      </c>
    </row>
    <row r="4618" spans="1:5">
      <c r="A4618" s="20" t="str">
        <v>00:00:00</v>
      </c>
      <c r="B4618" s="19">
        <v>0</v>
      </c>
      <c r="C4618" s="21">
        <v>0</v>
      </c>
      <c r="D4618" s="20" t="str">
        <v>未匹配</v>
      </c>
      <c r="E4618" s="20">
        <v>0</v>
      </c>
    </row>
    <row r="4619" spans="1:5">
      <c r="A4619" s="20" t="str">
        <v>00:00:00</v>
      </c>
      <c r="B4619" s="19">
        <v>0</v>
      </c>
      <c r="C4619" s="21">
        <v>0</v>
      </c>
      <c r="D4619" s="20" t="str">
        <v>未匹配</v>
      </c>
      <c r="E4619" s="20">
        <v>0</v>
      </c>
    </row>
    <row r="4620" spans="1:5">
      <c r="A4620" s="20" t="str">
        <v>00:00:00</v>
      </c>
      <c r="B4620" s="19">
        <v>0</v>
      </c>
      <c r="C4620" s="21">
        <v>0</v>
      </c>
      <c r="D4620" s="20" t="str">
        <v>未匹配</v>
      </c>
      <c r="E4620" s="20">
        <v>0</v>
      </c>
    </row>
    <row r="4621" spans="1:5">
      <c r="A4621" s="20" t="str">
        <v>00:00:00</v>
      </c>
      <c r="B4621" s="19">
        <v>0</v>
      </c>
      <c r="C4621" s="21">
        <v>0</v>
      </c>
      <c r="D4621" s="20" t="str">
        <v>未匹配</v>
      </c>
      <c r="E4621" s="20">
        <v>0</v>
      </c>
    </row>
    <row r="4622" spans="1:5">
      <c r="A4622" s="20" t="str">
        <v>00:00:00</v>
      </c>
      <c r="B4622" s="19">
        <v>0</v>
      </c>
      <c r="C4622" s="21">
        <v>0</v>
      </c>
      <c r="D4622" s="20" t="str">
        <v>未匹配</v>
      </c>
      <c r="E4622" s="20">
        <v>0</v>
      </c>
    </row>
    <row r="4623" spans="1:5">
      <c r="A4623" s="20" t="str">
        <v>00:00:00</v>
      </c>
      <c r="B4623" s="19">
        <v>0</v>
      </c>
      <c r="C4623" s="21">
        <v>0</v>
      </c>
      <c r="D4623" s="20" t="str">
        <v>未匹配</v>
      </c>
      <c r="E4623" s="20">
        <v>0</v>
      </c>
    </row>
    <row r="4624" spans="1:5">
      <c r="A4624" s="20" t="str">
        <v>00:00:00</v>
      </c>
      <c r="B4624" s="19">
        <v>0</v>
      </c>
      <c r="C4624" s="21">
        <v>0</v>
      </c>
      <c r="D4624" s="20" t="str">
        <v>未匹配</v>
      </c>
      <c r="E4624" s="20">
        <v>0</v>
      </c>
    </row>
    <row r="4625" spans="1:5">
      <c r="A4625" s="20" t="str">
        <v>00:00:00</v>
      </c>
      <c r="B4625" s="19">
        <v>0</v>
      </c>
      <c r="C4625" s="21">
        <v>0</v>
      </c>
      <c r="D4625" s="20" t="str">
        <v>未匹配</v>
      </c>
      <c r="E4625" s="20">
        <v>0</v>
      </c>
    </row>
    <row r="4626" spans="1:5">
      <c r="A4626" s="20" t="str">
        <v>00:00:00</v>
      </c>
      <c r="B4626" s="19">
        <v>0</v>
      </c>
      <c r="C4626" s="21">
        <v>0</v>
      </c>
      <c r="D4626" s="20" t="str">
        <v>未匹配</v>
      </c>
      <c r="E4626" s="20">
        <v>0</v>
      </c>
    </row>
    <row r="4627" spans="1:5">
      <c r="A4627" s="20" t="str">
        <v>00:00:00</v>
      </c>
      <c r="B4627" s="19">
        <v>0</v>
      </c>
      <c r="C4627" s="21">
        <v>0</v>
      </c>
      <c r="D4627" s="20" t="str">
        <v>未匹配</v>
      </c>
      <c r="E4627" s="20">
        <v>0</v>
      </c>
    </row>
    <row r="4628" spans="1:5">
      <c r="A4628" s="20" t="str">
        <v>00:00:00</v>
      </c>
      <c r="B4628" s="19">
        <v>0</v>
      </c>
      <c r="C4628" s="21">
        <v>0</v>
      </c>
      <c r="D4628" s="20" t="str">
        <v>未匹配</v>
      </c>
      <c r="E4628" s="20">
        <v>0</v>
      </c>
    </row>
    <row r="4629" spans="1:5">
      <c r="A4629" s="20" t="str">
        <v>00:00:00</v>
      </c>
      <c r="B4629" s="19">
        <v>0</v>
      </c>
      <c r="C4629" s="21">
        <v>0</v>
      </c>
      <c r="D4629" s="20" t="str">
        <v>未匹配</v>
      </c>
      <c r="E4629" s="20">
        <v>0</v>
      </c>
    </row>
    <row r="4630" spans="1:5">
      <c r="A4630" s="20" t="str">
        <v>00:00:00</v>
      </c>
      <c r="B4630" s="19">
        <v>0</v>
      </c>
      <c r="C4630" s="21">
        <v>0</v>
      </c>
      <c r="D4630" s="20" t="str">
        <v>未匹配</v>
      </c>
      <c r="E4630" s="20">
        <v>0</v>
      </c>
    </row>
    <row r="4631" spans="1:5">
      <c r="A4631" s="20" t="str">
        <v>00:00:00</v>
      </c>
      <c r="B4631" s="19">
        <v>0</v>
      </c>
      <c r="C4631" s="21">
        <v>0</v>
      </c>
      <c r="D4631" s="20" t="str">
        <v>未匹配</v>
      </c>
      <c r="E4631" s="20">
        <v>0</v>
      </c>
    </row>
    <row r="4632" spans="1:5">
      <c r="A4632" s="20" t="str">
        <v>00:00:00</v>
      </c>
      <c r="B4632" s="19">
        <v>0</v>
      </c>
      <c r="C4632" s="21">
        <v>0</v>
      </c>
      <c r="D4632" s="20" t="str">
        <v>未匹配</v>
      </c>
      <c r="E4632" s="20">
        <v>0</v>
      </c>
    </row>
    <row r="4633" spans="1:5">
      <c r="A4633" s="20" t="str">
        <v>00:00:00</v>
      </c>
      <c r="B4633" s="19">
        <v>0</v>
      </c>
      <c r="C4633" s="21">
        <v>0</v>
      </c>
      <c r="D4633" s="20" t="str">
        <v>未匹配</v>
      </c>
      <c r="E4633" s="20">
        <v>0</v>
      </c>
    </row>
    <row r="4634" spans="1:5">
      <c r="A4634" s="20" t="str">
        <v>00:00:00</v>
      </c>
      <c r="B4634" s="19">
        <v>0</v>
      </c>
      <c r="C4634" s="21">
        <v>0</v>
      </c>
      <c r="D4634" s="20" t="str">
        <v>未匹配</v>
      </c>
      <c r="E4634" s="20">
        <v>0</v>
      </c>
    </row>
    <row r="4635" spans="1:5">
      <c r="A4635" s="20" t="str">
        <v>00:00:00</v>
      </c>
      <c r="B4635" s="19">
        <v>0</v>
      </c>
      <c r="C4635" s="21">
        <v>0</v>
      </c>
      <c r="D4635" s="20" t="str">
        <v>未匹配</v>
      </c>
      <c r="E4635" s="20">
        <v>0</v>
      </c>
    </row>
    <row r="4636" spans="1:5">
      <c r="A4636" s="20" t="str">
        <v>00:00:00</v>
      </c>
      <c r="B4636" s="19">
        <v>0</v>
      </c>
      <c r="C4636" s="21">
        <v>0</v>
      </c>
      <c r="D4636" s="20" t="str">
        <v>未匹配</v>
      </c>
      <c r="E4636" s="20">
        <v>0</v>
      </c>
    </row>
    <row r="4637" spans="1:5">
      <c r="A4637" s="20" t="str">
        <v>00:00:00</v>
      </c>
      <c r="B4637" s="19">
        <v>0</v>
      </c>
      <c r="C4637" s="21">
        <v>0</v>
      </c>
      <c r="D4637" s="20" t="str">
        <v>未匹配</v>
      </c>
      <c r="E4637" s="20">
        <v>0</v>
      </c>
    </row>
    <row r="4638" spans="1:5">
      <c r="A4638" s="20" t="str">
        <v>00:00:00</v>
      </c>
      <c r="B4638" s="19">
        <v>0</v>
      </c>
      <c r="C4638" s="21">
        <v>0</v>
      </c>
      <c r="D4638" s="20" t="str">
        <v>未匹配</v>
      </c>
      <c r="E4638" s="20">
        <v>0</v>
      </c>
    </row>
    <row r="4639" spans="1:5">
      <c r="A4639" s="20" t="str">
        <v>00:00:00</v>
      </c>
      <c r="B4639" s="19">
        <v>0</v>
      </c>
      <c r="C4639" s="21">
        <v>0</v>
      </c>
      <c r="D4639" s="20" t="str">
        <v>未匹配</v>
      </c>
      <c r="E4639" s="20">
        <v>0</v>
      </c>
    </row>
    <row r="4640" spans="1:5">
      <c r="A4640" s="20" t="str">
        <v>00:00:00</v>
      </c>
      <c r="B4640" s="19">
        <v>0</v>
      </c>
      <c r="C4640" s="21">
        <v>0</v>
      </c>
      <c r="D4640" s="20" t="str">
        <v>未匹配</v>
      </c>
      <c r="E4640" s="20">
        <v>0</v>
      </c>
    </row>
    <row r="4641" spans="1:5">
      <c r="A4641" s="20" t="str">
        <v>00:00:00</v>
      </c>
      <c r="B4641" s="19">
        <v>0</v>
      </c>
      <c r="C4641" s="21">
        <v>0</v>
      </c>
      <c r="D4641" s="20" t="str">
        <v>未匹配</v>
      </c>
      <c r="E4641" s="20">
        <v>0</v>
      </c>
    </row>
    <row r="4642" spans="1:5">
      <c r="A4642" s="20" t="str">
        <v>00:00:00</v>
      </c>
      <c r="B4642" s="19">
        <v>0</v>
      </c>
      <c r="C4642" s="21">
        <v>0</v>
      </c>
      <c r="D4642" s="20" t="str">
        <v>未匹配</v>
      </c>
      <c r="E4642" s="20">
        <v>0</v>
      </c>
    </row>
    <row r="4643" spans="1:5">
      <c r="A4643" s="20" t="str">
        <v>00:00:00</v>
      </c>
      <c r="B4643" s="19">
        <v>0</v>
      </c>
      <c r="C4643" s="21">
        <v>0</v>
      </c>
      <c r="D4643" s="20" t="str">
        <v>未匹配</v>
      </c>
      <c r="E4643" s="20">
        <v>0</v>
      </c>
    </row>
    <row r="4644" spans="1:5">
      <c r="A4644" s="20" t="str">
        <v>00:00:00</v>
      </c>
      <c r="B4644" s="19">
        <v>0</v>
      </c>
      <c r="C4644" s="21">
        <v>0</v>
      </c>
      <c r="D4644" s="20" t="str">
        <v>未匹配</v>
      </c>
      <c r="E4644" s="20">
        <v>0</v>
      </c>
    </row>
    <row r="4645" spans="1:5">
      <c r="A4645" s="20" t="str">
        <v>00:00:00</v>
      </c>
      <c r="B4645" s="19">
        <v>0</v>
      </c>
      <c r="C4645" s="21">
        <v>0</v>
      </c>
      <c r="D4645" s="20" t="str">
        <v>未匹配</v>
      </c>
      <c r="E4645" s="20">
        <v>0</v>
      </c>
    </row>
    <row r="4646" spans="1:5">
      <c r="A4646" s="20" t="str">
        <v>00:00:00</v>
      </c>
      <c r="B4646" s="19">
        <v>0</v>
      </c>
      <c r="C4646" s="21">
        <v>0</v>
      </c>
      <c r="D4646" s="20" t="str">
        <v>未匹配</v>
      </c>
      <c r="E4646" s="20">
        <v>0</v>
      </c>
    </row>
    <row r="4647" spans="1:5">
      <c r="A4647" s="20" t="str">
        <v>00:00:00</v>
      </c>
      <c r="B4647" s="19">
        <v>0</v>
      </c>
      <c r="C4647" s="21">
        <v>0</v>
      </c>
      <c r="D4647" s="20" t="str">
        <v>未匹配</v>
      </c>
      <c r="E4647" s="20">
        <v>0</v>
      </c>
    </row>
    <row r="4648" spans="1:5">
      <c r="A4648" s="20" t="str">
        <v>00:00:00</v>
      </c>
      <c r="B4648" s="19">
        <v>0</v>
      </c>
      <c r="C4648" s="21">
        <v>0</v>
      </c>
      <c r="D4648" s="20" t="str">
        <v>未匹配</v>
      </c>
      <c r="E4648" s="20">
        <v>0</v>
      </c>
    </row>
    <row r="4649" spans="1:5">
      <c r="A4649" s="20" t="str">
        <v>00:00:00</v>
      </c>
      <c r="B4649" s="19">
        <v>0</v>
      </c>
      <c r="C4649" s="21">
        <v>0</v>
      </c>
      <c r="D4649" s="20" t="str">
        <v>未匹配</v>
      </c>
      <c r="E4649" s="20">
        <v>0</v>
      </c>
    </row>
    <row r="4650" spans="1:5">
      <c r="A4650" s="20" t="str">
        <v>00:00:00</v>
      </c>
      <c r="B4650" s="19">
        <v>0</v>
      </c>
      <c r="C4650" s="21">
        <v>0</v>
      </c>
      <c r="D4650" s="20" t="str">
        <v>未匹配</v>
      </c>
      <c r="E4650" s="20">
        <v>0</v>
      </c>
    </row>
    <row r="4651" spans="1:5">
      <c r="A4651" s="20" t="str">
        <v>00:00:00</v>
      </c>
      <c r="B4651" s="19">
        <v>0</v>
      </c>
      <c r="C4651" s="21">
        <v>0</v>
      </c>
      <c r="D4651" s="20" t="str">
        <v>未匹配</v>
      </c>
      <c r="E4651" s="20">
        <v>0</v>
      </c>
    </row>
    <row r="4652" spans="1:5">
      <c r="A4652" s="20" t="str">
        <v>00:00:00</v>
      </c>
      <c r="B4652" s="19">
        <v>0</v>
      </c>
      <c r="C4652" s="21">
        <v>0</v>
      </c>
      <c r="D4652" s="20" t="str">
        <v>未匹配</v>
      </c>
      <c r="E4652" s="20">
        <v>0</v>
      </c>
    </row>
    <row r="4653" spans="1:5">
      <c r="A4653" s="20" t="str">
        <v>00:00:00</v>
      </c>
      <c r="B4653" s="19">
        <v>0</v>
      </c>
      <c r="C4653" s="21">
        <v>0</v>
      </c>
      <c r="D4653" s="20" t="str">
        <v>未匹配</v>
      </c>
      <c r="E4653" s="20">
        <v>0</v>
      </c>
    </row>
    <row r="4654" spans="1:5">
      <c r="A4654" s="20" t="str">
        <v>00:00:00</v>
      </c>
      <c r="B4654" s="19">
        <v>0</v>
      </c>
      <c r="C4654" s="21">
        <v>0</v>
      </c>
      <c r="D4654" s="20" t="str">
        <v>未匹配</v>
      </c>
      <c r="E4654" s="20">
        <v>0</v>
      </c>
    </row>
    <row r="4655" spans="1:5">
      <c r="A4655" s="20" t="str">
        <v>00:00:00</v>
      </c>
      <c r="B4655" s="19">
        <v>0</v>
      </c>
      <c r="C4655" s="21">
        <v>0</v>
      </c>
      <c r="D4655" s="20" t="str">
        <v>未匹配</v>
      </c>
      <c r="E4655" s="20">
        <v>0</v>
      </c>
    </row>
    <row r="4656" spans="1:5">
      <c r="A4656" s="20" t="str">
        <v>00:00:00</v>
      </c>
      <c r="B4656" s="19">
        <v>0</v>
      </c>
      <c r="C4656" s="21">
        <v>0</v>
      </c>
      <c r="D4656" s="20" t="str">
        <v>未匹配</v>
      </c>
      <c r="E4656" s="20">
        <v>0</v>
      </c>
    </row>
    <row r="4657" spans="1:5">
      <c r="A4657" s="20" t="str">
        <v>00:00:00</v>
      </c>
      <c r="B4657" s="19">
        <v>0</v>
      </c>
      <c r="C4657" s="21">
        <v>0</v>
      </c>
      <c r="D4657" s="20" t="str">
        <v>未匹配</v>
      </c>
      <c r="E4657" s="20">
        <v>0</v>
      </c>
    </row>
    <row r="4658" spans="1:5">
      <c r="A4658" s="20" t="str">
        <v>00:00:00</v>
      </c>
      <c r="B4658" s="19">
        <v>0</v>
      </c>
      <c r="C4658" s="21">
        <v>0</v>
      </c>
      <c r="D4658" s="20" t="str">
        <v>未匹配</v>
      </c>
      <c r="E4658" s="20">
        <v>0</v>
      </c>
    </row>
    <row r="4659" spans="1:5">
      <c r="A4659" s="20" t="str">
        <v>00:00:00</v>
      </c>
      <c r="B4659" s="19">
        <v>0</v>
      </c>
      <c r="C4659" s="21">
        <v>0</v>
      </c>
      <c r="D4659" s="20" t="str">
        <v>未匹配</v>
      </c>
      <c r="E4659" s="20">
        <v>0</v>
      </c>
    </row>
    <row r="4660" spans="1:5">
      <c r="A4660" s="20" t="str">
        <v>00:00:00</v>
      </c>
      <c r="B4660" s="19">
        <v>0</v>
      </c>
      <c r="C4660" s="21">
        <v>0</v>
      </c>
      <c r="D4660" s="20" t="str">
        <v>未匹配</v>
      </c>
      <c r="E4660" s="20">
        <v>0</v>
      </c>
    </row>
    <row r="4661" spans="1:5">
      <c r="A4661" s="20" t="str">
        <v>00:00:00</v>
      </c>
      <c r="B4661" s="19">
        <v>0</v>
      </c>
      <c r="C4661" s="21">
        <v>0</v>
      </c>
      <c r="D4661" s="20" t="str">
        <v>未匹配</v>
      </c>
      <c r="E4661" s="20">
        <v>0</v>
      </c>
    </row>
    <row r="4662" spans="1:5">
      <c r="A4662" s="20" t="str">
        <v>00:00:00</v>
      </c>
      <c r="B4662" s="19">
        <v>0</v>
      </c>
      <c r="C4662" s="21">
        <v>0</v>
      </c>
      <c r="D4662" s="20" t="str">
        <v>未匹配</v>
      </c>
      <c r="E4662" s="20">
        <v>0</v>
      </c>
    </row>
    <row r="4663" spans="1:5">
      <c r="A4663" s="20" t="str">
        <v>00:00:00</v>
      </c>
      <c r="B4663" s="19">
        <v>0</v>
      </c>
      <c r="C4663" s="21">
        <v>0</v>
      </c>
      <c r="D4663" s="20" t="str">
        <v>未匹配</v>
      </c>
      <c r="E4663" s="20">
        <v>0</v>
      </c>
    </row>
    <row r="4664" spans="1:5">
      <c r="A4664" s="20" t="str">
        <v>00:00:00</v>
      </c>
      <c r="B4664" s="19">
        <v>0</v>
      </c>
      <c r="C4664" s="21">
        <v>0</v>
      </c>
      <c r="D4664" s="20" t="str">
        <v>未匹配</v>
      </c>
      <c r="E4664" s="20">
        <v>0</v>
      </c>
    </row>
    <row r="4665" spans="1:5">
      <c r="A4665" s="20" t="str">
        <v>00:00:00</v>
      </c>
      <c r="B4665" s="19">
        <v>0</v>
      </c>
      <c r="C4665" s="21">
        <v>0</v>
      </c>
      <c r="D4665" s="20" t="str">
        <v>未匹配</v>
      </c>
      <c r="E4665" s="20">
        <v>0</v>
      </c>
    </row>
    <row r="4666" spans="1:5">
      <c r="A4666" s="20" t="str">
        <v>00:00:00</v>
      </c>
      <c r="B4666" s="19">
        <v>0</v>
      </c>
      <c r="C4666" s="21">
        <v>0</v>
      </c>
      <c r="D4666" s="20" t="str">
        <v>未匹配</v>
      </c>
      <c r="E4666" s="20">
        <v>0</v>
      </c>
    </row>
    <row r="4667" spans="1:5">
      <c r="A4667" s="20" t="str">
        <v>00:00:00</v>
      </c>
      <c r="B4667" s="19">
        <v>0</v>
      </c>
      <c r="C4667" s="21">
        <v>0</v>
      </c>
      <c r="D4667" s="20" t="str">
        <v>未匹配</v>
      </c>
      <c r="E4667" s="20">
        <v>0</v>
      </c>
    </row>
    <row r="4668" spans="1:5">
      <c r="A4668" s="20" t="str">
        <v>00:00:00</v>
      </c>
      <c r="B4668" s="19">
        <v>0</v>
      </c>
      <c r="C4668" s="21">
        <v>0</v>
      </c>
      <c r="D4668" s="20" t="str">
        <v>未匹配</v>
      </c>
      <c r="E4668" s="20">
        <v>0</v>
      </c>
    </row>
    <row r="4669" spans="1:5">
      <c r="A4669" s="20" t="str">
        <v>00:00:00</v>
      </c>
      <c r="B4669" s="19">
        <v>0</v>
      </c>
      <c r="C4669" s="21">
        <v>0</v>
      </c>
      <c r="D4669" s="20" t="str">
        <v>未匹配</v>
      </c>
      <c r="E4669" s="20">
        <v>0</v>
      </c>
    </row>
    <row r="4670" spans="1:5">
      <c r="A4670" s="20" t="str">
        <v>00:00:00</v>
      </c>
      <c r="B4670" s="19">
        <v>0</v>
      </c>
      <c r="C4670" s="21">
        <v>0</v>
      </c>
      <c r="D4670" s="20" t="str">
        <v>未匹配</v>
      </c>
      <c r="E4670" s="20">
        <v>0</v>
      </c>
    </row>
    <row r="4671" spans="1:5">
      <c r="A4671" s="20" t="str">
        <v>00:00:00</v>
      </c>
      <c r="B4671" s="19">
        <v>0</v>
      </c>
      <c r="C4671" s="21">
        <v>0</v>
      </c>
      <c r="D4671" s="20" t="str">
        <v>未匹配</v>
      </c>
      <c r="E4671" s="20">
        <v>0</v>
      </c>
    </row>
    <row r="4672" spans="1:5">
      <c r="A4672" s="20" t="str">
        <v>00:00:00</v>
      </c>
      <c r="B4672" s="19">
        <v>0</v>
      </c>
      <c r="C4672" s="21">
        <v>0</v>
      </c>
      <c r="D4672" s="20" t="str">
        <v>未匹配</v>
      </c>
      <c r="E4672" s="20">
        <v>0</v>
      </c>
    </row>
    <row r="4673" spans="1:5">
      <c r="A4673" s="20" t="str">
        <v>00:00:00</v>
      </c>
      <c r="B4673" s="19">
        <v>0</v>
      </c>
      <c r="C4673" s="21">
        <v>0</v>
      </c>
      <c r="D4673" s="20" t="str">
        <v>未匹配</v>
      </c>
      <c r="E4673" s="20">
        <v>0</v>
      </c>
    </row>
    <row r="4674" spans="1:5">
      <c r="A4674" s="20" t="str">
        <v>00:00:00</v>
      </c>
      <c r="B4674" s="19">
        <v>0</v>
      </c>
      <c r="C4674" s="21">
        <v>0</v>
      </c>
      <c r="D4674" s="20" t="str">
        <v>未匹配</v>
      </c>
      <c r="E4674" s="20">
        <v>0</v>
      </c>
    </row>
    <row r="4675" spans="1:5">
      <c r="A4675" s="20" t="str">
        <v>00:00:00</v>
      </c>
      <c r="B4675" s="19">
        <v>0</v>
      </c>
      <c r="C4675" s="21">
        <v>0</v>
      </c>
      <c r="D4675" s="20" t="str">
        <v>未匹配</v>
      </c>
      <c r="E4675" s="20">
        <v>0</v>
      </c>
    </row>
    <row r="4676" spans="1:5">
      <c r="A4676" s="20" t="str">
        <v>00:00:00</v>
      </c>
      <c r="B4676" s="19">
        <v>0</v>
      </c>
      <c r="C4676" s="21">
        <v>0</v>
      </c>
      <c r="D4676" s="20" t="str">
        <v>未匹配</v>
      </c>
      <c r="E4676" s="20">
        <v>0</v>
      </c>
    </row>
    <row r="4677" spans="1:5">
      <c r="A4677" s="20" t="str">
        <v>00:00:00</v>
      </c>
      <c r="B4677" s="19">
        <v>0</v>
      </c>
      <c r="C4677" s="21">
        <v>0</v>
      </c>
      <c r="D4677" s="20" t="str">
        <v>未匹配</v>
      </c>
      <c r="E4677" s="20">
        <v>0</v>
      </c>
    </row>
    <row r="4678" spans="1:5">
      <c r="A4678" s="20" t="str">
        <v>00:00:00</v>
      </c>
      <c r="B4678" s="19">
        <v>0</v>
      </c>
      <c r="C4678" s="21">
        <v>0</v>
      </c>
      <c r="D4678" s="20" t="str">
        <v>未匹配</v>
      </c>
      <c r="E4678" s="20">
        <v>0</v>
      </c>
    </row>
    <row r="4679" spans="1:5">
      <c r="A4679" s="20" t="str">
        <v>00:00:00</v>
      </c>
      <c r="B4679" s="19">
        <v>0</v>
      </c>
      <c r="C4679" s="21">
        <v>0</v>
      </c>
      <c r="D4679" s="20" t="str">
        <v>未匹配</v>
      </c>
      <c r="E4679" s="20">
        <v>0</v>
      </c>
    </row>
    <row r="4680" spans="1:5">
      <c r="A4680" s="20" t="str">
        <v>00:00:00</v>
      </c>
      <c r="B4680" s="19">
        <v>0</v>
      </c>
      <c r="C4680" s="21">
        <v>0</v>
      </c>
      <c r="D4680" s="20" t="str">
        <v>未匹配</v>
      </c>
      <c r="E4680" s="20">
        <v>0</v>
      </c>
    </row>
    <row r="4681" spans="1:5">
      <c r="A4681" s="20" t="str">
        <v>00:00:00</v>
      </c>
      <c r="B4681" s="19">
        <v>0</v>
      </c>
      <c r="C4681" s="21">
        <v>0</v>
      </c>
      <c r="D4681" s="20" t="str">
        <v>未匹配</v>
      </c>
      <c r="E4681" s="20">
        <v>0</v>
      </c>
    </row>
    <row r="4682" spans="1:5">
      <c r="A4682" s="20" t="str">
        <v>00:00:00</v>
      </c>
      <c r="B4682" s="19">
        <v>0</v>
      </c>
      <c r="C4682" s="21">
        <v>0</v>
      </c>
      <c r="D4682" s="20" t="str">
        <v>未匹配</v>
      </c>
      <c r="E4682" s="20">
        <v>0</v>
      </c>
    </row>
    <row r="4683" spans="1:5">
      <c r="A4683" s="20" t="str">
        <v>00:00:00</v>
      </c>
      <c r="B4683" s="19">
        <v>0</v>
      </c>
      <c r="C4683" s="21">
        <v>0</v>
      </c>
      <c r="D4683" s="20" t="str">
        <v>未匹配</v>
      </c>
      <c r="E4683" s="20">
        <v>0</v>
      </c>
    </row>
    <row r="4684" spans="1:5">
      <c r="A4684" s="20" t="str">
        <v>00:00:00</v>
      </c>
      <c r="B4684" s="19">
        <v>0</v>
      </c>
      <c r="C4684" s="21">
        <v>0</v>
      </c>
      <c r="D4684" s="20" t="str">
        <v>未匹配</v>
      </c>
      <c r="E4684" s="20">
        <v>0</v>
      </c>
    </row>
    <row r="4685" spans="1:5">
      <c r="A4685" s="20" t="str">
        <v>00:00:00</v>
      </c>
      <c r="B4685" s="19">
        <v>0</v>
      </c>
      <c r="C4685" s="21">
        <v>0</v>
      </c>
      <c r="D4685" s="20" t="str">
        <v>未匹配</v>
      </c>
      <c r="E4685" s="20">
        <v>0</v>
      </c>
    </row>
    <row r="4686" spans="1:5">
      <c r="A4686" s="20" t="str">
        <v>00:00:00</v>
      </c>
      <c r="B4686" s="19">
        <v>0</v>
      </c>
      <c r="C4686" s="21">
        <v>0</v>
      </c>
      <c r="D4686" s="20" t="str">
        <v>未匹配</v>
      </c>
      <c r="E4686" s="20">
        <v>0</v>
      </c>
    </row>
    <row r="4687" spans="1:5">
      <c r="A4687" s="20" t="str">
        <v>00:00:00</v>
      </c>
      <c r="B4687" s="19">
        <v>0</v>
      </c>
      <c r="C4687" s="21">
        <v>0</v>
      </c>
      <c r="D4687" s="20" t="str">
        <v>未匹配</v>
      </c>
      <c r="E4687" s="20">
        <v>0</v>
      </c>
    </row>
    <row r="4688" spans="1:5">
      <c r="A4688" s="20" t="str">
        <v>00:00:00</v>
      </c>
      <c r="B4688" s="19">
        <v>0</v>
      </c>
      <c r="C4688" s="21">
        <v>0</v>
      </c>
      <c r="D4688" s="20" t="str">
        <v>未匹配</v>
      </c>
      <c r="E4688" s="20">
        <v>0</v>
      </c>
    </row>
    <row r="4689" spans="1:5">
      <c r="A4689" s="20" t="str">
        <v>00:00:00</v>
      </c>
      <c r="B4689" s="19">
        <v>0</v>
      </c>
      <c r="C4689" s="21">
        <v>0</v>
      </c>
      <c r="D4689" s="20" t="str">
        <v>未匹配</v>
      </c>
      <c r="E4689" s="20">
        <v>0</v>
      </c>
    </row>
    <row r="4690" spans="1:5">
      <c r="A4690" s="20" t="str">
        <v>00:00:00</v>
      </c>
      <c r="B4690" s="19">
        <v>0</v>
      </c>
      <c r="C4690" s="21">
        <v>0</v>
      </c>
      <c r="D4690" s="20" t="str">
        <v>未匹配</v>
      </c>
      <c r="E4690" s="20">
        <v>0</v>
      </c>
    </row>
    <row r="4691" spans="1:5">
      <c r="A4691" s="20" t="str">
        <v>00:00:00</v>
      </c>
      <c r="B4691" s="19">
        <v>0</v>
      </c>
      <c r="C4691" s="21">
        <v>0</v>
      </c>
      <c r="D4691" s="20" t="str">
        <v>未匹配</v>
      </c>
      <c r="E4691" s="20">
        <v>0</v>
      </c>
    </row>
    <row r="4692" spans="1:5">
      <c r="A4692" s="20" t="str">
        <v>00:00:00</v>
      </c>
      <c r="B4692" s="19">
        <v>0</v>
      </c>
      <c r="C4692" s="21">
        <v>0</v>
      </c>
      <c r="D4692" s="20" t="str">
        <v>未匹配</v>
      </c>
      <c r="E4692" s="20">
        <v>0</v>
      </c>
    </row>
    <row r="4693" spans="1:5">
      <c r="A4693" s="20" t="str">
        <v>00:00:00</v>
      </c>
      <c r="B4693" s="19">
        <v>0</v>
      </c>
      <c r="C4693" s="21">
        <v>0</v>
      </c>
      <c r="D4693" s="20" t="str">
        <v>未匹配</v>
      </c>
      <c r="E4693" s="20">
        <v>0</v>
      </c>
    </row>
    <row r="4694" spans="1:5">
      <c r="A4694" s="20" t="str">
        <v>00:00:00</v>
      </c>
      <c r="B4694" s="19">
        <v>0</v>
      </c>
      <c r="C4694" s="21">
        <v>0</v>
      </c>
      <c r="D4694" s="20" t="str">
        <v>未匹配</v>
      </c>
      <c r="E4694" s="20">
        <v>0</v>
      </c>
    </row>
    <row r="4695" spans="1:5">
      <c r="A4695" s="20" t="str">
        <v>00:00:00</v>
      </c>
      <c r="B4695" s="19">
        <v>0</v>
      </c>
      <c r="C4695" s="21">
        <v>0</v>
      </c>
      <c r="D4695" s="20" t="str">
        <v>未匹配</v>
      </c>
      <c r="E4695" s="20">
        <v>0</v>
      </c>
    </row>
    <row r="4696" spans="1:5">
      <c r="A4696" s="20" t="str">
        <v>00:00:00</v>
      </c>
      <c r="B4696" s="19">
        <v>0</v>
      </c>
      <c r="C4696" s="21">
        <v>0</v>
      </c>
      <c r="D4696" s="20" t="str">
        <v>未匹配</v>
      </c>
      <c r="E4696" s="20">
        <v>0</v>
      </c>
    </row>
    <row r="4697" spans="1:5">
      <c r="A4697" s="20" t="str">
        <v>00:00:00</v>
      </c>
      <c r="B4697" s="19">
        <v>0</v>
      </c>
      <c r="C4697" s="21">
        <v>0</v>
      </c>
      <c r="D4697" s="20" t="str">
        <v>未匹配</v>
      </c>
      <c r="E4697" s="20">
        <v>0</v>
      </c>
    </row>
    <row r="4698" spans="1:5">
      <c r="A4698" s="20" t="str">
        <v>00:00:00</v>
      </c>
      <c r="B4698" s="19">
        <v>0</v>
      </c>
      <c r="C4698" s="21">
        <v>0</v>
      </c>
      <c r="D4698" s="20" t="str">
        <v>未匹配</v>
      </c>
      <c r="E4698" s="20">
        <v>0</v>
      </c>
    </row>
    <row r="4699" spans="1:5">
      <c r="A4699" s="20" t="str">
        <v>00:00:00</v>
      </c>
      <c r="B4699" s="19">
        <v>0</v>
      </c>
      <c r="C4699" s="21">
        <v>0</v>
      </c>
      <c r="D4699" s="20" t="str">
        <v>未匹配</v>
      </c>
      <c r="E4699" s="20">
        <v>0</v>
      </c>
    </row>
    <row r="4700" spans="1:5">
      <c r="A4700" s="20" t="str">
        <v>00:00:00</v>
      </c>
      <c r="B4700" s="19">
        <v>0</v>
      </c>
      <c r="C4700" s="21">
        <v>0</v>
      </c>
      <c r="D4700" s="20" t="str">
        <v>未匹配</v>
      </c>
      <c r="E4700" s="20">
        <v>0</v>
      </c>
    </row>
    <row r="4701" spans="1:5">
      <c r="A4701" s="20" t="str">
        <v>00:00:00</v>
      </c>
      <c r="B4701" s="19">
        <v>0</v>
      </c>
      <c r="C4701" s="21">
        <v>0</v>
      </c>
      <c r="D4701" s="20" t="str">
        <v>未匹配</v>
      </c>
      <c r="E4701" s="20">
        <v>0</v>
      </c>
    </row>
    <row r="4702" spans="1:5">
      <c r="A4702" s="20" t="str">
        <v>00:00:00</v>
      </c>
      <c r="B4702" s="19">
        <v>0</v>
      </c>
      <c r="C4702" s="21">
        <v>0</v>
      </c>
      <c r="D4702" s="20" t="str">
        <v>未匹配</v>
      </c>
      <c r="E4702" s="20">
        <v>0</v>
      </c>
    </row>
    <row r="4703" spans="1:5">
      <c r="A4703" s="20" t="str">
        <v>00:00:00</v>
      </c>
      <c r="B4703" s="19">
        <v>0</v>
      </c>
      <c r="C4703" s="21">
        <v>0</v>
      </c>
      <c r="D4703" s="20" t="str">
        <v>未匹配</v>
      </c>
      <c r="E4703" s="20">
        <v>0</v>
      </c>
    </row>
    <row r="4704" spans="1:5">
      <c r="A4704" s="20" t="str">
        <v>00:00:00</v>
      </c>
      <c r="B4704" s="19">
        <v>0</v>
      </c>
      <c r="C4704" s="21">
        <v>0</v>
      </c>
      <c r="D4704" s="20" t="str">
        <v>未匹配</v>
      </c>
      <c r="E4704" s="20">
        <v>0</v>
      </c>
    </row>
    <row r="4705" spans="1:5">
      <c r="A4705" s="20" t="str">
        <v>00:00:00</v>
      </c>
      <c r="B4705" s="19">
        <v>0</v>
      </c>
      <c r="C4705" s="21">
        <v>0</v>
      </c>
      <c r="D4705" s="20" t="str">
        <v>未匹配</v>
      </c>
      <c r="E4705" s="20">
        <v>0</v>
      </c>
    </row>
    <row r="4706" spans="1:5">
      <c r="A4706" s="20" t="str">
        <v>00:00:00</v>
      </c>
      <c r="B4706" s="19">
        <v>0</v>
      </c>
      <c r="C4706" s="21">
        <v>0</v>
      </c>
      <c r="D4706" s="20" t="str">
        <v>未匹配</v>
      </c>
      <c r="E4706" s="20">
        <v>0</v>
      </c>
    </row>
    <row r="4707" spans="1:5">
      <c r="A4707" s="20" t="str">
        <v>00:00:00</v>
      </c>
      <c r="B4707" s="19">
        <v>0</v>
      </c>
      <c r="C4707" s="21">
        <v>0</v>
      </c>
      <c r="D4707" s="20" t="str">
        <v>未匹配</v>
      </c>
      <c r="E4707" s="20">
        <v>0</v>
      </c>
    </row>
    <row r="4708" spans="1:5">
      <c r="A4708" s="20" t="str">
        <v>00:00:00</v>
      </c>
      <c r="B4708" s="19">
        <v>0</v>
      </c>
      <c r="C4708" s="21">
        <v>0</v>
      </c>
      <c r="D4708" s="20" t="str">
        <v>未匹配</v>
      </c>
      <c r="E4708" s="20">
        <v>0</v>
      </c>
    </row>
    <row r="4709" spans="1:5">
      <c r="A4709" s="20" t="str">
        <v>00:00:00</v>
      </c>
      <c r="B4709" s="19">
        <v>0</v>
      </c>
      <c r="C4709" s="21">
        <v>0</v>
      </c>
      <c r="D4709" s="20" t="str">
        <v>未匹配</v>
      </c>
      <c r="E4709" s="20">
        <v>0</v>
      </c>
    </row>
    <row r="4710" spans="1:5">
      <c r="A4710" s="20" t="str">
        <v>00:00:00</v>
      </c>
      <c r="B4710" s="19">
        <v>0</v>
      </c>
      <c r="C4710" s="21">
        <v>0</v>
      </c>
      <c r="D4710" s="20" t="str">
        <v>未匹配</v>
      </c>
      <c r="E4710" s="20">
        <v>0</v>
      </c>
    </row>
    <row r="4711" spans="1:5">
      <c r="A4711" s="20" t="str">
        <v>00:00:00</v>
      </c>
      <c r="B4711" s="19">
        <v>0</v>
      </c>
      <c r="C4711" s="21">
        <v>0</v>
      </c>
      <c r="D4711" s="20" t="str">
        <v>未匹配</v>
      </c>
      <c r="E4711" s="20">
        <v>0</v>
      </c>
    </row>
    <row r="4712" spans="1:5">
      <c r="A4712" s="20" t="str">
        <v>00:00:00</v>
      </c>
      <c r="B4712" s="19">
        <v>0</v>
      </c>
      <c r="C4712" s="21">
        <v>0</v>
      </c>
      <c r="D4712" s="20" t="str">
        <v>未匹配</v>
      </c>
      <c r="E4712" s="20">
        <v>0</v>
      </c>
    </row>
    <row r="4713" spans="1:5">
      <c r="A4713" s="20" t="str">
        <v>00:00:00</v>
      </c>
      <c r="B4713" s="19">
        <v>0</v>
      </c>
      <c r="C4713" s="21">
        <v>0</v>
      </c>
      <c r="D4713" s="20" t="str">
        <v>未匹配</v>
      </c>
      <c r="E4713" s="20">
        <v>0</v>
      </c>
    </row>
    <row r="4714" spans="1:5">
      <c r="A4714" s="20" t="str">
        <v>00:00:00</v>
      </c>
      <c r="B4714" s="19">
        <v>0</v>
      </c>
      <c r="C4714" s="21">
        <v>0</v>
      </c>
      <c r="D4714" s="20" t="str">
        <v>未匹配</v>
      </c>
      <c r="E4714" s="20">
        <v>0</v>
      </c>
    </row>
    <row r="4715" spans="1:5">
      <c r="A4715" s="20" t="str">
        <v>00:00:00</v>
      </c>
      <c r="B4715" s="19">
        <v>0</v>
      </c>
      <c r="C4715" s="21">
        <v>0</v>
      </c>
      <c r="D4715" s="20" t="str">
        <v>未匹配</v>
      </c>
      <c r="E4715" s="20">
        <v>0</v>
      </c>
    </row>
    <row r="4716" spans="1:5">
      <c r="A4716" s="20" t="str">
        <v>00:00:00</v>
      </c>
      <c r="B4716" s="19">
        <v>0</v>
      </c>
      <c r="C4716" s="21">
        <v>0</v>
      </c>
      <c r="D4716" s="20" t="str">
        <v>未匹配</v>
      </c>
      <c r="E4716" s="20">
        <v>0</v>
      </c>
    </row>
    <row r="4717" spans="1:5">
      <c r="A4717" s="20" t="str">
        <v>00:00:00</v>
      </c>
      <c r="B4717" s="19">
        <v>0</v>
      </c>
      <c r="C4717" s="21">
        <v>0</v>
      </c>
      <c r="D4717" s="20" t="str">
        <v>未匹配</v>
      </c>
      <c r="E4717" s="20">
        <v>0</v>
      </c>
    </row>
    <row r="4718" spans="1:5">
      <c r="A4718" s="20" t="str">
        <v>00:00:00</v>
      </c>
      <c r="B4718" s="19">
        <v>0</v>
      </c>
      <c r="C4718" s="21">
        <v>0</v>
      </c>
      <c r="D4718" s="20" t="str">
        <v>未匹配</v>
      </c>
      <c r="E4718" s="20">
        <v>0</v>
      </c>
    </row>
    <row r="4719" spans="1:5">
      <c r="A4719" s="20" t="str">
        <v>00:00:00</v>
      </c>
      <c r="B4719" s="19">
        <v>0</v>
      </c>
      <c r="C4719" s="21">
        <v>0</v>
      </c>
      <c r="D4719" s="20" t="str">
        <v>未匹配</v>
      </c>
      <c r="E4719" s="20">
        <v>0</v>
      </c>
    </row>
    <row r="4720" spans="1:5">
      <c r="A4720" s="20" t="str">
        <v>00:00:00</v>
      </c>
      <c r="B4720" s="19">
        <v>0</v>
      </c>
      <c r="C4720" s="21">
        <v>0</v>
      </c>
      <c r="D4720" s="20" t="str">
        <v>未匹配</v>
      </c>
      <c r="E4720" s="20">
        <v>0</v>
      </c>
    </row>
    <row r="4721" spans="1:5">
      <c r="A4721" s="20" t="str">
        <v>00:00:00</v>
      </c>
      <c r="B4721" s="19">
        <v>0</v>
      </c>
      <c r="C4721" s="21">
        <v>0</v>
      </c>
      <c r="D4721" s="20" t="str">
        <v>未匹配</v>
      </c>
      <c r="E4721" s="20">
        <v>0</v>
      </c>
    </row>
    <row r="4722" spans="1:5">
      <c r="A4722" s="20" t="str">
        <v>00:00:00</v>
      </c>
      <c r="B4722" s="19">
        <v>0</v>
      </c>
      <c r="C4722" s="21">
        <v>0</v>
      </c>
      <c r="D4722" s="20" t="str">
        <v>未匹配</v>
      </c>
      <c r="E4722" s="20">
        <v>0</v>
      </c>
    </row>
    <row r="4723" spans="1:5">
      <c r="A4723" s="20" t="str">
        <v>00:00:00</v>
      </c>
      <c r="B4723" s="19">
        <v>0</v>
      </c>
      <c r="C4723" s="21">
        <v>0</v>
      </c>
      <c r="D4723" s="20" t="str">
        <v>未匹配</v>
      </c>
      <c r="E4723" s="20">
        <v>0</v>
      </c>
    </row>
    <row r="4724" spans="1:5">
      <c r="A4724" s="20" t="str">
        <v>00:00:00</v>
      </c>
      <c r="B4724" s="19">
        <v>0</v>
      </c>
      <c r="C4724" s="21">
        <v>0</v>
      </c>
      <c r="D4724" s="20" t="str">
        <v>未匹配</v>
      </c>
      <c r="E4724" s="20">
        <v>0</v>
      </c>
    </row>
    <row r="4725" spans="1:5">
      <c r="A4725" s="20" t="str">
        <v>00:00:00</v>
      </c>
      <c r="B4725" s="19">
        <v>0</v>
      </c>
      <c r="C4725" s="21">
        <v>0</v>
      </c>
      <c r="D4725" s="20" t="str">
        <v>未匹配</v>
      </c>
      <c r="E4725" s="20">
        <v>0</v>
      </c>
    </row>
    <row r="4726" spans="1:5">
      <c r="A4726" s="20" t="str">
        <v>00:00:00</v>
      </c>
      <c r="B4726" s="19">
        <v>0</v>
      </c>
      <c r="C4726" s="21">
        <v>0</v>
      </c>
      <c r="D4726" s="20" t="str">
        <v>未匹配</v>
      </c>
      <c r="E4726" s="20">
        <v>0</v>
      </c>
    </row>
    <row r="4727" spans="1:5">
      <c r="A4727" s="20" t="str">
        <v>00:00:00</v>
      </c>
      <c r="B4727" s="19">
        <v>0</v>
      </c>
      <c r="C4727" s="21">
        <v>0</v>
      </c>
      <c r="D4727" s="20" t="str">
        <v>未匹配</v>
      </c>
      <c r="E4727" s="20">
        <v>0</v>
      </c>
    </row>
    <row r="4728" spans="1:5">
      <c r="A4728" s="20" t="str">
        <v>00:00:00</v>
      </c>
      <c r="B4728" s="19">
        <v>0</v>
      </c>
      <c r="C4728" s="21">
        <v>0</v>
      </c>
      <c r="D4728" s="20" t="str">
        <v>未匹配</v>
      </c>
      <c r="E4728" s="20">
        <v>0</v>
      </c>
    </row>
    <row r="4729" spans="1:5">
      <c r="A4729" s="20" t="str">
        <v>00:00:00</v>
      </c>
      <c r="B4729" s="19">
        <v>0</v>
      </c>
      <c r="C4729" s="21">
        <v>0</v>
      </c>
      <c r="D4729" s="20" t="str">
        <v>未匹配</v>
      </c>
      <c r="E4729" s="20">
        <v>0</v>
      </c>
    </row>
    <row r="4730" spans="1:5">
      <c r="A4730" s="20" t="str">
        <v>00:00:00</v>
      </c>
      <c r="B4730" s="19">
        <v>0</v>
      </c>
      <c r="C4730" s="21">
        <v>0</v>
      </c>
      <c r="D4730" s="20" t="str">
        <v>未匹配</v>
      </c>
      <c r="E4730" s="20">
        <v>0</v>
      </c>
    </row>
    <row r="4731" spans="1:5">
      <c r="A4731" s="20" t="str">
        <v>00:00:00</v>
      </c>
      <c r="B4731" s="19">
        <v>0</v>
      </c>
      <c r="C4731" s="21">
        <v>0</v>
      </c>
      <c r="D4731" s="20" t="str">
        <v>未匹配</v>
      </c>
      <c r="E4731" s="20">
        <v>0</v>
      </c>
    </row>
    <row r="4732" spans="1:5">
      <c r="A4732" s="20" t="str">
        <v>00:00:00</v>
      </c>
      <c r="B4732" s="19">
        <v>0</v>
      </c>
      <c r="C4732" s="21">
        <v>0</v>
      </c>
      <c r="D4732" s="20" t="str">
        <v>未匹配</v>
      </c>
      <c r="E4732" s="20">
        <v>0</v>
      </c>
    </row>
    <row r="4733" spans="1:5">
      <c r="A4733" s="20" t="str">
        <v>00:00:00</v>
      </c>
      <c r="B4733" s="19">
        <v>0</v>
      </c>
      <c r="C4733" s="21">
        <v>0</v>
      </c>
      <c r="D4733" s="20" t="str">
        <v>未匹配</v>
      </c>
      <c r="E4733" s="20">
        <v>0</v>
      </c>
    </row>
    <row r="4734" spans="1:5">
      <c r="A4734" s="20" t="str">
        <v>00:00:00</v>
      </c>
      <c r="B4734" s="19">
        <v>0</v>
      </c>
      <c r="C4734" s="21">
        <v>0</v>
      </c>
      <c r="D4734" s="20" t="str">
        <v>未匹配</v>
      </c>
      <c r="E4734" s="20">
        <v>0</v>
      </c>
    </row>
    <row r="4735" spans="1:5">
      <c r="A4735" s="20" t="str">
        <v>00:00:00</v>
      </c>
      <c r="B4735" s="19">
        <v>0</v>
      </c>
      <c r="C4735" s="21">
        <v>0</v>
      </c>
      <c r="D4735" s="20" t="str">
        <v>未匹配</v>
      </c>
      <c r="E4735" s="20">
        <v>0</v>
      </c>
    </row>
    <row r="4736" spans="1:5">
      <c r="A4736" s="20" t="str">
        <v>00:00:00</v>
      </c>
      <c r="B4736" s="19">
        <v>0</v>
      </c>
      <c r="C4736" s="21">
        <v>0</v>
      </c>
      <c r="D4736" s="20" t="str">
        <v>未匹配</v>
      </c>
      <c r="E4736" s="20">
        <v>0</v>
      </c>
    </row>
    <row r="4737" spans="1:5">
      <c r="A4737" s="20" t="str">
        <v>00:00:00</v>
      </c>
      <c r="B4737" s="19">
        <v>0</v>
      </c>
      <c r="C4737" s="21">
        <v>0</v>
      </c>
      <c r="D4737" s="20" t="str">
        <v>未匹配</v>
      </c>
      <c r="E4737" s="20">
        <v>0</v>
      </c>
    </row>
    <row r="4738" spans="1:5">
      <c r="A4738" s="20" t="str">
        <v>00:00:00</v>
      </c>
      <c r="B4738" s="19">
        <v>0</v>
      </c>
      <c r="C4738" s="21">
        <v>0</v>
      </c>
      <c r="D4738" s="20" t="str">
        <v>未匹配</v>
      </c>
      <c r="E4738" s="20">
        <v>0</v>
      </c>
    </row>
    <row r="4739" spans="1:5">
      <c r="A4739" s="20" t="str">
        <v>00:00:00</v>
      </c>
      <c r="B4739" s="19">
        <v>0</v>
      </c>
      <c r="C4739" s="21">
        <v>0</v>
      </c>
      <c r="D4739" s="20" t="str">
        <v>未匹配</v>
      </c>
      <c r="E4739" s="20">
        <v>0</v>
      </c>
    </row>
    <row r="4740" spans="1:5">
      <c r="A4740" s="20" t="str">
        <v>00:00:00</v>
      </c>
      <c r="B4740" s="19">
        <v>0</v>
      </c>
      <c r="C4740" s="21">
        <v>0</v>
      </c>
      <c r="D4740" s="20" t="str">
        <v>未匹配</v>
      </c>
      <c r="E4740" s="20">
        <v>0</v>
      </c>
    </row>
    <row r="4741" spans="1:5">
      <c r="A4741" s="20" t="str">
        <v>00:00:00</v>
      </c>
      <c r="B4741" s="19">
        <v>0</v>
      </c>
      <c r="C4741" s="21">
        <v>0</v>
      </c>
      <c r="D4741" s="20" t="str">
        <v>未匹配</v>
      </c>
      <c r="E4741" s="20">
        <v>0</v>
      </c>
    </row>
    <row r="4742" spans="1:5">
      <c r="A4742" s="20" t="str">
        <v>00:00:00</v>
      </c>
      <c r="B4742" s="19">
        <v>0</v>
      </c>
      <c r="C4742" s="21">
        <v>0</v>
      </c>
      <c r="D4742" s="20" t="str">
        <v>未匹配</v>
      </c>
      <c r="E4742" s="20">
        <v>0</v>
      </c>
    </row>
    <row r="4743" spans="1:5">
      <c r="A4743" s="20" t="str">
        <v>00:00:00</v>
      </c>
      <c r="B4743" s="19">
        <v>0</v>
      </c>
      <c r="C4743" s="21">
        <v>0</v>
      </c>
      <c r="D4743" s="20" t="str">
        <v>未匹配</v>
      </c>
      <c r="E4743" s="20">
        <v>0</v>
      </c>
    </row>
    <row r="4744" spans="1:5">
      <c r="A4744" s="20" t="str">
        <v>00:00:00</v>
      </c>
      <c r="B4744" s="19">
        <v>0</v>
      </c>
      <c r="C4744" s="21">
        <v>0</v>
      </c>
      <c r="D4744" s="20" t="str">
        <v>未匹配</v>
      </c>
      <c r="E4744" s="20">
        <v>0</v>
      </c>
    </row>
    <row r="4745" spans="1:5">
      <c r="A4745" s="20" t="str">
        <v>00:00:00</v>
      </c>
      <c r="B4745" s="19">
        <v>0</v>
      </c>
      <c r="C4745" s="21">
        <v>0</v>
      </c>
      <c r="D4745" s="20" t="str">
        <v>未匹配</v>
      </c>
      <c r="E4745" s="20">
        <v>0</v>
      </c>
    </row>
    <row r="4746" spans="1:5">
      <c r="A4746" s="20" t="str">
        <v>00:00:00</v>
      </c>
      <c r="B4746" s="19">
        <v>0</v>
      </c>
      <c r="C4746" s="21">
        <v>0</v>
      </c>
      <c r="D4746" s="20" t="str">
        <v>未匹配</v>
      </c>
      <c r="E4746" s="20">
        <v>0</v>
      </c>
    </row>
    <row r="4747" spans="1:5">
      <c r="A4747" s="20" t="str">
        <v>00:00:00</v>
      </c>
      <c r="B4747" s="19">
        <v>0</v>
      </c>
      <c r="C4747" s="21">
        <v>0</v>
      </c>
      <c r="D4747" s="20" t="str">
        <v>未匹配</v>
      </c>
      <c r="E4747" s="20">
        <v>0</v>
      </c>
    </row>
    <row r="4748" spans="1:5">
      <c r="A4748" s="20" t="str">
        <v>00:00:00</v>
      </c>
      <c r="B4748" s="19">
        <v>0</v>
      </c>
      <c r="C4748" s="21">
        <v>0</v>
      </c>
      <c r="D4748" s="20" t="str">
        <v>未匹配</v>
      </c>
      <c r="E4748" s="20">
        <v>0</v>
      </c>
    </row>
    <row r="4749" spans="1:5">
      <c r="A4749" s="20" t="str">
        <v>00:00:00</v>
      </c>
      <c r="B4749" s="19">
        <v>0</v>
      </c>
      <c r="C4749" s="21">
        <v>0</v>
      </c>
      <c r="D4749" s="20" t="str">
        <v>未匹配</v>
      </c>
      <c r="E4749" s="20">
        <v>0</v>
      </c>
    </row>
    <row r="4750" spans="1:5">
      <c r="A4750" s="20" t="str">
        <v>00:00:00</v>
      </c>
      <c r="B4750" s="19">
        <v>0</v>
      </c>
      <c r="C4750" s="21">
        <v>0</v>
      </c>
      <c r="D4750" s="20" t="str">
        <v>未匹配</v>
      </c>
      <c r="E4750" s="20">
        <v>0</v>
      </c>
    </row>
    <row r="4751" spans="1:5">
      <c r="A4751" s="20" t="str">
        <v>00:00:00</v>
      </c>
      <c r="B4751" s="19">
        <v>0</v>
      </c>
      <c r="C4751" s="21">
        <v>0</v>
      </c>
      <c r="D4751" s="20" t="str">
        <v>未匹配</v>
      </c>
      <c r="E4751" s="20">
        <v>0</v>
      </c>
    </row>
    <row r="4752" spans="1:5">
      <c r="A4752" s="20" t="str">
        <v>00:00:00</v>
      </c>
      <c r="B4752" s="19">
        <v>0</v>
      </c>
      <c r="C4752" s="21">
        <v>0</v>
      </c>
      <c r="D4752" s="20" t="str">
        <v>未匹配</v>
      </c>
      <c r="E4752" s="20">
        <v>0</v>
      </c>
    </row>
    <row r="4753" spans="1:5">
      <c r="A4753" s="20" t="str">
        <v>00:00:00</v>
      </c>
      <c r="B4753" s="19">
        <v>0</v>
      </c>
      <c r="C4753" s="21">
        <v>0</v>
      </c>
      <c r="D4753" s="20" t="str">
        <v>未匹配</v>
      </c>
      <c r="E4753" s="20">
        <v>0</v>
      </c>
    </row>
    <row r="4754" spans="1:5">
      <c r="A4754" s="20" t="str">
        <v>00:00:00</v>
      </c>
      <c r="B4754" s="19">
        <v>0</v>
      </c>
      <c r="C4754" s="21">
        <v>0</v>
      </c>
      <c r="D4754" s="20" t="str">
        <v>未匹配</v>
      </c>
      <c r="E4754" s="20">
        <v>0</v>
      </c>
    </row>
    <row r="4755" spans="1:5">
      <c r="A4755" s="20" t="str">
        <v>00:00:00</v>
      </c>
      <c r="B4755" s="19">
        <v>0</v>
      </c>
      <c r="C4755" s="21">
        <v>0</v>
      </c>
      <c r="D4755" s="20" t="str">
        <v>未匹配</v>
      </c>
      <c r="E4755" s="20">
        <v>0</v>
      </c>
    </row>
    <row r="4756" spans="1:5">
      <c r="A4756" s="20" t="str">
        <v>00:00:00</v>
      </c>
      <c r="B4756" s="19">
        <v>0</v>
      </c>
      <c r="C4756" s="21">
        <v>0</v>
      </c>
      <c r="D4756" s="20" t="str">
        <v>未匹配</v>
      </c>
      <c r="E4756" s="20">
        <v>0</v>
      </c>
    </row>
    <row r="4757" spans="1:5">
      <c r="A4757" s="20" t="str">
        <v>00:00:00</v>
      </c>
      <c r="B4757" s="19">
        <v>0</v>
      </c>
      <c r="C4757" s="21">
        <v>0</v>
      </c>
      <c r="D4757" s="20" t="str">
        <v>未匹配</v>
      </c>
      <c r="E4757" s="20">
        <v>0</v>
      </c>
    </row>
    <row r="4758" spans="1:5">
      <c r="A4758" s="20" t="str">
        <v>00:00:00</v>
      </c>
      <c r="B4758" s="19">
        <v>0</v>
      </c>
      <c r="C4758" s="21">
        <v>0</v>
      </c>
      <c r="D4758" s="20" t="str">
        <v>未匹配</v>
      </c>
      <c r="E4758" s="20">
        <v>0</v>
      </c>
    </row>
    <row r="4759" spans="1:5">
      <c r="A4759" s="20" t="str">
        <v>00:00:00</v>
      </c>
      <c r="B4759" s="19">
        <v>0</v>
      </c>
      <c r="C4759" s="21">
        <v>0</v>
      </c>
      <c r="D4759" s="20" t="str">
        <v>未匹配</v>
      </c>
      <c r="E4759" s="20">
        <v>0</v>
      </c>
    </row>
    <row r="4760" spans="1:5">
      <c r="A4760" s="20" t="str">
        <v>00:00:00</v>
      </c>
      <c r="B4760" s="19">
        <v>0</v>
      </c>
      <c r="C4760" s="21">
        <v>0</v>
      </c>
      <c r="D4760" s="20" t="str">
        <v>未匹配</v>
      </c>
      <c r="E4760" s="20">
        <v>0</v>
      </c>
    </row>
    <row r="4761" spans="1:5">
      <c r="A4761" s="20" t="str">
        <v>00:00:00</v>
      </c>
      <c r="B4761" s="19">
        <v>0</v>
      </c>
      <c r="C4761" s="21">
        <v>0</v>
      </c>
      <c r="D4761" s="20" t="str">
        <v>未匹配</v>
      </c>
      <c r="E4761" s="20">
        <v>0</v>
      </c>
    </row>
    <row r="4762" spans="1:5">
      <c r="A4762" s="20" t="str">
        <v>00:00:00</v>
      </c>
      <c r="B4762" s="19">
        <v>0</v>
      </c>
      <c r="C4762" s="21">
        <v>0</v>
      </c>
      <c r="D4762" s="20" t="str">
        <v>未匹配</v>
      </c>
      <c r="E4762" s="20">
        <v>0</v>
      </c>
    </row>
    <row r="4763" spans="1:5">
      <c r="A4763" s="20" t="str">
        <v>00:00:00</v>
      </c>
      <c r="B4763" s="19">
        <v>0</v>
      </c>
      <c r="C4763" s="21">
        <v>0</v>
      </c>
      <c r="D4763" s="20" t="str">
        <v>未匹配</v>
      </c>
      <c r="E4763" s="20">
        <v>0</v>
      </c>
    </row>
    <row r="4764" spans="1:5">
      <c r="A4764" s="20" t="str">
        <v>00:00:00</v>
      </c>
      <c r="B4764" s="19">
        <v>0</v>
      </c>
      <c r="C4764" s="21">
        <v>0</v>
      </c>
      <c r="D4764" s="20" t="str">
        <v>未匹配</v>
      </c>
      <c r="E4764" s="20">
        <v>0</v>
      </c>
    </row>
    <row r="4765" spans="1:5">
      <c r="A4765" s="20" t="str">
        <v>00:00:00</v>
      </c>
      <c r="B4765" s="19">
        <v>0</v>
      </c>
      <c r="C4765" s="21">
        <v>0</v>
      </c>
      <c r="D4765" s="20" t="str">
        <v>未匹配</v>
      </c>
      <c r="E4765" s="20">
        <v>0</v>
      </c>
    </row>
    <row r="4766" spans="1:5">
      <c r="A4766" s="20" t="str">
        <v>00:00:00</v>
      </c>
      <c r="B4766" s="19">
        <v>0</v>
      </c>
      <c r="C4766" s="21">
        <v>0</v>
      </c>
      <c r="D4766" s="20" t="str">
        <v>未匹配</v>
      </c>
      <c r="E4766" s="20">
        <v>0</v>
      </c>
    </row>
    <row r="4767" spans="1:5">
      <c r="A4767" s="20" t="str">
        <v>00:00:00</v>
      </c>
      <c r="B4767" s="19">
        <v>0</v>
      </c>
      <c r="C4767" s="21">
        <v>0</v>
      </c>
      <c r="D4767" s="20" t="str">
        <v>未匹配</v>
      </c>
      <c r="E4767" s="20">
        <v>0</v>
      </c>
    </row>
    <row r="4768" spans="1:5">
      <c r="A4768" s="20" t="str">
        <v>00:00:00</v>
      </c>
      <c r="B4768" s="19">
        <v>0</v>
      </c>
      <c r="C4768" s="21">
        <v>0</v>
      </c>
      <c r="D4768" s="20" t="str">
        <v>未匹配</v>
      </c>
      <c r="E4768" s="20">
        <v>0</v>
      </c>
    </row>
    <row r="4769" spans="1:5">
      <c r="A4769" s="20" t="str">
        <v>00:00:00</v>
      </c>
      <c r="B4769" s="19">
        <v>0</v>
      </c>
      <c r="C4769" s="21">
        <v>0</v>
      </c>
      <c r="D4769" s="20" t="str">
        <v>未匹配</v>
      </c>
      <c r="E4769" s="20">
        <v>0</v>
      </c>
    </row>
    <row r="4770" spans="1:5">
      <c r="A4770" s="20" t="str">
        <v>00:00:00</v>
      </c>
      <c r="B4770" s="19">
        <v>0</v>
      </c>
      <c r="C4770" s="21">
        <v>0</v>
      </c>
      <c r="D4770" s="20" t="str">
        <v>未匹配</v>
      </c>
      <c r="E4770" s="20">
        <v>0</v>
      </c>
    </row>
    <row r="4771" spans="1:5">
      <c r="A4771" s="20" t="str">
        <v>00:00:00</v>
      </c>
      <c r="B4771" s="19">
        <v>0</v>
      </c>
      <c r="C4771" s="21">
        <v>0</v>
      </c>
      <c r="D4771" s="20" t="str">
        <v>未匹配</v>
      </c>
      <c r="E4771" s="20">
        <v>0</v>
      </c>
    </row>
    <row r="4772" spans="1:5">
      <c r="A4772" s="20" t="str">
        <v>00:00:00</v>
      </c>
      <c r="B4772" s="19">
        <v>0</v>
      </c>
      <c r="C4772" s="21">
        <v>0</v>
      </c>
      <c r="D4772" s="20" t="str">
        <v>未匹配</v>
      </c>
      <c r="E4772" s="20">
        <v>0</v>
      </c>
    </row>
    <row r="4773" spans="1:5">
      <c r="A4773" s="20" t="str">
        <v>00:00:00</v>
      </c>
      <c r="B4773" s="19">
        <v>0</v>
      </c>
      <c r="C4773" s="21">
        <v>0</v>
      </c>
      <c r="D4773" s="20" t="str">
        <v>未匹配</v>
      </c>
      <c r="E4773" s="20">
        <v>0</v>
      </c>
    </row>
    <row r="4774" spans="1:5">
      <c r="A4774" s="20" t="str">
        <v>00:00:00</v>
      </c>
      <c r="B4774" s="19">
        <v>0</v>
      </c>
      <c r="C4774" s="21">
        <v>0</v>
      </c>
      <c r="D4774" s="20" t="str">
        <v>未匹配</v>
      </c>
      <c r="E4774" s="20">
        <v>0</v>
      </c>
    </row>
    <row r="4775" spans="1:5">
      <c r="A4775" s="20" t="str">
        <v>00:00:00</v>
      </c>
      <c r="B4775" s="19">
        <v>0</v>
      </c>
      <c r="C4775" s="21">
        <v>0</v>
      </c>
      <c r="D4775" s="20" t="str">
        <v>未匹配</v>
      </c>
      <c r="E4775" s="20">
        <v>0</v>
      </c>
    </row>
    <row r="4776" spans="1:5">
      <c r="A4776" s="20" t="str">
        <v>00:00:00</v>
      </c>
      <c r="B4776" s="19">
        <v>0</v>
      </c>
      <c r="C4776" s="21">
        <v>0</v>
      </c>
      <c r="D4776" s="20" t="str">
        <v>未匹配</v>
      </c>
      <c r="E4776" s="20">
        <v>0</v>
      </c>
    </row>
    <row r="4777" spans="1:5">
      <c r="A4777" s="20" t="str">
        <v>00:00:00</v>
      </c>
      <c r="B4777" s="19">
        <v>0</v>
      </c>
      <c r="C4777" s="21">
        <v>0</v>
      </c>
      <c r="D4777" s="20" t="str">
        <v>未匹配</v>
      </c>
      <c r="E4777" s="20">
        <v>0</v>
      </c>
    </row>
    <row r="4778" spans="1:5">
      <c r="A4778" s="20" t="str">
        <v>00:00:00</v>
      </c>
      <c r="B4778" s="19">
        <v>0</v>
      </c>
      <c r="C4778" s="21">
        <v>0</v>
      </c>
      <c r="D4778" s="20" t="str">
        <v>未匹配</v>
      </c>
      <c r="E4778" s="20">
        <v>0</v>
      </c>
    </row>
    <row r="4779" spans="1:5">
      <c r="A4779" s="20" t="str">
        <v>00:00:00</v>
      </c>
      <c r="B4779" s="19">
        <v>0</v>
      </c>
      <c r="C4779" s="21">
        <v>0</v>
      </c>
      <c r="D4779" s="20" t="str">
        <v>未匹配</v>
      </c>
      <c r="E4779" s="20">
        <v>0</v>
      </c>
    </row>
    <row r="4780" spans="1:5">
      <c r="A4780" s="20" t="str">
        <v>00:00:00</v>
      </c>
      <c r="B4780" s="19">
        <v>0</v>
      </c>
      <c r="C4780" s="21">
        <v>0</v>
      </c>
      <c r="D4780" s="20" t="str">
        <v>未匹配</v>
      </c>
      <c r="E4780" s="20">
        <v>0</v>
      </c>
    </row>
    <row r="4781" spans="1:5">
      <c r="A4781" s="20" t="str">
        <v>00:00:00</v>
      </c>
      <c r="B4781" s="19">
        <v>0</v>
      </c>
      <c r="C4781" s="21">
        <v>0</v>
      </c>
      <c r="D4781" s="20" t="str">
        <v>未匹配</v>
      </c>
      <c r="E4781" s="20">
        <v>0</v>
      </c>
    </row>
    <row r="4782" spans="1:5">
      <c r="A4782" s="20" t="str">
        <v>00:00:00</v>
      </c>
      <c r="B4782" s="19">
        <v>0</v>
      </c>
      <c r="C4782" s="21">
        <v>0</v>
      </c>
      <c r="D4782" s="20" t="str">
        <v>未匹配</v>
      </c>
      <c r="E4782" s="20">
        <v>0</v>
      </c>
    </row>
    <row r="4783" spans="1:5">
      <c r="A4783" s="20" t="str">
        <v>00:00:00</v>
      </c>
      <c r="B4783" s="19">
        <v>0</v>
      </c>
      <c r="C4783" s="21">
        <v>0</v>
      </c>
      <c r="D4783" s="20" t="str">
        <v>未匹配</v>
      </c>
      <c r="E4783" s="20">
        <v>0</v>
      </c>
    </row>
    <row r="4784" spans="1:5">
      <c r="A4784" s="20" t="str">
        <v>00:00:00</v>
      </c>
      <c r="B4784" s="19">
        <v>0</v>
      </c>
      <c r="C4784" s="21">
        <v>0</v>
      </c>
      <c r="D4784" s="20" t="str">
        <v>未匹配</v>
      </c>
      <c r="E4784" s="20">
        <v>0</v>
      </c>
    </row>
    <row r="4785" spans="1:5">
      <c r="A4785" s="20" t="str">
        <v>00:00:00</v>
      </c>
      <c r="B4785" s="19">
        <v>0</v>
      </c>
      <c r="C4785" s="21">
        <v>0</v>
      </c>
      <c r="D4785" s="20" t="str">
        <v>未匹配</v>
      </c>
      <c r="E4785" s="20">
        <v>0</v>
      </c>
    </row>
    <row r="4786" spans="1:5">
      <c r="A4786" s="20" t="str">
        <v>00:00:00</v>
      </c>
      <c r="B4786" s="19">
        <v>0</v>
      </c>
      <c r="C4786" s="21">
        <v>0</v>
      </c>
      <c r="D4786" s="20" t="str">
        <v>未匹配</v>
      </c>
      <c r="E4786" s="20">
        <v>0</v>
      </c>
    </row>
    <row r="4787" spans="1:5">
      <c r="A4787" s="20" t="str">
        <v>00:00:00</v>
      </c>
      <c r="B4787" s="19">
        <v>0</v>
      </c>
      <c r="C4787" s="21">
        <v>0</v>
      </c>
      <c r="D4787" s="20" t="str">
        <v>未匹配</v>
      </c>
      <c r="E4787" s="20">
        <v>0</v>
      </c>
    </row>
    <row r="4788" spans="1:5">
      <c r="A4788" s="20" t="str">
        <v>00:00:00</v>
      </c>
      <c r="B4788" s="19">
        <v>0</v>
      </c>
      <c r="C4788" s="21">
        <v>0</v>
      </c>
      <c r="D4788" s="20" t="str">
        <v>未匹配</v>
      </c>
      <c r="E4788" s="20">
        <v>0</v>
      </c>
    </row>
    <row r="4789" spans="1:5">
      <c r="A4789" s="20" t="str">
        <v>00:00:00</v>
      </c>
      <c r="B4789" s="19">
        <v>0</v>
      </c>
      <c r="C4789" s="21">
        <v>0</v>
      </c>
      <c r="D4789" s="20" t="str">
        <v>未匹配</v>
      </c>
      <c r="E4789" s="20">
        <v>0</v>
      </c>
    </row>
    <row r="4790" spans="1:5">
      <c r="A4790" s="20" t="str">
        <v>00:00:00</v>
      </c>
      <c r="B4790" s="19">
        <v>0</v>
      </c>
      <c r="C4790" s="21">
        <v>0</v>
      </c>
      <c r="D4790" s="20" t="str">
        <v>未匹配</v>
      </c>
      <c r="E4790" s="20">
        <v>0</v>
      </c>
    </row>
    <row r="4791" spans="1:5">
      <c r="A4791" s="20" t="str">
        <v>00:00:00</v>
      </c>
      <c r="B4791" s="19">
        <v>0</v>
      </c>
      <c r="C4791" s="21">
        <v>0</v>
      </c>
      <c r="D4791" s="20" t="str">
        <v>未匹配</v>
      </c>
      <c r="E4791" s="20">
        <v>0</v>
      </c>
    </row>
    <row r="4792" spans="1:5">
      <c r="A4792" s="20" t="str">
        <v>00:00:00</v>
      </c>
      <c r="B4792" s="19">
        <v>0</v>
      </c>
      <c r="C4792" s="21">
        <v>0</v>
      </c>
      <c r="D4792" s="20" t="str">
        <v>未匹配</v>
      </c>
      <c r="E4792" s="20">
        <v>0</v>
      </c>
    </row>
    <row r="4793" spans="1:5">
      <c r="A4793" s="20" t="str">
        <v>00:00:00</v>
      </c>
      <c r="B4793" s="19">
        <v>0</v>
      </c>
      <c r="C4793" s="21">
        <v>0</v>
      </c>
      <c r="D4793" s="20" t="str">
        <v>未匹配</v>
      </c>
      <c r="E4793" s="20">
        <v>0</v>
      </c>
    </row>
    <row r="4794" spans="1:5">
      <c r="A4794" s="20" t="str">
        <v>00:00:00</v>
      </c>
      <c r="B4794" s="19">
        <v>0</v>
      </c>
      <c r="C4794" s="21">
        <v>0</v>
      </c>
      <c r="D4794" s="20" t="str">
        <v>未匹配</v>
      </c>
      <c r="E4794" s="20">
        <v>0</v>
      </c>
    </row>
    <row r="4795" spans="1:5">
      <c r="A4795" s="20" t="str">
        <v>00:00:00</v>
      </c>
      <c r="B4795" s="19">
        <v>0</v>
      </c>
      <c r="C4795" s="21">
        <v>0</v>
      </c>
      <c r="D4795" s="20" t="str">
        <v>未匹配</v>
      </c>
      <c r="E4795" s="20">
        <v>0</v>
      </c>
    </row>
    <row r="4796" spans="1:5">
      <c r="A4796" s="20" t="str">
        <v>00:00:00</v>
      </c>
      <c r="B4796" s="19">
        <v>0</v>
      </c>
      <c r="C4796" s="21">
        <v>0</v>
      </c>
      <c r="D4796" s="20" t="str">
        <v>未匹配</v>
      </c>
      <c r="E4796" s="20">
        <v>0</v>
      </c>
    </row>
    <row r="4797" spans="1:5">
      <c r="A4797" s="20" t="str">
        <v>00:00:00</v>
      </c>
      <c r="B4797" s="19">
        <v>0</v>
      </c>
      <c r="C4797" s="21">
        <v>0</v>
      </c>
      <c r="D4797" s="20" t="str">
        <v>未匹配</v>
      </c>
      <c r="E4797" s="20">
        <v>0</v>
      </c>
    </row>
    <row r="4798" spans="1:5">
      <c r="A4798" s="20" t="str">
        <v>00:00:00</v>
      </c>
      <c r="B4798" s="19">
        <v>0</v>
      </c>
      <c r="C4798" s="21">
        <v>0</v>
      </c>
      <c r="D4798" s="20" t="str">
        <v>未匹配</v>
      </c>
      <c r="E4798" s="20">
        <v>0</v>
      </c>
    </row>
    <row r="4799" spans="1:5">
      <c r="A4799" s="20" t="str">
        <v>00:00:00</v>
      </c>
      <c r="B4799" s="19">
        <v>0</v>
      </c>
      <c r="C4799" s="21">
        <v>0</v>
      </c>
      <c r="D4799" s="20" t="str">
        <v>未匹配</v>
      </c>
      <c r="E4799" s="20">
        <v>0</v>
      </c>
    </row>
    <row r="4800" spans="1:5">
      <c r="A4800" s="20" t="str">
        <v>00:00:00</v>
      </c>
      <c r="B4800" s="19">
        <v>0</v>
      </c>
      <c r="C4800" s="21">
        <v>0</v>
      </c>
      <c r="D4800" s="20" t="str">
        <v>未匹配</v>
      </c>
      <c r="E4800" s="20">
        <v>0</v>
      </c>
    </row>
    <row r="4801" spans="1:5">
      <c r="A4801" s="20" t="str">
        <v>00:00:00</v>
      </c>
      <c r="B4801" s="19">
        <v>0</v>
      </c>
      <c r="C4801" s="21">
        <v>0</v>
      </c>
      <c r="D4801" s="20" t="str">
        <v>未匹配</v>
      </c>
      <c r="E4801" s="20">
        <v>0</v>
      </c>
    </row>
    <row r="4802" spans="1:5">
      <c r="A4802" s="20" t="str">
        <v>00:00:00</v>
      </c>
      <c r="B4802" s="19">
        <v>0</v>
      </c>
      <c r="C4802" s="21">
        <v>0</v>
      </c>
      <c r="D4802" s="20" t="str">
        <v>未匹配</v>
      </c>
      <c r="E4802" s="20">
        <v>0</v>
      </c>
    </row>
    <row r="4803" spans="1:5">
      <c r="A4803" s="20" t="str">
        <v>00:00:00</v>
      </c>
      <c r="B4803" s="19">
        <v>0</v>
      </c>
      <c r="C4803" s="21">
        <v>0</v>
      </c>
      <c r="D4803" s="20" t="str">
        <v>未匹配</v>
      </c>
      <c r="E4803" s="20">
        <v>0</v>
      </c>
    </row>
    <row r="4804" spans="1:5">
      <c r="A4804" s="20" t="str">
        <v>00:00:00</v>
      </c>
      <c r="B4804" s="19">
        <v>0</v>
      </c>
      <c r="C4804" s="21">
        <v>0</v>
      </c>
      <c r="D4804" s="20" t="str">
        <v>未匹配</v>
      </c>
      <c r="E4804" s="20">
        <v>0</v>
      </c>
    </row>
    <row r="4805" spans="1:5">
      <c r="A4805" s="20" t="str">
        <v>00:00:00</v>
      </c>
      <c r="B4805" s="19">
        <v>0</v>
      </c>
      <c r="C4805" s="21">
        <v>0</v>
      </c>
      <c r="D4805" s="20" t="str">
        <v>未匹配</v>
      </c>
      <c r="E4805" s="20">
        <v>0</v>
      </c>
    </row>
    <row r="4806" spans="1:5">
      <c r="A4806" s="20" t="str">
        <v>00:00:00</v>
      </c>
      <c r="B4806" s="19">
        <v>0</v>
      </c>
      <c r="C4806" s="21">
        <v>0</v>
      </c>
      <c r="D4806" s="20" t="str">
        <v>未匹配</v>
      </c>
      <c r="E4806" s="20">
        <v>0</v>
      </c>
    </row>
    <row r="4807" spans="1:5">
      <c r="A4807" s="20" t="str">
        <v>00:00:00</v>
      </c>
      <c r="B4807" s="19">
        <v>0</v>
      </c>
      <c r="C4807" s="21">
        <v>0</v>
      </c>
      <c r="D4807" s="20" t="str">
        <v>未匹配</v>
      </c>
      <c r="E4807" s="20">
        <v>0</v>
      </c>
    </row>
    <row r="4808" spans="1:5">
      <c r="A4808" s="20" t="str">
        <v>00:00:00</v>
      </c>
      <c r="B4808" s="19">
        <v>0</v>
      </c>
      <c r="C4808" s="21">
        <v>0</v>
      </c>
      <c r="D4808" s="20" t="str">
        <v>未匹配</v>
      </c>
      <c r="E4808" s="20">
        <v>0</v>
      </c>
    </row>
    <row r="4809" spans="1:5">
      <c r="A4809" s="20" t="str">
        <v>00:00:00</v>
      </c>
      <c r="B4809" s="19">
        <v>0</v>
      </c>
      <c r="C4809" s="21">
        <v>0</v>
      </c>
      <c r="D4809" s="20" t="str">
        <v>未匹配</v>
      </c>
      <c r="E4809" s="20">
        <v>0</v>
      </c>
    </row>
    <row r="4810" spans="1:5">
      <c r="A4810" s="20" t="str">
        <v>00:00:00</v>
      </c>
      <c r="B4810" s="19">
        <v>0</v>
      </c>
      <c r="C4810" s="21">
        <v>0</v>
      </c>
      <c r="D4810" s="20" t="str">
        <v>未匹配</v>
      </c>
      <c r="E4810" s="20">
        <v>0</v>
      </c>
    </row>
    <row r="4811" spans="1:5">
      <c r="A4811" s="20" t="str">
        <v>00:00:00</v>
      </c>
      <c r="B4811" s="19">
        <v>0</v>
      </c>
      <c r="C4811" s="21">
        <v>0</v>
      </c>
      <c r="D4811" s="20" t="str">
        <v>未匹配</v>
      </c>
      <c r="E4811" s="20">
        <v>0</v>
      </c>
    </row>
    <row r="4812" spans="1:5">
      <c r="A4812" s="20" t="str">
        <v>00:00:00</v>
      </c>
      <c r="B4812" s="19">
        <v>0</v>
      </c>
      <c r="C4812" s="21">
        <v>0</v>
      </c>
      <c r="D4812" s="20" t="str">
        <v>未匹配</v>
      </c>
      <c r="E4812" s="20">
        <v>0</v>
      </c>
    </row>
    <row r="4813" spans="1:5">
      <c r="A4813" s="20" t="str">
        <v>00:00:00</v>
      </c>
      <c r="B4813" s="19">
        <v>0</v>
      </c>
      <c r="C4813" s="21">
        <v>0</v>
      </c>
      <c r="D4813" s="20" t="str">
        <v>未匹配</v>
      </c>
      <c r="E4813" s="20">
        <v>0</v>
      </c>
    </row>
    <row r="4814" spans="1:5">
      <c r="A4814" s="20" t="str">
        <v>00:00:00</v>
      </c>
      <c r="B4814" s="19">
        <v>0</v>
      </c>
      <c r="C4814" s="21">
        <v>0</v>
      </c>
      <c r="D4814" s="20" t="str">
        <v>未匹配</v>
      </c>
      <c r="E4814" s="20">
        <v>0</v>
      </c>
    </row>
    <row r="4815" spans="1:5">
      <c r="A4815" s="20" t="str">
        <v>00:00:00</v>
      </c>
      <c r="B4815" s="19">
        <v>0</v>
      </c>
      <c r="C4815" s="21">
        <v>0</v>
      </c>
      <c r="D4815" s="20" t="str">
        <v>未匹配</v>
      </c>
      <c r="E4815" s="20">
        <v>0</v>
      </c>
    </row>
    <row r="4816" spans="1:5">
      <c r="A4816" s="20" t="str">
        <v>00:00:00</v>
      </c>
      <c r="B4816" s="19">
        <v>0</v>
      </c>
      <c r="C4816" s="21">
        <v>0</v>
      </c>
      <c r="D4816" s="20" t="str">
        <v>未匹配</v>
      </c>
      <c r="E4816" s="20">
        <v>0</v>
      </c>
    </row>
    <row r="4817" spans="1:5">
      <c r="A4817" s="20" t="str">
        <v>00:00:00</v>
      </c>
      <c r="B4817" s="19">
        <v>0</v>
      </c>
      <c r="C4817" s="21">
        <v>0</v>
      </c>
      <c r="D4817" s="20" t="str">
        <v>未匹配</v>
      </c>
      <c r="E4817" s="20">
        <v>0</v>
      </c>
    </row>
    <row r="4818" spans="1:5">
      <c r="A4818" s="20" t="str">
        <v>00:00:00</v>
      </c>
      <c r="B4818" s="19">
        <v>0</v>
      </c>
      <c r="C4818" s="21">
        <v>0</v>
      </c>
      <c r="D4818" s="20" t="str">
        <v>未匹配</v>
      </c>
      <c r="E4818" s="20">
        <v>0</v>
      </c>
    </row>
    <row r="4819" spans="1:5">
      <c r="A4819" s="20" t="str">
        <v>00:00:00</v>
      </c>
      <c r="B4819" s="19">
        <v>0</v>
      </c>
      <c r="C4819" s="21">
        <v>0</v>
      </c>
      <c r="D4819" s="20" t="str">
        <v>未匹配</v>
      </c>
      <c r="E4819" s="20">
        <v>0</v>
      </c>
    </row>
    <row r="4820" spans="1:5">
      <c r="A4820" s="20" t="str">
        <v>00:00:00</v>
      </c>
      <c r="B4820" s="19">
        <v>0</v>
      </c>
      <c r="C4820" s="21">
        <v>0</v>
      </c>
      <c r="D4820" s="20" t="str">
        <v>未匹配</v>
      </c>
      <c r="E4820" s="20">
        <v>0</v>
      </c>
    </row>
    <row r="4821" spans="1:5">
      <c r="A4821" s="20" t="str">
        <v>00:00:00</v>
      </c>
      <c r="B4821" s="19">
        <v>0</v>
      </c>
      <c r="C4821" s="21">
        <v>0</v>
      </c>
      <c r="D4821" s="20" t="str">
        <v>未匹配</v>
      </c>
      <c r="E4821" s="20">
        <v>0</v>
      </c>
    </row>
    <row r="4822" spans="1:5">
      <c r="A4822" s="20" t="str">
        <v>00:00:00</v>
      </c>
      <c r="B4822" s="19">
        <v>0</v>
      </c>
      <c r="C4822" s="21">
        <v>0</v>
      </c>
      <c r="D4822" s="20" t="str">
        <v>未匹配</v>
      </c>
      <c r="E4822" s="20">
        <v>0</v>
      </c>
    </row>
    <row r="4823" spans="1:5">
      <c r="A4823" s="20" t="str">
        <v>00:00:00</v>
      </c>
      <c r="B4823" s="19">
        <v>0</v>
      </c>
      <c r="C4823" s="21">
        <v>0</v>
      </c>
      <c r="D4823" s="20" t="str">
        <v>未匹配</v>
      </c>
      <c r="E4823" s="20">
        <v>0</v>
      </c>
    </row>
    <row r="4824" spans="1:5">
      <c r="A4824" s="20" t="str">
        <v>00:00:00</v>
      </c>
      <c r="B4824" s="19">
        <v>0</v>
      </c>
      <c r="C4824" s="21">
        <v>0</v>
      </c>
      <c r="D4824" s="20" t="str">
        <v>未匹配</v>
      </c>
      <c r="E4824" s="20">
        <v>0</v>
      </c>
    </row>
    <row r="4825" spans="1:5">
      <c r="A4825" s="20" t="str">
        <v>00:00:00</v>
      </c>
      <c r="B4825" s="19">
        <v>0</v>
      </c>
      <c r="C4825" s="21">
        <v>0</v>
      </c>
      <c r="D4825" s="20" t="str">
        <v>未匹配</v>
      </c>
      <c r="E4825" s="20">
        <v>0</v>
      </c>
    </row>
    <row r="4826" spans="1:5">
      <c r="A4826" s="20" t="str">
        <v>00:00:00</v>
      </c>
      <c r="B4826" s="19">
        <v>0</v>
      </c>
      <c r="C4826" s="21">
        <v>0</v>
      </c>
      <c r="D4826" s="20" t="str">
        <v>未匹配</v>
      </c>
      <c r="E4826" s="20">
        <v>0</v>
      </c>
    </row>
    <row r="4827" spans="1:5">
      <c r="A4827" s="20" t="str">
        <v>00:00:00</v>
      </c>
      <c r="B4827" s="19">
        <v>0</v>
      </c>
      <c r="C4827" s="21">
        <v>0</v>
      </c>
      <c r="D4827" s="20" t="str">
        <v>未匹配</v>
      </c>
      <c r="E4827" s="20">
        <v>0</v>
      </c>
    </row>
    <row r="4828" spans="1:5">
      <c r="A4828" s="20" t="str">
        <v>00:00:00</v>
      </c>
      <c r="B4828" s="19">
        <v>0</v>
      </c>
      <c r="C4828" s="21">
        <v>0</v>
      </c>
      <c r="D4828" s="20" t="str">
        <v>未匹配</v>
      </c>
      <c r="E4828" s="20">
        <v>0</v>
      </c>
    </row>
    <row r="4829" spans="1:5">
      <c r="A4829" s="20" t="str">
        <v>00:00:00</v>
      </c>
      <c r="B4829" s="19">
        <v>0</v>
      </c>
      <c r="C4829" s="21">
        <v>0</v>
      </c>
      <c r="D4829" s="20" t="str">
        <v>未匹配</v>
      </c>
      <c r="E4829" s="20">
        <v>0</v>
      </c>
    </row>
    <row r="4830" spans="1:5">
      <c r="A4830" s="20" t="str">
        <v>00:00:00</v>
      </c>
      <c r="B4830" s="19">
        <v>0</v>
      </c>
      <c r="C4830" s="21">
        <v>0</v>
      </c>
      <c r="D4830" s="20" t="str">
        <v>未匹配</v>
      </c>
      <c r="E4830" s="20">
        <v>0</v>
      </c>
    </row>
    <row r="4831" spans="1:5">
      <c r="A4831" s="20" t="str">
        <v>00:00:00</v>
      </c>
      <c r="B4831" s="19">
        <v>0</v>
      </c>
      <c r="C4831" s="21">
        <v>0</v>
      </c>
      <c r="D4831" s="20" t="str">
        <v>未匹配</v>
      </c>
      <c r="E4831" s="20">
        <v>0</v>
      </c>
    </row>
    <row r="4832" spans="1:5">
      <c r="A4832" s="20" t="str">
        <v>00:00:00</v>
      </c>
      <c r="B4832" s="19">
        <v>0</v>
      </c>
      <c r="C4832" s="21">
        <v>0</v>
      </c>
      <c r="D4832" s="20" t="str">
        <v>未匹配</v>
      </c>
      <c r="E4832" s="20">
        <v>0</v>
      </c>
    </row>
    <row r="4833" spans="1:5">
      <c r="A4833" s="20" t="str">
        <v>00:00:00</v>
      </c>
      <c r="B4833" s="19">
        <v>0</v>
      </c>
      <c r="C4833" s="21">
        <v>0</v>
      </c>
      <c r="D4833" s="20" t="str">
        <v>未匹配</v>
      </c>
      <c r="E4833" s="20">
        <v>0</v>
      </c>
    </row>
    <row r="4834" spans="1:5">
      <c r="A4834" s="20" t="str">
        <v>00:00:00</v>
      </c>
      <c r="B4834" s="19">
        <v>0</v>
      </c>
      <c r="C4834" s="21">
        <v>0</v>
      </c>
      <c r="D4834" s="20" t="str">
        <v>未匹配</v>
      </c>
      <c r="E4834" s="20">
        <v>0</v>
      </c>
    </row>
    <row r="4835" spans="1:5">
      <c r="A4835" s="20" t="str">
        <v>00:00:00</v>
      </c>
      <c r="B4835" s="19">
        <v>0</v>
      </c>
      <c r="C4835" s="21">
        <v>0</v>
      </c>
      <c r="D4835" s="20" t="str">
        <v>未匹配</v>
      </c>
      <c r="E4835" s="20">
        <v>0</v>
      </c>
    </row>
    <row r="4836" spans="1:5">
      <c r="A4836" s="20" t="str">
        <v>00:00:00</v>
      </c>
      <c r="B4836" s="19">
        <v>0</v>
      </c>
      <c r="C4836" s="21">
        <v>0</v>
      </c>
      <c r="D4836" s="20" t="str">
        <v>未匹配</v>
      </c>
      <c r="E4836" s="20">
        <v>0</v>
      </c>
    </row>
    <row r="4837" spans="1:5">
      <c r="A4837" s="20" t="str">
        <v>00:00:00</v>
      </c>
      <c r="B4837" s="19">
        <v>0</v>
      </c>
      <c r="C4837" s="21">
        <v>0</v>
      </c>
      <c r="D4837" s="20" t="str">
        <v>未匹配</v>
      </c>
      <c r="E4837" s="20">
        <v>0</v>
      </c>
    </row>
    <row r="4838" spans="1:5">
      <c r="A4838" s="20" t="str">
        <v>00:00:00</v>
      </c>
      <c r="B4838" s="19">
        <v>0</v>
      </c>
      <c r="C4838" s="21">
        <v>0</v>
      </c>
      <c r="D4838" s="20" t="str">
        <v>未匹配</v>
      </c>
      <c r="E4838" s="20">
        <v>0</v>
      </c>
    </row>
    <row r="4839" spans="1:5">
      <c r="A4839" s="20" t="str">
        <v>00:00:00</v>
      </c>
      <c r="B4839" s="19">
        <v>0</v>
      </c>
      <c r="C4839" s="21">
        <v>0</v>
      </c>
      <c r="D4839" s="20" t="str">
        <v>未匹配</v>
      </c>
      <c r="E4839" s="20">
        <v>0</v>
      </c>
    </row>
    <row r="4840" spans="1:5">
      <c r="A4840" s="20" t="str">
        <v>00:00:00</v>
      </c>
      <c r="B4840" s="19">
        <v>0</v>
      </c>
      <c r="C4840" s="21">
        <v>0</v>
      </c>
      <c r="D4840" s="20" t="str">
        <v>未匹配</v>
      </c>
      <c r="E4840" s="20">
        <v>0</v>
      </c>
    </row>
    <row r="4841" spans="1:5">
      <c r="A4841" s="20" t="str">
        <v>00:00:00</v>
      </c>
      <c r="B4841" s="19">
        <v>0</v>
      </c>
      <c r="C4841" s="21">
        <v>0</v>
      </c>
      <c r="D4841" s="20" t="str">
        <v>未匹配</v>
      </c>
      <c r="E4841" s="20">
        <v>0</v>
      </c>
    </row>
    <row r="4842" spans="1:5">
      <c r="A4842" s="20" t="str">
        <v>00:00:00</v>
      </c>
      <c r="B4842" s="19">
        <v>0</v>
      </c>
      <c r="C4842" s="21">
        <v>0</v>
      </c>
      <c r="D4842" s="20" t="str">
        <v>未匹配</v>
      </c>
      <c r="E4842" s="20">
        <v>0</v>
      </c>
    </row>
    <row r="4843" spans="1:5">
      <c r="A4843" s="20" t="str">
        <v>00:00:00</v>
      </c>
      <c r="B4843" s="19">
        <v>0</v>
      </c>
      <c r="C4843" s="21">
        <v>0</v>
      </c>
      <c r="D4843" s="20" t="str">
        <v>未匹配</v>
      </c>
      <c r="E4843" s="20">
        <v>0</v>
      </c>
    </row>
    <row r="4844" spans="1:5">
      <c r="A4844" s="20" t="str">
        <v>00:00:00</v>
      </c>
      <c r="B4844" s="19">
        <v>0</v>
      </c>
      <c r="C4844" s="21">
        <v>0</v>
      </c>
      <c r="D4844" s="20" t="str">
        <v>未匹配</v>
      </c>
      <c r="E4844" s="20">
        <v>0</v>
      </c>
    </row>
    <row r="4845" spans="1:5">
      <c r="A4845" s="20" t="str">
        <v>00:00:00</v>
      </c>
      <c r="B4845" s="19">
        <v>0</v>
      </c>
      <c r="C4845" s="21">
        <v>0</v>
      </c>
      <c r="D4845" s="20" t="str">
        <v>未匹配</v>
      </c>
      <c r="E4845" s="20">
        <v>0</v>
      </c>
    </row>
    <row r="4846" spans="1:5">
      <c r="A4846" s="20" t="str">
        <v>00:00:00</v>
      </c>
      <c r="B4846" s="19">
        <v>0</v>
      </c>
      <c r="C4846" s="21">
        <v>0</v>
      </c>
      <c r="D4846" s="20" t="str">
        <v>未匹配</v>
      </c>
      <c r="E4846" s="20">
        <v>0</v>
      </c>
    </row>
    <row r="4847" spans="1:5">
      <c r="A4847" s="20" t="str">
        <v>00:00:00</v>
      </c>
      <c r="B4847" s="19">
        <v>0</v>
      </c>
      <c r="C4847" s="21">
        <v>0</v>
      </c>
      <c r="D4847" s="20" t="str">
        <v>未匹配</v>
      </c>
      <c r="E4847" s="20">
        <v>0</v>
      </c>
    </row>
    <row r="4848" spans="1:5">
      <c r="A4848" s="20" t="str">
        <v>00:00:00</v>
      </c>
      <c r="B4848" s="19">
        <v>0</v>
      </c>
      <c r="C4848" s="21">
        <v>0</v>
      </c>
      <c r="D4848" s="20" t="str">
        <v>未匹配</v>
      </c>
      <c r="E4848" s="20">
        <v>0</v>
      </c>
    </row>
    <row r="4849" spans="1:5">
      <c r="A4849" s="20" t="str">
        <v>00:00:00</v>
      </c>
      <c r="B4849" s="19">
        <v>0</v>
      </c>
      <c r="C4849" s="21">
        <v>0</v>
      </c>
      <c r="D4849" s="20" t="str">
        <v>未匹配</v>
      </c>
      <c r="E4849" s="20">
        <v>0</v>
      </c>
    </row>
    <row r="4850" spans="1:5">
      <c r="A4850" s="20" t="str">
        <v>00:00:00</v>
      </c>
      <c r="B4850" s="19">
        <v>0</v>
      </c>
      <c r="C4850" s="21">
        <v>0</v>
      </c>
      <c r="D4850" s="20" t="str">
        <v>未匹配</v>
      </c>
      <c r="E4850" s="20">
        <v>0</v>
      </c>
    </row>
    <row r="4851" spans="1:5">
      <c r="A4851" s="20" t="str">
        <v>00:00:00</v>
      </c>
      <c r="B4851" s="19">
        <v>0</v>
      </c>
      <c r="C4851" s="21">
        <v>0</v>
      </c>
      <c r="D4851" s="20" t="str">
        <v>未匹配</v>
      </c>
      <c r="E4851" s="20">
        <v>0</v>
      </c>
    </row>
    <row r="4852" spans="1:5">
      <c r="A4852" s="20" t="str">
        <v>00:00:00</v>
      </c>
      <c r="B4852" s="19">
        <v>0</v>
      </c>
      <c r="C4852" s="21">
        <v>0</v>
      </c>
      <c r="D4852" s="20" t="str">
        <v>未匹配</v>
      </c>
      <c r="E4852" s="20">
        <v>0</v>
      </c>
    </row>
    <row r="4853" spans="1:5">
      <c r="A4853" s="20" t="str">
        <v>00:00:00</v>
      </c>
      <c r="B4853" s="19">
        <v>0</v>
      </c>
      <c r="C4853" s="21">
        <v>0</v>
      </c>
      <c r="D4853" s="20" t="str">
        <v>未匹配</v>
      </c>
      <c r="E4853" s="20">
        <v>0</v>
      </c>
    </row>
    <row r="4854" spans="1:5">
      <c r="A4854" s="20" t="str">
        <v>00:00:00</v>
      </c>
      <c r="B4854" s="19">
        <v>0</v>
      </c>
      <c r="C4854" s="21">
        <v>0</v>
      </c>
      <c r="D4854" s="20" t="str">
        <v>未匹配</v>
      </c>
      <c r="E4854" s="20">
        <v>0</v>
      </c>
    </row>
    <row r="4855" spans="1:5">
      <c r="A4855" s="20" t="str">
        <v>00:00:00</v>
      </c>
      <c r="B4855" s="19">
        <v>0</v>
      </c>
      <c r="C4855" s="21">
        <v>0</v>
      </c>
      <c r="D4855" s="20" t="str">
        <v>未匹配</v>
      </c>
      <c r="E4855" s="20">
        <v>0</v>
      </c>
    </row>
    <row r="4856" spans="1:5">
      <c r="A4856" s="20" t="str">
        <v>00:00:00</v>
      </c>
      <c r="B4856" s="19">
        <v>0</v>
      </c>
      <c r="C4856" s="21">
        <v>0</v>
      </c>
      <c r="D4856" s="20" t="str">
        <v>未匹配</v>
      </c>
      <c r="E4856" s="20">
        <v>0</v>
      </c>
    </row>
    <row r="4857" spans="1:5">
      <c r="A4857" s="20" t="str">
        <v>00:00:00</v>
      </c>
      <c r="B4857" s="19">
        <v>0</v>
      </c>
      <c r="C4857" s="21">
        <v>0</v>
      </c>
      <c r="D4857" s="20" t="str">
        <v>未匹配</v>
      </c>
      <c r="E4857" s="20">
        <v>0</v>
      </c>
    </row>
    <row r="4858" spans="1:5">
      <c r="A4858" s="20" t="str">
        <v>00:00:00</v>
      </c>
      <c r="B4858" s="19">
        <v>0</v>
      </c>
      <c r="C4858" s="21">
        <v>0</v>
      </c>
      <c r="D4858" s="20" t="str">
        <v>未匹配</v>
      </c>
      <c r="E4858" s="20">
        <v>0</v>
      </c>
    </row>
    <row r="4859" spans="1:5">
      <c r="A4859" s="20" t="str">
        <v>00:00:00</v>
      </c>
      <c r="B4859" s="19">
        <v>0</v>
      </c>
      <c r="C4859" s="21">
        <v>0</v>
      </c>
      <c r="D4859" s="20" t="str">
        <v>未匹配</v>
      </c>
      <c r="E4859" s="20">
        <v>0</v>
      </c>
    </row>
    <row r="4860" spans="1:5">
      <c r="A4860" s="20" t="str">
        <v>00:00:00</v>
      </c>
      <c r="B4860" s="19">
        <v>0</v>
      </c>
      <c r="C4860" s="21">
        <v>0</v>
      </c>
      <c r="D4860" s="20" t="str">
        <v>未匹配</v>
      </c>
      <c r="E4860" s="20">
        <v>0</v>
      </c>
    </row>
    <row r="4861" spans="1:5">
      <c r="A4861" s="20" t="str">
        <v>00:00:00</v>
      </c>
      <c r="B4861" s="19">
        <v>0</v>
      </c>
      <c r="C4861" s="21">
        <v>0</v>
      </c>
      <c r="D4861" s="20" t="str">
        <v>未匹配</v>
      </c>
      <c r="E4861" s="20">
        <v>0</v>
      </c>
    </row>
    <row r="4862" spans="1:5">
      <c r="A4862" s="20" t="str">
        <v>00:00:00</v>
      </c>
      <c r="B4862" s="19">
        <v>0</v>
      </c>
      <c r="C4862" s="21">
        <v>0</v>
      </c>
      <c r="D4862" s="20" t="str">
        <v>未匹配</v>
      </c>
      <c r="E4862" s="20">
        <v>0</v>
      </c>
    </row>
    <row r="4863" spans="1:5">
      <c r="A4863" s="20" t="str">
        <v>00:00:00</v>
      </c>
      <c r="B4863" s="19">
        <v>0</v>
      </c>
      <c r="C4863" s="21">
        <v>0</v>
      </c>
      <c r="D4863" s="20" t="str">
        <v>未匹配</v>
      </c>
      <c r="E4863" s="20">
        <v>0</v>
      </c>
    </row>
    <row r="4864" spans="1:5">
      <c r="A4864" s="20" t="str">
        <v>00:00:00</v>
      </c>
      <c r="B4864" s="19">
        <v>0</v>
      </c>
      <c r="C4864" s="21">
        <v>0</v>
      </c>
      <c r="D4864" s="20" t="str">
        <v>未匹配</v>
      </c>
      <c r="E4864" s="20">
        <v>0</v>
      </c>
    </row>
    <row r="4865" spans="1:5">
      <c r="A4865" s="20" t="str">
        <v>00:00:00</v>
      </c>
      <c r="B4865" s="19">
        <v>0</v>
      </c>
      <c r="C4865" s="21">
        <v>0</v>
      </c>
      <c r="D4865" s="20" t="str">
        <v>未匹配</v>
      </c>
      <c r="E4865" s="20">
        <v>0</v>
      </c>
    </row>
    <row r="4866" spans="1:5">
      <c r="A4866" s="20" t="str">
        <v>00:00:00</v>
      </c>
      <c r="B4866" s="19">
        <v>0</v>
      </c>
      <c r="C4866" s="21">
        <v>0</v>
      </c>
      <c r="D4866" s="20" t="str">
        <v>未匹配</v>
      </c>
      <c r="E4866" s="20">
        <v>0</v>
      </c>
    </row>
    <row r="4867" spans="1:5">
      <c r="A4867" s="20" t="str">
        <v>00:00:00</v>
      </c>
      <c r="B4867" s="19">
        <v>0</v>
      </c>
      <c r="C4867" s="21">
        <v>0</v>
      </c>
      <c r="D4867" s="20" t="str">
        <v>未匹配</v>
      </c>
      <c r="E4867" s="20">
        <v>0</v>
      </c>
    </row>
    <row r="4868" spans="1:5">
      <c r="A4868" s="20" t="str">
        <v>00:00:00</v>
      </c>
      <c r="B4868" s="19">
        <v>0</v>
      </c>
      <c r="C4868" s="21">
        <v>0</v>
      </c>
      <c r="D4868" s="20" t="str">
        <v>未匹配</v>
      </c>
      <c r="E4868" s="20">
        <v>0</v>
      </c>
    </row>
    <row r="4869" spans="1:5">
      <c r="A4869" s="20" t="str">
        <v>00:00:00</v>
      </c>
      <c r="B4869" s="19">
        <v>0</v>
      </c>
      <c r="C4869" s="21">
        <v>0</v>
      </c>
      <c r="D4869" s="20" t="str">
        <v>未匹配</v>
      </c>
      <c r="E4869" s="20">
        <v>0</v>
      </c>
    </row>
    <row r="4870" spans="1:5">
      <c r="A4870" s="20" t="str">
        <v>00:00:00</v>
      </c>
      <c r="B4870" s="19">
        <v>0</v>
      </c>
      <c r="C4870" s="21">
        <v>0</v>
      </c>
      <c r="D4870" s="20" t="str">
        <v>未匹配</v>
      </c>
      <c r="E4870" s="20">
        <v>0</v>
      </c>
    </row>
    <row r="4871" spans="1:5">
      <c r="A4871" s="20" t="str">
        <v>00:00:00</v>
      </c>
      <c r="B4871" s="19">
        <v>0</v>
      </c>
      <c r="C4871" s="21">
        <v>0</v>
      </c>
      <c r="D4871" s="20" t="str">
        <v>未匹配</v>
      </c>
      <c r="E4871" s="20">
        <v>0</v>
      </c>
    </row>
    <row r="4872" spans="1:5">
      <c r="A4872" s="20" t="str">
        <v>00:00:00</v>
      </c>
      <c r="B4872" s="19">
        <v>0</v>
      </c>
      <c r="C4872" s="21">
        <v>0</v>
      </c>
      <c r="D4872" s="20" t="str">
        <v>未匹配</v>
      </c>
      <c r="E4872" s="20">
        <v>0</v>
      </c>
    </row>
    <row r="4873" spans="1:5">
      <c r="A4873" s="20" t="str">
        <v>00:00:00</v>
      </c>
      <c r="B4873" s="19">
        <v>0</v>
      </c>
      <c r="C4873" s="21">
        <v>0</v>
      </c>
      <c r="D4873" s="20" t="str">
        <v>未匹配</v>
      </c>
      <c r="E4873" s="20">
        <v>0</v>
      </c>
    </row>
    <row r="4874" spans="1:5">
      <c r="A4874" s="20" t="str">
        <v>00:00:00</v>
      </c>
      <c r="B4874" s="19">
        <v>0</v>
      </c>
      <c r="C4874" s="21">
        <v>0</v>
      </c>
      <c r="D4874" s="20" t="str">
        <v>未匹配</v>
      </c>
      <c r="E4874" s="20">
        <v>0</v>
      </c>
    </row>
    <row r="4875" spans="1:5">
      <c r="A4875" s="20" t="str">
        <v>00:00:00</v>
      </c>
      <c r="B4875" s="19">
        <v>0</v>
      </c>
      <c r="C4875" s="21">
        <v>0</v>
      </c>
      <c r="D4875" s="20" t="str">
        <v>未匹配</v>
      </c>
      <c r="E4875" s="20">
        <v>0</v>
      </c>
    </row>
    <row r="4876" spans="1:5">
      <c r="A4876" s="20" t="str">
        <v>00:00:00</v>
      </c>
      <c r="B4876" s="19">
        <v>0</v>
      </c>
      <c r="C4876" s="21">
        <v>0</v>
      </c>
      <c r="D4876" s="20" t="str">
        <v>未匹配</v>
      </c>
      <c r="E4876" s="20">
        <v>0</v>
      </c>
    </row>
    <row r="4877" spans="1:5">
      <c r="A4877" s="20" t="str">
        <v>00:00:00</v>
      </c>
      <c r="B4877" s="19">
        <v>0</v>
      </c>
      <c r="C4877" s="21">
        <v>0</v>
      </c>
      <c r="D4877" s="20" t="str">
        <v>未匹配</v>
      </c>
      <c r="E4877" s="20">
        <v>0</v>
      </c>
    </row>
    <row r="4878" spans="1:5">
      <c r="A4878" s="20" t="str">
        <v>00:00:00</v>
      </c>
      <c r="B4878" s="19">
        <v>0</v>
      </c>
      <c r="C4878" s="21">
        <v>0</v>
      </c>
      <c r="D4878" s="20" t="str">
        <v>未匹配</v>
      </c>
      <c r="E4878" s="20">
        <v>0</v>
      </c>
    </row>
    <row r="4879" spans="1:5">
      <c r="A4879" s="20" t="str">
        <v>00:00:00</v>
      </c>
      <c r="B4879" s="19">
        <v>0</v>
      </c>
      <c r="C4879" s="21">
        <v>0</v>
      </c>
      <c r="D4879" s="20" t="str">
        <v>未匹配</v>
      </c>
      <c r="E4879" s="20">
        <v>0</v>
      </c>
    </row>
    <row r="4880" spans="1:5">
      <c r="A4880" s="20" t="str">
        <v>00:00:00</v>
      </c>
      <c r="B4880" s="19">
        <v>0</v>
      </c>
      <c r="C4880" s="21">
        <v>0</v>
      </c>
      <c r="D4880" s="20" t="str">
        <v>未匹配</v>
      </c>
      <c r="E4880" s="20">
        <v>0</v>
      </c>
    </row>
    <row r="4881" spans="1:5">
      <c r="A4881" s="20" t="str">
        <v>00:00:00</v>
      </c>
      <c r="B4881" s="19">
        <v>0</v>
      </c>
      <c r="C4881" s="21">
        <v>0</v>
      </c>
      <c r="D4881" s="20" t="str">
        <v>未匹配</v>
      </c>
      <c r="E4881" s="20">
        <v>0</v>
      </c>
    </row>
    <row r="4882" spans="1:5">
      <c r="A4882" s="20" t="str">
        <v>00:00:00</v>
      </c>
      <c r="B4882" s="19">
        <v>0</v>
      </c>
      <c r="C4882" s="21">
        <v>0</v>
      </c>
      <c r="D4882" s="20" t="str">
        <v>未匹配</v>
      </c>
      <c r="E4882" s="20">
        <v>0</v>
      </c>
    </row>
    <row r="4883" spans="1:5">
      <c r="A4883" s="20" t="str">
        <v>00:00:00</v>
      </c>
      <c r="B4883" s="19">
        <v>0</v>
      </c>
      <c r="C4883" s="21">
        <v>0</v>
      </c>
      <c r="D4883" s="20" t="str">
        <v>未匹配</v>
      </c>
      <c r="E4883" s="20">
        <v>0</v>
      </c>
    </row>
    <row r="4884" spans="1:5">
      <c r="A4884" s="20" t="str">
        <v>00:00:00</v>
      </c>
      <c r="B4884" s="19">
        <v>0</v>
      </c>
      <c r="C4884" s="21">
        <v>0</v>
      </c>
      <c r="D4884" s="20" t="str">
        <v>未匹配</v>
      </c>
      <c r="E4884" s="20">
        <v>0</v>
      </c>
    </row>
    <row r="4885" spans="1:5">
      <c r="A4885" s="20" t="str">
        <v>00:00:00</v>
      </c>
      <c r="B4885" s="19">
        <v>0</v>
      </c>
      <c r="C4885" s="21">
        <v>0</v>
      </c>
      <c r="D4885" s="20" t="str">
        <v>未匹配</v>
      </c>
      <c r="E4885" s="20">
        <v>0</v>
      </c>
    </row>
    <row r="4886" spans="1:5">
      <c r="A4886" s="20" t="str">
        <v>00:00:00</v>
      </c>
      <c r="B4886" s="19">
        <v>0</v>
      </c>
      <c r="C4886" s="21">
        <v>0</v>
      </c>
      <c r="D4886" s="20" t="str">
        <v>未匹配</v>
      </c>
      <c r="E4886" s="20">
        <v>0</v>
      </c>
    </row>
    <row r="4887" spans="1:5">
      <c r="A4887" s="20" t="str">
        <v>00:00:00</v>
      </c>
      <c r="B4887" s="19">
        <v>0</v>
      </c>
      <c r="C4887" s="21">
        <v>0</v>
      </c>
      <c r="D4887" s="20" t="str">
        <v>未匹配</v>
      </c>
      <c r="E4887" s="20">
        <v>0</v>
      </c>
    </row>
    <row r="4888" spans="1:5">
      <c r="A4888" s="20" t="str">
        <v>00:00:00</v>
      </c>
      <c r="B4888" s="19">
        <v>0</v>
      </c>
      <c r="C4888" s="21">
        <v>0</v>
      </c>
      <c r="D4888" s="20" t="str">
        <v>未匹配</v>
      </c>
      <c r="E4888" s="20">
        <v>0</v>
      </c>
    </row>
    <row r="4889" spans="1:5">
      <c r="A4889" s="20" t="str">
        <v>00:00:00</v>
      </c>
      <c r="B4889" s="19">
        <v>0</v>
      </c>
      <c r="C4889" s="21">
        <v>0</v>
      </c>
      <c r="D4889" s="20" t="str">
        <v>未匹配</v>
      </c>
      <c r="E4889" s="20">
        <v>0</v>
      </c>
    </row>
    <row r="4890" spans="1:5">
      <c r="A4890" s="20" t="str">
        <v>00:00:00</v>
      </c>
      <c r="B4890" s="19">
        <v>0</v>
      </c>
      <c r="C4890" s="21">
        <v>0</v>
      </c>
      <c r="D4890" s="20" t="str">
        <v>未匹配</v>
      </c>
      <c r="E4890" s="20">
        <v>0</v>
      </c>
    </row>
    <row r="4891" spans="1:5">
      <c r="A4891" s="20" t="str">
        <v>00:00:00</v>
      </c>
      <c r="B4891" s="19">
        <v>0</v>
      </c>
      <c r="C4891" s="21">
        <v>0</v>
      </c>
      <c r="D4891" s="20" t="str">
        <v>未匹配</v>
      </c>
      <c r="E4891" s="20">
        <v>0</v>
      </c>
    </row>
    <row r="4892" spans="1:5">
      <c r="A4892" s="20" t="str">
        <v>00:00:00</v>
      </c>
      <c r="B4892" s="19">
        <v>0</v>
      </c>
      <c r="C4892" s="21">
        <v>0</v>
      </c>
      <c r="D4892" s="20" t="str">
        <v>未匹配</v>
      </c>
      <c r="E4892" s="20">
        <v>0</v>
      </c>
    </row>
    <row r="4893" spans="1:5">
      <c r="A4893" s="20" t="str">
        <v>00:00:00</v>
      </c>
      <c r="B4893" s="19">
        <v>0</v>
      </c>
      <c r="C4893" s="21">
        <v>0</v>
      </c>
      <c r="D4893" s="20" t="str">
        <v>未匹配</v>
      </c>
      <c r="E4893" s="20">
        <v>0</v>
      </c>
    </row>
    <row r="4894" spans="1:5">
      <c r="A4894" s="20" t="str">
        <v>00:00:00</v>
      </c>
      <c r="B4894" s="19">
        <v>0</v>
      </c>
      <c r="C4894" s="21">
        <v>0</v>
      </c>
      <c r="D4894" s="20" t="str">
        <v>未匹配</v>
      </c>
      <c r="E4894" s="20">
        <v>0</v>
      </c>
    </row>
    <row r="4895" spans="1:5">
      <c r="A4895" s="20" t="str">
        <v>00:00:00</v>
      </c>
      <c r="B4895" s="19">
        <v>0</v>
      </c>
      <c r="C4895" s="21">
        <v>0</v>
      </c>
      <c r="D4895" s="20" t="str">
        <v>未匹配</v>
      </c>
      <c r="E4895" s="20">
        <v>0</v>
      </c>
    </row>
    <row r="4896" spans="1:5">
      <c r="A4896" s="20" t="str">
        <v>00:00:00</v>
      </c>
      <c r="B4896" s="19">
        <v>0</v>
      </c>
      <c r="C4896" s="21">
        <v>0</v>
      </c>
      <c r="D4896" s="20" t="str">
        <v>未匹配</v>
      </c>
      <c r="E4896" s="20">
        <v>0</v>
      </c>
    </row>
    <row r="4897" spans="1:5">
      <c r="A4897" s="20" t="str">
        <v>00:00:00</v>
      </c>
      <c r="B4897" s="19">
        <v>0</v>
      </c>
      <c r="C4897" s="21">
        <v>0</v>
      </c>
      <c r="D4897" s="20" t="str">
        <v>未匹配</v>
      </c>
      <c r="E4897" s="20">
        <v>0</v>
      </c>
    </row>
    <row r="4898" spans="1:5">
      <c r="A4898" s="20" t="str">
        <v>00:00:00</v>
      </c>
      <c r="B4898" s="19">
        <v>0</v>
      </c>
      <c r="C4898" s="21">
        <v>0</v>
      </c>
      <c r="D4898" s="20" t="str">
        <v>未匹配</v>
      </c>
      <c r="E4898" s="20">
        <v>0</v>
      </c>
    </row>
    <row r="4899" spans="1:5">
      <c r="A4899" s="20" t="str">
        <v>00:00:00</v>
      </c>
      <c r="B4899" s="19">
        <v>0</v>
      </c>
      <c r="C4899" s="21">
        <v>0</v>
      </c>
      <c r="D4899" s="20" t="str">
        <v>未匹配</v>
      </c>
      <c r="E4899" s="20">
        <v>0</v>
      </c>
    </row>
    <row r="4900" spans="1:5">
      <c r="A4900" s="20" t="str">
        <v>00:00:00</v>
      </c>
      <c r="B4900" s="19">
        <v>0</v>
      </c>
      <c r="C4900" s="21">
        <v>0</v>
      </c>
      <c r="D4900" s="20" t="str">
        <v>未匹配</v>
      </c>
      <c r="E4900" s="20">
        <v>0</v>
      </c>
    </row>
    <row r="4901" spans="1:5">
      <c r="A4901" s="20" t="str">
        <v>00:00:00</v>
      </c>
      <c r="B4901" s="19">
        <v>0</v>
      </c>
      <c r="C4901" s="21">
        <v>0</v>
      </c>
      <c r="D4901" s="20" t="str">
        <v>未匹配</v>
      </c>
      <c r="E4901" s="20">
        <v>0</v>
      </c>
    </row>
    <row r="4902" spans="1:5">
      <c r="A4902" s="20" t="str">
        <v>00:00:00</v>
      </c>
      <c r="B4902" s="19">
        <v>0</v>
      </c>
      <c r="C4902" s="21">
        <v>0</v>
      </c>
      <c r="D4902" s="20" t="str">
        <v>未匹配</v>
      </c>
      <c r="E4902" s="20">
        <v>0</v>
      </c>
    </row>
    <row r="4903" spans="1:5">
      <c r="A4903" s="20" t="str">
        <v>00:00:00</v>
      </c>
      <c r="B4903" s="19">
        <v>0</v>
      </c>
      <c r="C4903" s="21">
        <v>0</v>
      </c>
      <c r="D4903" s="20" t="str">
        <v>未匹配</v>
      </c>
      <c r="E4903" s="20">
        <v>0</v>
      </c>
    </row>
    <row r="4904" spans="1:5">
      <c r="A4904" s="20" t="str">
        <v>00:00:00</v>
      </c>
      <c r="B4904" s="19">
        <v>0</v>
      </c>
      <c r="C4904" s="21">
        <v>0</v>
      </c>
      <c r="D4904" s="20" t="str">
        <v>未匹配</v>
      </c>
      <c r="E4904" s="20">
        <v>0</v>
      </c>
    </row>
    <row r="4905" spans="1:5">
      <c r="A4905" s="20" t="str">
        <v>00:00:00</v>
      </c>
      <c r="B4905" s="19">
        <v>0</v>
      </c>
      <c r="C4905" s="21">
        <v>0</v>
      </c>
      <c r="D4905" s="20" t="str">
        <v>未匹配</v>
      </c>
      <c r="E4905" s="20">
        <v>0</v>
      </c>
    </row>
    <row r="4906" spans="1:5">
      <c r="A4906" s="20" t="str">
        <v>00:00:00</v>
      </c>
      <c r="B4906" s="19">
        <v>0</v>
      </c>
      <c r="C4906" s="21">
        <v>0</v>
      </c>
      <c r="D4906" s="20" t="str">
        <v>未匹配</v>
      </c>
      <c r="E4906" s="20">
        <v>0</v>
      </c>
    </row>
    <row r="4907" spans="1:5">
      <c r="A4907" s="20" t="str">
        <v>00:00:00</v>
      </c>
      <c r="B4907" s="19">
        <v>0</v>
      </c>
      <c r="C4907" s="21">
        <v>0</v>
      </c>
      <c r="D4907" s="20" t="str">
        <v>未匹配</v>
      </c>
      <c r="E4907" s="20">
        <v>0</v>
      </c>
    </row>
    <row r="4908" spans="1:5">
      <c r="A4908" s="20" t="str">
        <v>00:00:00</v>
      </c>
      <c r="B4908" s="19">
        <v>0</v>
      </c>
      <c r="C4908" s="21">
        <v>0</v>
      </c>
      <c r="D4908" s="20" t="str">
        <v>未匹配</v>
      </c>
      <c r="E4908" s="20">
        <v>0</v>
      </c>
    </row>
    <row r="4909" spans="1:5">
      <c r="A4909" s="20" t="str">
        <v>00:00:00</v>
      </c>
      <c r="B4909" s="19">
        <v>0</v>
      </c>
      <c r="C4909" s="21">
        <v>0</v>
      </c>
      <c r="D4909" s="20" t="str">
        <v>未匹配</v>
      </c>
      <c r="E4909" s="20">
        <v>0</v>
      </c>
    </row>
    <row r="4910" spans="1:5">
      <c r="A4910" s="20" t="str">
        <v>00:00:00</v>
      </c>
      <c r="B4910" s="19">
        <v>0</v>
      </c>
      <c r="C4910" s="21">
        <v>0</v>
      </c>
      <c r="D4910" s="20" t="str">
        <v>未匹配</v>
      </c>
      <c r="E4910" s="20">
        <v>0</v>
      </c>
    </row>
    <row r="4911" spans="1:5">
      <c r="A4911" s="20" t="str">
        <v>00:00:00</v>
      </c>
      <c r="B4911" s="19">
        <v>0</v>
      </c>
      <c r="C4911" s="21">
        <v>0</v>
      </c>
      <c r="D4911" s="20" t="str">
        <v>未匹配</v>
      </c>
      <c r="E4911" s="20">
        <v>0</v>
      </c>
    </row>
    <row r="4912" spans="1:5">
      <c r="A4912" s="20" t="str">
        <v>00:00:00</v>
      </c>
      <c r="B4912" s="19">
        <v>0</v>
      </c>
      <c r="C4912" s="21">
        <v>0</v>
      </c>
      <c r="D4912" s="20" t="str">
        <v>未匹配</v>
      </c>
      <c r="E4912" s="20">
        <v>0</v>
      </c>
    </row>
    <row r="4913" spans="1:5">
      <c r="A4913" s="20" t="str">
        <v>00:00:00</v>
      </c>
      <c r="B4913" s="19">
        <v>0</v>
      </c>
      <c r="C4913" s="21">
        <v>0</v>
      </c>
      <c r="D4913" s="20" t="str">
        <v>未匹配</v>
      </c>
      <c r="E4913" s="20">
        <v>0</v>
      </c>
    </row>
    <row r="4914" spans="1:5">
      <c r="A4914" s="20" t="str">
        <v>00:00:00</v>
      </c>
      <c r="B4914" s="19">
        <v>0</v>
      </c>
      <c r="C4914" s="21">
        <v>0</v>
      </c>
      <c r="D4914" s="20" t="str">
        <v>未匹配</v>
      </c>
      <c r="E4914" s="20">
        <v>0</v>
      </c>
    </row>
    <row r="4915" spans="1:5">
      <c r="A4915" s="20" t="str">
        <v>00:00:00</v>
      </c>
      <c r="B4915" s="19">
        <v>0</v>
      </c>
      <c r="C4915" s="21">
        <v>0</v>
      </c>
      <c r="D4915" s="20" t="str">
        <v>未匹配</v>
      </c>
      <c r="E4915" s="20">
        <v>0</v>
      </c>
    </row>
    <row r="4916" spans="1:5">
      <c r="A4916" s="20" t="str">
        <v>00:00:00</v>
      </c>
      <c r="B4916" s="19">
        <v>0</v>
      </c>
      <c r="C4916" s="21">
        <v>0</v>
      </c>
      <c r="D4916" s="20" t="str">
        <v>未匹配</v>
      </c>
      <c r="E4916" s="20">
        <v>0</v>
      </c>
    </row>
    <row r="4917" spans="1:5">
      <c r="A4917" s="20" t="str">
        <v>00:00:00</v>
      </c>
      <c r="B4917" s="19">
        <v>0</v>
      </c>
      <c r="C4917" s="21">
        <v>0</v>
      </c>
      <c r="D4917" s="20" t="str">
        <v>未匹配</v>
      </c>
      <c r="E4917" s="20">
        <v>0</v>
      </c>
    </row>
    <row r="4918" spans="1:5">
      <c r="A4918" s="20" t="str">
        <v>00:00:00</v>
      </c>
      <c r="B4918" s="19">
        <v>0</v>
      </c>
      <c r="C4918" s="21">
        <v>0</v>
      </c>
      <c r="D4918" s="20" t="str">
        <v>未匹配</v>
      </c>
      <c r="E4918" s="20">
        <v>0</v>
      </c>
    </row>
    <row r="4919" spans="1:5">
      <c r="A4919" s="20" t="str">
        <v>00:00:00</v>
      </c>
      <c r="B4919" s="19">
        <v>0</v>
      </c>
      <c r="C4919" s="21">
        <v>0</v>
      </c>
      <c r="D4919" s="20" t="str">
        <v>未匹配</v>
      </c>
      <c r="E4919" s="20">
        <v>0</v>
      </c>
    </row>
    <row r="4920" spans="1:5">
      <c r="A4920" s="20" t="str">
        <v>00:00:00</v>
      </c>
      <c r="B4920" s="19">
        <v>0</v>
      </c>
      <c r="C4920" s="21">
        <v>0</v>
      </c>
      <c r="D4920" s="20" t="str">
        <v>未匹配</v>
      </c>
      <c r="E4920" s="20">
        <v>0</v>
      </c>
    </row>
    <row r="4921" spans="1:5">
      <c r="A4921" s="20" t="str">
        <v>00:00:00</v>
      </c>
      <c r="B4921" s="19">
        <v>0</v>
      </c>
      <c r="C4921" s="21">
        <v>0</v>
      </c>
      <c r="D4921" s="20" t="str">
        <v>未匹配</v>
      </c>
      <c r="E4921" s="20">
        <v>0</v>
      </c>
    </row>
    <row r="4922" spans="1:5">
      <c r="A4922" s="20" t="str">
        <v>00:00:00</v>
      </c>
      <c r="B4922" s="19">
        <v>0</v>
      </c>
      <c r="C4922" s="21">
        <v>0</v>
      </c>
      <c r="D4922" s="20" t="str">
        <v>未匹配</v>
      </c>
      <c r="E4922" s="20">
        <v>0</v>
      </c>
    </row>
    <row r="4923" spans="1:5">
      <c r="A4923" s="20" t="str">
        <v>00:00:00</v>
      </c>
      <c r="B4923" s="19">
        <v>0</v>
      </c>
      <c r="C4923" s="21">
        <v>0</v>
      </c>
      <c r="D4923" s="20" t="str">
        <v>未匹配</v>
      </c>
      <c r="E4923" s="20">
        <v>0</v>
      </c>
    </row>
    <row r="4924" spans="1:5">
      <c r="A4924" s="20" t="str">
        <v>00:00:00</v>
      </c>
      <c r="B4924" s="19">
        <v>0</v>
      </c>
      <c r="C4924" s="21">
        <v>0</v>
      </c>
      <c r="D4924" s="20" t="str">
        <v>未匹配</v>
      </c>
      <c r="E4924" s="20">
        <v>0</v>
      </c>
    </row>
    <row r="4925" spans="1:5">
      <c r="A4925" s="20" t="str">
        <v>00:00:00</v>
      </c>
      <c r="B4925" s="19">
        <v>0</v>
      </c>
      <c r="C4925" s="21">
        <v>0</v>
      </c>
      <c r="D4925" s="20" t="str">
        <v>未匹配</v>
      </c>
      <c r="E4925" s="20">
        <v>0</v>
      </c>
    </row>
    <row r="4926" spans="1:5">
      <c r="A4926" s="20" t="str">
        <v>00:00:00</v>
      </c>
      <c r="B4926" s="19">
        <v>0</v>
      </c>
      <c r="C4926" s="21">
        <v>0</v>
      </c>
      <c r="D4926" s="20" t="str">
        <v>未匹配</v>
      </c>
      <c r="E4926" s="20">
        <v>0</v>
      </c>
    </row>
    <row r="4927" spans="1:5">
      <c r="A4927" s="20" t="str">
        <v>00:00:00</v>
      </c>
      <c r="B4927" s="19">
        <v>0</v>
      </c>
      <c r="C4927" s="21">
        <v>0</v>
      </c>
      <c r="D4927" s="20" t="str">
        <v>未匹配</v>
      </c>
      <c r="E4927" s="20">
        <v>0</v>
      </c>
    </row>
    <row r="4928" spans="1:5">
      <c r="A4928" s="20" t="str">
        <v>00:00:00</v>
      </c>
      <c r="B4928" s="19">
        <v>0</v>
      </c>
      <c r="C4928" s="21">
        <v>0</v>
      </c>
      <c r="D4928" s="20" t="str">
        <v>未匹配</v>
      </c>
      <c r="E4928" s="20">
        <v>0</v>
      </c>
    </row>
    <row r="4929" spans="1:5">
      <c r="A4929" s="20" t="str">
        <v>00:00:00</v>
      </c>
      <c r="B4929" s="19">
        <v>0</v>
      </c>
      <c r="C4929" s="21">
        <v>0</v>
      </c>
      <c r="D4929" s="20" t="str">
        <v>未匹配</v>
      </c>
      <c r="E4929" s="20">
        <v>0</v>
      </c>
    </row>
    <row r="4930" spans="1:5">
      <c r="A4930" s="20" t="str">
        <v>00:00:00</v>
      </c>
      <c r="B4930" s="19">
        <v>0</v>
      </c>
      <c r="C4930" s="21">
        <v>0</v>
      </c>
      <c r="D4930" s="20" t="str">
        <v>未匹配</v>
      </c>
      <c r="E4930" s="20">
        <v>0</v>
      </c>
    </row>
    <row r="4931" spans="1:5">
      <c r="A4931" s="20" t="str">
        <v>00:00:00</v>
      </c>
      <c r="B4931" s="19">
        <v>0</v>
      </c>
      <c r="C4931" s="21">
        <v>0</v>
      </c>
      <c r="D4931" s="20" t="str">
        <v>未匹配</v>
      </c>
      <c r="E4931" s="20">
        <v>0</v>
      </c>
    </row>
    <row r="4932" spans="1:5">
      <c r="A4932" s="20" t="str">
        <v>00:00:00</v>
      </c>
      <c r="B4932" s="19">
        <v>0</v>
      </c>
      <c r="C4932" s="21">
        <v>0</v>
      </c>
      <c r="D4932" s="20" t="str">
        <v>未匹配</v>
      </c>
      <c r="E4932" s="20">
        <v>0</v>
      </c>
    </row>
    <row r="4933" spans="1:5">
      <c r="A4933" s="20" t="str">
        <v>00:00:00</v>
      </c>
      <c r="B4933" s="19">
        <v>0</v>
      </c>
      <c r="C4933" s="21">
        <v>0</v>
      </c>
      <c r="D4933" s="20" t="str">
        <v>未匹配</v>
      </c>
      <c r="E4933" s="20">
        <v>0</v>
      </c>
    </row>
    <row r="4934" spans="1:5">
      <c r="A4934" s="20" t="str">
        <v>00:00:00</v>
      </c>
      <c r="B4934" s="19">
        <v>0</v>
      </c>
      <c r="C4934" s="21">
        <v>0</v>
      </c>
      <c r="D4934" s="20" t="str">
        <v>未匹配</v>
      </c>
      <c r="E4934" s="20">
        <v>0</v>
      </c>
    </row>
    <row r="4935" spans="1:5">
      <c r="A4935" s="20" t="str">
        <v>00:00:00</v>
      </c>
      <c r="B4935" s="19">
        <v>0</v>
      </c>
      <c r="C4935" s="21">
        <v>0</v>
      </c>
      <c r="D4935" s="20" t="str">
        <v>未匹配</v>
      </c>
      <c r="E4935" s="20">
        <v>0</v>
      </c>
    </row>
    <row r="4936" spans="1:5">
      <c r="A4936" s="20" t="str">
        <v>00:00:00</v>
      </c>
      <c r="B4936" s="19">
        <v>0</v>
      </c>
      <c r="C4936" s="21">
        <v>0</v>
      </c>
      <c r="D4936" s="20" t="str">
        <v>未匹配</v>
      </c>
      <c r="E4936" s="20">
        <v>0</v>
      </c>
    </row>
    <row r="4937" spans="1:5">
      <c r="A4937" s="20" t="str">
        <v>00:00:00</v>
      </c>
      <c r="B4937" s="19">
        <v>0</v>
      </c>
      <c r="C4937" s="21">
        <v>0</v>
      </c>
      <c r="D4937" s="20" t="str">
        <v>未匹配</v>
      </c>
      <c r="E4937" s="20">
        <v>0</v>
      </c>
    </row>
    <row r="4938" spans="1:5">
      <c r="A4938" s="20" t="str">
        <v>00:00:00</v>
      </c>
      <c r="B4938" s="19">
        <v>0</v>
      </c>
      <c r="C4938" s="21">
        <v>0</v>
      </c>
      <c r="D4938" s="20" t="str">
        <v>未匹配</v>
      </c>
      <c r="E4938" s="20">
        <v>0</v>
      </c>
    </row>
    <row r="4939" spans="1:5">
      <c r="A4939" s="20" t="str">
        <v>00:00:00</v>
      </c>
      <c r="B4939" s="19">
        <v>0</v>
      </c>
      <c r="C4939" s="21">
        <v>0</v>
      </c>
      <c r="D4939" s="20" t="str">
        <v>未匹配</v>
      </c>
      <c r="E4939" s="20">
        <v>0</v>
      </c>
    </row>
    <row r="4940" spans="1:5">
      <c r="A4940" s="20" t="str">
        <v>00:00:00</v>
      </c>
      <c r="B4940" s="19">
        <v>0</v>
      </c>
      <c r="C4940" s="21">
        <v>0</v>
      </c>
      <c r="D4940" s="20" t="str">
        <v>未匹配</v>
      </c>
      <c r="E4940" s="20">
        <v>0</v>
      </c>
    </row>
    <row r="4941" spans="1:5">
      <c r="A4941" s="20" t="str">
        <v>00:00:00</v>
      </c>
      <c r="B4941" s="19">
        <v>0</v>
      </c>
      <c r="C4941" s="21">
        <v>0</v>
      </c>
      <c r="D4941" s="20" t="str">
        <v>未匹配</v>
      </c>
      <c r="E4941" s="20">
        <v>0</v>
      </c>
    </row>
    <row r="4942" spans="1:5">
      <c r="A4942" s="20" t="str">
        <v>00:00:00</v>
      </c>
      <c r="B4942" s="19">
        <v>0</v>
      </c>
      <c r="C4942" s="21">
        <v>0</v>
      </c>
      <c r="D4942" s="20" t="str">
        <v>未匹配</v>
      </c>
      <c r="E4942" s="20">
        <v>0</v>
      </c>
    </row>
    <row r="4943" spans="1:5">
      <c r="A4943" s="20" t="str">
        <v>00:00:00</v>
      </c>
      <c r="B4943" s="19">
        <v>0</v>
      </c>
      <c r="C4943" s="21">
        <v>0</v>
      </c>
      <c r="D4943" s="20" t="str">
        <v>未匹配</v>
      </c>
      <c r="E4943" s="20">
        <v>0</v>
      </c>
    </row>
    <row r="4944" spans="1:5">
      <c r="A4944" s="20" t="str">
        <v>00:00:00</v>
      </c>
      <c r="B4944" s="19">
        <v>0</v>
      </c>
      <c r="C4944" s="21">
        <v>0</v>
      </c>
      <c r="D4944" s="20" t="str">
        <v>未匹配</v>
      </c>
      <c r="E4944" s="20">
        <v>0</v>
      </c>
    </row>
    <row r="4945" spans="1:5">
      <c r="A4945" s="20" t="str">
        <v>00:00:00</v>
      </c>
      <c r="B4945" s="19">
        <v>0</v>
      </c>
      <c r="C4945" s="21">
        <v>0</v>
      </c>
      <c r="D4945" s="20" t="str">
        <v>未匹配</v>
      </c>
      <c r="E4945" s="20">
        <v>0</v>
      </c>
    </row>
    <row r="4946" spans="1:5">
      <c r="A4946" s="20" t="str">
        <v>00:00:00</v>
      </c>
      <c r="B4946" s="19">
        <v>0</v>
      </c>
      <c r="C4946" s="21">
        <v>0</v>
      </c>
      <c r="D4946" s="20" t="str">
        <v>未匹配</v>
      </c>
      <c r="E4946" s="20">
        <v>0</v>
      </c>
    </row>
    <row r="4947" spans="1:5">
      <c r="A4947" s="20" t="str">
        <v>00:00:00</v>
      </c>
      <c r="B4947" s="19">
        <v>0</v>
      </c>
      <c r="C4947" s="21">
        <v>0</v>
      </c>
      <c r="D4947" s="20" t="str">
        <v>未匹配</v>
      </c>
      <c r="E4947" s="20">
        <v>0</v>
      </c>
    </row>
    <row r="4948" spans="1:5">
      <c r="A4948" s="20" t="str">
        <v>00:00:00</v>
      </c>
      <c r="B4948" s="19">
        <v>0</v>
      </c>
      <c r="C4948" s="21">
        <v>0</v>
      </c>
      <c r="D4948" s="20" t="str">
        <v>未匹配</v>
      </c>
      <c r="E4948" s="20">
        <v>0</v>
      </c>
    </row>
    <row r="4949" spans="1:5">
      <c r="A4949" s="20" t="str">
        <v>00:00:00</v>
      </c>
      <c r="B4949" s="19">
        <v>0</v>
      </c>
      <c r="C4949" s="21">
        <v>0</v>
      </c>
      <c r="D4949" s="20" t="str">
        <v>未匹配</v>
      </c>
      <c r="E4949" s="20">
        <v>0</v>
      </c>
    </row>
    <row r="4950" spans="1:5">
      <c r="A4950" s="20" t="str">
        <v>00:00:00</v>
      </c>
      <c r="B4950" s="19">
        <v>0</v>
      </c>
      <c r="C4950" s="21">
        <v>0</v>
      </c>
      <c r="D4950" s="20" t="str">
        <v>未匹配</v>
      </c>
      <c r="E4950" s="20">
        <v>0</v>
      </c>
    </row>
    <row r="4951" spans="1:5">
      <c r="A4951" s="20" t="str">
        <v>00:00:00</v>
      </c>
      <c r="B4951" s="19">
        <v>0</v>
      </c>
      <c r="C4951" s="21">
        <v>0</v>
      </c>
      <c r="D4951" s="20" t="str">
        <v>未匹配</v>
      </c>
      <c r="E4951" s="20">
        <v>0</v>
      </c>
    </row>
    <row r="4952" spans="1:5">
      <c r="A4952" s="20" t="str">
        <v>00:00:00</v>
      </c>
      <c r="B4952" s="19">
        <v>0</v>
      </c>
      <c r="C4952" s="21">
        <v>0</v>
      </c>
      <c r="D4952" s="20" t="str">
        <v>未匹配</v>
      </c>
      <c r="E4952" s="20">
        <v>0</v>
      </c>
    </row>
    <row r="4953" spans="1:5">
      <c r="A4953" s="20" t="str">
        <v>00:00:00</v>
      </c>
      <c r="B4953" s="19">
        <v>0</v>
      </c>
      <c r="C4953" s="21">
        <v>0</v>
      </c>
      <c r="D4953" s="20" t="str">
        <v>未匹配</v>
      </c>
      <c r="E4953" s="20">
        <v>0</v>
      </c>
    </row>
    <row r="4954" spans="1:5">
      <c r="A4954" s="20" t="str">
        <v>00:00:00</v>
      </c>
      <c r="B4954" s="19">
        <v>0</v>
      </c>
      <c r="C4954" s="21">
        <v>0</v>
      </c>
      <c r="D4954" s="20" t="str">
        <v>未匹配</v>
      </c>
      <c r="E4954" s="20">
        <v>0</v>
      </c>
    </row>
    <row r="4955" spans="1:5">
      <c r="A4955" s="20" t="str">
        <v>00:00:00</v>
      </c>
      <c r="B4955" s="19">
        <v>0</v>
      </c>
      <c r="C4955" s="21">
        <v>0</v>
      </c>
      <c r="D4955" s="20" t="str">
        <v>未匹配</v>
      </c>
      <c r="E4955" s="20">
        <v>0</v>
      </c>
    </row>
    <row r="4956" spans="1:5">
      <c r="A4956" s="20" t="str">
        <v>00:00:00</v>
      </c>
      <c r="B4956" s="19">
        <v>0</v>
      </c>
      <c r="C4956" s="21">
        <v>0</v>
      </c>
      <c r="D4956" s="20" t="str">
        <v>未匹配</v>
      </c>
      <c r="E4956" s="20">
        <v>0</v>
      </c>
    </row>
    <row r="4957" spans="1:5">
      <c r="A4957" s="20" t="str">
        <v>00:00:00</v>
      </c>
      <c r="B4957" s="19">
        <v>0</v>
      </c>
      <c r="C4957" s="21">
        <v>0</v>
      </c>
      <c r="D4957" s="20" t="str">
        <v>未匹配</v>
      </c>
      <c r="E4957" s="20">
        <v>0</v>
      </c>
    </row>
    <row r="4958" spans="1:5">
      <c r="A4958" s="20" t="str">
        <v>00:00:00</v>
      </c>
      <c r="B4958" s="19">
        <v>0</v>
      </c>
      <c r="C4958" s="21">
        <v>0</v>
      </c>
      <c r="D4958" s="20" t="str">
        <v>未匹配</v>
      </c>
      <c r="E4958" s="20">
        <v>0</v>
      </c>
    </row>
    <row r="4959" spans="1:5">
      <c r="A4959" s="20" t="str">
        <v>00:00:00</v>
      </c>
      <c r="B4959" s="19">
        <v>0</v>
      </c>
      <c r="C4959" s="21">
        <v>0</v>
      </c>
      <c r="D4959" s="20" t="str">
        <v>未匹配</v>
      </c>
      <c r="E4959" s="20">
        <v>0</v>
      </c>
    </row>
    <row r="4960" spans="1:5">
      <c r="A4960" s="20" t="str">
        <v>00:00:00</v>
      </c>
      <c r="B4960" s="19">
        <v>0</v>
      </c>
      <c r="C4960" s="21">
        <v>0</v>
      </c>
      <c r="D4960" s="20" t="str">
        <v>未匹配</v>
      </c>
      <c r="E4960" s="20">
        <v>0</v>
      </c>
    </row>
    <row r="4961" spans="1:5">
      <c r="A4961" s="20" t="str">
        <v>00:00:00</v>
      </c>
      <c r="B4961" s="19">
        <v>0</v>
      </c>
      <c r="C4961" s="21">
        <v>0</v>
      </c>
      <c r="D4961" s="20" t="str">
        <v>未匹配</v>
      </c>
      <c r="E4961" s="20">
        <v>0</v>
      </c>
    </row>
    <row r="4962" spans="1:5">
      <c r="A4962" s="20" t="str">
        <v>00:00:00</v>
      </c>
      <c r="B4962" s="19">
        <v>0</v>
      </c>
      <c r="C4962" s="21">
        <v>0</v>
      </c>
      <c r="D4962" s="20" t="str">
        <v>未匹配</v>
      </c>
      <c r="E4962" s="20">
        <v>0</v>
      </c>
    </row>
    <row r="4963" spans="1:5">
      <c r="A4963" s="20" t="str">
        <v>00:00:00</v>
      </c>
      <c r="B4963" s="19">
        <v>0</v>
      </c>
      <c r="C4963" s="21">
        <v>0</v>
      </c>
      <c r="D4963" s="20" t="str">
        <v>未匹配</v>
      </c>
      <c r="E4963" s="20">
        <v>0</v>
      </c>
    </row>
    <row r="4964" spans="1:5">
      <c r="A4964" s="20" t="str">
        <v>00:00:00</v>
      </c>
      <c r="B4964" s="19">
        <v>0</v>
      </c>
      <c r="C4964" s="21">
        <v>0</v>
      </c>
      <c r="D4964" s="20" t="str">
        <v>未匹配</v>
      </c>
      <c r="E4964" s="20">
        <v>0</v>
      </c>
    </row>
    <row r="4965" spans="1:5">
      <c r="A4965" s="20" t="str">
        <v>00:00:00</v>
      </c>
      <c r="B4965" s="19">
        <v>0</v>
      </c>
      <c r="C4965" s="21">
        <v>0</v>
      </c>
      <c r="D4965" s="20" t="str">
        <v>未匹配</v>
      </c>
      <c r="E4965" s="20">
        <v>0</v>
      </c>
    </row>
    <row r="4966" spans="1:5">
      <c r="A4966" s="20" t="str">
        <v>00:00:00</v>
      </c>
      <c r="B4966" s="19">
        <v>0</v>
      </c>
      <c r="C4966" s="21">
        <v>0</v>
      </c>
      <c r="D4966" s="20" t="str">
        <v>未匹配</v>
      </c>
      <c r="E4966" s="20">
        <v>0</v>
      </c>
    </row>
    <row r="4967" spans="1:5">
      <c r="A4967" s="20" t="str">
        <v>00:00:00</v>
      </c>
      <c r="B4967" s="19">
        <v>0</v>
      </c>
      <c r="C4967" s="21">
        <v>0</v>
      </c>
      <c r="D4967" s="20" t="str">
        <v>未匹配</v>
      </c>
      <c r="E4967" s="20">
        <v>0</v>
      </c>
    </row>
    <row r="4968" spans="1:5">
      <c r="A4968" s="20" t="str">
        <v>00:00:00</v>
      </c>
      <c r="B4968" s="19">
        <v>0</v>
      </c>
      <c r="C4968" s="21">
        <v>0</v>
      </c>
      <c r="D4968" s="20" t="str">
        <v>未匹配</v>
      </c>
      <c r="E4968" s="20">
        <v>0</v>
      </c>
    </row>
    <row r="4969" spans="1:5">
      <c r="A4969" s="20" t="str">
        <v>00:00:00</v>
      </c>
      <c r="B4969" s="19">
        <v>0</v>
      </c>
      <c r="C4969" s="21">
        <v>0</v>
      </c>
      <c r="D4969" s="20" t="str">
        <v>未匹配</v>
      </c>
      <c r="E4969" s="20">
        <v>0</v>
      </c>
    </row>
    <row r="4970" spans="1:5">
      <c r="A4970" s="20" t="str">
        <v>00:00:00</v>
      </c>
      <c r="B4970" s="19">
        <v>0</v>
      </c>
      <c r="C4970" s="21">
        <v>0</v>
      </c>
      <c r="D4970" s="20" t="str">
        <v>未匹配</v>
      </c>
      <c r="E4970" s="20">
        <v>0</v>
      </c>
    </row>
    <row r="4971" spans="1:5">
      <c r="A4971" s="20" t="str">
        <v>00:00:00</v>
      </c>
      <c r="B4971" s="19">
        <v>0</v>
      </c>
      <c r="C4971" s="21">
        <v>0</v>
      </c>
      <c r="D4971" s="20" t="str">
        <v>未匹配</v>
      </c>
      <c r="E4971" s="20">
        <v>0</v>
      </c>
    </row>
    <row r="4972" spans="1:5">
      <c r="A4972" s="20" t="str">
        <v>00:00:00</v>
      </c>
      <c r="B4972" s="19">
        <v>0</v>
      </c>
      <c r="C4972" s="21">
        <v>0</v>
      </c>
      <c r="D4972" s="20" t="str">
        <v>未匹配</v>
      </c>
      <c r="E4972" s="20">
        <v>0</v>
      </c>
    </row>
    <row r="4973" spans="1:5">
      <c r="A4973" s="20" t="str">
        <v>00:00:00</v>
      </c>
      <c r="B4973" s="19">
        <v>0</v>
      </c>
      <c r="C4973" s="21">
        <v>0</v>
      </c>
      <c r="D4973" s="20" t="str">
        <v>未匹配</v>
      </c>
      <c r="E4973" s="20">
        <v>0</v>
      </c>
    </row>
    <row r="4974" spans="1:5">
      <c r="A4974" s="20" t="str">
        <v>00:00:00</v>
      </c>
      <c r="B4974" s="19">
        <v>0</v>
      </c>
      <c r="C4974" s="21">
        <v>0</v>
      </c>
      <c r="D4974" s="20" t="str">
        <v>未匹配</v>
      </c>
      <c r="E4974" s="20">
        <v>0</v>
      </c>
    </row>
    <row r="4975" spans="1:5">
      <c r="A4975" s="20" t="str">
        <v>00:00:00</v>
      </c>
      <c r="B4975" s="19">
        <v>0</v>
      </c>
      <c r="C4975" s="21">
        <v>0</v>
      </c>
      <c r="D4975" s="20" t="str">
        <v>未匹配</v>
      </c>
      <c r="E4975" s="20">
        <v>0</v>
      </c>
    </row>
    <row r="4976" spans="1:5">
      <c r="A4976" s="20" t="str">
        <v>00:00:00</v>
      </c>
      <c r="B4976" s="19">
        <v>0</v>
      </c>
      <c r="C4976" s="21">
        <v>0</v>
      </c>
      <c r="D4976" s="20" t="str">
        <v>未匹配</v>
      </c>
      <c r="E4976" s="20">
        <v>0</v>
      </c>
    </row>
    <row r="4977" spans="1:5">
      <c r="A4977" s="20" t="str">
        <v>00:00:00</v>
      </c>
      <c r="B4977" s="19">
        <v>0</v>
      </c>
      <c r="C4977" s="21">
        <v>0</v>
      </c>
      <c r="D4977" s="20" t="str">
        <v>未匹配</v>
      </c>
      <c r="E4977" s="20">
        <v>0</v>
      </c>
    </row>
    <row r="4978" spans="1:5">
      <c r="A4978" s="20" t="str">
        <v>00:00:00</v>
      </c>
      <c r="B4978" s="19">
        <v>0</v>
      </c>
      <c r="C4978" s="21">
        <v>0</v>
      </c>
      <c r="D4978" s="20" t="str">
        <v>未匹配</v>
      </c>
      <c r="E4978" s="20">
        <v>0</v>
      </c>
    </row>
    <row r="4979" spans="1:5">
      <c r="A4979" s="20" t="str">
        <v>00:00:00</v>
      </c>
      <c r="B4979" s="19">
        <v>0</v>
      </c>
      <c r="C4979" s="21">
        <v>0</v>
      </c>
      <c r="D4979" s="20" t="str">
        <v>未匹配</v>
      </c>
      <c r="E4979" s="20">
        <v>0</v>
      </c>
    </row>
    <row r="4980" spans="1:5">
      <c r="A4980" s="20" t="str">
        <v>00:00:00</v>
      </c>
      <c r="B4980" s="19">
        <v>0</v>
      </c>
      <c r="C4980" s="21">
        <v>0</v>
      </c>
      <c r="D4980" s="20" t="str">
        <v>未匹配</v>
      </c>
      <c r="E4980" s="20">
        <v>0</v>
      </c>
    </row>
    <row r="4981" spans="1:5">
      <c r="A4981" s="20" t="str">
        <v>00:00:00</v>
      </c>
      <c r="B4981" s="19">
        <v>0</v>
      </c>
      <c r="C4981" s="21">
        <v>0</v>
      </c>
      <c r="D4981" s="20" t="str">
        <v>未匹配</v>
      </c>
      <c r="E4981" s="20">
        <v>0</v>
      </c>
    </row>
    <row r="4982" spans="1:5">
      <c r="A4982" s="20" t="str">
        <v>00:00:00</v>
      </c>
      <c r="B4982" s="19">
        <v>0</v>
      </c>
      <c r="C4982" s="21">
        <v>0</v>
      </c>
      <c r="D4982" s="20" t="str">
        <v>未匹配</v>
      </c>
      <c r="E4982" s="20">
        <v>0</v>
      </c>
    </row>
    <row r="4983" spans="1:5">
      <c r="A4983" s="20" t="str">
        <v>00:00:00</v>
      </c>
      <c r="B4983" s="19">
        <v>0</v>
      </c>
      <c r="C4983" s="21">
        <v>0</v>
      </c>
      <c r="D4983" s="20" t="str">
        <v>未匹配</v>
      </c>
      <c r="E4983" s="20">
        <v>0</v>
      </c>
    </row>
    <row r="4984" spans="1:5">
      <c r="A4984" s="20" t="str">
        <v>00:00:00</v>
      </c>
      <c r="B4984" s="19">
        <v>0</v>
      </c>
      <c r="C4984" s="21">
        <v>0</v>
      </c>
      <c r="D4984" s="20" t="str">
        <v>未匹配</v>
      </c>
      <c r="E4984" s="20">
        <v>0</v>
      </c>
    </row>
    <row r="4985" spans="1:5">
      <c r="A4985" s="20" t="str">
        <v>00:00:00</v>
      </c>
      <c r="B4985" s="19">
        <v>0</v>
      </c>
      <c r="C4985" s="21">
        <v>0</v>
      </c>
      <c r="D4985" s="20" t="str">
        <v>未匹配</v>
      </c>
      <c r="E4985" s="20">
        <v>0</v>
      </c>
    </row>
    <row r="4986" spans="1:5">
      <c r="A4986" s="20" t="str">
        <v>00:00:00</v>
      </c>
      <c r="B4986" s="19">
        <v>0</v>
      </c>
      <c r="C4986" s="21">
        <v>0</v>
      </c>
      <c r="D4986" s="20" t="str">
        <v>未匹配</v>
      </c>
      <c r="E4986" s="20">
        <v>0</v>
      </c>
    </row>
    <row r="4987" spans="1:5">
      <c r="A4987" s="20" t="str">
        <v>00:00:00</v>
      </c>
      <c r="B4987" s="19">
        <v>0</v>
      </c>
      <c r="C4987" s="21">
        <v>0</v>
      </c>
      <c r="D4987" s="20" t="str">
        <v>未匹配</v>
      </c>
      <c r="E4987" s="20">
        <v>0</v>
      </c>
    </row>
    <row r="4988" spans="1:5">
      <c r="A4988" s="20" t="str">
        <v>00:00:00</v>
      </c>
      <c r="B4988" s="19">
        <v>0</v>
      </c>
      <c r="C4988" s="21">
        <v>0</v>
      </c>
      <c r="D4988" s="20" t="str">
        <v>未匹配</v>
      </c>
      <c r="E4988" s="20">
        <v>0</v>
      </c>
    </row>
    <row r="4989" spans="1:5">
      <c r="A4989" s="20" t="str">
        <v>00:00:00</v>
      </c>
      <c r="B4989" s="19">
        <v>0</v>
      </c>
      <c r="C4989" s="21">
        <v>0</v>
      </c>
      <c r="D4989" s="20" t="str">
        <v>未匹配</v>
      </c>
      <c r="E4989" s="20">
        <v>0</v>
      </c>
    </row>
    <row r="4990" spans="1:5">
      <c r="A4990" s="20" t="str">
        <v>00:00:00</v>
      </c>
      <c r="B4990" s="19">
        <v>0</v>
      </c>
      <c r="C4990" s="21">
        <v>0</v>
      </c>
      <c r="D4990" s="20" t="str">
        <v>未匹配</v>
      </c>
      <c r="E4990" s="20">
        <v>0</v>
      </c>
    </row>
    <row r="4991" spans="1:5">
      <c r="A4991" s="20" t="str">
        <v>00:00:00</v>
      </c>
      <c r="B4991" s="19">
        <v>0</v>
      </c>
      <c r="C4991" s="21">
        <v>0</v>
      </c>
      <c r="D4991" s="20" t="str">
        <v>未匹配</v>
      </c>
      <c r="E4991" s="20">
        <v>0</v>
      </c>
    </row>
    <row r="4992" spans="1:5">
      <c r="A4992" s="20" t="str">
        <v>00:00:00</v>
      </c>
      <c r="B4992" s="19">
        <v>0</v>
      </c>
      <c r="C4992" s="21">
        <v>0</v>
      </c>
      <c r="D4992" s="20" t="str">
        <v>未匹配</v>
      </c>
      <c r="E4992" s="20">
        <v>0</v>
      </c>
    </row>
    <row r="4993" spans="1:5">
      <c r="A4993" s="20" t="str">
        <v>00:00:00</v>
      </c>
      <c r="B4993" s="19">
        <v>0</v>
      </c>
      <c r="C4993" s="21">
        <v>0</v>
      </c>
      <c r="D4993" s="20" t="str">
        <v>未匹配</v>
      </c>
      <c r="E4993" s="20">
        <v>0</v>
      </c>
    </row>
    <row r="4994" spans="1:5">
      <c r="A4994" s="20" t="str">
        <v>00:00:00</v>
      </c>
      <c r="B4994" s="19">
        <v>0</v>
      </c>
      <c r="C4994" s="21">
        <v>0</v>
      </c>
      <c r="D4994" s="20" t="str">
        <v>未匹配</v>
      </c>
      <c r="E4994" s="20">
        <v>0</v>
      </c>
    </row>
    <row r="4995" spans="1:5">
      <c r="A4995" s="20" t="str">
        <v>00:00:00</v>
      </c>
      <c r="B4995" s="19">
        <v>0</v>
      </c>
      <c r="C4995" s="21">
        <v>0</v>
      </c>
      <c r="D4995" s="20" t="str">
        <v>未匹配</v>
      </c>
      <c r="E4995" s="20">
        <v>0</v>
      </c>
    </row>
    <row r="4996" spans="1:5">
      <c r="A4996" s="20" t="str">
        <v>00:00:00</v>
      </c>
      <c r="B4996" s="19">
        <v>0</v>
      </c>
      <c r="C4996" s="21">
        <v>0</v>
      </c>
      <c r="D4996" s="20" t="str">
        <v>未匹配</v>
      </c>
      <c r="E4996" s="20">
        <v>0</v>
      </c>
    </row>
    <row r="4997" spans="1:5">
      <c r="A4997" s="20" t="str">
        <v>00:00:00</v>
      </c>
      <c r="B4997" s="19">
        <v>0</v>
      </c>
      <c r="C4997" s="21">
        <v>0</v>
      </c>
      <c r="D4997" s="20" t="str">
        <v>未匹配</v>
      </c>
      <c r="E4997" s="20">
        <v>0</v>
      </c>
    </row>
    <row r="4998" spans="1:5">
      <c r="A4998" s="20" t="str">
        <v>00:00:00</v>
      </c>
      <c r="B4998" s="19">
        <v>0</v>
      </c>
      <c r="C4998" s="21">
        <v>0</v>
      </c>
      <c r="D4998" s="20" t="str">
        <v>未匹配</v>
      </c>
      <c r="E4998" s="20">
        <v>0</v>
      </c>
    </row>
    <row r="4999" spans="1:5">
      <c r="A4999" s="20" t="str">
        <v>00:00:00</v>
      </c>
      <c r="B4999" s="19">
        <v>0</v>
      </c>
      <c r="C4999" s="21">
        <v>0</v>
      </c>
      <c r="D4999" s="20" t="str">
        <v>未匹配</v>
      </c>
      <c r="E4999" s="20">
        <v>0</v>
      </c>
    </row>
    <row r="5000" spans="1:5">
      <c r="A5000" s="20" t="str">
        <v>00:00:00</v>
      </c>
      <c r="B5000" s="19">
        <v>0</v>
      </c>
      <c r="C5000" s="21">
        <v>0</v>
      </c>
      <c r="D5000" s="20" t="str">
        <v>未匹配</v>
      </c>
      <c r="E5000" s="20">
        <v>0</v>
      </c>
    </row>
  </sheetData>
  <sheetProtection sheet="1" autoFilter="0" pivotTables="0" objects="1"/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31EFF"/>
  </sheetPr>
  <dimension ref="A1:Q50"/>
  <sheetViews>
    <sheetView workbookViewId="0">
      <selection activeCell="A1" sqref="A1"/>
    </sheetView>
  </sheetViews>
  <sheetFormatPr defaultColWidth="9.1875" defaultRowHeight="28.8"/>
  <cols>
    <col min="1" max="1" width="24.8571428571429" style="10" customWidth="1"/>
    <col min="2" max="3" width="16.8571428571429" style="11" customWidth="1"/>
    <col min="4" max="4" width="9" style="10" customWidth="1"/>
    <col min="5" max="5" width="15.7857142857143" style="10"/>
    <col min="6" max="6" width="16.8571428571429" style="10" customWidth="1"/>
    <col min="7" max="8" width="15.5" style="10" customWidth="1"/>
    <col min="9" max="9" width="15.5" style="12" customWidth="1"/>
    <col min="10" max="10" width="15.5" style="10" customWidth="1"/>
    <col min="11" max="11" width="9.1875" style="10"/>
    <col min="12" max="12" width="15.7857142857143" style="10"/>
    <col min="13" max="16384" width="9.1875" style="10"/>
  </cols>
  <sheetData>
    <row r="1" spans="1:11">
      <c r="A1" s="10" t="s">
        <v>60</v>
      </c>
      <c r="B1" s="10" t="s">
        <v>61</v>
      </c>
      <c r="C1" s="10" t="s">
        <v>41</v>
      </c>
      <c r="D1" s="10" t="s">
        <v>62</v>
      </c>
      <c r="F1" s="13"/>
      <c r="G1" s="13" t="s">
        <v>56</v>
      </c>
      <c r="H1" s="13" t="s">
        <v>57</v>
      </c>
      <c r="I1" s="13" t="s">
        <v>58</v>
      </c>
      <c r="J1" s="13"/>
      <c r="K1" s="13"/>
    </row>
    <row r="2" spans="1:11">
      <c r="A2" s="10" cm="1">
        <f t="array" ref="A2">_xlfn._xlws.SORT(_xlfn.UNIQUE(生鲜批次导出!H2:H5000))</f>
        <v>0</v>
      </c>
      <c r="B2" s="10">
        <v>0</v>
      </c>
      <c r="C2" s="10"/>
      <c r="D2" s="10" t="str">
        <f>IF(ISNUMBER(SEARCH("内环",C2)),1,IF(ISNUMBER(SEARCH("外环",C2)),2,IF(ISNUMBER(SEARCH("环外",C2)),3,IF(4=4,""))))</f>
        <v/>
      </c>
      <c r="F2" s="13" t="s">
        <v>9</v>
      </c>
      <c r="G2" s="13">
        <f>COUNTIFS(代码池!D:D,G$1,代码池!$E:$E,$F2)</f>
        <v>0</v>
      </c>
      <c r="H2" s="13">
        <f>COUNTIFS(代码池!$D:$D,H$1,代码池!$E:$E,$F2)</f>
        <v>0</v>
      </c>
      <c r="I2" s="13">
        <f>COUNTIFS(代码池!$D:$D,I$1,代码池!$E:$E,$F2)</f>
        <v>0</v>
      </c>
      <c r="J2" s="13">
        <f>SUM(F2:I2)</f>
        <v>0</v>
      </c>
      <c r="K2" s="13"/>
    </row>
    <row r="3" spans="2:11">
      <c r="B3" s="10"/>
      <c r="C3" s="10" t="s">
        <v>63</v>
      </c>
      <c r="D3" s="10" t="str">
        <f>IF(ISNUMBER(SEARCH("内环",C3)),1,IF(ISNUMBER(SEARCH("外环",C3)),2,IF(ISNUMBER(SEARCH("环外",C3)),3,IF(4=4,""))))</f>
        <v/>
      </c>
      <c r="F3" s="13" t="s">
        <v>10</v>
      </c>
      <c r="G3" s="13">
        <f>COUNTIFS(代码池!$D:$D,G$1,代码池!$E:$E,$F3)</f>
        <v>0</v>
      </c>
      <c r="H3" s="13">
        <f>COUNTIFS(代码池!$D:$D,H$1,代码池!$E:$E,$F3)</f>
        <v>0</v>
      </c>
      <c r="I3" s="13">
        <f>COUNTIFS(代码池!$D:$D,I$1,代码池!$E:$E,$F3)</f>
        <v>0</v>
      </c>
      <c r="J3" s="13">
        <f>SUM(F3:I3)</f>
        <v>0</v>
      </c>
      <c r="K3" s="13"/>
    </row>
    <row r="4" spans="4:17">
      <c r="D4" s="10" t="str">
        <f>IF(ISNUMBER(SEARCH("内环",C4)),1,IF(ISNUMBER(SEARCH("外环",C4)),2,IF(ISNUMBER(SEARCH("环外",C4)),3,IF(4=4,""))))</f>
        <v/>
      </c>
      <c r="F4" s="13" t="s">
        <v>11</v>
      </c>
      <c r="G4" s="13">
        <f>COUNTIFS(代码池!$D:$D,G$1,代码池!$E:$E,$F4)</f>
        <v>0</v>
      </c>
      <c r="H4" s="13">
        <f>COUNTIFS(代码池!$D:$D,H$1,代码池!$E:$E,$F4)</f>
        <v>0</v>
      </c>
      <c r="I4" s="13">
        <f>COUNTIFS(代码池!$D:$D,I$1,代码池!$E:$E,$F4)</f>
        <v>0</v>
      </c>
      <c r="J4" s="13">
        <f>SUM(F4:I4)</f>
        <v>0</v>
      </c>
      <c r="K4" s="13"/>
      <c r="L4" s="17" t="s">
        <v>64</v>
      </c>
      <c r="M4" s="17"/>
      <c r="N4" s="17"/>
      <c r="O4" s="17"/>
      <c r="P4" s="17"/>
      <c r="Q4" s="17"/>
    </row>
    <row r="5" spans="4:17">
      <c r="D5" s="10" t="str">
        <f t="shared" ref="D5:D50" si="0">IF(ISNUMBER(SEARCH("内环",C5)),1,IF(ISNUMBER(SEARCH("外环",C5)),2,IF(ISNUMBER(SEARCH("环外",C5)),3,IF(4=4,""))))</f>
        <v/>
      </c>
      <c r="F5" s="13" t="s">
        <v>12</v>
      </c>
      <c r="G5" s="13">
        <f>COUNTIFS(代码池!$D:$D,G$1,代码池!$E:$E,$F5)</f>
        <v>0</v>
      </c>
      <c r="H5" s="13">
        <f>COUNTIFS(代码池!$D:$D,H$1,代码池!$E:$E,$F5)</f>
        <v>0</v>
      </c>
      <c r="I5" s="13">
        <f>COUNTIFS(代码池!$D:$D,I$1,代码池!$E:$E,$F5)</f>
        <v>0</v>
      </c>
      <c r="J5" s="13">
        <f>SUM(F5:I5)</f>
        <v>0</v>
      </c>
      <c r="K5" s="13"/>
      <c r="L5" s="17"/>
      <c r="M5" s="17"/>
      <c r="N5" s="17"/>
      <c r="O5" s="17"/>
      <c r="P5" s="17"/>
      <c r="Q5" s="17"/>
    </row>
    <row r="6" spans="4:17">
      <c r="D6" s="10" t="str">
        <f t="shared" si="0"/>
        <v/>
      </c>
      <c r="F6" s="14" t="s">
        <v>15</v>
      </c>
      <c r="G6" s="14">
        <f t="shared" ref="G6:I6" si="1">SUM(G1:G5)</f>
        <v>0</v>
      </c>
      <c r="H6" s="14">
        <f t="shared" si="1"/>
        <v>0</v>
      </c>
      <c r="I6" s="14">
        <f t="shared" si="1"/>
        <v>0</v>
      </c>
      <c r="J6" s="14">
        <f>SUM(J2:J5)</f>
        <v>0</v>
      </c>
      <c r="K6" s="13"/>
      <c r="L6" s="17"/>
      <c r="M6" s="17"/>
      <c r="N6" s="17"/>
      <c r="O6" s="17"/>
      <c r="P6" s="17"/>
      <c r="Q6" s="17"/>
    </row>
    <row r="7" spans="4:17">
      <c r="D7" s="10" t="str">
        <f t="shared" si="0"/>
        <v/>
      </c>
      <c r="F7" s="13"/>
      <c r="G7" s="13"/>
      <c r="H7" s="13"/>
      <c r="I7" s="13" t="s">
        <v>65</v>
      </c>
      <c r="J7" s="13">
        <f>COUNTIF(生鲜批次导出!$H:$H,"*")-1-COUNTIF(生鲜批次导出!AB:AB,"取消配送")</f>
        <v>-1</v>
      </c>
      <c r="K7" s="13"/>
      <c r="L7" s="17"/>
      <c r="M7" s="17"/>
      <c r="N7" s="17"/>
      <c r="O7" s="17"/>
      <c r="P7" s="17"/>
      <c r="Q7" s="17"/>
    </row>
    <row r="8" spans="4:17">
      <c r="D8" s="10" t="str">
        <f t="shared" si="0"/>
        <v/>
      </c>
      <c r="F8" s="13"/>
      <c r="G8" s="13"/>
      <c r="H8" s="13" t="s">
        <v>66</v>
      </c>
      <c r="I8" s="13"/>
      <c r="J8" s="18" t="e">
        <f>(J6-J7)/J6</f>
        <v>#DIV/0!</v>
      </c>
      <c r="K8" s="13"/>
      <c r="L8" s="17"/>
      <c r="M8" s="17"/>
      <c r="N8" s="17"/>
      <c r="O8" s="17"/>
      <c r="P8" s="17"/>
      <c r="Q8" s="17"/>
    </row>
    <row r="9" spans="4:17">
      <c r="D9" s="10" t="str">
        <f t="shared" si="0"/>
        <v/>
      </c>
      <c r="L9" s="17"/>
      <c r="M9" s="17"/>
      <c r="N9" s="17"/>
      <c r="O9" s="17"/>
      <c r="P9" s="17"/>
      <c r="Q9" s="17"/>
    </row>
    <row r="10" spans="4:17">
      <c r="D10" s="10" t="str">
        <f t="shared" si="0"/>
        <v/>
      </c>
      <c r="F10" s="13"/>
      <c r="G10" s="15" t="s">
        <v>56</v>
      </c>
      <c r="H10" s="15" t="s">
        <v>57</v>
      </c>
      <c r="I10" s="15" t="s">
        <v>58</v>
      </c>
      <c r="L10" s="17"/>
      <c r="M10" s="17"/>
      <c r="N10" s="17"/>
      <c r="O10" s="17"/>
      <c r="P10" s="17"/>
      <c r="Q10" s="17"/>
    </row>
    <row r="11" spans="4:17">
      <c r="D11" s="10" t="str">
        <f t="shared" si="0"/>
        <v/>
      </c>
      <c r="F11" s="13" t="s">
        <v>9</v>
      </c>
      <c r="G11" s="16" t="e">
        <f t="shared" ref="G11:I11" si="2">G2/G$6</f>
        <v>#DIV/0!</v>
      </c>
      <c r="H11" s="16" t="e">
        <f t="shared" si="2"/>
        <v>#DIV/0!</v>
      </c>
      <c r="I11" s="16" t="e">
        <f t="shared" si="2"/>
        <v>#DIV/0!</v>
      </c>
      <c r="L11" s="17"/>
      <c r="M11" s="17"/>
      <c r="N11" s="17"/>
      <c r="O11" s="17"/>
      <c r="P11" s="17"/>
      <c r="Q11" s="17"/>
    </row>
    <row r="12" spans="4:17">
      <c r="D12" s="10" t="str">
        <f t="shared" si="0"/>
        <v/>
      </c>
      <c r="F12" s="13" t="s">
        <v>10</v>
      </c>
      <c r="G12" s="16" t="e">
        <f t="shared" ref="G12:I12" si="3">G3/G$6</f>
        <v>#DIV/0!</v>
      </c>
      <c r="H12" s="16" t="e">
        <f t="shared" si="3"/>
        <v>#DIV/0!</v>
      </c>
      <c r="I12" s="16" t="e">
        <f t="shared" si="3"/>
        <v>#DIV/0!</v>
      </c>
      <c r="L12" s="17"/>
      <c r="M12" s="17"/>
      <c r="N12" s="17"/>
      <c r="O12" s="17"/>
      <c r="P12" s="17"/>
      <c r="Q12" s="17"/>
    </row>
    <row r="13" spans="4:17">
      <c r="D13" s="10" t="str">
        <f t="shared" si="0"/>
        <v/>
      </c>
      <c r="F13" s="13" t="s">
        <v>11</v>
      </c>
      <c r="G13" s="16" t="e">
        <f t="shared" ref="G13:I13" si="4">G4/G$6</f>
        <v>#DIV/0!</v>
      </c>
      <c r="H13" s="16" t="e">
        <f t="shared" si="4"/>
        <v>#DIV/0!</v>
      </c>
      <c r="I13" s="16" t="e">
        <f t="shared" si="4"/>
        <v>#DIV/0!</v>
      </c>
      <c r="L13" s="17"/>
      <c r="M13" s="17"/>
      <c r="N13" s="17"/>
      <c r="O13" s="17"/>
      <c r="P13" s="17"/>
      <c r="Q13" s="17"/>
    </row>
    <row r="14" spans="4:17">
      <c r="D14" s="10" t="str">
        <f t="shared" si="0"/>
        <v/>
      </c>
      <c r="F14" s="13" t="s">
        <v>12</v>
      </c>
      <c r="G14" s="16" t="e">
        <f t="shared" ref="G14:I14" si="5">G5/G$6</f>
        <v>#DIV/0!</v>
      </c>
      <c r="H14" s="16" t="e">
        <f t="shared" si="5"/>
        <v>#DIV/0!</v>
      </c>
      <c r="I14" s="16" t="e">
        <f t="shared" si="5"/>
        <v>#DIV/0!</v>
      </c>
      <c r="L14" s="17"/>
      <c r="M14" s="17"/>
      <c r="N14" s="17"/>
      <c r="O14" s="17"/>
      <c r="P14" s="17"/>
      <c r="Q14" s="17"/>
    </row>
    <row r="15" spans="4:17">
      <c r="D15" s="10" t="str">
        <f t="shared" si="0"/>
        <v/>
      </c>
      <c r="F15" s="14" t="s">
        <v>67</v>
      </c>
      <c r="G15" s="14"/>
      <c r="H15" s="14"/>
      <c r="I15" s="14"/>
      <c r="L15" s="17"/>
      <c r="M15" s="17"/>
      <c r="N15" s="17"/>
      <c r="O15" s="17"/>
      <c r="P15" s="17"/>
      <c r="Q15" s="17"/>
    </row>
    <row r="16" spans="4:4">
      <c r="D16" s="10" t="str">
        <f t="shared" si="0"/>
        <v/>
      </c>
    </row>
    <row r="17" spans="4:4">
      <c r="D17" s="10" t="str">
        <f t="shared" si="0"/>
        <v/>
      </c>
    </row>
    <row r="18" spans="4:4">
      <c r="D18" s="10" t="str">
        <f t="shared" si="0"/>
        <v/>
      </c>
    </row>
    <row r="19" spans="4:4">
      <c r="D19" s="10" t="str">
        <f t="shared" si="0"/>
        <v/>
      </c>
    </row>
    <row r="20" spans="4:4">
      <c r="D20" s="10" t="str">
        <f t="shared" si="0"/>
        <v/>
      </c>
    </row>
    <row r="21" spans="4:4">
      <c r="D21" s="10" t="str">
        <f t="shared" si="0"/>
        <v/>
      </c>
    </row>
    <row r="22" spans="4:4">
      <c r="D22" s="10" t="str">
        <f t="shared" si="0"/>
        <v/>
      </c>
    </row>
    <row r="23" spans="4:4">
      <c r="D23" s="10" t="str">
        <f t="shared" si="0"/>
        <v/>
      </c>
    </row>
    <row r="24" spans="4:4">
      <c r="D24" s="10" t="str">
        <f t="shared" si="0"/>
        <v/>
      </c>
    </row>
    <row r="25" spans="4:4">
      <c r="D25" s="10" t="str">
        <f t="shared" si="0"/>
        <v/>
      </c>
    </row>
    <row r="26" spans="4:4">
      <c r="D26" s="10" t="str">
        <f t="shared" si="0"/>
        <v/>
      </c>
    </row>
    <row r="27" spans="4:4">
      <c r="D27" s="10" t="str">
        <f t="shared" si="0"/>
        <v/>
      </c>
    </row>
    <row r="28" spans="4:4">
      <c r="D28" s="10" t="str">
        <f t="shared" si="0"/>
        <v/>
      </c>
    </row>
    <row r="29" spans="4:4">
      <c r="D29" s="10" t="str">
        <f t="shared" si="0"/>
        <v/>
      </c>
    </row>
    <row r="30" spans="4:4">
      <c r="D30" s="10" t="str">
        <f t="shared" si="0"/>
        <v/>
      </c>
    </row>
    <row r="31" spans="4:4">
      <c r="D31" s="10" t="str">
        <f t="shared" si="0"/>
        <v/>
      </c>
    </row>
    <row r="32" spans="4:4">
      <c r="D32" s="10" t="str">
        <f t="shared" si="0"/>
        <v/>
      </c>
    </row>
    <row r="33" spans="4:4">
      <c r="D33" s="10" t="str">
        <f t="shared" si="0"/>
        <v/>
      </c>
    </row>
    <row r="34" spans="4:4">
      <c r="D34" s="10" t="str">
        <f t="shared" si="0"/>
        <v/>
      </c>
    </row>
    <row r="35" spans="4:4">
      <c r="D35" s="10" t="str">
        <f t="shared" si="0"/>
        <v/>
      </c>
    </row>
    <row r="36" spans="4:4">
      <c r="D36" s="10" t="str">
        <f t="shared" si="0"/>
        <v/>
      </c>
    </row>
    <row r="37" spans="4:4">
      <c r="D37" s="10" t="str">
        <f t="shared" si="0"/>
        <v/>
      </c>
    </row>
    <row r="38" spans="4:4">
      <c r="D38" s="10" t="str">
        <f t="shared" si="0"/>
        <v/>
      </c>
    </row>
    <row r="39" spans="4:4">
      <c r="D39" s="10" t="str">
        <f t="shared" si="0"/>
        <v/>
      </c>
    </row>
    <row r="40" spans="4:4">
      <c r="D40" s="10" t="str">
        <f t="shared" si="0"/>
        <v/>
      </c>
    </row>
    <row r="41" spans="4:4">
      <c r="D41" s="10" t="str">
        <f t="shared" si="0"/>
        <v/>
      </c>
    </row>
    <row r="42" spans="4:4">
      <c r="D42" s="10" t="str">
        <f t="shared" si="0"/>
        <v/>
      </c>
    </row>
    <row r="43" spans="4:4">
      <c r="D43" s="10" t="str">
        <f t="shared" si="0"/>
        <v/>
      </c>
    </row>
    <row r="44" spans="4:4">
      <c r="D44" s="10" t="str">
        <f t="shared" si="0"/>
        <v/>
      </c>
    </row>
    <row r="45" spans="4:4">
      <c r="D45" s="10" t="str">
        <f t="shared" si="0"/>
        <v/>
      </c>
    </row>
    <row r="46" spans="4:4">
      <c r="D46" s="10" t="str">
        <f t="shared" si="0"/>
        <v/>
      </c>
    </row>
    <row r="47" spans="4:4">
      <c r="D47" s="10" t="str">
        <f t="shared" si="0"/>
        <v/>
      </c>
    </row>
    <row r="48" spans="4:4">
      <c r="D48" s="10" t="str">
        <f t="shared" si="0"/>
        <v/>
      </c>
    </row>
    <row r="49" spans="4:4">
      <c r="D49" s="10" t="str">
        <f t="shared" si="0"/>
        <v/>
      </c>
    </row>
    <row r="50" spans="4:4">
      <c r="D50" s="10" t="str">
        <f t="shared" si="0"/>
        <v/>
      </c>
    </row>
  </sheetData>
  <sheetProtection sheet="1" objects="1"/>
  <mergeCells count="3">
    <mergeCell ref="H8:I8"/>
    <mergeCell ref="F15:I15"/>
    <mergeCell ref="L4:Q15"/>
  </mergeCells>
  <conditionalFormatting sqref="G2:K2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{65e14cb0-0c01-4fa0-8d37-de537d1a47ec}</x14:id>
        </ext>
      </extLst>
    </cfRule>
  </conditionalFormatting>
  <conditionalFormatting sqref="G3:K3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{14885116-3227-420f-87aa-203dbcbdf409}</x14:id>
        </ext>
      </extLst>
    </cfRule>
  </conditionalFormatting>
  <conditionalFormatting sqref="G4:K4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{c896ca07-3bad-4fd7-9160-7b878aafdd05}</x14:id>
        </ext>
      </extLst>
    </cfRule>
  </conditionalFormatting>
  <conditionalFormatting sqref="G5:K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{ddf6604c-0e90-4047-9775-c751bacfade9}</x14:id>
        </ext>
      </extLst>
    </cfRule>
  </conditionalFormatting>
  <conditionalFormatting sqref="G11:I1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{2d60fa44-628e-405a-8b2b-4afbdcf4fedc}</x14:id>
        </ext>
      </extLst>
    </cfRule>
  </conditionalFormatting>
  <conditionalFormatting sqref="G12:I1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{3e23c812-0073-4899-9e07-4bc91aafef3e}</x14:id>
        </ext>
      </extLst>
    </cfRule>
  </conditionalFormatting>
  <conditionalFormatting sqref="G13:I13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{b176176a-d513-4dc4-ba8c-3fc4f21253ed}</x14:id>
        </ext>
      </extLst>
    </cfRule>
  </conditionalFormatting>
  <conditionalFormatting sqref="G14:I14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{b918fee7-e762-4290-a14f-4f82d91591dc}</x14:id>
        </ext>
      </extLst>
    </cfRule>
  </conditionalFormatting>
  <conditionalFormatting sqref="C2:C1048576">
    <cfRule type="containsText" dxfId="2" priority="10" operator="between" text="环外">
      <formula>NOT(ISERROR(SEARCH("环外",C2)))</formula>
    </cfRule>
    <cfRule type="containsText" dxfId="10" priority="11" operator="between" text="错误">
      <formula>NOT(ISERROR(SEARCH("错误",C2)))</formula>
    </cfRule>
    <cfRule type="containsText" dxfId="11" priority="12" operator="between" text="外环">
      <formula>NOT(ISERROR(SEARCH("外环",C2)))</formula>
    </cfRule>
    <cfRule type="containsText" dxfId="12" priority="13" operator="between" text="内环">
      <formula>NOT(ISERROR(SEARCH("内环",C2)))</formula>
    </cfRule>
  </conditionalFormatting>
  <conditionalFormatting sqref="C$1:E$1048576 P1:XFD3 R4:XFD15 J9:K15 F16:XFD1048576 F9:I9 B11:B1048576 B1:B9 A$1:A$1048576">
    <cfRule type="notContainsBlanks" dxfId="13" priority="14">
      <formula>LEN(TRIM(A1))&gt;0</formula>
    </cfRule>
  </conditionalFormatting>
  <conditionalFormatting sqref="F1:K6 H8 H7:I7 J7:K8 F7:G8 F10:I14 F15">
    <cfRule type="notContainsBlanks" dxfId="4" priority="5">
      <formula>LEN(TRIM(F1))&gt;0</formula>
    </cfRule>
  </conditionalFormatting>
  <dataValidations count="1">
    <dataValidation type="list" allowBlank="1" showInputMessage="1" showErrorMessage="1" sqref="C$1:C$1048576">
      <formula1>"内环,外环,环外,错误,计费区块"</formula1>
    </dataValidation>
  </dataValidations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e14cb0-0c01-4fa0-8d37-de537d1a47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G2:K2</xm:sqref>
        </x14:conditionalFormatting>
        <x14:conditionalFormatting xmlns:xm="http://schemas.microsoft.com/office/excel/2006/main">
          <x14:cfRule type="dataBar" id="{14885116-3227-420f-87aa-203dbcbdf4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G3:K3</xm:sqref>
        </x14:conditionalFormatting>
        <x14:conditionalFormatting xmlns:xm="http://schemas.microsoft.com/office/excel/2006/main">
          <x14:cfRule type="dataBar" id="{c896ca07-3bad-4fd7-9160-7b878aafdd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G4:K4</xm:sqref>
        </x14:conditionalFormatting>
        <x14:conditionalFormatting xmlns:xm="http://schemas.microsoft.com/office/excel/2006/main">
          <x14:cfRule type="dataBar" id="{ddf6604c-0e90-4047-9775-c751bacfad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G5:K5</xm:sqref>
        </x14:conditionalFormatting>
        <x14:conditionalFormatting xmlns:xm="http://schemas.microsoft.com/office/excel/2006/main">
          <x14:cfRule type="dataBar" id="{2d60fa44-628e-405a-8b2b-4afbdcf4fe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G11:I11</xm:sqref>
        </x14:conditionalFormatting>
        <x14:conditionalFormatting xmlns:xm="http://schemas.microsoft.com/office/excel/2006/main">
          <x14:cfRule type="dataBar" id="{3e23c812-0073-4899-9e07-4bc91aafef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G12:I12</xm:sqref>
        </x14:conditionalFormatting>
        <x14:conditionalFormatting xmlns:xm="http://schemas.microsoft.com/office/excel/2006/main">
          <x14:cfRule type="dataBar" id="{b176176a-d513-4dc4-ba8c-3fc4f21253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G13:I13</xm:sqref>
        </x14:conditionalFormatting>
        <x14:conditionalFormatting xmlns:xm="http://schemas.microsoft.com/office/excel/2006/main">
          <x14:cfRule type="dataBar" id="{b918fee7-e762-4290-a14f-4f82d91591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G14:I14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F13"/>
  <sheetViews>
    <sheetView workbookViewId="0">
      <selection activeCell="A1" sqref="A1"/>
    </sheetView>
  </sheetViews>
  <sheetFormatPr defaultColWidth="99.5535714285714" defaultRowHeight="28.8" outlineLevelCol="5"/>
  <cols>
    <col min="1" max="1" width="99.2857142857143" style="1" customWidth="1"/>
    <col min="2" max="2" width="2.51785714285714" style="2" customWidth="1"/>
    <col min="3" max="4" width="16.8571428571429" style="2" customWidth="1"/>
    <col min="5" max="5" width="4.01785714285714" style="2" customWidth="1"/>
    <col min="6" max="6" width="96.8571428571429" style="2" customWidth="1"/>
    <col min="7" max="16384" width="99.5535714285714" style="2" customWidth="1"/>
  </cols>
  <sheetData>
    <row r="1" ht="29" spans="1:6">
      <c r="A1" s="1" t="s">
        <v>68</v>
      </c>
      <c r="F1" s="2" t="s">
        <v>69</v>
      </c>
    </row>
    <row r="2" ht="29" spans="1:6">
      <c r="A2" s="1" t="s">
        <v>70</v>
      </c>
      <c r="F2" s="2" t="s">
        <v>71</v>
      </c>
    </row>
    <row r="3" ht="29" spans="1:4">
      <c r="A3" s="1" t="s">
        <v>72</v>
      </c>
      <c r="C3" s="3" t="s">
        <v>73</v>
      </c>
      <c r="D3" s="4" t="s">
        <v>74</v>
      </c>
    </row>
    <row r="4" ht="29" spans="1:4">
      <c r="A4" s="1" t="s">
        <v>75</v>
      </c>
      <c r="C4" s="5" t="s">
        <v>19</v>
      </c>
      <c r="D4" s="5">
        <v>5000</v>
      </c>
    </row>
    <row r="5" ht="29" spans="1:4">
      <c r="A5" s="1" t="s">
        <v>76</v>
      </c>
      <c r="C5" s="5" t="s">
        <v>55</v>
      </c>
      <c r="D5" s="5">
        <v>22</v>
      </c>
    </row>
    <row r="6" ht="29" spans="1:4">
      <c r="A6" s="6" t="s">
        <v>77</v>
      </c>
      <c r="C6" s="5" t="s">
        <v>78</v>
      </c>
      <c r="D6" s="5">
        <v>200</v>
      </c>
    </row>
    <row r="7" ht="58" spans="1:4">
      <c r="A7" s="6" t="s">
        <v>79</v>
      </c>
      <c r="C7" s="7" t="s">
        <v>80</v>
      </c>
      <c r="D7" s="7"/>
    </row>
    <row r="8" spans="3:4">
      <c r="C8" s="7"/>
      <c r="D8" s="7"/>
    </row>
    <row r="9" ht="29" spans="1:4">
      <c r="A9" s="1" t="s">
        <v>81</v>
      </c>
      <c r="C9" s="8"/>
      <c r="D9" s="8"/>
    </row>
    <row r="10" ht="29" spans="1:1">
      <c r="A10" s="1" t="s">
        <v>82</v>
      </c>
    </row>
    <row r="11" ht="29" spans="1:1">
      <c r="A11" s="1" t="s">
        <v>83</v>
      </c>
    </row>
    <row r="12" ht="29" spans="1:1">
      <c r="A12" s="1" t="s">
        <v>84</v>
      </c>
    </row>
    <row r="13" ht="87" spans="1:1">
      <c r="A13" s="9" t="s">
        <v>85</v>
      </c>
    </row>
  </sheetData>
  <sheetProtection sheet="1" objects="1"/>
  <mergeCells count="1">
    <mergeCell ref="C7:D8"/>
  </mergeCells>
  <conditionalFormatting sqref="E1:XFD11 A1:B11 C1:D6 $A12:$XFD1048576 C7">
    <cfRule type="notContainsBlanks" dxfId="4" priority="1">
      <formula>LEN(TRIM(A1))&gt;0</formula>
    </cfRule>
  </conditionalFormatting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1" master="" otherUserPermission="visible"/>
  <rangeList sheetStid="16" master="" otherUserPermission="visible"/>
  <rangeList sheetStid="17" master="" otherUserPermission="visible"/>
  <rangeList sheetStid="19" master="" otherUserPermission="visible"/>
  <rangeList sheetStid="8" master="" otherUserPermission="visible"/>
  <rangeList sheetStid="3" master="" otherUserPermission="visible"/>
  <rangeList sheetStid="5" master="" otherUserPermission="visible"/>
  <rangeList sheetStid="4" master="" otherUserPermission="visible"/>
  <rangeList sheetStid="25" master="" otherUserPermission="visible"/>
  <rangeList sheetStid="7" master="" otherUserPermission="visible"/>
  <rangeList sheetStid="22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概览</vt:lpstr>
      <vt:lpstr>区块图</vt:lpstr>
      <vt:lpstr>小时单</vt:lpstr>
      <vt:lpstr>半小时</vt:lpstr>
      <vt:lpstr>新人订单</vt:lpstr>
      <vt:lpstr>生鲜批次导出</vt:lpstr>
      <vt:lpstr>数字运营台</vt:lpstr>
      <vt:lpstr>骑手排行榜</vt:lpstr>
      <vt:lpstr>考勤</vt:lpstr>
      <vt:lpstr>代码池</vt:lpstr>
      <vt:lpstr>区块划分表</vt:lpstr>
      <vt:lpstr>注意事项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����</dc:creator>
  <cp:lastModifiedBy>shaoxing</cp:lastModifiedBy>
  <dcterms:created xsi:type="dcterms:W3CDTF">2015-07-01T10:19:00Z</dcterms:created>
  <dcterms:modified xsi:type="dcterms:W3CDTF">2025-09-28T19:20:42Z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90D53155DEBCD9A133552868BA62E385_42</vt:lpwstr>
  </property>
  <property fmtid="{D5CDD505-2E9C-101B-9397-08002B2CF9AE}" pid="3" name="KSOProductBuildVer">
    <vt:lpwstr>2052-12.1.22553.22553</vt:lpwstr>
  </property>
</Properties>
</file>