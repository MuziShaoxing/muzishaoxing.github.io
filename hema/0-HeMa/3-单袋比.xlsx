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120" activeTab="1"/>
  </bookViews>
  <sheets>
    <sheet name="盘点表" sheetId="2" r:id="rId1"/>
    <sheet name="配送员履约明细表" sheetId="12" r:id="rId2"/>
    <sheet name="单袋比导出" sheetId="1" r:id="rId3"/>
    <sheet name="耗材申请表" sheetId="3" r:id="rId4"/>
    <sheet name="当前状态" sheetId="10" r:id="rId5"/>
    <sheet name="单量排行榜" sheetId="5" r:id="rId6"/>
    <sheet name="代码" sheetId="11" r:id="rId7"/>
    <sheet name="月报" sheetId="9" r:id="rId8"/>
  </sheets>
  <definedNames>
    <definedName name="_xlnm._FilterDatabase" localSheetId="0" hidden="1">盘点表!$A$7:$K$88</definedName>
    <definedName name="_xlnm._FilterDatabase" localSheetId="5" hidden="1">单量排行榜!$A$2:$AB$52</definedName>
    <definedName name="_xlnm._FilterDatabase" localSheetId="3" hidden="1">耗材申请表!$A$1:$K$107</definedName>
    <definedName name="_xlnm._FilterDatabase" localSheetId="1" hidden="1">配送员履约明细表!$A$2:$AZ$1213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HM</author>
  </authors>
  <commentList>
    <comment ref="D1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=IFERROR(VLOOKUP($A3,耗材申请输出!A:B,2,FALSE),"0")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=IFERROR(VLOOKUP(A3,单量排行榜!C:F,3,FALSE),"0")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（结算单量+未结算单量(当日））*1.3-已结算申请数量+处罚性申领数量-当日审批数量-防超减免(5&amp;10)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计算单带比</t>
        </r>
      </text>
    </comment>
    <comment ref="F78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<sst xmlns="http://schemas.openxmlformats.org/spreadsheetml/2006/main" count="60" uniqueCount="45">
  <si>
    <t>购物袋差异</t>
  </si>
  <si>
    <t>1.0以下</t>
  </si>
  <si>
    <t>1.0～1.19</t>
  </si>
  <si>
    <t>1.2以上</t>
  </si>
  <si>
    <t>单袋比</t>
  </si>
  <si>
    <t>可补数量</t>
  </si>
  <si>
    <t>超额数量</t>
  </si>
  <si>
    <t>快速查询</t>
  </si>
  <si>
    <t>配送员名字</t>
  </si>
  <si>
    <t>确认申领商品数量</t>
  </si>
  <si>
    <t>o2o签收单量</t>
  </si>
  <si>
    <t>今日
已申请</t>
  </si>
  <si>
    <t>今日
配送单</t>
  </si>
  <si>
    <t>需要
申请数量</t>
  </si>
  <si>
    <t>目前
单袋比</t>
  </si>
  <si>
    <t>当前状态</t>
  </si>
  <si>
    <t>反算</t>
  </si>
  <si>
    <t>签收单</t>
  </si>
  <si>
    <t>请输入名字</t>
  </si>
  <si>
    <t>校准</t>
  </si>
  <si>
    <t>可补</t>
  </si>
  <si>
    <t>当日申请记录</t>
  </si>
  <si>
    <t>挂零人员</t>
  </si>
  <si>
    <t>计费单量</t>
  </si>
  <si>
    <t>须补数量</t>
  </si>
  <si>
    <t>当前时间</t>
  </si>
  <si>
    <t>需补:???0;[红色]超标:???0</t>
  </si>
  <si>
    <t>超标</t>
  </si>
  <si>
    <t>数量</t>
  </si>
  <si>
    <t>盛博广场</t>
  </si>
  <si>
    <t>电动车</t>
  </si>
  <si>
    <t>电池</t>
  </si>
  <si>
    <t>充电柜11口</t>
  </si>
  <si>
    <t>购物袋-实物</t>
  </si>
  <si>
    <t>购物袋-库存</t>
  </si>
  <si>
    <t>库存实物</t>
  </si>
  <si>
    <t>库存应有</t>
  </si>
  <si>
    <t>类型</t>
  </si>
  <si>
    <t>含量</t>
  </si>
  <si>
    <t>包数</t>
  </si>
  <si>
    <t>降解</t>
  </si>
  <si>
    <t>白板</t>
  </si>
  <si>
    <t>库存实物差</t>
  </si>
  <si>
    <t>实物数量</t>
  </si>
  <si>
    <t>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</si>
</sst>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1][$-804]m&quot;月&quot;d&quot;日&quot;;@"/>
    <numFmt numFmtId="177" formatCode="[Green]&quot;盈&quot;\:???0;[Red]&quot;亏&quot;\:???0"/>
    <numFmt numFmtId="178" formatCode="0_);[Red]\(0\)"/>
    <numFmt numFmtId="179" formatCode="0_ "/>
    <numFmt numFmtId="180" formatCode="0.00_ "/>
    <numFmt numFmtId="181" formatCode="yyyy&quot;年&quot;m&quot;月&quot;d&quot;日&quot;;@"/>
    <numFmt numFmtId="182" formatCode="&quot;需&quot;&quot;补&quot;\:???0;[Red]&quot;超&quot;&quot;标&quot;\:???0"/>
    <numFmt numFmtId="183" formatCode="0&quot;单&quot;"/>
  </numFmts>
  <fonts count="35">
    <font>
      <sz val="11"/>
      <color indexed="8"/>
      <name val="等线"/>
      <charset val="134"/>
      <scheme val="minor"/>
    </font>
    <font>
      <sz val="30"/>
      <color theme="1"/>
      <name val="Kaiti SC Regular"/>
      <charset val="134"/>
    </font>
    <font>
      <b/>
      <sz val="30"/>
      <color theme="1"/>
      <name val="Kaiti SC Regular"/>
      <charset val="134"/>
    </font>
    <font>
      <sz val="30"/>
      <color indexed="8"/>
      <name val="Kaiti SC Regular"/>
      <charset val="134"/>
    </font>
    <font>
      <b/>
      <sz val="16"/>
      <name val="等线"/>
      <charset val="134"/>
      <scheme val="minor"/>
    </font>
    <font>
      <sz val="10"/>
      <color theme="1"/>
      <name val="黑体"/>
      <charset val="134"/>
    </font>
    <font>
      <sz val="11"/>
      <color rgb="FF333333"/>
      <name val="等线"/>
      <charset val="134"/>
      <scheme val="minor"/>
    </font>
    <font>
      <sz val="11"/>
      <color rgb="FF5A6C84"/>
      <name val="等线"/>
      <charset val="134"/>
      <scheme val="minor"/>
    </font>
    <font>
      <sz val="11"/>
      <color rgb="FF23A3FF"/>
      <name val="等线"/>
      <charset val="134"/>
      <scheme val="minor"/>
    </font>
    <font>
      <sz val="12"/>
      <name val="黑体"/>
      <charset val="134"/>
    </font>
    <font>
      <sz val="11"/>
      <name val="等线"/>
      <charset val="134"/>
      <scheme val="minor"/>
    </font>
    <font>
      <sz val="20"/>
      <name val="黑体"/>
      <charset val="134"/>
    </font>
    <font>
      <sz val="36"/>
      <name val="黑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D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EEEEEE"/>
      </bottom>
      <diagonal/>
    </border>
    <border>
      <left style="medium">
        <color rgb="FFDFE3E8"/>
      </left>
      <right style="medium">
        <color rgb="FFDFE3E8"/>
      </right>
      <top style="medium">
        <color rgb="FFDFE3E8"/>
      </top>
      <bottom style="medium">
        <color rgb="FFDFE3E8"/>
      </bottom>
      <diagonal/>
    </border>
    <border>
      <left style="medium">
        <color rgb="FFDFE3E8"/>
      </left>
      <right style="medium">
        <color rgb="FFDFE3E8"/>
      </right>
      <top/>
      <bottom style="medium">
        <color rgb="FFDFE3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176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3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13" fillId="0" borderId="0"/>
  </cellStyleXfs>
  <cellXfs count="62">
    <xf numFmtId="176" fontId="0" fillId="0" borderId="0" xfId="0">
      <alignment vertical="center"/>
    </xf>
    <xf numFmtId="0" fontId="1" fillId="0" borderId="0" xfId="49" applyFont="1" applyAlignment="1" applyProtection="1">
      <alignment horizontal="center" vertical="center"/>
      <protection hidden="1"/>
    </xf>
    <xf numFmtId="0" fontId="2" fillId="2" borderId="1" xfId="49" applyFont="1" applyFill="1" applyBorder="1" applyAlignment="1" applyProtection="1">
      <alignment horizontal="center" vertical="center"/>
      <protection locked="0"/>
    </xf>
    <xf numFmtId="0" fontId="2" fillId="2" borderId="1" xfId="49" applyFont="1" applyFill="1" applyBorder="1" applyAlignment="1" applyProtection="1">
      <alignment horizontal="center" vertical="center"/>
      <protection hidden="1"/>
    </xf>
    <xf numFmtId="177" fontId="2" fillId="2" borderId="1" xfId="49" applyNumberFormat="1" applyFont="1" applyFill="1" applyBorder="1" applyAlignment="1" applyProtection="1">
      <alignment horizontal="center" vertical="center"/>
      <protection hidden="1"/>
    </xf>
    <xf numFmtId="0" fontId="1" fillId="0" borderId="0" xfId="49" applyFont="1" applyFill="1" applyBorder="1" applyAlignment="1" applyProtection="1">
      <alignment vertical="center"/>
      <protection hidden="1"/>
    </xf>
    <xf numFmtId="178" fontId="3" fillId="3" borderId="2" xfId="0" applyNumberFormat="1" applyFont="1" applyFill="1" applyBorder="1" applyAlignment="1" applyProtection="1">
      <alignment horizontal="center" vertical="center"/>
      <protection hidden="1"/>
    </xf>
    <xf numFmtId="178" fontId="3" fillId="3" borderId="3" xfId="0" applyNumberFormat="1" applyFont="1" applyFill="1" applyBorder="1" applyAlignment="1" applyProtection="1">
      <alignment horizontal="center" vertical="center"/>
      <protection hidden="1"/>
    </xf>
    <xf numFmtId="0" fontId="1" fillId="0" borderId="0" xfId="49" applyFont="1" applyAlignment="1" applyProtection="1">
      <alignment vertical="center"/>
      <protection hidden="1"/>
    </xf>
    <xf numFmtId="178" fontId="3" fillId="3" borderId="1" xfId="0" applyNumberFormat="1" applyFont="1" applyFill="1" applyBorder="1" applyAlignment="1" applyProtection="1">
      <alignment horizontal="center" vertical="center"/>
      <protection hidden="1"/>
    </xf>
    <xf numFmtId="178" fontId="3" fillId="4" borderId="1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Alignment="1" applyProtection="1">
      <alignment horizontal="center" vertical="center"/>
      <protection hidden="1"/>
    </xf>
    <xf numFmtId="178" fontId="3" fillId="0" borderId="0" xfId="0" applyNumberFormat="1" applyFont="1" applyAlignment="1" applyProtection="1">
      <alignment vertical="center"/>
      <protection hidden="1"/>
    </xf>
    <xf numFmtId="0" fontId="1" fillId="2" borderId="0" xfId="49" applyFont="1" applyFill="1" applyAlignment="1" applyProtection="1">
      <alignment horizontal="center" vertical="center"/>
      <protection hidden="1"/>
    </xf>
    <xf numFmtId="178" fontId="3" fillId="3" borderId="4" xfId="0" applyNumberFormat="1" applyFont="1" applyFill="1" applyBorder="1" applyAlignment="1" applyProtection="1">
      <alignment horizontal="center" vertical="center"/>
      <protection hidden="1"/>
    </xf>
    <xf numFmtId="179" fontId="4" fillId="0" borderId="0" xfId="0" applyNumberFormat="1" applyFont="1" applyFill="1" applyBorder="1" applyAlignment="1" applyProtection="1">
      <alignment horizontal="center" vertical="center"/>
      <protection hidden="1"/>
    </xf>
    <xf numFmtId="179" fontId="4" fillId="0" borderId="0" xfId="0" applyNumberFormat="1" applyFont="1" applyFill="1" applyBorder="1" applyAlignment="1" applyProtection="1">
      <alignment horizontal="center" vertical="center"/>
      <protection locked="0" hidden="1"/>
    </xf>
    <xf numFmtId="180" fontId="4" fillId="0" borderId="0" xfId="0" applyNumberFormat="1" applyFont="1" applyFill="1" applyBorder="1" applyAlignment="1" applyProtection="1">
      <alignment horizontal="center" vertical="center"/>
      <protection hidden="1"/>
    </xf>
    <xf numFmtId="179" fontId="4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179" fontId="4" fillId="0" borderId="0" xfId="0" applyNumberFormat="1" applyFont="1" applyFill="1" applyBorder="1" applyAlignment="1" applyProtection="1">
      <alignment horizontal="center" vertical="center" wrapText="1"/>
      <protection hidden="1"/>
    </xf>
    <xf numFmtId="180" fontId="4" fillId="0" borderId="0" xfId="0" applyNumberFormat="1" applyFont="1" applyFill="1" applyBorder="1" applyAlignment="1" applyProtection="1">
      <alignment horizontal="center" vertical="center" wrapText="1"/>
      <protection hidden="1"/>
    </xf>
    <xf numFmtId="181" fontId="4" fillId="0" borderId="0" xfId="0" applyNumberFormat="1" applyFont="1" applyFill="1" applyBorder="1" applyAlignment="1" applyProtection="1">
      <alignment horizontal="center" vertical="center"/>
      <protection hidden="1"/>
    </xf>
    <xf numFmtId="0" fontId="5" fillId="5" borderId="0" xfId="0" applyNumberFormat="1" applyFont="1" applyFill="1">
      <alignment vertical="center"/>
    </xf>
    <xf numFmtId="0" fontId="6" fillId="0" borderId="0" xfId="0" applyNumberFormat="1" applyFont="1" applyAlignment="1">
      <alignment horizontal="left" vertical="center" wrapText="1"/>
    </xf>
    <xf numFmtId="0" fontId="0" fillId="0" borderId="5" xfId="0" applyNumberFormat="1" applyBorder="1" applyAlignment="1">
      <alignment vertical="center" wrapText="1"/>
    </xf>
    <xf numFmtId="0" fontId="0" fillId="0" borderId="0" xfId="0" applyNumberFormat="1">
      <alignment vertical="center"/>
    </xf>
    <xf numFmtId="0" fontId="7" fillId="6" borderId="6" xfId="0" applyNumberFormat="1" applyFont="1" applyFill="1" applyBorder="1" applyAlignment="1">
      <alignment horizontal="left" vertical="center" wrapText="1"/>
    </xf>
    <xf numFmtId="0" fontId="0" fillId="7" borderId="7" xfId="0" applyNumberFormat="1" applyFill="1" applyBorder="1" applyAlignment="1">
      <alignment vertical="center" wrapText="1"/>
    </xf>
    <xf numFmtId="0" fontId="0" fillId="7" borderId="7" xfId="0" applyNumberFormat="1" applyFill="1" applyBorder="1">
      <alignment vertical="center"/>
    </xf>
    <xf numFmtId="0" fontId="8" fillId="7" borderId="7" xfId="0" applyNumberFormat="1" applyFont="1" applyFill="1" applyBorder="1" applyAlignment="1">
      <alignment vertical="center" wrapText="1"/>
    </xf>
    <xf numFmtId="0" fontId="0" fillId="7" borderId="6" xfId="0" applyNumberFormat="1" applyFill="1" applyBorder="1" applyAlignment="1">
      <alignment vertical="center" wrapText="1"/>
    </xf>
    <xf numFmtId="0" fontId="0" fillId="7" borderId="6" xfId="0" applyNumberFormat="1" applyFill="1" applyBorder="1">
      <alignment vertical="center"/>
    </xf>
    <xf numFmtId="0" fontId="8" fillId="7" borderId="6" xfId="0" applyNumberFormat="1" applyFont="1" applyFill="1" applyBorder="1" applyAlignment="1">
      <alignment vertical="center" wrapText="1"/>
    </xf>
    <xf numFmtId="0" fontId="9" fillId="0" borderId="0" xfId="0" applyNumberFormat="1" applyFont="1" applyFill="1" applyBorder="1">
      <alignment vertical="center"/>
    </xf>
    <xf numFmtId="0" fontId="0" fillId="0" borderId="0" xfId="0" applyNumberFormat="1" applyFont="1" applyFill="1" applyAlignment="1">
      <alignment vertical="center"/>
    </xf>
    <xf numFmtId="176" fontId="10" fillId="0" borderId="0" xfId="0" applyFont="1" applyFill="1" applyBorder="1">
      <alignment vertical="center"/>
    </xf>
    <xf numFmtId="179" fontId="10" fillId="0" borderId="0" xfId="0" applyNumberFormat="1" applyFont="1" applyFill="1" applyBorder="1" applyProtection="1">
      <alignment vertical="center"/>
      <protection hidden="1"/>
    </xf>
    <xf numFmtId="179" fontId="11" fillId="0" borderId="0" xfId="0" applyNumberFormat="1" applyFont="1" applyFill="1" applyBorder="1" applyAlignment="1" applyProtection="1">
      <alignment horizontal="center" vertical="center" wrapText="1"/>
      <protection hidden="1"/>
    </xf>
    <xf numFmtId="179" fontId="11" fillId="0" borderId="0" xfId="0" applyNumberFormat="1" applyFont="1" applyFill="1" applyBorder="1" applyAlignment="1" applyProtection="1">
      <alignment horizontal="center" vertical="center"/>
      <protection hidden="1"/>
    </xf>
    <xf numFmtId="182" fontId="11" fillId="0" borderId="0" xfId="0" applyNumberFormat="1" applyFont="1" applyFill="1" applyBorder="1" applyAlignment="1" applyProtection="1">
      <alignment horizontal="center" vertical="center"/>
      <protection hidden="1"/>
    </xf>
    <xf numFmtId="180" fontId="11" fillId="0" borderId="0" xfId="0" applyNumberFormat="1" applyFont="1" applyFill="1" applyBorder="1" applyAlignment="1" applyProtection="1">
      <alignment horizontal="center" vertical="center"/>
      <protection hidden="1"/>
    </xf>
    <xf numFmtId="181" fontId="11" fillId="3" borderId="0" xfId="0" applyNumberFormat="1" applyFont="1" applyFill="1" applyBorder="1" applyAlignment="1" applyProtection="1">
      <alignment horizontal="right" vertical="center"/>
      <protection hidden="1"/>
    </xf>
    <xf numFmtId="179" fontId="11" fillId="3" borderId="0" xfId="0" applyNumberFormat="1" applyFont="1" applyFill="1" applyBorder="1" applyAlignment="1" applyProtection="1">
      <alignment horizontal="left" vertical="center"/>
      <protection hidden="1"/>
    </xf>
    <xf numFmtId="182" fontId="11" fillId="3" borderId="0" xfId="0" applyNumberFormat="1" applyFont="1" applyFill="1" applyBorder="1" applyAlignment="1" applyProtection="1">
      <alignment horizontal="left" vertical="center"/>
      <protection hidden="1"/>
    </xf>
    <xf numFmtId="179" fontId="11" fillId="0" borderId="0" xfId="0" applyNumberFormat="1" applyFont="1" applyFill="1" applyBorder="1" applyProtection="1">
      <alignment vertical="center"/>
      <protection hidden="1"/>
    </xf>
    <xf numFmtId="179" fontId="11" fillId="2" borderId="0" xfId="0" applyNumberFormat="1" applyFont="1" applyFill="1" applyBorder="1" applyAlignment="1" applyProtection="1">
      <alignment horizontal="center" vertical="center"/>
      <protection hidden="1"/>
    </xf>
    <xf numFmtId="180" fontId="11" fillId="2" borderId="0" xfId="0" applyNumberFormat="1" applyFont="1" applyFill="1" applyBorder="1" applyAlignment="1" applyProtection="1">
      <alignment horizontal="center" vertical="center"/>
      <protection locked="0" hidden="1"/>
    </xf>
    <xf numFmtId="179" fontId="11" fillId="3" borderId="0" xfId="0" applyNumberFormat="1" applyFont="1" applyFill="1" applyBorder="1" applyAlignment="1" applyProtection="1">
      <alignment horizontal="center" vertical="center"/>
      <protection hidden="1"/>
    </xf>
    <xf numFmtId="182" fontId="11" fillId="2" borderId="0" xfId="0" applyNumberFormat="1" applyFont="1" applyFill="1" applyBorder="1" applyAlignment="1" applyProtection="1">
      <alignment horizontal="center" vertical="center"/>
      <protection hidden="1"/>
    </xf>
    <xf numFmtId="179" fontId="11" fillId="8" borderId="0" xfId="0" applyNumberFormat="1" applyFont="1" applyFill="1" applyBorder="1" applyAlignment="1" applyProtection="1">
      <alignment horizontal="center" vertical="center"/>
      <protection hidden="1"/>
    </xf>
    <xf numFmtId="179" fontId="12" fillId="2" borderId="0" xfId="0" applyNumberFormat="1" applyFont="1" applyFill="1" applyBorder="1" applyAlignment="1" applyProtection="1">
      <alignment horizontal="center" vertical="center"/>
      <protection hidden="1"/>
    </xf>
    <xf numFmtId="179" fontId="11" fillId="3" borderId="0" xfId="0" applyNumberFormat="1" applyFont="1" applyFill="1" applyBorder="1" applyAlignment="1" applyProtection="1">
      <alignment horizontal="center" vertical="center" wrapText="1"/>
      <protection hidden="1"/>
    </xf>
    <xf numFmtId="182" fontId="11" fillId="3" borderId="0" xfId="0" applyNumberFormat="1" applyFont="1" applyFill="1" applyBorder="1" applyAlignment="1" applyProtection="1">
      <alignment horizontal="center" vertical="center" wrapText="1"/>
      <protection hidden="1"/>
    </xf>
    <xf numFmtId="180" fontId="11" fillId="3" borderId="0" xfId="0" applyNumberFormat="1" applyFont="1" applyFill="1" applyBorder="1" applyAlignment="1" applyProtection="1">
      <alignment horizontal="center" vertical="center"/>
      <protection hidden="1"/>
    </xf>
    <xf numFmtId="179" fontId="11" fillId="9" borderId="0" xfId="0" applyNumberFormat="1" applyFont="1" applyFill="1" applyBorder="1" applyAlignment="1" applyProtection="1">
      <alignment horizontal="center" vertical="center"/>
      <protection locked="0" hidden="1"/>
    </xf>
    <xf numFmtId="182" fontId="11" fillId="3" borderId="0" xfId="0" applyNumberFormat="1" applyFont="1" applyFill="1" applyBorder="1" applyAlignment="1" applyProtection="1">
      <alignment horizontal="center" vertical="center"/>
      <protection hidden="1"/>
    </xf>
    <xf numFmtId="183" fontId="11" fillId="0" borderId="0" xfId="0" applyNumberFormat="1" applyFont="1" applyFill="1" applyBorder="1" applyAlignment="1" applyProtection="1">
      <alignment horizontal="center" vertical="center"/>
      <protection hidden="1"/>
    </xf>
    <xf numFmtId="179" fontId="11" fillId="2" borderId="0" xfId="0" applyNumberFormat="1" applyFont="1" applyFill="1" applyBorder="1" applyAlignment="1" applyProtection="1">
      <alignment horizontal="center" vertical="center" wrapText="1"/>
      <protection hidden="1"/>
    </xf>
    <xf numFmtId="182" fontId="11" fillId="2" borderId="0" xfId="0" applyNumberFormat="1" applyFont="1" applyFill="1" applyBorder="1" applyAlignment="1" applyProtection="1">
      <alignment horizontal="center" vertical="center" wrapText="1"/>
      <protection hidden="1"/>
    </xf>
    <xf numFmtId="180" fontId="11" fillId="2" borderId="0" xfId="0" applyNumberFormat="1" applyFont="1" applyFill="1" applyBorder="1" applyAlignment="1" applyProtection="1">
      <alignment horizontal="center" vertical="center"/>
      <protection hidden="1"/>
    </xf>
    <xf numFmtId="180" fontId="11" fillId="0" borderId="0" xfId="0" applyNumberFormat="1" applyFont="1" applyFill="1" applyBorder="1" applyAlignment="1" applyProtection="1">
      <alignment horizontal="center" vertical="center" wrapText="1"/>
      <protection hidden="1"/>
    </xf>
    <xf numFmtId="179" fontId="11" fillId="0" borderId="0" xfId="0" applyNumberFormat="1" applyFont="1" applyFill="1" applyBorder="1" applyAlignment="1" applyProtection="1">
      <alignment horizontal="center" vertical="center" wrapText="1"/>
      <protection locked="0"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b val="1"/>
        <i val="0"/>
        <strike val="1"/>
        <u val="none"/>
      </font>
      <fill>
        <patternFill patternType="lightGray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lightGray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L62"/>
  <sheetViews>
    <sheetView workbookViewId="0">
      <pane ySplit="7" topLeftCell="A8" activePane="bottomLeft" state="frozen"/>
      <selection/>
      <selection pane="bottomLeft" activeCell="A1" sqref="A1:D1"/>
    </sheetView>
  </sheetViews>
  <sheetFormatPr defaultColWidth="36.5" defaultRowHeight="28.8"/>
  <cols>
    <col min="1" max="1" width="21.1428571428571" style="38" customWidth="1"/>
    <col min="2" max="2" width="15.7142857142857" style="38" customWidth="1"/>
    <col min="3" max="3" width="17.1428571428571" style="38" customWidth="1"/>
    <col min="4" max="5" width="12.1428571428571" style="38" customWidth="1"/>
    <col min="6" max="6" width="17.1428571428571" style="39" customWidth="1"/>
    <col min="7" max="7" width="21.1428571428571" style="40" customWidth="1"/>
    <col min="8" max="8" width="15.7142857142857" style="38" customWidth="1"/>
    <col min="9" max="9" width="13.1607142857143" style="38" customWidth="1"/>
    <col min="10" max="10" width="15.7142857142857" style="38" customWidth="1"/>
    <col min="11" max="11" width="19" style="38" customWidth="1"/>
    <col min="12" max="12" width="15.7142857142857" style="38" customWidth="1"/>
    <col min="13" max="16384" width="36.5" style="38"/>
  </cols>
  <sheetData>
    <row r="1" spans="1:12">
      <c r="A1" s="41">
        <f ca="1">TODAY()</f>
        <v>46134</v>
      </c>
      <c r="B1" s="41"/>
      <c r="C1" s="41"/>
      <c r="D1" s="41"/>
      <c r="E1" s="42" t="s">
        <v>0</v>
      </c>
      <c r="F1" s="43"/>
      <c r="G1" s="42"/>
      <c r="H1" s="42"/>
      <c r="I1" s="44"/>
      <c r="J1" s="38" t="s">
        <v>1</v>
      </c>
      <c r="K1" s="38" t="s">
        <v>2</v>
      </c>
      <c r="L1" s="38" t="s">
        <v>3</v>
      </c>
    </row>
    <row r="2" spans="1:12">
      <c r="A2" s="45" t="s">
        <v>4</v>
      </c>
      <c r="B2" s="46">
        <v>1.2</v>
      </c>
      <c r="C2" s="45" t="s">
        <v>5</v>
      </c>
      <c r="D2" s="47">
        <f>代码!K1</f>
        <v>0</v>
      </c>
      <c r="E2" s="47"/>
      <c r="F2" s="48" t="s">
        <v>6</v>
      </c>
      <c r="G2" s="49">
        <f>代码!K2</f>
        <v>0</v>
      </c>
      <c r="H2" s="49"/>
      <c r="J2" s="38">
        <f>COUNTIF(G8:G300,"&lt;1.0")</f>
        <v>0</v>
      </c>
      <c r="K2" s="38">
        <f>COUNTIFS(G8:G300,"&gt;=1.0",G8:G300,"&lt;=1.19")</f>
        <v>0</v>
      </c>
      <c r="L2" s="38">
        <f>COUNTIF(G8:G300,"&gt;1.2")</f>
        <v>0</v>
      </c>
    </row>
    <row r="3" s="35" customFormat="1" ht="51.2" spans="1:12">
      <c r="A3" s="50" t="s">
        <v>7</v>
      </c>
      <c r="B3" s="50"/>
      <c r="C3" s="50"/>
      <c r="D3" s="50"/>
      <c r="E3" s="50"/>
      <c r="F3" s="50"/>
      <c r="G3" s="50"/>
      <c r="H3" s="50"/>
      <c r="I3" s="38"/>
    </row>
    <row r="4" s="35" customFormat="1" ht="58" spans="1:12">
      <c r="A4" s="51" t="s">
        <v>8</v>
      </c>
      <c r="B4" s="51" t="s">
        <v>9</v>
      </c>
      <c r="C4" s="51" t="s">
        <v>10</v>
      </c>
      <c r="D4" s="51" t="s">
        <v>11</v>
      </c>
      <c r="E4" s="51" t="s">
        <v>12</v>
      </c>
      <c r="F4" s="52" t="s">
        <v>13</v>
      </c>
      <c r="G4" s="53" t="s">
        <v>14</v>
      </c>
      <c r="H4" s="51" t="s">
        <v>15</v>
      </c>
      <c r="I4" s="38"/>
      <c r="J4" s="38" t="s">
        <v>16</v>
      </c>
      <c r="K4" s="40" t="s">
        <v>17</v>
      </c>
      <c r="L4" s="40" t="s">
        <v>4</v>
      </c>
    </row>
    <row r="5" s="36" customFormat="1" spans="1:12">
      <c r="A5" s="54" t="s">
        <v>18</v>
      </c>
      <c r="B5" s="47" t="e" cm="1">
        <f t="array" ref="B5">_xlfn._xlws.FILTER(代码!$B$2:$H$300,代码!$A$2:$A$300=$A5,"")</f>
        <v>#N/A</v>
      </c>
      <c r="C5" s="47"/>
      <c r="D5" s="47"/>
      <c r="E5" s="47"/>
      <c r="F5" s="55"/>
      <c r="G5" s="53"/>
      <c r="H5" s="47"/>
      <c r="J5" s="38" t="s">
        <v>19</v>
      </c>
      <c r="K5" s="56" t="e">
        <f>(B5+D5+F5)/B2+N("（需补数量+确认数量+当日申请）/单袋比")</f>
        <v>#N/A</v>
      </c>
      <c r="L5" s="40" t="e">
        <f>(B5+D5)/(C5+E5)</f>
        <v>#N/A</v>
      </c>
    </row>
    <row r="6" s="36" customFormat="1" spans="1:12">
      <c r="A6" s="45"/>
      <c r="B6" s="45"/>
      <c r="C6" s="45"/>
      <c r="D6" s="45"/>
      <c r="E6" s="45"/>
      <c r="F6" s="45"/>
      <c r="G6" s="45"/>
      <c r="H6" s="45"/>
      <c r="I6" s="38"/>
      <c r="J6" s="38"/>
    </row>
    <row r="7" s="37" customFormat="1" ht="66" customHeight="1" spans="1:12">
      <c r="A7" s="57" t="str" cm="1">
        <f t="array" ref="A7:H7">_xlfn._xlws.SORT(_xlfn._xlws.FILTER(代码!A1:H300,代码!F1:F300&lt;&gt;0),6,-1)</f>
        <v>配送员名字</v>
      </c>
      <c r="B7" s="57" t="str">
        <v>确认申领商品数量</v>
      </c>
      <c r="C7" s="57" t="str">
        <v>o2o签收单量</v>
      </c>
      <c r="D7" s="57" t="str">
        <v>今日
已申请</v>
      </c>
      <c r="E7" s="57" t="str">
        <v>今日
配送单</v>
      </c>
      <c r="F7" s="58" t="str">
        <v>需要
申请数量</v>
      </c>
      <c r="G7" s="59" t="str">
        <v>目前
单袋比</v>
      </c>
      <c r="H7" s="57" t="str">
        <v>当前状态</v>
      </c>
      <c r="I7" s="60"/>
      <c r="J7" s="61" t="str" cm="1">
        <f t="array" ref="J7:L7">_xlfn._xlws.SORT(_xlfn._xlws.FILTER(代码!O1:Q200,代码!P1:P200&lt;&gt;0),2,-1)</f>
        <v>挂零人员</v>
      </c>
      <c r="K7" s="37" t="str">
        <v>计费单量</v>
      </c>
      <c r="L7" s="37" t="str">
        <v>须补数量</v>
      </c>
    </row>
    <row r="8" spans="1:12">
      <c r="I8" s="37"/>
    </row>
    <row r="9" spans="1:12">
      <c r="I9" s="37"/>
    </row>
    <row r="10" spans="1:12">
      <c r="I10" s="37"/>
    </row>
    <row r="11" spans="1:12">
      <c r="I11" s="37"/>
    </row>
    <row r="12" spans="1:12">
      <c r="I12" s="37"/>
    </row>
    <row r="13" spans="1:12">
      <c r="I13" s="37"/>
    </row>
    <row r="14" spans="1:12">
      <c r="I14" s="37"/>
    </row>
    <row r="15" spans="1:12">
      <c r="I15" s="37"/>
    </row>
    <row r="16" spans="1:12">
      <c r="I16" s="37"/>
    </row>
    <row r="17" spans="9:9">
      <c r="I17" s="37"/>
    </row>
    <row r="18" spans="9:9">
      <c r="I18" s="37"/>
    </row>
    <row r="19" spans="9:9">
      <c r="I19" s="37"/>
    </row>
    <row r="20" spans="9:9">
      <c r="I20" s="37"/>
    </row>
    <row r="21" spans="9:9">
      <c r="I21" s="37"/>
    </row>
    <row r="22" spans="9:9">
      <c r="I22" s="37"/>
    </row>
    <row r="23" spans="9:9">
      <c r="I23" s="37"/>
    </row>
    <row r="24" spans="9:9">
      <c r="I24" s="37"/>
    </row>
    <row r="25" spans="9:9">
      <c r="I25" s="37"/>
    </row>
    <row r="26" spans="9:9">
      <c r="I26" s="37"/>
    </row>
    <row r="27" spans="9:9">
      <c r="I27" s="37"/>
    </row>
    <row r="28" spans="9:9">
      <c r="I28" s="37"/>
    </row>
    <row r="29" spans="9:9">
      <c r="I29" s="37"/>
    </row>
    <row r="30" spans="9:9">
      <c r="I30" s="37"/>
    </row>
    <row r="31" spans="9:9">
      <c r="I31" s="37"/>
    </row>
    <row r="32" spans="9:9">
      <c r="I32" s="37"/>
    </row>
    <row r="33" spans="9:9">
      <c r="I33" s="37"/>
    </row>
    <row r="34" spans="9:9">
      <c r="I34" s="37"/>
    </row>
    <row r="35" spans="9:9">
      <c r="I35" s="37"/>
    </row>
    <row r="36" spans="9:9">
      <c r="I36" s="37"/>
    </row>
    <row r="37" spans="9:9">
      <c r="I37" s="37"/>
    </row>
    <row r="38" spans="9:9">
      <c r="I38" s="37"/>
    </row>
    <row r="39" spans="9:9">
      <c r="I39" s="37"/>
    </row>
    <row r="40" spans="9:9">
      <c r="I40" s="37"/>
    </row>
    <row r="41" spans="9:9">
      <c r="I41" s="37"/>
    </row>
    <row r="42" spans="9:9">
      <c r="I42" s="37"/>
    </row>
    <row r="43" spans="9:9">
      <c r="I43" s="37"/>
    </row>
    <row r="44" spans="9:9">
      <c r="I44" s="37"/>
    </row>
    <row r="45" spans="9:9">
      <c r="I45" s="37"/>
    </row>
    <row r="46" spans="9:9">
      <c r="I46" s="37"/>
    </row>
    <row r="47" spans="9:9">
      <c r="I47" s="37"/>
    </row>
    <row r="48" spans="9:9">
      <c r="I48" s="37"/>
    </row>
    <row r="49" spans="9:9">
      <c r="I49" s="37"/>
    </row>
    <row r="50" spans="9:9">
      <c r="I50" s="37"/>
    </row>
    <row r="51" spans="9:9">
      <c r="I51" s="37"/>
    </row>
    <row r="52" spans="9:9">
      <c r="I52" s="37"/>
    </row>
    <row r="53" spans="9:9">
      <c r="I53" s="37"/>
    </row>
    <row r="54" spans="9:9">
      <c r="I54" s="37"/>
    </row>
    <row r="55" spans="9:9">
      <c r="I55" s="37"/>
    </row>
    <row r="56" spans="9:9">
      <c r="I56" s="37"/>
    </row>
    <row r="57" spans="9:9">
      <c r="I57" s="37"/>
    </row>
    <row r="58" spans="9:9">
      <c r="I58" s="37"/>
    </row>
    <row r="59" spans="9:9">
      <c r="I59" s="37"/>
    </row>
    <row r="60" spans="9:9">
      <c r="I60" s="37"/>
    </row>
    <row r="61" spans="9:9">
      <c r="I61" s="37"/>
    </row>
    <row r="62" spans="9:9">
      <c r="I62" s="37"/>
    </row>
  </sheetData>
  <sheetProtection sheet="1" objects="1"/>
  <sortState ref="A3:H81">
    <sortCondition ref="F6:F81" descending="1"/>
  </sortState>
  <mergeCells count="6">
    <mergeCell ref="A1:D1"/>
    <mergeCell ref="E1:H1"/>
    <mergeCell ref="D2:E2"/>
    <mergeCell ref="G2:H2"/>
    <mergeCell ref="A3:H3"/>
    <mergeCell ref="A6:H6"/>
  </mergeCells>
  <conditionalFormatting sqref="A4:H4">
    <cfRule type="notContainsBlanks" dxfId="0" priority="15">
      <formula>LEN(TRIM(A4))&gt;0</formula>
    </cfRule>
  </conditionalFormatting>
  <conditionalFormatting sqref="H4">
    <cfRule type="containsText" dxfId="1" priority="14" operator="between" text="下线">
      <formula>NOT(ISERROR(SEARCH("下线",H4)))</formula>
    </cfRule>
    <cfRule type="containsText" dxfId="2" priority="13" operator="between" text="小休">
      <formula>NOT(ISERROR(SEARCH("小休",H4)))</formula>
    </cfRule>
  </conditionalFormatting>
  <conditionalFormatting sqref="D5">
    <cfRule type="cellIs" dxfId="3" priority="6" operator="between">
      <formula>20</formula>
      <formula>10000</formula>
    </cfRule>
  </conditionalFormatting>
  <conditionalFormatting sqref="E5">
    <cfRule type="cellIs" dxfId="4" priority="5" operator="between">
      <formula>3</formula>
      <formula>100</formula>
    </cfRule>
  </conditionalFormatting>
  <conditionalFormatting sqref="F5">
    <cfRule type="cellIs" dxfId="5" priority="2" operator="greaterThan">
      <formula>50</formula>
    </cfRule>
  </conditionalFormatting>
  <conditionalFormatting sqref="H5">
    <cfRule type="containsText" dxfId="1" priority="4" operator="between" text="下线">
      <formula>NOT(ISERROR(SEARCH("下线",H5)))</formula>
    </cfRule>
    <cfRule type="containsText" dxfId="2" priority="3" operator="between" text="小休">
      <formula>NOT(ISERROR(SEARCH("小休",H5)))</formula>
    </cfRule>
  </conditionalFormatting>
  <conditionalFormatting sqref="J5">
    <cfRule type="notContainsBlanks" dxfId="0" priority="17">
      <formula>LEN(TRIM(J5))&gt;0</formula>
    </cfRule>
  </conditionalFormatting>
  <conditionalFormatting sqref="A6">
    <cfRule type="notContainsBlanks" dxfId="0" priority="20">
      <formula>LEN(TRIM(A6))&gt;0</formula>
    </cfRule>
  </conditionalFormatting>
  <conditionalFormatting sqref="D8:D1002">
    <cfRule type="cellIs" dxfId="3" priority="22" operator="between">
      <formula>20</formula>
      <formula>10000</formula>
    </cfRule>
  </conditionalFormatting>
  <conditionalFormatting sqref="E8:E1003">
    <cfRule type="cellIs" dxfId="4" priority="21" operator="between">
      <formula>3</formula>
      <formula>100</formula>
    </cfRule>
  </conditionalFormatting>
  <conditionalFormatting sqref="F8:F201">
    <cfRule type="cellIs" dxfId="5" priority="16" operator="greaterThan">
      <formula>50</formula>
    </cfRule>
  </conditionalFormatting>
  <conditionalFormatting sqref="H$1:H$1048576">
    <cfRule type="containsText" dxfId="6" priority="1" operator="between" text="缺勤">
      <formula>NOT(ISERROR(SEARCH("缺勤",H1)))</formula>
    </cfRule>
  </conditionalFormatting>
  <conditionalFormatting sqref="$A1:$XFD2 A5:H5 A7:I1048576 A3 I3:I4 I6 J4 K4:L5 J6:XFD1048576 M3:XFD5 L3">
    <cfRule type="notContainsBlanks" dxfId="0" priority="23">
      <formula>LEN(TRIM(A1))&gt;0</formula>
    </cfRule>
  </conditionalFormatting>
  <conditionalFormatting sqref="H1:H3 H6:H1048576">
    <cfRule type="containsText" dxfId="2" priority="18" operator="between" text="小休">
      <formula>NOT(ISERROR(SEARCH("小休",H1)))</formula>
    </cfRule>
    <cfRule type="containsText" dxfId="1" priority="19" operator="between" text="下线">
      <formula>NOT(ISERROR(SEARCH("下线",H1)))</formula>
    </cfRule>
  </conditionalFormatting>
  <dataValidations count="1">
    <dataValidation type="list" allowBlank="1" showInputMessage="1" showErrorMessage="1" sqref="A5">
      <formula1>代码!$A:$A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Z1"/>
  <sheetViews>
    <sheetView tabSelected="1" workbookViewId="0">
      <selection activeCell="A1" sqref="A1:Q1"/>
    </sheetView>
  </sheetViews>
  <sheetFormatPr defaultColWidth="8.35714285714286" defaultRowHeight="16.8"/>
  <cols>
    <col min="1" max="2" width="9.57142857142857" style="34" customWidth="1"/>
    <col min="3" max="3" width="11.7142857142857" style="34" customWidth="1"/>
    <col min="4" max="4" width="16.2142857142857" style="34" customWidth="1"/>
    <col min="5" max="5" width="22.9285714285714" style="34" customWidth="1"/>
    <col min="6" max="7" width="36.3571428571429" style="34" customWidth="1"/>
    <col min="8" max="8" width="33.2857142857143" style="34" customWidth="1"/>
    <col min="9" max="9" width="20.0714285714286" style="34" customWidth="1"/>
    <col min="10" max="10" width="11.7142857142857" style="34" customWidth="1"/>
    <col min="11" max="12" width="14" style="34" customWidth="1"/>
    <col min="13" max="13" width="22.7857142857143" style="34" customWidth="1"/>
    <col min="14" max="14" width="16.2142857142857" style="34" customWidth="1"/>
    <col min="15" max="15" width="22.7857142857143" style="34" customWidth="1"/>
    <col min="16" max="16" width="9.57142857142857" style="34" customWidth="1"/>
    <col min="17" max="17" width="14" style="34" customWidth="1"/>
    <col min="18" max="18" width="11.7142857142857" style="34" customWidth="1"/>
    <col min="19" max="20" width="9.57142857142857" style="34" customWidth="1"/>
    <col min="21" max="21" width="16.2142857142857" style="34" customWidth="1"/>
    <col min="22" max="22" width="18.4285714285714" style="34" customWidth="1"/>
    <col min="23" max="23" width="11.7142857142857" style="34" customWidth="1"/>
    <col min="24" max="24" width="9.57142857142857" style="34" customWidth="1"/>
    <col min="25" max="28" width="16.2142857142857" style="34" customWidth="1"/>
    <col min="29" max="30" width="11.7142857142857" style="34" customWidth="1"/>
    <col min="31" max="33" width="12.7857142857143" style="34" customWidth="1"/>
    <col min="34" max="35" width="11.7142857142857" style="34" customWidth="1"/>
    <col min="36" max="37" width="12.7857142857143" style="34" customWidth="1"/>
    <col min="38" max="38" width="16.2142857142857" style="34" customWidth="1"/>
    <col min="39" max="39" width="18.4285714285714" style="34" customWidth="1"/>
    <col min="40" max="40" width="16.7142857142857" style="34" customWidth="1"/>
    <col min="41" max="41" width="18.9285714285714" style="34" customWidth="1"/>
    <col min="42" max="42" width="9.57142857142857" style="34" customWidth="1"/>
    <col min="43" max="43" width="11.7142857142857" style="34" customWidth="1"/>
    <col min="44" max="44" width="12.7142857142857" style="34" customWidth="1"/>
    <col min="45" max="47" width="12.6428571428571" style="34" customWidth="1"/>
    <col min="48" max="48" width="18.4285714285714" style="34" customWidth="1"/>
    <col min="49" max="49" width="16.2142857142857" style="34" customWidth="1"/>
    <col min="50" max="50" width="17.1428571428571" style="34" customWidth="1"/>
    <col min="51" max="51" width="17.0714285714286" style="34" customWidth="1"/>
    <col min="52" max="52" width="9.57142857142857" style="34" customWidth="1"/>
    <col min="53" max="16384" width="8.35714285714286" style="34"/>
  </cols>
  <sheetData/>
  <sortState ref="A3:AZ66">
    <sortCondition ref="W12" descending="1"/>
  </sortState>
  <mergeCells count="4">
    <mergeCell ref="A1:Q1"/>
    <mergeCell ref="S1:U1"/>
    <mergeCell ref="V1:AO1"/>
    <mergeCell ref="AP1:AZ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048515:A1048576"/>
  <sheetViews>
    <sheetView workbookViewId="0">
      <selection activeCell="A1" sqref="A1"/>
    </sheetView>
  </sheetViews>
  <sheetFormatPr defaultColWidth="8.33035714285714" defaultRowHeight="16.8"/>
  <cols>
    <col min="1" max="2" width="9.5" style="34" customWidth="1"/>
    <col min="3" max="3" width="18.8303571428571" style="34" customWidth="1"/>
    <col min="4" max="4" width="9.33035714285714" style="34" customWidth="1"/>
    <col min="5" max="5" width="9.5" style="34" customWidth="1"/>
    <col min="6" max="6" width="11.5" style="34" customWidth="1"/>
    <col min="7" max="7" width="11.8303571428571" style="34" customWidth="1"/>
    <col min="8" max="8" width="7.16071428571429" style="34" customWidth="1"/>
    <col min="9" max="9" width="16.3303571428571" style="34" customWidth="1"/>
    <col min="10" max="10" width="11.5" style="34" customWidth="1"/>
    <col min="11" max="11" width="23" style="34" customWidth="1"/>
    <col min="12" max="12" width="9.5" style="34" customWidth="1"/>
    <col min="13" max="13" width="8" style="34" customWidth="1"/>
    <col min="14" max="14" width="9.5" style="34" customWidth="1"/>
    <col min="15" max="15" width="18.5" style="34" customWidth="1"/>
    <col min="16" max="16" width="12.8303571428571" style="34" customWidth="1"/>
    <col min="17" max="17" width="12" style="34" customWidth="1"/>
    <col min="18" max="16384" width="8.33035714285714" style="34"/>
  </cols>
  <sheetData>
    <row r="1048515" s="25" customFormat="1"/>
    <row r="1048516" s="25" customFormat="1"/>
    <row r="1048517" s="25" customFormat="1"/>
    <row r="1048518" s="25" customFormat="1"/>
    <row r="1048519" s="25" customFormat="1"/>
    <row r="1048520" s="25" customFormat="1"/>
    <row r="1048521" s="25" customFormat="1"/>
    <row r="1048522" s="25" customFormat="1"/>
    <row r="1048523" s="25" customFormat="1"/>
    <row r="1048524" s="25" customFormat="1"/>
    <row r="1048525" s="25" customFormat="1"/>
    <row r="1048526" s="25" customFormat="1"/>
    <row r="1048527" s="25" customFormat="1"/>
    <row r="1048528" s="25" customFormat="1"/>
    <row r="1048529" s="25" customFormat="1"/>
    <row r="1048530" s="25" customFormat="1"/>
    <row r="1048531" s="25" customFormat="1"/>
    <row r="1048532" s="25" customFormat="1"/>
    <row r="1048533" s="25" customFormat="1"/>
    <row r="1048534" s="25" customFormat="1"/>
    <row r="1048535" s="25" customFormat="1"/>
    <row r="1048536" s="25" customFormat="1"/>
    <row r="1048537" s="25" customFormat="1"/>
    <row r="1048538" s="25" customFormat="1"/>
    <row r="1048539" s="25" customFormat="1"/>
    <row r="1048540" s="25" customFormat="1"/>
    <row r="1048541" s="25" customFormat="1"/>
    <row r="1048542" s="25" customFormat="1"/>
    <row r="1048543" s="25" customFormat="1"/>
    <row r="1048544" s="25" customFormat="1"/>
    <row r="1048545" s="25" customFormat="1"/>
    <row r="1048546" s="25" customFormat="1"/>
    <row r="1048547" s="25" customFormat="1"/>
    <row r="1048548" s="25" customFormat="1"/>
    <row r="1048549" s="25" customFormat="1"/>
    <row r="1048550" s="25" customFormat="1"/>
    <row r="1048551" s="25" customFormat="1"/>
    <row r="1048552" s="25" customFormat="1"/>
    <row r="1048553" s="25" customFormat="1"/>
    <row r="1048554" s="25" customFormat="1"/>
    <row r="1048555" s="25" customFormat="1"/>
    <row r="1048556" s="25" customFormat="1"/>
    <row r="1048557" s="25" customFormat="1"/>
    <row r="1048558" s="25" customFormat="1"/>
    <row r="1048559" s="25" customFormat="1"/>
    <row r="1048560" s="25" customFormat="1"/>
    <row r="1048561" s="25" customFormat="1"/>
    <row r="1048562" s="25" customFormat="1"/>
    <row r="1048563" s="25" customFormat="1"/>
    <row r="1048564" s="25" customFormat="1"/>
    <row r="1048565" s="25" customFormat="1"/>
    <row r="1048566" s="25" customFormat="1"/>
    <row r="1048567" s="25" customFormat="1"/>
    <row r="1048568" s="25" customFormat="1"/>
    <row r="1048569" s="25" customFormat="1"/>
    <row r="1048570" s="25" customFormat="1"/>
    <row r="1048571" s="25" customFormat="1"/>
    <row r="1048572" s="25" customFormat="1"/>
    <row r="1048573" s="25" customFormat="1"/>
    <row r="1048574" s="25" customFormat="1"/>
    <row r="1048575" s="25" customFormat="1"/>
    <row r="1048576" s="25" customFormat="1"/>
  </sheetData>
  <sortState ref="A2:Q79">
    <sortCondition ref="P77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46"/>
  <sheetViews>
    <sheetView workbookViewId="0">
      <selection activeCell="A1" sqref="A1"/>
    </sheetView>
  </sheetViews>
  <sheetFormatPr defaultColWidth="110.714285714286" defaultRowHeight="17.6"/>
  <cols>
    <col min="1" max="1" width="40.8928571428571" style="33" customWidth="1"/>
    <col min="2" max="2" width="19.2142857142857" style="33" customWidth="1"/>
    <col min="3" max="3" width="17.5" style="33" customWidth="1"/>
    <col min="4" max="4" width="11.6071428571429" style="33" customWidth="1"/>
    <col min="5" max="5" width="13.75" style="33" customWidth="1"/>
    <col min="6" max="6" width="36.9642857142857" style="33" customWidth="1"/>
    <col min="7" max="7" width="15.0714285714286" style="33" customWidth="1"/>
    <col min="8" max="8" width="7.32142857142857" style="33" customWidth="1"/>
    <col min="9" max="9" width="9.46428571428571" style="33" customWidth="1"/>
    <col min="10" max="10" width="19.2142857142857" style="33" customWidth="1"/>
    <col min="11" max="11" width="7.32142857142857" style="33" customWidth="1"/>
    <col min="12" max="16384" width="110.714285714286" style="33" customWidth="1"/>
  </cols>
  <sheetData>
    <row r="1" spans="1:1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1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1:1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1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1:1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 spans="1:1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 spans="1:1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spans="1:1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spans="1:1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spans="1:1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 spans="1:1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 spans="1:1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spans="1:1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spans="1:1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 spans="1:1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 spans="1:1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 spans="1:1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spans="1:1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 spans="1:1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 spans="1:1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 spans="1:1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 spans="1:1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</row>
    <row r="47" spans="1:1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 spans="1:1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 spans="1:1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 spans="1:1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 spans="1:1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</row>
    <row r="52" spans="1:1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</row>
    <row r="53" spans="1:1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spans="1:1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</row>
    <row r="55" spans="1:1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 spans="1:1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 spans="1:1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 spans="1:1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spans="1:1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 spans="1:1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</row>
    <row r="61" spans="1:1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</row>
    <row r="62" spans="1:1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</row>
    <row r="63" spans="1:1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 spans="1:1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</row>
    <row r="65" spans="1:1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</row>
    <row r="66" spans="1:1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</row>
    <row r="67" spans="1:1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</row>
    <row r="68" spans="1:1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</row>
    <row r="69" spans="1:1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 spans="1:1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</row>
    <row r="71" spans="1:1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 spans="1:1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</row>
    <row r="73" spans="1:1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</row>
    <row r="74" spans="1:1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</row>
    <row r="75" spans="1:1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</row>
    <row r="76" spans="1:1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</row>
    <row r="77" spans="1:1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</row>
    <row r="78" spans="1:1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</row>
    <row r="79" spans="1:1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</row>
    <row r="80" spans="1:1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</row>
    <row r="81" spans="1:1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</row>
    <row r="82" spans="1:1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</row>
    <row r="85" spans="1:1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</row>
    <row r="86" spans="1:1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</row>
    <row r="87" spans="1:1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</row>
    <row r="88" spans="1:1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</row>
    <row r="89" spans="1:1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</row>
    <row r="90" spans="1:1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</row>
    <row r="91" spans="1:1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</row>
    <row r="92" spans="1:1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</row>
    <row r="93" spans="1:1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</row>
    <row r="94" spans="1:1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</row>
    <row r="95" spans="1:1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 spans="1:1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</row>
    <row r="97" spans="1:1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 spans="1:1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</row>
    <row r="99" spans="1:1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</row>
    <row r="100" spans="1:1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</row>
    <row r="101" spans="1:1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</row>
    <row r="102" spans="1:1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1:1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1:1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</row>
    <row r="105" spans="1:1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</row>
    <row r="106" spans="1:1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</row>
    <row r="107" spans="1:1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</row>
    <row r="108" spans="1:1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</row>
    <row r="109" spans="1:1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</row>
    <row r="110" spans="1:1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</row>
    <row r="111" spans="1: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</row>
    <row r="112" spans="1:1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 spans="1:1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  <row r="114" spans="1:1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</row>
    <row r="115" spans="1:1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</row>
    <row r="116" spans="1:1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</row>
    <row r="117" spans="1:1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</row>
    <row r="118" spans="1:1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  <row r="119" spans="1:1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 spans="1:1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</row>
    <row r="121" spans="1:1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</row>
    <row r="122" spans="1:1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</row>
    <row r="123" spans="1:1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 spans="1:1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</row>
    <row r="125" spans="1:1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 spans="1:1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</row>
    <row r="129" spans="1:1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</row>
    <row r="130" spans="1:1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</row>
    <row r="131" spans="1:1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 spans="1:1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 spans="1:1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</row>
    <row r="134" spans="1:1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</row>
    <row r="135" spans="1:1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</row>
    <row r="136" spans="1:1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</row>
    <row r="137" spans="1:1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</row>
    <row r="138" spans="1:1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</row>
    <row r="139" spans="1:1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</row>
    <row r="140" spans="1:1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 spans="1:1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</row>
    <row r="142" spans="1:1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 spans="1:1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  <row r="144" spans="1:1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 spans="1:1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</row>
    <row r="146" spans="1:1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</sheetData>
  <sortState ref="A2:K107">
    <sortCondition ref="F2:F107" descending="1"/>
  </sortState>
  <conditionalFormatting sqref="A3:K1000 A1:K1">
    <cfRule type="expression" dxfId="7" priority="1">
      <formula>AND(NOT(ISBLANK($F1)),ISERROR(SEARCH("配送降解",$F1)))</formula>
    </cfRule>
    <cfRule type="expression" dxfId="8" priority="3">
      <formula>IF($H1="拒绝",TRUE)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80"/>
  <sheetViews>
    <sheetView workbookViewId="0">
      <selection activeCell="A1" sqref="A1"/>
    </sheetView>
  </sheetViews>
  <sheetFormatPr defaultColWidth="25.1607142857143" defaultRowHeight="15.2"/>
  <cols>
    <col min="1" max="1" width="6.83035714285714" style="22" customWidth="1"/>
    <col min="2" max="2" width="4.83035714285714" style="22" customWidth="1"/>
    <col min="3" max="3" width="12.8303571428571" style="22" customWidth="1"/>
    <col min="4" max="5" width="8.66071428571429" style="22" customWidth="1"/>
    <col min="6" max="6" width="19.5" style="22" customWidth="1"/>
    <col min="7" max="8" width="8.66071428571429" style="22" customWidth="1"/>
    <col min="9" max="9" width="20.8303571428571" style="22" customWidth="1"/>
    <col min="10" max="10" width="25.1607142857143" style="22" customWidth="1"/>
    <col min="11" max="16384" width="25.1607142857143" style="22"/>
  </cols>
  <sheetData>
    <row r="1" ht="17.55" spans="1:9">
      <c r="A1" s="26"/>
      <c r="B1" s="26"/>
      <c r="C1" s="26"/>
      <c r="D1" s="26"/>
      <c r="E1" s="26"/>
      <c r="F1" s="26"/>
      <c r="G1" s="26"/>
      <c r="H1" s="26"/>
      <c r="I1" s="26"/>
    </row>
    <row r="2" ht="17.55" spans="1:9">
      <c r="A2" s="27"/>
      <c r="B2" s="28"/>
      <c r="C2" s="27"/>
      <c r="D2" s="27"/>
      <c r="E2" s="27"/>
      <c r="F2" s="27"/>
      <c r="G2" s="27"/>
      <c r="H2" s="27"/>
      <c r="I2" s="29"/>
    </row>
    <row r="3" ht="17.55" spans="1:9">
      <c r="A3" s="30"/>
      <c r="B3" s="31"/>
      <c r="C3" s="30"/>
      <c r="D3" s="30"/>
      <c r="E3" s="30"/>
      <c r="F3" s="30"/>
      <c r="G3" s="30"/>
      <c r="H3" s="30"/>
      <c r="I3" s="32"/>
    </row>
    <row r="4" ht="17.55" spans="1:9">
      <c r="A4" s="30"/>
      <c r="B4" s="31"/>
      <c r="C4" s="30"/>
      <c r="D4" s="30"/>
      <c r="E4" s="30"/>
      <c r="F4" s="30"/>
      <c r="G4" s="30"/>
      <c r="H4" s="30"/>
      <c r="I4" s="32"/>
    </row>
    <row r="5" ht="17.55" spans="1:9">
      <c r="A5" s="30"/>
      <c r="B5" s="31"/>
      <c r="C5" s="30"/>
      <c r="D5" s="30"/>
      <c r="E5" s="30"/>
      <c r="F5" s="30"/>
      <c r="G5" s="30"/>
      <c r="H5" s="30"/>
      <c r="I5" s="32"/>
    </row>
    <row r="6" ht="17.55" spans="1:9">
      <c r="A6" s="30"/>
      <c r="B6" s="31"/>
      <c r="C6" s="30"/>
      <c r="D6" s="30"/>
      <c r="E6" s="30"/>
      <c r="F6" s="30"/>
      <c r="G6" s="30"/>
      <c r="H6" s="30"/>
      <c r="I6" s="32"/>
    </row>
    <row r="7" ht="17.55" spans="1:9">
      <c r="A7" s="30"/>
      <c r="B7" s="31"/>
      <c r="C7" s="30"/>
      <c r="D7" s="30"/>
      <c r="E7" s="30"/>
      <c r="F7" s="30"/>
      <c r="G7" s="30"/>
      <c r="H7" s="30"/>
      <c r="I7" s="32"/>
    </row>
    <row r="8" ht="17.55" spans="1:9">
      <c r="A8" s="30"/>
      <c r="B8" s="31"/>
      <c r="C8" s="30"/>
      <c r="D8" s="30"/>
      <c r="E8" s="30"/>
      <c r="F8" s="30"/>
      <c r="G8" s="30"/>
      <c r="H8" s="30"/>
      <c r="I8" s="32"/>
    </row>
    <row r="9" ht="17.55" spans="1:9">
      <c r="A9" s="30"/>
      <c r="B9" s="31"/>
      <c r="C9" s="30"/>
      <c r="D9" s="30"/>
      <c r="E9" s="30"/>
      <c r="F9" s="30"/>
      <c r="G9" s="30"/>
      <c r="H9" s="30"/>
      <c r="I9" s="32"/>
    </row>
    <row r="10" ht="17.55" spans="1:9">
      <c r="A10" s="30"/>
      <c r="B10" s="31"/>
      <c r="C10" s="30"/>
      <c r="D10" s="30"/>
      <c r="E10" s="30"/>
      <c r="F10" s="30"/>
      <c r="G10" s="30"/>
      <c r="H10" s="30"/>
      <c r="I10" s="32"/>
    </row>
    <row r="11" ht="17.55" spans="1:9">
      <c r="A11" s="30"/>
      <c r="B11" s="31"/>
      <c r="C11" s="30"/>
      <c r="D11" s="30"/>
      <c r="E11" s="30"/>
      <c r="F11" s="30"/>
      <c r="G11" s="30"/>
      <c r="H11" s="30"/>
      <c r="I11" s="32"/>
    </row>
    <row r="12" ht="17.55" spans="1:9">
      <c r="A12" s="30"/>
      <c r="B12" s="31"/>
      <c r="C12" s="30"/>
      <c r="D12" s="30"/>
      <c r="E12" s="30"/>
      <c r="F12" s="30"/>
      <c r="G12" s="30"/>
      <c r="H12" s="30"/>
      <c r="I12" s="32"/>
    </row>
    <row r="13" ht="17.55" spans="1:9">
      <c r="A13" s="30"/>
      <c r="B13" s="31"/>
      <c r="C13" s="30"/>
      <c r="D13" s="30"/>
      <c r="E13" s="30"/>
      <c r="F13" s="30"/>
      <c r="G13" s="30"/>
      <c r="H13" s="30"/>
      <c r="I13" s="32"/>
    </row>
    <row r="14" ht="17.55" spans="1:9">
      <c r="A14" s="30"/>
      <c r="B14" s="31"/>
      <c r="C14" s="30"/>
      <c r="D14" s="30"/>
      <c r="E14" s="30"/>
      <c r="F14" s="30"/>
      <c r="G14" s="30"/>
      <c r="H14" s="30"/>
      <c r="I14" s="32"/>
    </row>
    <row r="15" ht="17.55" spans="1:9">
      <c r="A15" s="30"/>
      <c r="B15" s="31"/>
      <c r="C15" s="30"/>
      <c r="D15" s="30"/>
      <c r="E15" s="30"/>
      <c r="F15" s="30"/>
      <c r="G15" s="30"/>
      <c r="H15" s="30"/>
      <c r="I15" s="32"/>
    </row>
    <row r="16" ht="17.55" spans="1:9">
      <c r="A16" s="30"/>
      <c r="B16" s="31"/>
      <c r="C16" s="30"/>
      <c r="D16" s="30"/>
      <c r="E16" s="30"/>
      <c r="F16" s="30"/>
      <c r="G16" s="30"/>
      <c r="H16" s="30"/>
      <c r="I16" s="32"/>
    </row>
    <row r="17" ht="17.55" spans="1:9">
      <c r="A17" s="30"/>
      <c r="B17" s="31"/>
      <c r="C17" s="30"/>
      <c r="D17" s="30"/>
      <c r="E17" s="30"/>
      <c r="F17" s="30"/>
      <c r="G17" s="30"/>
      <c r="H17" s="30"/>
      <c r="I17" s="32"/>
    </row>
    <row r="18" ht="17.55" spans="1:9">
      <c r="A18" s="30"/>
      <c r="B18" s="31"/>
      <c r="C18" s="30"/>
      <c r="D18" s="30"/>
      <c r="E18" s="30"/>
      <c r="F18" s="30"/>
      <c r="G18" s="30"/>
      <c r="H18" s="30"/>
      <c r="I18" s="32"/>
    </row>
    <row r="19" ht="17.55" spans="1:9">
      <c r="A19" s="30"/>
      <c r="B19" s="31"/>
      <c r="C19" s="30"/>
      <c r="D19" s="30"/>
      <c r="E19" s="30"/>
      <c r="F19" s="30"/>
      <c r="G19" s="30"/>
      <c r="H19" s="30"/>
      <c r="I19" s="32"/>
    </row>
    <row r="20" ht="17.55" spans="1:9">
      <c r="A20" s="30"/>
      <c r="B20" s="31"/>
      <c r="C20" s="30"/>
      <c r="D20" s="30"/>
      <c r="E20" s="30"/>
      <c r="F20" s="30"/>
      <c r="G20" s="30"/>
      <c r="H20" s="30"/>
      <c r="I20" s="32"/>
    </row>
    <row r="21" ht="17.55" spans="1:9">
      <c r="A21" s="30"/>
      <c r="B21" s="31"/>
      <c r="C21" s="30"/>
      <c r="D21" s="30"/>
      <c r="E21" s="30"/>
      <c r="F21" s="30"/>
      <c r="G21" s="30"/>
      <c r="H21" s="30"/>
      <c r="I21" s="32"/>
    </row>
    <row r="22" ht="17.55" spans="1:9">
      <c r="A22" s="30"/>
      <c r="B22" s="31"/>
      <c r="C22" s="30"/>
      <c r="D22" s="30"/>
      <c r="E22" s="30"/>
      <c r="F22" s="30"/>
      <c r="G22" s="30"/>
      <c r="H22" s="30"/>
      <c r="I22" s="32"/>
    </row>
    <row r="23" ht="17.55" spans="1:9">
      <c r="A23" s="30"/>
      <c r="B23" s="31"/>
      <c r="C23" s="30"/>
      <c r="D23" s="30"/>
      <c r="E23" s="30"/>
      <c r="F23" s="30"/>
      <c r="G23" s="30"/>
      <c r="H23" s="30"/>
      <c r="I23" s="32"/>
    </row>
    <row r="24" ht="17.55" spans="1:9">
      <c r="A24" s="30"/>
      <c r="B24" s="31"/>
      <c r="C24" s="30"/>
      <c r="D24" s="30"/>
      <c r="E24" s="30"/>
      <c r="F24" s="30"/>
      <c r="G24" s="30"/>
      <c r="H24" s="30"/>
      <c r="I24" s="32"/>
    </row>
    <row r="25" ht="17.55" spans="1:9">
      <c r="A25" s="30"/>
      <c r="B25" s="31"/>
      <c r="C25" s="30"/>
      <c r="D25" s="30"/>
      <c r="E25" s="30"/>
      <c r="F25" s="30"/>
      <c r="G25" s="30"/>
      <c r="H25" s="30"/>
      <c r="I25" s="32"/>
    </row>
    <row r="26" ht="17.55" spans="1:9">
      <c r="A26" s="30"/>
      <c r="B26" s="31"/>
      <c r="C26" s="30"/>
      <c r="D26" s="30"/>
      <c r="E26" s="30"/>
      <c r="F26" s="30"/>
      <c r="G26" s="30"/>
      <c r="H26" s="30"/>
      <c r="I26" s="32"/>
    </row>
    <row r="27" ht="17.55" spans="1:9">
      <c r="A27" s="30"/>
      <c r="B27" s="31"/>
      <c r="C27" s="30"/>
      <c r="D27" s="30"/>
      <c r="E27" s="30"/>
      <c r="F27" s="30"/>
      <c r="G27" s="30"/>
      <c r="H27" s="30"/>
      <c r="I27" s="32"/>
    </row>
    <row r="28" ht="17.55" spans="1:9">
      <c r="A28" s="30"/>
      <c r="B28" s="31"/>
      <c r="C28" s="30"/>
      <c r="D28" s="30"/>
      <c r="E28" s="30"/>
      <c r="F28" s="30"/>
      <c r="G28" s="30"/>
      <c r="H28" s="30"/>
      <c r="I28" s="32"/>
    </row>
    <row r="29" ht="17.55" spans="1:9">
      <c r="A29" s="30"/>
      <c r="B29" s="31"/>
      <c r="C29" s="30"/>
      <c r="D29" s="30"/>
      <c r="E29" s="30"/>
      <c r="F29" s="30"/>
      <c r="G29" s="30"/>
      <c r="H29" s="30"/>
      <c r="I29" s="32"/>
    </row>
    <row r="30" ht="17.55" spans="1:9">
      <c r="A30" s="30"/>
      <c r="B30" s="31"/>
      <c r="C30" s="30"/>
      <c r="D30" s="30"/>
      <c r="E30" s="30"/>
      <c r="F30" s="30"/>
      <c r="G30" s="30"/>
      <c r="H30" s="30"/>
      <c r="I30" s="32"/>
    </row>
    <row r="31" ht="17.55" spans="1:9">
      <c r="A31" s="30"/>
      <c r="B31" s="31"/>
      <c r="C31" s="30"/>
      <c r="D31" s="30"/>
      <c r="E31" s="30"/>
      <c r="F31" s="30"/>
      <c r="G31" s="30"/>
      <c r="H31" s="30"/>
      <c r="I31" s="32"/>
    </row>
    <row r="32" ht="17.55" spans="1:9">
      <c r="A32" s="30"/>
      <c r="B32" s="31"/>
      <c r="C32" s="30"/>
      <c r="D32" s="30"/>
      <c r="E32" s="30"/>
      <c r="F32" s="30"/>
      <c r="G32" s="30"/>
      <c r="H32" s="30"/>
      <c r="I32" s="32"/>
    </row>
    <row r="33" ht="17.55" spans="1:9">
      <c r="A33" s="30"/>
      <c r="B33" s="31"/>
      <c r="C33" s="30"/>
      <c r="D33" s="30"/>
      <c r="E33" s="30"/>
      <c r="F33" s="30"/>
      <c r="G33" s="30"/>
      <c r="H33" s="30"/>
      <c r="I33" s="32"/>
    </row>
    <row r="34" ht="17.55" spans="1:9">
      <c r="A34" s="30"/>
      <c r="B34" s="31"/>
      <c r="C34" s="30"/>
      <c r="D34" s="30"/>
      <c r="E34" s="30"/>
      <c r="F34" s="30"/>
      <c r="G34" s="30"/>
      <c r="H34" s="30"/>
      <c r="I34" s="32"/>
    </row>
    <row r="35" ht="17.55" spans="1:9">
      <c r="A35" s="30"/>
      <c r="B35" s="31"/>
      <c r="C35" s="30"/>
      <c r="D35" s="30"/>
      <c r="E35" s="30"/>
      <c r="F35" s="30"/>
      <c r="G35" s="30"/>
      <c r="H35" s="30"/>
      <c r="I35" s="32"/>
    </row>
    <row r="36" ht="17.55" spans="1:9">
      <c r="A36" s="30"/>
      <c r="B36" s="31"/>
      <c r="C36" s="30"/>
      <c r="D36" s="30"/>
      <c r="E36" s="30"/>
      <c r="F36" s="30"/>
      <c r="G36" s="30"/>
      <c r="H36" s="30"/>
      <c r="I36" s="32"/>
    </row>
    <row r="37" ht="17.55" spans="1:9">
      <c r="A37" s="30"/>
      <c r="B37" s="31"/>
      <c r="C37" s="30"/>
      <c r="D37" s="30"/>
      <c r="E37" s="30"/>
      <c r="F37" s="30"/>
      <c r="G37" s="30"/>
      <c r="H37" s="30"/>
      <c r="I37" s="32"/>
    </row>
    <row r="38" ht="17.55" spans="1:9">
      <c r="A38" s="30"/>
      <c r="B38" s="31"/>
      <c r="C38" s="30"/>
      <c r="D38" s="30"/>
      <c r="E38" s="30"/>
      <c r="F38" s="30"/>
      <c r="G38" s="30"/>
      <c r="H38" s="30"/>
      <c r="I38" s="32"/>
    </row>
    <row r="39" ht="17.55" spans="1:9">
      <c r="A39" s="30"/>
      <c r="B39" s="31"/>
      <c r="C39" s="30"/>
      <c r="D39" s="30"/>
      <c r="E39" s="30"/>
      <c r="F39" s="30"/>
      <c r="G39" s="30"/>
      <c r="H39" s="30"/>
      <c r="I39" s="32"/>
    </row>
    <row r="40" ht="17.55" spans="1:9">
      <c r="A40" s="30"/>
      <c r="B40" s="31"/>
      <c r="C40" s="30"/>
      <c r="D40" s="30"/>
      <c r="E40" s="30"/>
      <c r="F40" s="30"/>
      <c r="G40" s="30"/>
      <c r="H40" s="30"/>
      <c r="I40" s="32"/>
    </row>
    <row r="41" ht="17.55" spans="1:9">
      <c r="A41" s="30"/>
      <c r="B41" s="31"/>
      <c r="C41" s="30"/>
      <c r="D41" s="30"/>
      <c r="E41" s="30"/>
      <c r="F41" s="30"/>
      <c r="G41" s="30"/>
      <c r="H41" s="30"/>
      <c r="I41" s="32"/>
    </row>
    <row r="42" ht="17.55" spans="1:9">
      <c r="A42" s="30"/>
      <c r="B42" s="31"/>
      <c r="C42" s="30"/>
      <c r="D42" s="30"/>
      <c r="E42" s="30"/>
      <c r="F42" s="30"/>
      <c r="G42" s="30"/>
      <c r="H42" s="30"/>
      <c r="I42" s="32"/>
    </row>
    <row r="43" ht="17.55" spans="1:9">
      <c r="A43" s="30"/>
      <c r="B43" s="31"/>
      <c r="C43" s="30"/>
      <c r="D43" s="30"/>
      <c r="E43" s="30"/>
      <c r="F43" s="30"/>
      <c r="G43" s="30"/>
      <c r="H43" s="30"/>
      <c r="I43" s="32"/>
    </row>
    <row r="44" ht="17.55" spans="1:9">
      <c r="A44" s="30"/>
      <c r="B44" s="31"/>
      <c r="C44" s="30"/>
      <c r="D44" s="30"/>
      <c r="E44" s="30"/>
      <c r="F44" s="30"/>
      <c r="G44" s="30"/>
      <c r="H44" s="30"/>
      <c r="I44" s="32"/>
    </row>
    <row r="45" ht="17.55" spans="1:9">
      <c r="A45" s="30"/>
      <c r="B45" s="31"/>
      <c r="C45" s="30"/>
      <c r="D45" s="30"/>
      <c r="E45" s="30"/>
      <c r="F45" s="30"/>
      <c r="G45" s="30"/>
      <c r="H45" s="30"/>
      <c r="I45" s="32"/>
    </row>
    <row r="46" ht="17.55" spans="1:9">
      <c r="A46" s="30"/>
      <c r="B46" s="31"/>
      <c r="C46" s="30"/>
      <c r="D46" s="30"/>
      <c r="E46" s="30"/>
      <c r="F46" s="30"/>
      <c r="G46" s="30"/>
      <c r="H46" s="30"/>
      <c r="I46" s="32"/>
    </row>
    <row r="47" ht="17.55" spans="1:9">
      <c r="A47" s="30"/>
      <c r="B47" s="31"/>
      <c r="C47" s="30"/>
      <c r="D47" s="30"/>
      <c r="E47" s="30"/>
      <c r="F47" s="30"/>
      <c r="G47" s="30"/>
      <c r="H47" s="30"/>
      <c r="I47" s="32"/>
    </row>
    <row r="48" ht="17.55" spans="1:9">
      <c r="A48" s="30"/>
      <c r="B48" s="31"/>
      <c r="C48" s="30"/>
      <c r="D48" s="30"/>
      <c r="E48" s="30"/>
      <c r="F48" s="30"/>
      <c r="G48" s="30"/>
      <c r="H48" s="30"/>
      <c r="I48" s="32"/>
    </row>
    <row r="49" ht="17.55" spans="1:9">
      <c r="A49" s="30"/>
      <c r="B49" s="31"/>
      <c r="C49" s="30"/>
      <c r="D49" s="30"/>
      <c r="E49" s="30"/>
      <c r="F49" s="30"/>
      <c r="G49" s="30"/>
      <c r="H49" s="30"/>
      <c r="I49" s="32"/>
    </row>
    <row r="50" ht="17.55" spans="1:9">
      <c r="A50" s="30"/>
      <c r="B50" s="31"/>
      <c r="C50" s="30"/>
      <c r="D50" s="30"/>
      <c r="E50" s="30"/>
      <c r="F50" s="30"/>
      <c r="G50" s="30"/>
      <c r="H50" s="30"/>
      <c r="I50" s="32"/>
    </row>
    <row r="51" ht="17.55" spans="1:9">
      <c r="A51" s="30"/>
      <c r="B51" s="31"/>
      <c r="C51" s="30"/>
      <c r="D51" s="30"/>
      <c r="E51" s="30"/>
      <c r="F51" s="30"/>
      <c r="G51" s="30"/>
      <c r="H51" s="30"/>
      <c r="I51" s="32"/>
    </row>
    <row r="52" ht="17.55" spans="1:9">
      <c r="A52" s="30"/>
      <c r="B52" s="31"/>
      <c r="C52" s="30"/>
      <c r="D52" s="30"/>
      <c r="E52" s="30"/>
      <c r="F52" s="30"/>
      <c r="G52" s="30"/>
      <c r="H52" s="30"/>
      <c r="I52" s="32"/>
    </row>
    <row r="53" ht="17.55" spans="1:9">
      <c r="A53" s="30"/>
      <c r="B53" s="31"/>
      <c r="C53" s="30"/>
      <c r="D53" s="30"/>
      <c r="E53" s="30"/>
      <c r="F53" s="30"/>
      <c r="G53" s="30"/>
      <c r="H53" s="30"/>
      <c r="I53" s="32"/>
    </row>
    <row r="54" ht="17.55" spans="1:9">
      <c r="A54" s="30"/>
      <c r="B54" s="31"/>
      <c r="C54" s="30"/>
      <c r="D54" s="30"/>
      <c r="E54" s="30"/>
      <c r="F54" s="30"/>
      <c r="G54" s="30"/>
      <c r="H54" s="30"/>
      <c r="I54" s="32"/>
    </row>
    <row r="55" ht="17.55" spans="1:9">
      <c r="A55" s="30"/>
      <c r="B55" s="31"/>
      <c r="C55" s="30"/>
      <c r="D55" s="30"/>
      <c r="E55" s="30"/>
      <c r="F55" s="30"/>
      <c r="G55" s="30"/>
      <c r="H55" s="30"/>
      <c r="I55" s="32"/>
    </row>
    <row r="56" ht="17.55" spans="1:9">
      <c r="A56" s="30"/>
      <c r="B56" s="31"/>
      <c r="C56" s="30"/>
      <c r="D56" s="30"/>
      <c r="E56" s="30"/>
      <c r="F56" s="30"/>
      <c r="G56" s="30"/>
      <c r="H56" s="30"/>
      <c r="I56" s="32"/>
    </row>
    <row r="57" ht="17.55" spans="1:9">
      <c r="A57" s="30"/>
      <c r="B57" s="31"/>
      <c r="C57" s="30"/>
      <c r="D57" s="30"/>
      <c r="E57" s="30"/>
      <c r="F57" s="30"/>
      <c r="G57" s="30"/>
      <c r="H57" s="30"/>
      <c r="I57" s="32"/>
    </row>
    <row r="58" ht="17.55" spans="1:9">
      <c r="A58" s="30"/>
      <c r="B58" s="31"/>
      <c r="C58" s="30"/>
      <c r="D58" s="30"/>
      <c r="E58" s="30"/>
      <c r="F58" s="30"/>
      <c r="G58" s="30"/>
      <c r="H58" s="30"/>
      <c r="I58" s="32"/>
    </row>
    <row r="59" ht="17.55" spans="1:9">
      <c r="A59" s="30"/>
      <c r="B59" s="31"/>
      <c r="C59" s="30"/>
      <c r="D59" s="30"/>
      <c r="E59" s="30"/>
      <c r="F59" s="30"/>
      <c r="G59" s="30"/>
      <c r="H59" s="30"/>
      <c r="I59" s="32"/>
    </row>
    <row r="60" ht="17.55" spans="1:9">
      <c r="A60" s="30"/>
      <c r="B60" s="31"/>
      <c r="C60" s="30"/>
      <c r="D60" s="30"/>
      <c r="E60" s="30"/>
      <c r="F60" s="30"/>
      <c r="G60" s="30"/>
      <c r="H60" s="30"/>
      <c r="I60" s="32"/>
    </row>
    <row r="61" ht="17.55" spans="1:9">
      <c r="A61" s="30"/>
      <c r="B61" s="31"/>
      <c r="C61" s="30"/>
      <c r="D61" s="30"/>
      <c r="E61" s="30"/>
      <c r="F61" s="30"/>
      <c r="G61" s="30"/>
      <c r="H61" s="30"/>
      <c r="I61" s="32"/>
    </row>
    <row r="62" ht="17.55" spans="1:9">
      <c r="A62" s="30"/>
      <c r="B62" s="31"/>
      <c r="C62" s="30"/>
      <c r="D62" s="30"/>
      <c r="E62" s="30"/>
      <c r="F62" s="30"/>
      <c r="G62" s="30"/>
      <c r="H62" s="30"/>
      <c r="I62" s="32"/>
    </row>
    <row r="63" ht="17.55" spans="1:9">
      <c r="A63" s="30"/>
      <c r="B63" s="31"/>
      <c r="C63" s="30"/>
      <c r="D63" s="30"/>
      <c r="E63" s="30"/>
      <c r="F63" s="30"/>
      <c r="G63" s="30"/>
      <c r="H63" s="30"/>
      <c r="I63" s="32"/>
    </row>
    <row r="64" ht="17.55" spans="1:9">
      <c r="A64" s="30"/>
      <c r="B64" s="31"/>
      <c r="C64" s="30"/>
      <c r="D64" s="30"/>
      <c r="E64" s="30"/>
      <c r="F64" s="30"/>
      <c r="G64" s="30"/>
      <c r="H64" s="30"/>
      <c r="I64" s="32"/>
    </row>
    <row r="65" ht="17.55" spans="1:9">
      <c r="A65" s="30"/>
      <c r="B65" s="31"/>
      <c r="C65" s="30"/>
      <c r="D65" s="30"/>
      <c r="E65" s="30"/>
      <c r="F65" s="30"/>
      <c r="G65" s="30"/>
      <c r="H65" s="30"/>
      <c r="I65" s="32"/>
    </row>
    <row r="66" ht="17.55" spans="1:9">
      <c r="A66" s="30"/>
      <c r="B66" s="31"/>
      <c r="C66" s="30"/>
      <c r="D66" s="30"/>
      <c r="E66" s="30"/>
      <c r="F66" s="30"/>
      <c r="G66" s="30"/>
      <c r="H66" s="30"/>
      <c r="I66" s="32"/>
    </row>
    <row r="67" ht="17.55" spans="1:9">
      <c r="A67" s="30"/>
      <c r="B67" s="31"/>
      <c r="C67" s="30"/>
      <c r="D67" s="30"/>
      <c r="E67" s="30"/>
      <c r="F67" s="30"/>
      <c r="G67" s="30"/>
      <c r="H67" s="30"/>
      <c r="I67" s="32"/>
    </row>
    <row r="68" ht="17.55" spans="1:9">
      <c r="A68" s="30"/>
      <c r="B68" s="31"/>
      <c r="C68" s="30"/>
      <c r="D68" s="30"/>
      <c r="E68" s="30"/>
      <c r="F68" s="30"/>
      <c r="G68" s="30"/>
      <c r="H68" s="30"/>
      <c r="I68" s="32"/>
    </row>
    <row r="69" ht="17.55" spans="1:9">
      <c r="A69" s="30"/>
      <c r="B69" s="31"/>
      <c r="C69" s="30"/>
      <c r="D69" s="30"/>
      <c r="E69" s="30"/>
      <c r="F69" s="30"/>
      <c r="G69" s="30"/>
      <c r="H69" s="30"/>
      <c r="I69" s="32"/>
    </row>
    <row r="70" ht="17.55" spans="1:9">
      <c r="A70" s="30"/>
      <c r="B70" s="31"/>
      <c r="C70" s="30"/>
      <c r="D70" s="30"/>
      <c r="E70" s="30"/>
      <c r="F70" s="30"/>
      <c r="G70" s="30"/>
      <c r="H70" s="30"/>
      <c r="I70" s="32"/>
    </row>
    <row r="71" ht="17.55" spans="1:9">
      <c r="A71" s="30"/>
      <c r="B71" s="31"/>
      <c r="C71" s="30"/>
      <c r="D71" s="30"/>
      <c r="E71" s="30"/>
      <c r="F71" s="30"/>
      <c r="G71" s="30"/>
      <c r="H71" s="30"/>
      <c r="I71" s="32"/>
    </row>
    <row r="72" ht="17.55" spans="1:9">
      <c r="A72" s="30"/>
      <c r="B72" s="31"/>
      <c r="C72" s="30"/>
      <c r="D72" s="30"/>
      <c r="E72" s="30"/>
      <c r="F72" s="30"/>
      <c r="G72" s="30"/>
      <c r="H72" s="30"/>
      <c r="I72" s="32"/>
    </row>
    <row r="73" ht="17.55" spans="1:9">
      <c r="A73" s="30"/>
      <c r="B73" s="31"/>
      <c r="C73" s="30"/>
      <c r="D73" s="30"/>
      <c r="E73" s="30"/>
      <c r="F73" s="30"/>
      <c r="G73" s="30"/>
      <c r="H73" s="30"/>
      <c r="I73" s="32"/>
    </row>
    <row r="74" ht="17.55" spans="1:9">
      <c r="A74" s="30"/>
      <c r="B74" s="31"/>
      <c r="C74" s="30"/>
      <c r="D74" s="30"/>
      <c r="E74" s="30"/>
      <c r="F74" s="30"/>
      <c r="G74" s="30"/>
      <c r="H74" s="30"/>
      <c r="I74" s="32"/>
    </row>
    <row r="75" ht="17.55" spans="1:9">
      <c r="A75" s="30"/>
      <c r="B75" s="31"/>
      <c r="C75" s="30"/>
      <c r="D75" s="30"/>
      <c r="E75" s="30"/>
      <c r="F75" s="30"/>
      <c r="G75" s="30"/>
      <c r="H75" s="30"/>
      <c r="I75" s="32"/>
    </row>
    <row r="76" ht="17.55" spans="1:9">
      <c r="A76" s="30"/>
      <c r="B76" s="31"/>
      <c r="C76" s="30"/>
      <c r="D76" s="30"/>
      <c r="E76" s="30"/>
      <c r="F76" s="30"/>
      <c r="G76" s="30"/>
      <c r="H76" s="30"/>
      <c r="I76" s="32"/>
    </row>
    <row r="77" ht="17.55" spans="1:9">
      <c r="A77" s="30"/>
      <c r="B77" s="31"/>
      <c r="C77" s="30"/>
      <c r="D77" s="30"/>
      <c r="E77" s="30"/>
      <c r="F77" s="30"/>
      <c r="G77" s="30"/>
      <c r="H77" s="30"/>
      <c r="I77" s="32"/>
    </row>
    <row r="78" ht="17.55" spans="1:9">
      <c r="A78" s="30"/>
      <c r="B78" s="31"/>
      <c r="C78" s="30"/>
      <c r="D78" s="30"/>
      <c r="E78" s="30"/>
      <c r="F78" s="30"/>
      <c r="G78" s="30"/>
      <c r="H78" s="30"/>
      <c r="I78" s="32"/>
    </row>
    <row r="79" ht="17.55" spans="1:9">
      <c r="A79" s="30"/>
      <c r="B79" s="31"/>
      <c r="C79" s="30"/>
      <c r="D79" s="30"/>
      <c r="E79" s="30"/>
      <c r="F79" s="30"/>
      <c r="G79" s="30"/>
      <c r="H79" s="30"/>
      <c r="I79" s="32"/>
    </row>
    <row r="80" ht="17.55" spans="1:9">
      <c r="A80" s="30"/>
      <c r="B80" s="31"/>
      <c r="C80" s="30"/>
      <c r="D80" s="30"/>
      <c r="E80" s="30"/>
      <c r="F80" s="30"/>
      <c r="G80" s="30"/>
      <c r="H80" s="30"/>
      <c r="I80" s="3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S83"/>
  <sheetViews>
    <sheetView workbookViewId="0">
      <selection activeCell="A1" sqref="A1"/>
    </sheetView>
  </sheetViews>
  <sheetFormatPr defaultColWidth="11" defaultRowHeight="15.2"/>
  <cols>
    <col min="1" max="1" width="7" style="22" customWidth="1"/>
    <col min="2" max="2" width="5.16071428571429" style="22" customWidth="1"/>
    <col min="3" max="3" width="17.6607142857143" style="22" customWidth="1"/>
    <col min="4" max="5" width="8.66071428571429" style="22" customWidth="1"/>
    <col min="6" max="6" width="18.5" style="22" customWidth="1"/>
    <col min="7" max="8" width="8.66071428571429" style="22" customWidth="1"/>
    <col min="9" max="9" width="20.5" style="22" customWidth="1"/>
    <col min="10" max="16384" width="11" style="22"/>
  </cols>
  <sheetData>
    <row r="1" ht="16.8" spans="1:19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ht="17.55" spans="1:19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ht="17.55" spans="1:19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ht="17.55" spans="1:19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17.55" spans="1:19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17.55" spans="1:19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ht="17.55" spans="1:19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ht="17.55" spans="1:19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ht="17.55" spans="1:1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ht="17.55" spans="1:19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17.55" spans="1:19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ht="17.55" spans="1:19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ht="17.55" spans="1:19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ht="17.55" spans="1:19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ht="17.55" spans="1:19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ht="17.55" spans="1:19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ht="17.55" spans="1:19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ht="17.55" spans="1:19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ht="17.55" spans="1: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ht="17.55" spans="1:19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ht="17.55" spans="1:19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ht="17.55" spans="1:19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ht="17.55" spans="1:19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ht="17.55" spans="1:19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ht="17.55" spans="1:19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ht="17.55" spans="1:19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ht="17.55" spans="1:19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ht="17.55" spans="1:19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ht="17.55" spans="1:1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ht="17.55" spans="1:19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ht="17.55" spans="1:19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ht="17.55" spans="1:19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ht="17.55" spans="1:19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ht="17.55" spans="1:19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ht="17.55" spans="1:19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ht="17.55" spans="1:19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ht="17.55" spans="1:19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ht="17.55" spans="1:19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ht="17.55" spans="1:1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ht="17.55" spans="1:19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ht="17.55" spans="1:19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ht="17.55" spans="1:19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ht="17.55" spans="1:19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ht="17.55" spans="1:19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ht="17.55" spans="1:19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 ht="17.55" spans="1:19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 ht="17.55" spans="1:19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ht="17.55" spans="1:19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 ht="17.55" spans="1:1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</row>
    <row r="50" ht="17.55" spans="1:19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ht="17.55" spans="1:19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ht="17.55" spans="1:19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ht="17.55" spans="1:19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ht="17.55" spans="1:19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ht="17.55" spans="1:19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</row>
    <row r="56" ht="17.55" spans="1:19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5"/>
      <c r="S56" s="25"/>
    </row>
    <row r="57" ht="17.55" spans="1:19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</row>
    <row r="58" ht="17.55" spans="1:19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ht="17.55" spans="1:1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ht="17.55" spans="1:19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ht="17.55" spans="1:19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ht="17.55" spans="1:19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</row>
    <row r="63" ht="17.55" spans="1:19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</row>
    <row r="64" ht="17.55" spans="1:19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5"/>
      <c r="S64" s="25"/>
    </row>
    <row r="65" ht="17.55" spans="1:19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ht="17.55" spans="1:19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</row>
    <row r="67" ht="17.55" spans="1:19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</row>
    <row r="68" ht="17.55" spans="1:19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</row>
    <row r="69" ht="17.55" spans="1:1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</row>
    <row r="70" ht="17.55" spans="1:19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ht="17.55" spans="1:19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</row>
    <row r="72" ht="17.55" spans="1:19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</row>
    <row r="73" ht="17.55" spans="1:19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</row>
    <row r="74" ht="17.55" spans="1:19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</row>
    <row r="75" ht="17.55" spans="1:19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</row>
    <row r="76" ht="17.55" spans="1:19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</row>
    <row r="77" ht="17.55" spans="1:19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</row>
    <row r="78" ht="17.55" spans="1:19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</row>
    <row r="79" ht="17.55" spans="1:1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ht="17.55" spans="1:19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ht="17.55" spans="1:19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</row>
    <row r="82" ht="17.55" spans="1:19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</row>
    <row r="83" ht="17.55" spans="1:19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5"/>
      <c r="S83" s="25"/>
    </row>
  </sheetData>
  <sortState ref="A2:S52">
    <sortCondition ref="F7:F52" descending="1"/>
  </sortState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K300"/>
  <sheetViews>
    <sheetView workbookViewId="0">
      <selection activeCell="A1" sqref="A1"/>
    </sheetView>
  </sheetViews>
  <sheetFormatPr defaultColWidth="24.5" defaultRowHeight="23.2"/>
  <cols>
    <col min="1" max="1" width="10.5" style="16" customWidth="1"/>
    <col min="2" max="3" width="12.5" style="15" customWidth="1"/>
    <col min="4" max="5" width="9.66071428571429" style="15" customWidth="1"/>
    <col min="6" max="6" width="12.5" style="15" customWidth="1"/>
    <col min="7" max="7" width="10.5" style="17" customWidth="1"/>
    <col min="8" max="8" width="9.64285714285714" style="17" customWidth="1"/>
    <col min="9" max="9" width="33.6339285714286" style="17" customWidth="1"/>
    <col min="10" max="10" width="10.5" style="17" customWidth="1"/>
    <col min="11" max="11" width="10.5" style="15" customWidth="1"/>
    <col min="12" max="12" width="12.5" style="15" customWidth="1"/>
    <col min="13" max="13" width="15.3303571428571" style="15" customWidth="1"/>
    <col min="14" max="14" width="7.5" style="15" customWidth="1"/>
    <col min="15" max="16" width="13.6607142857143" style="15" customWidth="1"/>
    <col min="17" max="114" width="24.5" style="15"/>
    <col min="115" max="115" width="39.3303571428571" style="15" customWidth="1"/>
    <col min="116" max="16384" width="24.5" style="15"/>
  </cols>
  <sheetData>
    <row r="1" ht="47" spans="1:115">
      <c r="A1" s="18" t="s">
        <v>8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13</v>
      </c>
      <c r="G1" s="20" t="s">
        <v>14</v>
      </c>
      <c r="H1" s="20" t="s">
        <v>15</v>
      </c>
      <c r="I1" s="20"/>
      <c r="J1" s="20" t="s">
        <v>20</v>
      </c>
      <c r="K1" s="15">
        <f>SUMIF(F:F,"&gt;1")</f>
        <v>0</v>
      </c>
      <c r="L1" s="19"/>
      <c r="M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DK1" s="15" t="s">
        <v>26</v>
      </c>
    </row>
    <row r="2" ht="24" spans="1:115">
      <c r="A2" s="16" t="e" cm="1">
        <f t="array" ref="A2">_xlfn.LET(_xlpm.col,INDEX(配送员履约明细表!A3:Z5000,,MATCH(A1,配送员履约明细表!2:2,0)),_xlpm.unique_col,_xlfn.UNIQUE(_xlpm.col),IF(_xlpm.unique_col=0,"",_xlpm.unique_col))</f>
        <v>#N/A</v>
      </c>
      <c r="B2" s="19" t="str" cm="1">
        <f t="array" ref="B2:B300">IFERROR(INDEX(单袋比导出!$A$2:$Z$300,MATCH($A$2:$A$300,单袋比导出!$N$2:$N$300,0),MATCH(B$1,单袋比导出!$A$1:$Z$1,0)),"0")</f>
        <v>0</v>
      </c>
      <c r="C2" s="19" cm="1">
        <f t="array" ref="C2:C300">SUMIFS(配送员履约明细表!AQ2:AQ5000,配送员履约明细表!J2:J5000,A2:A300)</f>
        <v>0</v>
      </c>
      <c r="D2" s="15" t="str" cm="1">
        <f t="array" ref="D2:D300">IFERROR(INDEX(N:N,MATCH(A2:A300,M:M,0),{1}),"0")</f>
        <v>0</v>
      </c>
      <c r="E2" s="15" t="str" cm="1">
        <f t="array" ref="E2:E300">IFERROR(INDEX(单量排行榜!E:E,MATCH(A2:A300,单量排行榜!C:C,0),{1}),"0")</f>
        <v>0</v>
      </c>
      <c r="F2" s="19" cm="1">
        <f t="array" ref="F2:F300">IFERROR((C2:C300+E2:E300)*盘点表!$B$2-B2:B300-D2:D300,0)</f>
        <v>0</v>
      </c>
      <c r="G2" s="17" cm="1">
        <f t="array" ref="G2:G300">IFERROR((B2:B300+D2:D300)/(E2:E300+C2:C300),0)</f>
        <v>0</v>
      </c>
      <c r="H2" s="17" t="str" cm="1">
        <f t="array" ref="H2:H300">IFERROR(INDEX(当前状态!G:G,MATCH(A2:A300,当前状态!A:A,0),{1}),"缺勤")</f>
        <v>缺勤</v>
      </c>
      <c r="J2" s="17" t="s">
        <v>27</v>
      </c>
      <c r="K2" s="15">
        <f>SUMIF(F:F,"&lt;0")</f>
        <v>0</v>
      </c>
      <c r="M2" s="19" t="str" cm="1">
        <f t="array" ref="M2">IF(_xlfn.UNIQUE(耗材申请表!D:D)=0,"",_xlfn.UNIQUE(耗材申请表!D:D))</f>
        <v/>
      </c>
      <c r="N2" s="15" t="s">
        <v>28</v>
      </c>
      <c r="O2" s="15" t="e" cm="1">
        <f t="array" ref="O2:O300">IF(COUNTIF(F2:F300,0)=0,"",_xlfn._xlws.FILTER(A2:A300,F2:F300=0))</f>
        <v>#N/A</v>
      </c>
      <c r="P2" s="15" cm="1">
        <f t="array" ref="P2:P200">SUMIFS(配送员履约明细表!W2:W5000,配送员履约明细表!J2:J5000,O2:O200)</f>
        <v>0</v>
      </c>
      <c r="Q2" s="15" cm="1">
        <f t="array" ref="Q2:Q200">P2:P200*盘点表!B2</f>
        <v>0</v>
      </c>
      <c r="R2" s="21">
        <f ca="1">TODAY()</f>
        <v>46134</v>
      </c>
      <c r="S2" s="19"/>
      <c r="T2" s="19"/>
    </row>
    <row r="3" spans="1:115">
      <c r="B3" s="15" t="str">
        <v>0</v>
      </c>
      <c r="C3" s="19">
        <v>0</v>
      </c>
      <c r="D3" s="15" t="str">
        <v>0</v>
      </c>
      <c r="E3" s="15" t="str">
        <v>0</v>
      </c>
      <c r="F3" s="15">
        <v>0</v>
      </c>
      <c r="G3" s="17">
        <v>0</v>
      </c>
      <c r="H3" s="17" t="str">
        <v>缺勤</v>
      </c>
      <c r="N3" s="19" cm="1">
        <f t="array" ref="N3:N300">SUMIFS(耗材申请表!G:G,耗材申请表!D:D,M3:M300,耗材申请表!H:H,"&lt;&gt;拒绝")</f>
        <v>0</v>
      </c>
      <c r="O3" s="15">
        <v>0</v>
      </c>
      <c r="P3" s="15">
        <v>0</v>
      </c>
      <c r="Q3" s="15">
        <v>0</v>
      </c>
    </row>
    <row r="4" s="15" customFormat="1" spans="1:115">
      <c r="A4" s="16"/>
      <c r="B4" s="15" t="str">
        <v>0</v>
      </c>
      <c r="C4" s="15">
        <v>0</v>
      </c>
      <c r="D4" s="15" t="str">
        <v>0</v>
      </c>
      <c r="E4" s="15" t="str">
        <v>0</v>
      </c>
      <c r="F4" s="15">
        <v>0</v>
      </c>
      <c r="G4" s="17">
        <v>0</v>
      </c>
      <c r="H4" s="17" t="str">
        <v>缺勤</v>
      </c>
      <c r="I4" s="17"/>
      <c r="J4" s="17"/>
      <c r="N4" s="19">
        <v>0</v>
      </c>
      <c r="O4" s="15">
        <v>0</v>
      </c>
      <c r="P4" s="15">
        <v>0</v>
      </c>
      <c r="Q4" s="15">
        <v>0</v>
      </c>
    </row>
    <row r="5" spans="1:115">
      <c r="B5" s="15" t="str">
        <v>0</v>
      </c>
      <c r="C5" s="15">
        <v>0</v>
      </c>
      <c r="D5" s="15" t="str">
        <v>0</v>
      </c>
      <c r="E5" s="15" t="str">
        <v>0</v>
      </c>
      <c r="F5" s="15">
        <v>0</v>
      </c>
      <c r="G5" s="17">
        <v>0</v>
      </c>
      <c r="H5" s="17" t="str">
        <v>缺勤</v>
      </c>
      <c r="N5" s="19">
        <v>0</v>
      </c>
      <c r="O5" s="15">
        <v>0</v>
      </c>
      <c r="P5" s="15">
        <v>0</v>
      </c>
      <c r="Q5" s="15">
        <v>0</v>
      </c>
    </row>
    <row r="6" spans="1:115">
      <c r="B6" s="15" t="str">
        <v>0</v>
      </c>
      <c r="C6" s="15">
        <v>0</v>
      </c>
      <c r="D6" s="15" t="str">
        <v>0</v>
      </c>
      <c r="E6" s="15" t="str">
        <v>0</v>
      </c>
      <c r="F6" s="15">
        <v>0</v>
      </c>
      <c r="G6" s="17">
        <v>0</v>
      </c>
      <c r="H6" s="17" t="str">
        <v>缺勤</v>
      </c>
      <c r="N6" s="19">
        <v>0</v>
      </c>
      <c r="O6" s="15">
        <v>0</v>
      </c>
      <c r="P6" s="15">
        <v>0</v>
      </c>
      <c r="Q6" s="15">
        <v>0</v>
      </c>
    </row>
    <row r="7" spans="1:115">
      <c r="B7" s="15" t="str">
        <v>0</v>
      </c>
      <c r="C7" s="15">
        <v>0</v>
      </c>
      <c r="D7" s="15" t="str">
        <v>0</v>
      </c>
      <c r="E7" s="15" t="str">
        <v>0</v>
      </c>
      <c r="F7" s="15">
        <v>0</v>
      </c>
      <c r="G7" s="17">
        <v>0</v>
      </c>
      <c r="H7" s="17" t="str">
        <v>缺勤</v>
      </c>
      <c r="N7" s="19">
        <v>0</v>
      </c>
      <c r="O7" s="15">
        <v>0</v>
      </c>
      <c r="P7" s="15">
        <v>0</v>
      </c>
      <c r="Q7" s="15">
        <v>0</v>
      </c>
    </row>
    <row r="8" spans="1:115">
      <c r="B8" s="15" t="str">
        <v>0</v>
      </c>
      <c r="C8" s="15">
        <v>0</v>
      </c>
      <c r="D8" s="15" t="str">
        <v>0</v>
      </c>
      <c r="E8" s="15" t="str">
        <v>0</v>
      </c>
      <c r="F8" s="15">
        <v>0</v>
      </c>
      <c r="G8" s="17">
        <v>0</v>
      </c>
      <c r="H8" s="17" t="str">
        <v>缺勤</v>
      </c>
      <c r="N8" s="19">
        <v>0</v>
      </c>
      <c r="O8" s="15">
        <v>0</v>
      </c>
      <c r="P8" s="15">
        <v>0</v>
      </c>
      <c r="Q8" s="15">
        <v>0</v>
      </c>
    </row>
    <row r="9" spans="1:115">
      <c r="B9" s="15" t="str">
        <v>0</v>
      </c>
      <c r="C9" s="15">
        <v>0</v>
      </c>
      <c r="D9" s="15" t="str">
        <v>0</v>
      </c>
      <c r="E9" s="15" t="str">
        <v>0</v>
      </c>
      <c r="F9" s="15">
        <v>0</v>
      </c>
      <c r="G9" s="17">
        <v>0</v>
      </c>
      <c r="H9" s="17" t="str">
        <v>缺勤</v>
      </c>
      <c r="N9" s="19">
        <v>0</v>
      </c>
      <c r="O9" s="15">
        <v>0</v>
      </c>
      <c r="P9" s="15">
        <v>0</v>
      </c>
      <c r="Q9" s="15">
        <v>0</v>
      </c>
    </row>
    <row r="10" spans="1:115">
      <c r="B10" s="15" t="str">
        <v>0</v>
      </c>
      <c r="C10" s="15">
        <v>0</v>
      </c>
      <c r="D10" s="15" t="str">
        <v>0</v>
      </c>
      <c r="E10" s="15" t="str">
        <v>0</v>
      </c>
      <c r="F10" s="15">
        <v>0</v>
      </c>
      <c r="G10" s="17">
        <v>0</v>
      </c>
      <c r="H10" s="17" t="str">
        <v>缺勤</v>
      </c>
      <c r="N10" s="19">
        <v>0</v>
      </c>
      <c r="O10" s="15">
        <v>0</v>
      </c>
      <c r="P10" s="15">
        <v>0</v>
      </c>
      <c r="Q10" s="15">
        <v>0</v>
      </c>
    </row>
    <row r="11" spans="1:115">
      <c r="B11" s="15" t="str">
        <v>0</v>
      </c>
      <c r="C11" s="15">
        <v>0</v>
      </c>
      <c r="D11" s="15" t="str">
        <v>0</v>
      </c>
      <c r="E11" s="15" t="str">
        <v>0</v>
      </c>
      <c r="F11" s="15">
        <v>0</v>
      </c>
      <c r="G11" s="17">
        <v>0</v>
      </c>
      <c r="H11" s="17" t="str">
        <v>缺勤</v>
      </c>
      <c r="N11" s="19">
        <v>0</v>
      </c>
      <c r="O11" s="15">
        <v>0</v>
      </c>
      <c r="P11" s="15">
        <v>0</v>
      </c>
      <c r="Q11" s="15">
        <v>0</v>
      </c>
    </row>
    <row r="12" spans="1:115">
      <c r="B12" s="15" t="str">
        <v>0</v>
      </c>
      <c r="C12" s="15">
        <v>0</v>
      </c>
      <c r="D12" s="15" t="str">
        <v>0</v>
      </c>
      <c r="E12" s="15" t="str">
        <v>0</v>
      </c>
      <c r="F12" s="15">
        <v>0</v>
      </c>
      <c r="G12" s="17">
        <v>0</v>
      </c>
      <c r="H12" s="17" t="str">
        <v>缺勤</v>
      </c>
      <c r="N12" s="19">
        <v>0</v>
      </c>
      <c r="O12" s="15">
        <v>0</v>
      </c>
      <c r="P12" s="15">
        <v>0</v>
      </c>
      <c r="Q12" s="15">
        <v>0</v>
      </c>
    </row>
    <row r="13" spans="1:115">
      <c r="B13" s="15" t="str">
        <v>0</v>
      </c>
      <c r="C13" s="15">
        <v>0</v>
      </c>
      <c r="D13" s="15" t="str">
        <v>0</v>
      </c>
      <c r="E13" s="15" t="str">
        <v>0</v>
      </c>
      <c r="F13" s="15">
        <v>0</v>
      </c>
      <c r="G13" s="17">
        <v>0</v>
      </c>
      <c r="H13" s="17" t="str">
        <v>缺勤</v>
      </c>
      <c r="N13" s="19">
        <v>0</v>
      </c>
      <c r="O13" s="15">
        <v>0</v>
      </c>
      <c r="P13" s="15">
        <v>0</v>
      </c>
      <c r="Q13" s="15">
        <v>0</v>
      </c>
    </row>
    <row r="14" spans="1:115">
      <c r="B14" s="15" t="str">
        <v>0</v>
      </c>
      <c r="C14" s="15">
        <v>0</v>
      </c>
      <c r="D14" s="15" t="str">
        <v>0</v>
      </c>
      <c r="E14" s="15" t="str">
        <v>0</v>
      </c>
      <c r="F14" s="15">
        <v>0</v>
      </c>
      <c r="G14" s="17">
        <v>0</v>
      </c>
      <c r="H14" s="17" t="str">
        <v>缺勤</v>
      </c>
      <c r="N14" s="19">
        <v>0</v>
      </c>
      <c r="O14" s="15">
        <v>0</v>
      </c>
      <c r="P14" s="15">
        <v>0</v>
      </c>
      <c r="Q14" s="15">
        <v>0</v>
      </c>
    </row>
    <row r="15" spans="1:115">
      <c r="B15" s="15" t="str">
        <v>0</v>
      </c>
      <c r="C15" s="15">
        <v>0</v>
      </c>
      <c r="D15" s="15" t="str">
        <v>0</v>
      </c>
      <c r="E15" s="15" t="str">
        <v>0</v>
      </c>
      <c r="F15" s="15">
        <v>0</v>
      </c>
      <c r="G15" s="17">
        <v>0</v>
      </c>
      <c r="H15" s="17" t="str">
        <v>缺勤</v>
      </c>
      <c r="N15" s="19">
        <v>0</v>
      </c>
      <c r="O15" s="15">
        <v>0</v>
      </c>
      <c r="P15" s="15">
        <v>0</v>
      </c>
      <c r="Q15" s="15">
        <v>0</v>
      </c>
    </row>
    <row r="16" spans="1:115">
      <c r="B16" s="15" t="str">
        <v>0</v>
      </c>
      <c r="C16" s="15">
        <v>0</v>
      </c>
      <c r="D16" s="15" t="str">
        <v>0</v>
      </c>
      <c r="E16" s="15" t="str">
        <v>0</v>
      </c>
      <c r="F16" s="15">
        <v>0</v>
      </c>
      <c r="G16" s="17">
        <v>0</v>
      </c>
      <c r="H16" s="17" t="str">
        <v>缺勤</v>
      </c>
      <c r="N16" s="19">
        <v>0</v>
      </c>
      <c r="O16" s="15">
        <v>0</v>
      </c>
      <c r="P16" s="15">
        <v>0</v>
      </c>
      <c r="Q16" s="15">
        <v>0</v>
      </c>
    </row>
    <row r="17" spans="2:17">
      <c r="B17" s="15" t="str">
        <v>0</v>
      </c>
      <c r="C17" s="15">
        <v>0</v>
      </c>
      <c r="D17" s="15" t="str">
        <v>0</v>
      </c>
      <c r="E17" s="15" t="str">
        <v>0</v>
      </c>
      <c r="F17" s="15">
        <v>0</v>
      </c>
      <c r="G17" s="17">
        <v>0</v>
      </c>
      <c r="H17" s="17" t="str">
        <v>缺勤</v>
      </c>
      <c r="N17" s="19">
        <v>0</v>
      </c>
      <c r="O17" s="15">
        <v>0</v>
      </c>
      <c r="P17" s="15">
        <v>0</v>
      </c>
      <c r="Q17" s="15">
        <v>0</v>
      </c>
    </row>
    <row r="18" spans="2:17">
      <c r="B18" s="15" t="str">
        <v>0</v>
      </c>
      <c r="C18" s="15">
        <v>0</v>
      </c>
      <c r="D18" s="15" t="str">
        <v>0</v>
      </c>
      <c r="E18" s="15" t="str">
        <v>0</v>
      </c>
      <c r="F18" s="15">
        <v>0</v>
      </c>
      <c r="G18" s="17">
        <v>0</v>
      </c>
      <c r="H18" s="17" t="str">
        <v>缺勤</v>
      </c>
      <c r="N18" s="19">
        <v>0</v>
      </c>
      <c r="O18" s="15">
        <v>0</v>
      </c>
      <c r="P18" s="15">
        <v>0</v>
      </c>
      <c r="Q18" s="15">
        <v>0</v>
      </c>
    </row>
    <row r="19" spans="2:17">
      <c r="B19" s="15" t="str">
        <v>0</v>
      </c>
      <c r="C19" s="15">
        <v>0</v>
      </c>
      <c r="D19" s="15" t="str">
        <v>0</v>
      </c>
      <c r="E19" s="15" t="str">
        <v>0</v>
      </c>
      <c r="F19" s="15">
        <v>0</v>
      </c>
      <c r="G19" s="17">
        <v>0</v>
      </c>
      <c r="H19" s="17" t="str">
        <v>缺勤</v>
      </c>
      <c r="N19" s="19">
        <v>0</v>
      </c>
      <c r="O19" s="15">
        <v>0</v>
      </c>
      <c r="P19" s="15">
        <v>0</v>
      </c>
      <c r="Q19" s="15">
        <v>0</v>
      </c>
    </row>
    <row r="20" spans="2:17">
      <c r="B20" s="15" t="str">
        <v>0</v>
      </c>
      <c r="C20" s="15">
        <v>0</v>
      </c>
      <c r="D20" s="15" t="str">
        <v>0</v>
      </c>
      <c r="E20" s="15" t="str">
        <v>0</v>
      </c>
      <c r="F20" s="15">
        <v>0</v>
      </c>
      <c r="G20" s="17">
        <v>0</v>
      </c>
      <c r="H20" s="17" t="str">
        <v>缺勤</v>
      </c>
      <c r="N20" s="19">
        <v>0</v>
      </c>
      <c r="O20" s="15">
        <v>0</v>
      </c>
      <c r="P20" s="15">
        <v>0</v>
      </c>
      <c r="Q20" s="15">
        <v>0</v>
      </c>
    </row>
    <row r="21" spans="2:17">
      <c r="B21" s="15" t="str">
        <v>0</v>
      </c>
      <c r="C21" s="15">
        <v>0</v>
      </c>
      <c r="D21" s="15" t="str">
        <v>0</v>
      </c>
      <c r="E21" s="15" t="str">
        <v>0</v>
      </c>
      <c r="F21" s="15">
        <v>0</v>
      </c>
      <c r="G21" s="17">
        <v>0</v>
      </c>
      <c r="H21" s="17" t="str">
        <v>缺勤</v>
      </c>
      <c r="N21" s="19">
        <v>0</v>
      </c>
      <c r="O21" s="15">
        <v>0</v>
      </c>
      <c r="P21" s="15">
        <v>0</v>
      </c>
      <c r="Q21" s="15">
        <v>0</v>
      </c>
    </row>
    <row r="22" spans="2:17">
      <c r="B22" s="15" t="str">
        <v>0</v>
      </c>
      <c r="C22" s="15">
        <v>0</v>
      </c>
      <c r="D22" s="15" t="str">
        <v>0</v>
      </c>
      <c r="E22" s="15" t="str">
        <v>0</v>
      </c>
      <c r="F22" s="15">
        <v>0</v>
      </c>
      <c r="G22" s="17">
        <v>0</v>
      </c>
      <c r="H22" s="17" t="str">
        <v>缺勤</v>
      </c>
      <c r="N22" s="19">
        <v>0</v>
      </c>
      <c r="O22" s="15">
        <v>0</v>
      </c>
      <c r="P22" s="15">
        <v>0</v>
      </c>
      <c r="Q22" s="15">
        <v>0</v>
      </c>
    </row>
    <row r="23" spans="2:17">
      <c r="B23" s="15" t="str">
        <v>0</v>
      </c>
      <c r="C23" s="15">
        <v>0</v>
      </c>
      <c r="D23" s="15" t="str">
        <v>0</v>
      </c>
      <c r="E23" s="15" t="str">
        <v>0</v>
      </c>
      <c r="F23" s="15">
        <v>0</v>
      </c>
      <c r="G23" s="17">
        <v>0</v>
      </c>
      <c r="H23" s="17" t="str">
        <v>缺勤</v>
      </c>
      <c r="N23" s="19">
        <v>0</v>
      </c>
      <c r="O23" s="15">
        <v>0</v>
      </c>
      <c r="P23" s="15">
        <v>0</v>
      </c>
      <c r="Q23" s="15">
        <v>0</v>
      </c>
    </row>
    <row r="24" spans="2:17">
      <c r="B24" s="15" t="str">
        <v>0</v>
      </c>
      <c r="C24" s="15">
        <v>0</v>
      </c>
      <c r="D24" s="15" t="str">
        <v>0</v>
      </c>
      <c r="E24" s="15" t="str">
        <v>0</v>
      </c>
      <c r="F24" s="15">
        <v>0</v>
      </c>
      <c r="G24" s="17">
        <v>0</v>
      </c>
      <c r="H24" s="17" t="str">
        <v>缺勤</v>
      </c>
      <c r="N24" s="19">
        <v>0</v>
      </c>
      <c r="O24" s="15">
        <v>0</v>
      </c>
      <c r="P24" s="15">
        <v>0</v>
      </c>
      <c r="Q24" s="15">
        <v>0</v>
      </c>
    </row>
    <row r="25" spans="2:17">
      <c r="B25" s="15" t="str">
        <v>0</v>
      </c>
      <c r="C25" s="15">
        <v>0</v>
      </c>
      <c r="D25" s="15" t="str">
        <v>0</v>
      </c>
      <c r="E25" s="15" t="str">
        <v>0</v>
      </c>
      <c r="F25" s="15">
        <v>0</v>
      </c>
      <c r="G25" s="17">
        <v>0</v>
      </c>
      <c r="H25" s="17" t="str">
        <v>缺勤</v>
      </c>
      <c r="N25" s="19">
        <v>0</v>
      </c>
      <c r="O25" s="15">
        <v>0</v>
      </c>
      <c r="P25" s="15">
        <v>0</v>
      </c>
      <c r="Q25" s="15">
        <v>0</v>
      </c>
    </row>
    <row r="26" spans="2:17">
      <c r="B26" s="15" t="str">
        <v>0</v>
      </c>
      <c r="C26" s="15">
        <v>0</v>
      </c>
      <c r="D26" s="15" t="str">
        <v>0</v>
      </c>
      <c r="E26" s="15" t="str">
        <v>0</v>
      </c>
      <c r="F26" s="15">
        <v>0</v>
      </c>
      <c r="G26" s="17">
        <v>0</v>
      </c>
      <c r="H26" s="17" t="str">
        <v>缺勤</v>
      </c>
      <c r="N26" s="19">
        <v>0</v>
      </c>
      <c r="O26" s="15">
        <v>0</v>
      </c>
      <c r="P26" s="15">
        <v>0</v>
      </c>
      <c r="Q26" s="15">
        <v>0</v>
      </c>
    </row>
    <row r="27" spans="2:17">
      <c r="B27" s="15" t="str">
        <v>0</v>
      </c>
      <c r="C27" s="15">
        <v>0</v>
      </c>
      <c r="D27" s="15" t="str">
        <v>0</v>
      </c>
      <c r="E27" s="15" t="str">
        <v>0</v>
      </c>
      <c r="F27" s="15">
        <v>0</v>
      </c>
      <c r="G27" s="17">
        <v>0</v>
      </c>
      <c r="H27" s="17" t="str">
        <v>缺勤</v>
      </c>
      <c r="N27" s="19">
        <v>0</v>
      </c>
      <c r="O27" s="15">
        <v>0</v>
      </c>
      <c r="P27" s="15">
        <v>0</v>
      </c>
      <c r="Q27" s="15">
        <v>0</v>
      </c>
    </row>
    <row r="28" spans="2:17">
      <c r="B28" s="15" t="str">
        <v>0</v>
      </c>
      <c r="C28" s="15">
        <v>0</v>
      </c>
      <c r="D28" s="15" t="str">
        <v>0</v>
      </c>
      <c r="E28" s="15" t="str">
        <v>0</v>
      </c>
      <c r="F28" s="15">
        <v>0</v>
      </c>
      <c r="G28" s="17">
        <v>0</v>
      </c>
      <c r="H28" s="17" t="str">
        <v>缺勤</v>
      </c>
      <c r="N28" s="19">
        <v>0</v>
      </c>
      <c r="O28" s="15">
        <v>0</v>
      </c>
      <c r="P28" s="15">
        <v>0</v>
      </c>
      <c r="Q28" s="15">
        <v>0</v>
      </c>
    </row>
    <row r="29" spans="2:17">
      <c r="B29" s="15" t="str">
        <v>0</v>
      </c>
      <c r="C29" s="15">
        <v>0</v>
      </c>
      <c r="D29" s="15" t="str">
        <v>0</v>
      </c>
      <c r="E29" s="15" t="str">
        <v>0</v>
      </c>
      <c r="F29" s="15">
        <v>0</v>
      </c>
      <c r="G29" s="17">
        <v>0</v>
      </c>
      <c r="H29" s="17" t="str">
        <v>缺勤</v>
      </c>
      <c r="N29" s="19">
        <v>0</v>
      </c>
      <c r="O29" s="15">
        <v>0</v>
      </c>
      <c r="P29" s="15">
        <v>0</v>
      </c>
      <c r="Q29" s="15">
        <v>0</v>
      </c>
    </row>
    <row r="30" spans="2:17">
      <c r="B30" s="15" t="str">
        <v>0</v>
      </c>
      <c r="C30" s="15">
        <v>0</v>
      </c>
      <c r="D30" s="15" t="str">
        <v>0</v>
      </c>
      <c r="E30" s="15" t="str">
        <v>0</v>
      </c>
      <c r="F30" s="15">
        <v>0</v>
      </c>
      <c r="G30" s="17">
        <v>0</v>
      </c>
      <c r="H30" s="17" t="str">
        <v>缺勤</v>
      </c>
      <c r="N30" s="19">
        <v>0</v>
      </c>
      <c r="O30" s="15">
        <v>0</v>
      </c>
      <c r="P30" s="15">
        <v>0</v>
      </c>
      <c r="Q30" s="15">
        <v>0</v>
      </c>
    </row>
    <row r="31" spans="2:17">
      <c r="B31" s="15" t="str">
        <v>0</v>
      </c>
      <c r="C31" s="15">
        <v>0</v>
      </c>
      <c r="D31" s="15" t="str">
        <v>0</v>
      </c>
      <c r="E31" s="15" t="str">
        <v>0</v>
      </c>
      <c r="F31" s="15">
        <v>0</v>
      </c>
      <c r="G31" s="17">
        <v>0</v>
      </c>
      <c r="H31" s="17" t="str">
        <v>缺勤</v>
      </c>
      <c r="N31" s="19">
        <v>0</v>
      </c>
      <c r="O31" s="15">
        <v>0</v>
      </c>
      <c r="P31" s="15">
        <v>0</v>
      </c>
      <c r="Q31" s="15">
        <v>0</v>
      </c>
    </row>
    <row r="32" spans="2:17">
      <c r="B32" s="15" t="str">
        <v>0</v>
      </c>
      <c r="C32" s="15">
        <v>0</v>
      </c>
      <c r="D32" s="15" t="str">
        <v>0</v>
      </c>
      <c r="E32" s="15" t="str">
        <v>0</v>
      </c>
      <c r="F32" s="15">
        <v>0</v>
      </c>
      <c r="G32" s="17">
        <v>0</v>
      </c>
      <c r="H32" s="17" t="str">
        <v>缺勤</v>
      </c>
      <c r="N32" s="19">
        <v>0</v>
      </c>
      <c r="O32" s="15">
        <v>0</v>
      </c>
      <c r="P32" s="15">
        <v>0</v>
      </c>
      <c r="Q32" s="15">
        <v>0</v>
      </c>
    </row>
    <row r="33" spans="2:17">
      <c r="B33" s="15" t="str">
        <v>0</v>
      </c>
      <c r="C33" s="15">
        <v>0</v>
      </c>
      <c r="D33" s="15" t="str">
        <v>0</v>
      </c>
      <c r="E33" s="15" t="str">
        <v>0</v>
      </c>
      <c r="F33" s="15">
        <v>0</v>
      </c>
      <c r="G33" s="17">
        <v>0</v>
      </c>
      <c r="H33" s="17" t="str">
        <v>缺勤</v>
      </c>
      <c r="N33" s="19">
        <v>0</v>
      </c>
      <c r="O33" s="15">
        <v>0</v>
      </c>
      <c r="P33" s="15">
        <v>0</v>
      </c>
      <c r="Q33" s="15">
        <v>0</v>
      </c>
    </row>
    <row r="34" spans="2:17">
      <c r="B34" s="15" t="str">
        <v>0</v>
      </c>
      <c r="C34" s="15">
        <v>0</v>
      </c>
      <c r="D34" s="15" t="str">
        <v>0</v>
      </c>
      <c r="E34" s="15" t="str">
        <v>0</v>
      </c>
      <c r="F34" s="15">
        <v>0</v>
      </c>
      <c r="G34" s="17">
        <v>0</v>
      </c>
      <c r="H34" s="17" t="str">
        <v>缺勤</v>
      </c>
      <c r="N34" s="19">
        <v>0</v>
      </c>
      <c r="O34" s="15">
        <v>0</v>
      </c>
      <c r="P34" s="15">
        <v>0</v>
      </c>
      <c r="Q34" s="15">
        <v>0</v>
      </c>
    </row>
    <row r="35" spans="2:17">
      <c r="B35" s="15" t="str">
        <v>0</v>
      </c>
      <c r="C35" s="15">
        <v>0</v>
      </c>
      <c r="D35" s="15" t="str">
        <v>0</v>
      </c>
      <c r="E35" s="15" t="str">
        <v>0</v>
      </c>
      <c r="F35" s="15">
        <v>0</v>
      </c>
      <c r="G35" s="17">
        <v>0</v>
      </c>
      <c r="H35" s="17" t="str">
        <v>缺勤</v>
      </c>
      <c r="N35" s="19">
        <v>0</v>
      </c>
      <c r="O35" s="15">
        <v>0</v>
      </c>
      <c r="P35" s="15">
        <v>0</v>
      </c>
      <c r="Q35" s="15">
        <v>0</v>
      </c>
    </row>
    <row r="36" spans="2:17">
      <c r="B36" s="15" t="str">
        <v>0</v>
      </c>
      <c r="C36" s="15">
        <v>0</v>
      </c>
      <c r="D36" s="15" t="str">
        <v>0</v>
      </c>
      <c r="E36" s="15" t="str">
        <v>0</v>
      </c>
      <c r="F36" s="15">
        <v>0</v>
      </c>
      <c r="G36" s="17">
        <v>0</v>
      </c>
      <c r="H36" s="17" t="str">
        <v>缺勤</v>
      </c>
      <c r="N36" s="19">
        <v>0</v>
      </c>
      <c r="O36" s="15">
        <v>0</v>
      </c>
      <c r="P36" s="15">
        <v>0</v>
      </c>
      <c r="Q36" s="15">
        <v>0</v>
      </c>
    </row>
    <row r="37" spans="2:17">
      <c r="B37" s="15" t="str">
        <v>0</v>
      </c>
      <c r="C37" s="15">
        <v>0</v>
      </c>
      <c r="D37" s="15" t="str">
        <v>0</v>
      </c>
      <c r="E37" s="15" t="str">
        <v>0</v>
      </c>
      <c r="F37" s="15">
        <v>0</v>
      </c>
      <c r="G37" s="17">
        <v>0</v>
      </c>
      <c r="H37" s="17" t="str">
        <v>缺勤</v>
      </c>
      <c r="N37" s="19">
        <v>0</v>
      </c>
      <c r="O37" s="15">
        <v>0</v>
      </c>
      <c r="P37" s="15">
        <v>0</v>
      </c>
      <c r="Q37" s="15">
        <v>0</v>
      </c>
    </row>
    <row r="38" spans="2:17">
      <c r="B38" s="15" t="str">
        <v>0</v>
      </c>
      <c r="C38" s="15">
        <v>0</v>
      </c>
      <c r="D38" s="15" t="str">
        <v>0</v>
      </c>
      <c r="E38" s="15" t="str">
        <v>0</v>
      </c>
      <c r="F38" s="15">
        <v>0</v>
      </c>
      <c r="G38" s="17">
        <v>0</v>
      </c>
      <c r="H38" s="17" t="str">
        <v>缺勤</v>
      </c>
      <c r="N38" s="19">
        <v>0</v>
      </c>
      <c r="O38" s="15">
        <v>0</v>
      </c>
      <c r="P38" s="15">
        <v>0</v>
      </c>
      <c r="Q38" s="15">
        <v>0</v>
      </c>
    </row>
    <row r="39" spans="2:17">
      <c r="B39" s="15" t="str">
        <v>0</v>
      </c>
      <c r="C39" s="15">
        <v>0</v>
      </c>
      <c r="D39" s="15" t="str">
        <v>0</v>
      </c>
      <c r="E39" s="15" t="str">
        <v>0</v>
      </c>
      <c r="F39" s="15">
        <v>0</v>
      </c>
      <c r="G39" s="17">
        <v>0</v>
      </c>
      <c r="H39" s="17" t="str">
        <v>缺勤</v>
      </c>
      <c r="N39" s="19">
        <v>0</v>
      </c>
      <c r="O39" s="15">
        <v>0</v>
      </c>
      <c r="P39" s="15">
        <v>0</v>
      </c>
      <c r="Q39" s="15">
        <v>0</v>
      </c>
    </row>
    <row r="40" spans="2:17">
      <c r="B40" s="15" t="str">
        <v>0</v>
      </c>
      <c r="C40" s="15">
        <v>0</v>
      </c>
      <c r="D40" s="15" t="str">
        <v>0</v>
      </c>
      <c r="E40" s="15" t="str">
        <v>0</v>
      </c>
      <c r="F40" s="15">
        <v>0</v>
      </c>
      <c r="G40" s="17">
        <v>0</v>
      </c>
      <c r="H40" s="17" t="str">
        <v>缺勤</v>
      </c>
      <c r="N40" s="19">
        <v>0</v>
      </c>
      <c r="O40" s="15">
        <v>0</v>
      </c>
      <c r="P40" s="15">
        <v>0</v>
      </c>
      <c r="Q40" s="15">
        <v>0</v>
      </c>
    </row>
    <row r="41" spans="2:17">
      <c r="B41" s="15" t="str">
        <v>0</v>
      </c>
      <c r="C41" s="15">
        <v>0</v>
      </c>
      <c r="D41" s="15" t="str">
        <v>0</v>
      </c>
      <c r="E41" s="15" t="str">
        <v>0</v>
      </c>
      <c r="F41" s="15">
        <v>0</v>
      </c>
      <c r="G41" s="17">
        <v>0</v>
      </c>
      <c r="H41" s="17" t="str">
        <v>缺勤</v>
      </c>
      <c r="N41" s="19">
        <v>0</v>
      </c>
      <c r="O41" s="15">
        <v>0</v>
      </c>
      <c r="P41" s="15">
        <v>0</v>
      </c>
      <c r="Q41" s="15">
        <v>0</v>
      </c>
    </row>
    <row r="42" spans="2:17">
      <c r="B42" s="15" t="str">
        <v>0</v>
      </c>
      <c r="C42" s="15">
        <v>0</v>
      </c>
      <c r="D42" s="15" t="str">
        <v>0</v>
      </c>
      <c r="E42" s="15" t="str">
        <v>0</v>
      </c>
      <c r="F42" s="15">
        <v>0</v>
      </c>
      <c r="G42" s="17">
        <v>0</v>
      </c>
      <c r="H42" s="17" t="str">
        <v>缺勤</v>
      </c>
      <c r="N42" s="19">
        <v>0</v>
      </c>
      <c r="O42" s="15">
        <v>0</v>
      </c>
      <c r="P42" s="15">
        <v>0</v>
      </c>
      <c r="Q42" s="15">
        <v>0</v>
      </c>
    </row>
    <row r="43" spans="2:17">
      <c r="B43" s="15" t="str">
        <v>0</v>
      </c>
      <c r="C43" s="15">
        <v>0</v>
      </c>
      <c r="D43" s="15" t="str">
        <v>0</v>
      </c>
      <c r="E43" s="15" t="str">
        <v>0</v>
      </c>
      <c r="F43" s="15">
        <v>0</v>
      </c>
      <c r="G43" s="17">
        <v>0</v>
      </c>
      <c r="H43" s="17" t="str">
        <v>缺勤</v>
      </c>
      <c r="N43" s="19">
        <v>0</v>
      </c>
      <c r="O43" s="15">
        <v>0</v>
      </c>
      <c r="P43" s="15">
        <v>0</v>
      </c>
      <c r="Q43" s="15">
        <v>0</v>
      </c>
    </row>
    <row r="44" spans="2:17">
      <c r="B44" s="15" t="str">
        <v>0</v>
      </c>
      <c r="C44" s="15">
        <v>0</v>
      </c>
      <c r="D44" s="15" t="str">
        <v>0</v>
      </c>
      <c r="E44" s="15" t="str">
        <v>0</v>
      </c>
      <c r="F44" s="15">
        <v>0</v>
      </c>
      <c r="G44" s="17">
        <v>0</v>
      </c>
      <c r="H44" s="17" t="str">
        <v>缺勤</v>
      </c>
      <c r="N44" s="19">
        <v>0</v>
      </c>
      <c r="O44" s="15">
        <v>0</v>
      </c>
      <c r="P44" s="15">
        <v>0</v>
      </c>
      <c r="Q44" s="15">
        <v>0</v>
      </c>
    </row>
    <row r="45" spans="2:17">
      <c r="B45" s="15" t="str">
        <v>0</v>
      </c>
      <c r="C45" s="15">
        <v>0</v>
      </c>
      <c r="D45" s="15" t="str">
        <v>0</v>
      </c>
      <c r="E45" s="15" t="str">
        <v>0</v>
      </c>
      <c r="F45" s="15">
        <v>0</v>
      </c>
      <c r="G45" s="17">
        <v>0</v>
      </c>
      <c r="H45" s="17" t="str">
        <v>缺勤</v>
      </c>
      <c r="N45" s="19">
        <v>0</v>
      </c>
      <c r="O45" s="15">
        <v>0</v>
      </c>
      <c r="P45" s="15">
        <v>0</v>
      </c>
      <c r="Q45" s="15">
        <v>0</v>
      </c>
    </row>
    <row r="46" spans="2:17">
      <c r="B46" s="15" t="str">
        <v>0</v>
      </c>
      <c r="C46" s="15">
        <v>0</v>
      </c>
      <c r="D46" s="15" t="str">
        <v>0</v>
      </c>
      <c r="E46" s="15" t="str">
        <v>0</v>
      </c>
      <c r="F46" s="15">
        <v>0</v>
      </c>
      <c r="G46" s="17">
        <v>0</v>
      </c>
      <c r="H46" s="17" t="str">
        <v>缺勤</v>
      </c>
      <c r="N46" s="19">
        <v>0</v>
      </c>
      <c r="O46" s="15">
        <v>0</v>
      </c>
      <c r="P46" s="15">
        <v>0</v>
      </c>
      <c r="Q46" s="15">
        <v>0</v>
      </c>
    </row>
    <row r="47" spans="2:17">
      <c r="B47" s="15" t="str">
        <v>0</v>
      </c>
      <c r="C47" s="15">
        <v>0</v>
      </c>
      <c r="D47" s="15" t="str">
        <v>0</v>
      </c>
      <c r="E47" s="15" t="str">
        <v>0</v>
      </c>
      <c r="F47" s="15">
        <v>0</v>
      </c>
      <c r="G47" s="17">
        <v>0</v>
      </c>
      <c r="H47" s="17" t="str">
        <v>缺勤</v>
      </c>
      <c r="N47" s="19">
        <v>0</v>
      </c>
      <c r="O47" s="15">
        <v>0</v>
      </c>
      <c r="P47" s="15">
        <v>0</v>
      </c>
      <c r="Q47" s="15">
        <v>0</v>
      </c>
    </row>
    <row r="48" spans="2:17">
      <c r="B48" s="15" t="str">
        <v>0</v>
      </c>
      <c r="C48" s="15">
        <v>0</v>
      </c>
      <c r="D48" s="15" t="str">
        <v>0</v>
      </c>
      <c r="E48" s="15" t="str">
        <v>0</v>
      </c>
      <c r="F48" s="15">
        <v>0</v>
      </c>
      <c r="G48" s="17">
        <v>0</v>
      </c>
      <c r="H48" s="17" t="str">
        <v>缺勤</v>
      </c>
      <c r="N48" s="19">
        <v>0</v>
      </c>
      <c r="O48" s="15">
        <v>0</v>
      </c>
      <c r="P48" s="15">
        <v>0</v>
      </c>
      <c r="Q48" s="15">
        <v>0</v>
      </c>
    </row>
    <row r="49" spans="2:17">
      <c r="B49" s="15" t="str">
        <v>0</v>
      </c>
      <c r="C49" s="15">
        <v>0</v>
      </c>
      <c r="D49" s="15" t="str">
        <v>0</v>
      </c>
      <c r="E49" s="15" t="str">
        <v>0</v>
      </c>
      <c r="F49" s="15">
        <v>0</v>
      </c>
      <c r="G49" s="17">
        <v>0</v>
      </c>
      <c r="H49" s="17" t="str">
        <v>缺勤</v>
      </c>
      <c r="N49" s="19">
        <v>0</v>
      </c>
      <c r="O49" s="15">
        <v>0</v>
      </c>
      <c r="P49" s="15">
        <v>0</v>
      </c>
      <c r="Q49" s="15">
        <v>0</v>
      </c>
    </row>
    <row r="50" spans="2:17">
      <c r="B50" s="15" t="str">
        <v>0</v>
      </c>
      <c r="C50" s="15">
        <v>0</v>
      </c>
      <c r="D50" s="15" t="str">
        <v>0</v>
      </c>
      <c r="E50" s="15" t="str">
        <v>0</v>
      </c>
      <c r="F50" s="15">
        <v>0</v>
      </c>
      <c r="G50" s="17">
        <v>0</v>
      </c>
      <c r="H50" s="17" t="str">
        <v>缺勤</v>
      </c>
      <c r="N50" s="19">
        <v>0</v>
      </c>
      <c r="O50" s="15">
        <v>0</v>
      </c>
      <c r="P50" s="15">
        <v>0</v>
      </c>
      <c r="Q50" s="15">
        <v>0</v>
      </c>
    </row>
    <row r="51" spans="2:17">
      <c r="B51" s="15" t="str">
        <v>0</v>
      </c>
      <c r="C51" s="15">
        <v>0</v>
      </c>
      <c r="D51" s="15" t="str">
        <v>0</v>
      </c>
      <c r="E51" s="15" t="str">
        <v>0</v>
      </c>
      <c r="F51" s="15">
        <v>0</v>
      </c>
      <c r="G51" s="17">
        <v>0</v>
      </c>
      <c r="H51" s="17" t="str">
        <v>缺勤</v>
      </c>
      <c r="N51" s="19">
        <v>0</v>
      </c>
      <c r="O51" s="15">
        <v>0</v>
      </c>
      <c r="P51" s="15">
        <v>0</v>
      </c>
      <c r="Q51" s="15">
        <v>0</v>
      </c>
    </row>
    <row r="52" spans="2:17">
      <c r="B52" s="15" t="str">
        <v>0</v>
      </c>
      <c r="C52" s="15">
        <v>0</v>
      </c>
      <c r="D52" s="15" t="str">
        <v>0</v>
      </c>
      <c r="E52" s="15" t="str">
        <v>0</v>
      </c>
      <c r="F52" s="15">
        <v>0</v>
      </c>
      <c r="G52" s="17">
        <v>0</v>
      </c>
      <c r="H52" s="17" t="str">
        <v>缺勤</v>
      </c>
      <c r="N52" s="19">
        <v>0</v>
      </c>
      <c r="O52" s="15">
        <v>0</v>
      </c>
      <c r="P52" s="15">
        <v>0</v>
      </c>
      <c r="Q52" s="15">
        <v>0</v>
      </c>
    </row>
    <row r="53" spans="2:17">
      <c r="B53" s="15" t="str">
        <v>0</v>
      </c>
      <c r="C53" s="15">
        <v>0</v>
      </c>
      <c r="D53" s="15" t="str">
        <v>0</v>
      </c>
      <c r="E53" s="15" t="str">
        <v>0</v>
      </c>
      <c r="F53" s="15">
        <v>0</v>
      </c>
      <c r="G53" s="17">
        <v>0</v>
      </c>
      <c r="H53" s="17" t="str">
        <v>缺勤</v>
      </c>
      <c r="N53" s="19">
        <v>0</v>
      </c>
      <c r="O53" s="15">
        <v>0</v>
      </c>
      <c r="P53" s="15">
        <v>0</v>
      </c>
      <c r="Q53" s="15">
        <v>0</v>
      </c>
    </row>
    <row r="54" spans="2:17">
      <c r="B54" s="15" t="str">
        <v>0</v>
      </c>
      <c r="C54" s="15">
        <v>0</v>
      </c>
      <c r="D54" s="15" t="str">
        <v>0</v>
      </c>
      <c r="E54" s="15" t="str">
        <v>0</v>
      </c>
      <c r="F54" s="15">
        <v>0</v>
      </c>
      <c r="G54" s="17">
        <v>0</v>
      </c>
      <c r="H54" s="17" t="str">
        <v>缺勤</v>
      </c>
      <c r="N54" s="19">
        <v>0</v>
      </c>
      <c r="O54" s="15">
        <v>0</v>
      </c>
      <c r="P54" s="15">
        <v>0</v>
      </c>
      <c r="Q54" s="15">
        <v>0</v>
      </c>
    </row>
    <row r="55" spans="2:17">
      <c r="B55" s="15" t="str">
        <v>0</v>
      </c>
      <c r="C55" s="15">
        <v>0</v>
      </c>
      <c r="D55" s="15" t="str">
        <v>0</v>
      </c>
      <c r="E55" s="15" t="str">
        <v>0</v>
      </c>
      <c r="F55" s="15">
        <v>0</v>
      </c>
      <c r="G55" s="17">
        <v>0</v>
      </c>
      <c r="H55" s="17" t="str">
        <v>缺勤</v>
      </c>
      <c r="N55" s="19">
        <v>0</v>
      </c>
      <c r="O55" s="15">
        <v>0</v>
      </c>
      <c r="P55" s="15">
        <v>0</v>
      </c>
      <c r="Q55" s="15">
        <v>0</v>
      </c>
    </row>
    <row r="56" spans="2:17">
      <c r="B56" s="15" t="str">
        <v>0</v>
      </c>
      <c r="C56" s="15">
        <v>0</v>
      </c>
      <c r="D56" s="15" t="str">
        <v>0</v>
      </c>
      <c r="E56" s="15" t="str">
        <v>0</v>
      </c>
      <c r="F56" s="15">
        <v>0</v>
      </c>
      <c r="G56" s="17">
        <v>0</v>
      </c>
      <c r="H56" s="17" t="str">
        <v>缺勤</v>
      </c>
      <c r="N56" s="19">
        <v>0</v>
      </c>
      <c r="O56" s="15">
        <v>0</v>
      </c>
      <c r="P56" s="15">
        <v>0</v>
      </c>
      <c r="Q56" s="15">
        <v>0</v>
      </c>
    </row>
    <row r="57" spans="2:17">
      <c r="B57" s="15" t="str">
        <v>0</v>
      </c>
      <c r="C57" s="15">
        <v>0</v>
      </c>
      <c r="D57" s="15" t="str">
        <v>0</v>
      </c>
      <c r="E57" s="15" t="str">
        <v>0</v>
      </c>
      <c r="F57" s="15">
        <v>0</v>
      </c>
      <c r="G57" s="17">
        <v>0</v>
      </c>
      <c r="H57" s="17" t="str">
        <v>缺勤</v>
      </c>
      <c r="N57" s="19">
        <v>0</v>
      </c>
      <c r="O57" s="15">
        <v>0</v>
      </c>
      <c r="P57" s="15">
        <v>0</v>
      </c>
      <c r="Q57" s="15">
        <v>0</v>
      </c>
    </row>
    <row r="58" spans="2:17">
      <c r="B58" s="15" t="str">
        <v>0</v>
      </c>
      <c r="C58" s="15">
        <v>0</v>
      </c>
      <c r="D58" s="15" t="str">
        <v>0</v>
      </c>
      <c r="E58" s="15" t="str">
        <v>0</v>
      </c>
      <c r="F58" s="15">
        <v>0</v>
      </c>
      <c r="G58" s="17">
        <v>0</v>
      </c>
      <c r="H58" s="17" t="str">
        <v>缺勤</v>
      </c>
      <c r="N58" s="19">
        <v>0</v>
      </c>
      <c r="O58" s="15">
        <v>0</v>
      </c>
      <c r="P58" s="15">
        <v>0</v>
      </c>
      <c r="Q58" s="15">
        <v>0</v>
      </c>
    </row>
    <row r="59" spans="2:17">
      <c r="B59" s="15" t="str">
        <v>0</v>
      </c>
      <c r="C59" s="15">
        <v>0</v>
      </c>
      <c r="D59" s="15" t="str">
        <v>0</v>
      </c>
      <c r="E59" s="15" t="str">
        <v>0</v>
      </c>
      <c r="F59" s="15">
        <v>0</v>
      </c>
      <c r="G59" s="17">
        <v>0</v>
      </c>
      <c r="H59" s="17" t="str">
        <v>缺勤</v>
      </c>
      <c r="N59" s="19">
        <v>0</v>
      </c>
      <c r="O59" s="15">
        <v>0</v>
      </c>
      <c r="P59" s="15">
        <v>0</v>
      </c>
      <c r="Q59" s="15">
        <v>0</v>
      </c>
    </row>
    <row r="60" spans="2:17">
      <c r="B60" s="15" t="str">
        <v>0</v>
      </c>
      <c r="C60" s="15">
        <v>0</v>
      </c>
      <c r="D60" s="15" t="str">
        <v>0</v>
      </c>
      <c r="E60" s="15" t="str">
        <v>0</v>
      </c>
      <c r="F60" s="15">
        <v>0</v>
      </c>
      <c r="G60" s="17">
        <v>0</v>
      </c>
      <c r="H60" s="17" t="str">
        <v>缺勤</v>
      </c>
      <c r="N60" s="19">
        <v>0</v>
      </c>
      <c r="O60" s="15">
        <v>0</v>
      </c>
      <c r="P60" s="15">
        <v>0</v>
      </c>
      <c r="Q60" s="15">
        <v>0</v>
      </c>
    </row>
    <row r="61" spans="2:17">
      <c r="B61" s="15" t="str">
        <v>0</v>
      </c>
      <c r="C61" s="15">
        <v>0</v>
      </c>
      <c r="D61" s="15" t="str">
        <v>0</v>
      </c>
      <c r="E61" s="15" t="str">
        <v>0</v>
      </c>
      <c r="F61" s="15">
        <v>0</v>
      </c>
      <c r="G61" s="17">
        <v>0</v>
      </c>
      <c r="H61" s="17" t="str">
        <v>缺勤</v>
      </c>
      <c r="N61" s="19">
        <v>0</v>
      </c>
      <c r="O61" s="15">
        <v>0</v>
      </c>
      <c r="P61" s="15">
        <v>0</v>
      </c>
      <c r="Q61" s="15">
        <v>0</v>
      </c>
    </row>
    <row r="62" spans="2:17">
      <c r="B62" s="15" t="str">
        <v>0</v>
      </c>
      <c r="C62" s="15">
        <v>0</v>
      </c>
      <c r="D62" s="15" t="str">
        <v>0</v>
      </c>
      <c r="E62" s="15" t="str">
        <v>0</v>
      </c>
      <c r="F62" s="15">
        <v>0</v>
      </c>
      <c r="G62" s="17">
        <v>0</v>
      </c>
      <c r="H62" s="17" t="str">
        <v>缺勤</v>
      </c>
      <c r="N62" s="19">
        <v>0</v>
      </c>
      <c r="O62" s="15">
        <v>0</v>
      </c>
      <c r="P62" s="15">
        <v>0</v>
      </c>
      <c r="Q62" s="15">
        <v>0</v>
      </c>
    </row>
    <row r="63" spans="2:17">
      <c r="B63" s="15" t="str">
        <v>0</v>
      </c>
      <c r="C63" s="15">
        <v>0</v>
      </c>
      <c r="D63" s="15" t="str">
        <v>0</v>
      </c>
      <c r="E63" s="15" t="str">
        <v>0</v>
      </c>
      <c r="F63" s="15">
        <v>0</v>
      </c>
      <c r="G63" s="17">
        <v>0</v>
      </c>
      <c r="H63" s="17" t="str">
        <v>缺勤</v>
      </c>
      <c r="N63" s="19">
        <v>0</v>
      </c>
      <c r="O63" s="15">
        <v>0</v>
      </c>
      <c r="P63" s="15">
        <v>0</v>
      </c>
      <c r="Q63" s="15">
        <v>0</v>
      </c>
    </row>
    <row r="64" spans="2:17">
      <c r="B64" s="15" t="str">
        <v>0</v>
      </c>
      <c r="C64" s="15">
        <v>0</v>
      </c>
      <c r="D64" s="15" t="str">
        <v>0</v>
      </c>
      <c r="E64" s="15" t="str">
        <v>0</v>
      </c>
      <c r="F64" s="15">
        <v>0</v>
      </c>
      <c r="G64" s="17">
        <v>0</v>
      </c>
      <c r="H64" s="17" t="str">
        <v>缺勤</v>
      </c>
      <c r="N64" s="19">
        <v>0</v>
      </c>
      <c r="O64" s="15">
        <v>0</v>
      </c>
      <c r="P64" s="15">
        <v>0</v>
      </c>
      <c r="Q64" s="15">
        <v>0</v>
      </c>
    </row>
    <row r="65" spans="2:17">
      <c r="B65" s="15" t="str">
        <v>0</v>
      </c>
      <c r="C65" s="15">
        <v>0</v>
      </c>
      <c r="D65" s="15" t="str">
        <v>0</v>
      </c>
      <c r="E65" s="15" t="str">
        <v>0</v>
      </c>
      <c r="F65" s="15">
        <v>0</v>
      </c>
      <c r="G65" s="17">
        <v>0</v>
      </c>
      <c r="H65" s="17" t="str">
        <v>缺勤</v>
      </c>
      <c r="N65" s="19">
        <v>0</v>
      </c>
      <c r="O65" s="15">
        <v>0</v>
      </c>
      <c r="P65" s="15">
        <v>0</v>
      </c>
      <c r="Q65" s="15">
        <v>0</v>
      </c>
    </row>
    <row r="66" spans="2:17">
      <c r="B66" s="15" t="str">
        <v>0</v>
      </c>
      <c r="C66" s="15">
        <v>0</v>
      </c>
      <c r="D66" s="15" t="str">
        <v>0</v>
      </c>
      <c r="E66" s="15" t="str">
        <v>0</v>
      </c>
      <c r="F66" s="15">
        <v>0</v>
      </c>
      <c r="G66" s="17">
        <v>0</v>
      </c>
      <c r="H66" s="17" t="str">
        <v>缺勤</v>
      </c>
      <c r="N66" s="19">
        <v>0</v>
      </c>
      <c r="O66" s="15">
        <v>0</v>
      </c>
      <c r="P66" s="15">
        <v>0</v>
      </c>
      <c r="Q66" s="15">
        <v>0</v>
      </c>
    </row>
    <row r="67" spans="2:17">
      <c r="B67" s="15" t="str">
        <v>0</v>
      </c>
      <c r="C67" s="15">
        <v>0</v>
      </c>
      <c r="D67" s="15" t="str">
        <v>0</v>
      </c>
      <c r="E67" s="15" t="str">
        <v>0</v>
      </c>
      <c r="F67" s="15">
        <v>0</v>
      </c>
      <c r="G67" s="17">
        <v>0</v>
      </c>
      <c r="H67" s="17" t="str">
        <v>缺勤</v>
      </c>
      <c r="N67" s="19">
        <v>0</v>
      </c>
      <c r="O67" s="15">
        <v>0</v>
      </c>
      <c r="P67" s="15">
        <v>0</v>
      </c>
      <c r="Q67" s="15">
        <v>0</v>
      </c>
    </row>
    <row r="68" spans="2:17">
      <c r="B68" s="15" t="str">
        <v>0</v>
      </c>
      <c r="C68" s="15">
        <v>0</v>
      </c>
      <c r="D68" s="15" t="str">
        <v>0</v>
      </c>
      <c r="E68" s="15" t="str">
        <v>0</v>
      </c>
      <c r="F68" s="15">
        <v>0</v>
      </c>
      <c r="G68" s="17">
        <v>0</v>
      </c>
      <c r="H68" s="17" t="str">
        <v>缺勤</v>
      </c>
      <c r="N68" s="19">
        <v>0</v>
      </c>
      <c r="O68" s="15">
        <v>0</v>
      </c>
      <c r="P68" s="15">
        <v>0</v>
      </c>
      <c r="Q68" s="15">
        <v>0</v>
      </c>
    </row>
    <row r="69" spans="2:17">
      <c r="B69" s="15" t="str">
        <v>0</v>
      </c>
      <c r="C69" s="15">
        <v>0</v>
      </c>
      <c r="D69" s="15" t="str">
        <v>0</v>
      </c>
      <c r="E69" s="15" t="str">
        <v>0</v>
      </c>
      <c r="F69" s="15">
        <v>0</v>
      </c>
      <c r="G69" s="17">
        <v>0</v>
      </c>
      <c r="H69" s="17" t="str">
        <v>缺勤</v>
      </c>
      <c r="N69" s="19">
        <v>0</v>
      </c>
      <c r="O69" s="15">
        <v>0</v>
      </c>
      <c r="P69" s="15">
        <v>0</v>
      </c>
      <c r="Q69" s="15">
        <v>0</v>
      </c>
    </row>
    <row r="70" spans="2:17">
      <c r="B70" s="15" t="str">
        <v>0</v>
      </c>
      <c r="C70" s="15">
        <v>0</v>
      </c>
      <c r="D70" s="15" t="str">
        <v>0</v>
      </c>
      <c r="E70" s="15" t="str">
        <v>0</v>
      </c>
      <c r="F70" s="15">
        <v>0</v>
      </c>
      <c r="G70" s="17">
        <v>0</v>
      </c>
      <c r="H70" s="17" t="str">
        <v>缺勤</v>
      </c>
      <c r="N70" s="19">
        <v>0</v>
      </c>
      <c r="O70" s="15">
        <v>0</v>
      </c>
      <c r="P70" s="15">
        <v>0</v>
      </c>
      <c r="Q70" s="15">
        <v>0</v>
      </c>
    </row>
    <row r="71" spans="2:17">
      <c r="B71" s="15" t="str">
        <v>0</v>
      </c>
      <c r="C71" s="15">
        <v>0</v>
      </c>
      <c r="D71" s="15" t="str">
        <v>0</v>
      </c>
      <c r="E71" s="15" t="str">
        <v>0</v>
      </c>
      <c r="F71" s="15">
        <v>0</v>
      </c>
      <c r="G71" s="17">
        <v>0</v>
      </c>
      <c r="H71" s="17" t="str">
        <v>缺勤</v>
      </c>
      <c r="N71" s="19">
        <v>0</v>
      </c>
      <c r="O71" s="15">
        <v>0</v>
      </c>
      <c r="P71" s="15">
        <v>0</v>
      </c>
      <c r="Q71" s="15">
        <v>0</v>
      </c>
    </row>
    <row r="72" spans="2:17">
      <c r="B72" s="15" t="str">
        <v>0</v>
      </c>
      <c r="C72" s="15">
        <v>0</v>
      </c>
      <c r="D72" s="15" t="str">
        <v>0</v>
      </c>
      <c r="E72" s="15" t="str">
        <v>0</v>
      </c>
      <c r="F72" s="15">
        <v>0</v>
      </c>
      <c r="G72" s="17">
        <v>0</v>
      </c>
      <c r="H72" s="17" t="str">
        <v>缺勤</v>
      </c>
      <c r="N72" s="19">
        <v>0</v>
      </c>
      <c r="O72" s="15">
        <v>0</v>
      </c>
      <c r="P72" s="15">
        <v>0</v>
      </c>
      <c r="Q72" s="15">
        <v>0</v>
      </c>
    </row>
    <row r="73" spans="2:17">
      <c r="B73" s="15" t="str">
        <v>0</v>
      </c>
      <c r="C73" s="15">
        <v>0</v>
      </c>
      <c r="D73" s="15" t="str">
        <v>0</v>
      </c>
      <c r="E73" s="15" t="str">
        <v>0</v>
      </c>
      <c r="F73" s="15">
        <v>0</v>
      </c>
      <c r="G73" s="17">
        <v>0</v>
      </c>
      <c r="H73" s="17" t="str">
        <v>缺勤</v>
      </c>
      <c r="N73" s="19">
        <v>0</v>
      </c>
      <c r="O73" s="15">
        <v>0</v>
      </c>
      <c r="P73" s="15">
        <v>0</v>
      </c>
      <c r="Q73" s="15">
        <v>0</v>
      </c>
    </row>
    <row r="74" spans="2:17">
      <c r="B74" s="15" t="str">
        <v>0</v>
      </c>
      <c r="C74" s="15">
        <v>0</v>
      </c>
      <c r="D74" s="15" t="str">
        <v>0</v>
      </c>
      <c r="E74" s="15" t="str">
        <v>0</v>
      </c>
      <c r="F74" s="15">
        <v>0</v>
      </c>
      <c r="G74" s="17">
        <v>0</v>
      </c>
      <c r="H74" s="17" t="str">
        <v>缺勤</v>
      </c>
      <c r="N74" s="19">
        <v>0</v>
      </c>
      <c r="O74" s="15">
        <v>0</v>
      </c>
      <c r="P74" s="15">
        <v>0</v>
      </c>
      <c r="Q74" s="15">
        <v>0</v>
      </c>
    </row>
    <row r="75" spans="2:17">
      <c r="B75" s="15" t="str">
        <v>0</v>
      </c>
      <c r="C75" s="15">
        <v>0</v>
      </c>
      <c r="D75" s="15" t="str">
        <v>0</v>
      </c>
      <c r="E75" s="15" t="str">
        <v>0</v>
      </c>
      <c r="F75" s="15">
        <v>0</v>
      </c>
      <c r="G75" s="17">
        <v>0</v>
      </c>
      <c r="H75" s="17" t="str">
        <v>缺勤</v>
      </c>
      <c r="N75" s="19">
        <v>0</v>
      </c>
      <c r="O75" s="15">
        <v>0</v>
      </c>
      <c r="P75" s="15">
        <v>0</v>
      </c>
      <c r="Q75" s="15">
        <v>0</v>
      </c>
    </row>
    <row r="76" spans="2:17">
      <c r="B76" s="15" t="str">
        <v>0</v>
      </c>
      <c r="C76" s="15">
        <v>0</v>
      </c>
      <c r="D76" s="15" t="str">
        <v>0</v>
      </c>
      <c r="E76" s="15" t="str">
        <v>0</v>
      </c>
      <c r="F76" s="15">
        <v>0</v>
      </c>
      <c r="G76" s="17">
        <v>0</v>
      </c>
      <c r="H76" s="17" t="str">
        <v>缺勤</v>
      </c>
      <c r="N76" s="19">
        <v>0</v>
      </c>
      <c r="O76" s="15">
        <v>0</v>
      </c>
      <c r="P76" s="15">
        <v>0</v>
      </c>
      <c r="Q76" s="15">
        <v>0</v>
      </c>
    </row>
    <row r="77" spans="2:17">
      <c r="B77" s="15" t="str">
        <v>0</v>
      </c>
      <c r="C77" s="15">
        <v>0</v>
      </c>
      <c r="D77" s="15" t="str">
        <v>0</v>
      </c>
      <c r="E77" s="15" t="str">
        <v>0</v>
      </c>
      <c r="F77" s="15">
        <v>0</v>
      </c>
      <c r="G77" s="17">
        <v>0</v>
      </c>
      <c r="H77" s="17" t="str">
        <v>缺勤</v>
      </c>
      <c r="N77" s="19">
        <v>0</v>
      </c>
      <c r="O77" s="15">
        <v>0</v>
      </c>
      <c r="P77" s="15">
        <v>0</v>
      </c>
      <c r="Q77" s="15">
        <v>0</v>
      </c>
    </row>
    <row r="78" spans="2:17">
      <c r="B78" s="15" t="str">
        <v>0</v>
      </c>
      <c r="C78" s="15">
        <v>0</v>
      </c>
      <c r="D78" s="15" t="str">
        <v>0</v>
      </c>
      <c r="E78" s="15" t="str">
        <v>0</v>
      </c>
      <c r="F78" s="15">
        <v>0</v>
      </c>
      <c r="G78" s="17">
        <v>0</v>
      </c>
      <c r="H78" s="17" t="str">
        <v>缺勤</v>
      </c>
      <c r="N78" s="19">
        <v>0</v>
      </c>
      <c r="O78" s="15">
        <v>0</v>
      </c>
      <c r="P78" s="15">
        <v>0</v>
      </c>
      <c r="Q78" s="15">
        <v>0</v>
      </c>
    </row>
    <row r="79" spans="2:17">
      <c r="B79" s="15" t="str">
        <v>0</v>
      </c>
      <c r="C79" s="15">
        <v>0</v>
      </c>
      <c r="D79" s="15" t="str">
        <v>0</v>
      </c>
      <c r="E79" s="15" t="str">
        <v>0</v>
      </c>
      <c r="F79" s="15">
        <v>0</v>
      </c>
      <c r="G79" s="17">
        <v>0</v>
      </c>
      <c r="H79" s="17" t="str">
        <v>缺勤</v>
      </c>
      <c r="N79" s="19">
        <v>0</v>
      </c>
      <c r="O79" s="15">
        <v>0</v>
      </c>
      <c r="P79" s="15">
        <v>0</v>
      </c>
      <c r="Q79" s="15">
        <v>0</v>
      </c>
    </row>
    <row r="80" spans="2:17">
      <c r="B80" s="15" t="str">
        <v>0</v>
      </c>
      <c r="C80" s="15">
        <v>0</v>
      </c>
      <c r="D80" s="15" t="str">
        <v>0</v>
      </c>
      <c r="E80" s="15" t="str">
        <v>0</v>
      </c>
      <c r="F80" s="15">
        <v>0</v>
      </c>
      <c r="G80" s="17">
        <v>0</v>
      </c>
      <c r="H80" s="17" t="str">
        <v>缺勤</v>
      </c>
      <c r="N80" s="19">
        <v>0</v>
      </c>
      <c r="O80" s="15">
        <v>0</v>
      </c>
      <c r="P80" s="15">
        <v>0</v>
      </c>
      <c r="Q80" s="15">
        <v>0</v>
      </c>
    </row>
    <row r="81" spans="2:17">
      <c r="B81" s="15" t="str">
        <v>0</v>
      </c>
      <c r="C81" s="15">
        <v>0</v>
      </c>
      <c r="D81" s="15" t="str">
        <v>0</v>
      </c>
      <c r="E81" s="15" t="str">
        <v>0</v>
      </c>
      <c r="F81" s="15">
        <v>0</v>
      </c>
      <c r="G81" s="17">
        <v>0</v>
      </c>
      <c r="H81" s="17" t="str">
        <v>缺勤</v>
      </c>
      <c r="N81" s="19">
        <v>0</v>
      </c>
      <c r="O81" s="15">
        <v>0</v>
      </c>
      <c r="P81" s="15">
        <v>0</v>
      </c>
      <c r="Q81" s="15">
        <v>0</v>
      </c>
    </row>
    <row r="82" spans="2:17">
      <c r="B82" s="15" t="str">
        <v>0</v>
      </c>
      <c r="C82" s="15">
        <v>0</v>
      </c>
      <c r="D82" s="15" t="str">
        <v>0</v>
      </c>
      <c r="E82" s="15" t="str">
        <v>0</v>
      </c>
      <c r="F82" s="15">
        <v>0</v>
      </c>
      <c r="G82" s="17">
        <v>0</v>
      </c>
      <c r="H82" s="17" t="str">
        <v>缺勤</v>
      </c>
      <c r="N82" s="19">
        <v>0</v>
      </c>
      <c r="O82" s="15">
        <v>0</v>
      </c>
      <c r="P82" s="15">
        <v>0</v>
      </c>
      <c r="Q82" s="15">
        <v>0</v>
      </c>
    </row>
    <row r="83" spans="2:17">
      <c r="B83" s="15" t="str">
        <v>0</v>
      </c>
      <c r="C83" s="15">
        <v>0</v>
      </c>
      <c r="D83" s="15" t="str">
        <v>0</v>
      </c>
      <c r="E83" s="15" t="str">
        <v>0</v>
      </c>
      <c r="F83" s="15">
        <v>0</v>
      </c>
      <c r="G83" s="17">
        <v>0</v>
      </c>
      <c r="H83" s="17" t="str">
        <v>缺勤</v>
      </c>
      <c r="N83" s="19">
        <v>0</v>
      </c>
      <c r="O83" s="15">
        <v>0</v>
      </c>
      <c r="P83" s="15">
        <v>0</v>
      </c>
      <c r="Q83" s="15">
        <v>0</v>
      </c>
    </row>
    <row r="84" spans="2:17">
      <c r="B84" s="15" t="str">
        <v>0</v>
      </c>
      <c r="C84" s="15">
        <v>0</v>
      </c>
      <c r="D84" s="15" t="str">
        <v>0</v>
      </c>
      <c r="E84" s="15" t="str">
        <v>0</v>
      </c>
      <c r="F84" s="15">
        <v>0</v>
      </c>
      <c r="G84" s="17">
        <v>0</v>
      </c>
      <c r="H84" s="17" t="str">
        <v>缺勤</v>
      </c>
      <c r="N84" s="19">
        <v>0</v>
      </c>
      <c r="O84" s="15">
        <v>0</v>
      </c>
      <c r="P84" s="15">
        <v>0</v>
      </c>
      <c r="Q84" s="15">
        <v>0</v>
      </c>
    </row>
    <row r="85" spans="2:17">
      <c r="B85" s="15" t="str">
        <v>0</v>
      </c>
      <c r="C85" s="15">
        <v>0</v>
      </c>
      <c r="D85" s="15" t="str">
        <v>0</v>
      </c>
      <c r="E85" s="15" t="str">
        <v>0</v>
      </c>
      <c r="F85" s="15">
        <v>0</v>
      </c>
      <c r="G85" s="17">
        <v>0</v>
      </c>
      <c r="H85" s="17" t="str">
        <v>缺勤</v>
      </c>
      <c r="N85" s="19">
        <v>0</v>
      </c>
      <c r="O85" s="15">
        <v>0</v>
      </c>
      <c r="P85" s="15">
        <v>0</v>
      </c>
      <c r="Q85" s="15">
        <v>0</v>
      </c>
    </row>
    <row r="86" spans="2:17">
      <c r="B86" s="15" t="str">
        <v>0</v>
      </c>
      <c r="C86" s="15">
        <v>0</v>
      </c>
      <c r="D86" s="15" t="str">
        <v>0</v>
      </c>
      <c r="E86" s="15" t="str">
        <v>0</v>
      </c>
      <c r="F86" s="15">
        <v>0</v>
      </c>
      <c r="G86" s="17">
        <v>0</v>
      </c>
      <c r="H86" s="17" t="str">
        <v>缺勤</v>
      </c>
      <c r="N86" s="19">
        <v>0</v>
      </c>
      <c r="O86" s="15">
        <v>0</v>
      </c>
      <c r="P86" s="15">
        <v>0</v>
      </c>
      <c r="Q86" s="15">
        <v>0</v>
      </c>
    </row>
    <row r="87" spans="2:17">
      <c r="B87" s="15" t="str">
        <v>0</v>
      </c>
      <c r="C87" s="15">
        <v>0</v>
      </c>
      <c r="D87" s="15" t="str">
        <v>0</v>
      </c>
      <c r="E87" s="15" t="str">
        <v>0</v>
      </c>
      <c r="F87" s="15">
        <v>0</v>
      </c>
      <c r="G87" s="17">
        <v>0</v>
      </c>
      <c r="H87" s="17" t="str">
        <v>缺勤</v>
      </c>
      <c r="N87" s="19">
        <v>0</v>
      </c>
      <c r="O87" s="15">
        <v>0</v>
      </c>
      <c r="P87" s="15">
        <v>0</v>
      </c>
      <c r="Q87" s="15">
        <v>0</v>
      </c>
    </row>
    <row r="88" spans="2:17">
      <c r="B88" s="15" t="str">
        <v>0</v>
      </c>
      <c r="C88" s="15">
        <v>0</v>
      </c>
      <c r="D88" s="15" t="str">
        <v>0</v>
      </c>
      <c r="E88" s="15" t="str">
        <v>0</v>
      </c>
      <c r="F88" s="15">
        <v>0</v>
      </c>
      <c r="G88" s="17">
        <v>0</v>
      </c>
      <c r="H88" s="17" t="str">
        <v>缺勤</v>
      </c>
      <c r="N88" s="19">
        <v>0</v>
      </c>
      <c r="O88" s="15">
        <v>0</v>
      </c>
      <c r="P88" s="15">
        <v>0</v>
      </c>
      <c r="Q88" s="15">
        <v>0</v>
      </c>
    </row>
    <row r="89" spans="2:17">
      <c r="B89" s="15" t="str">
        <v>0</v>
      </c>
      <c r="C89" s="15">
        <v>0</v>
      </c>
      <c r="D89" s="15" t="str">
        <v>0</v>
      </c>
      <c r="E89" s="15" t="str">
        <v>0</v>
      </c>
      <c r="F89" s="15">
        <v>0</v>
      </c>
      <c r="G89" s="17">
        <v>0</v>
      </c>
      <c r="H89" s="17" t="str">
        <v>缺勤</v>
      </c>
      <c r="N89" s="19">
        <v>0</v>
      </c>
      <c r="O89" s="15">
        <v>0</v>
      </c>
      <c r="P89" s="15">
        <v>0</v>
      </c>
      <c r="Q89" s="15">
        <v>0</v>
      </c>
    </row>
    <row r="90" spans="2:17">
      <c r="B90" s="15" t="str">
        <v>0</v>
      </c>
      <c r="C90" s="15">
        <v>0</v>
      </c>
      <c r="D90" s="15" t="str">
        <v>0</v>
      </c>
      <c r="E90" s="15" t="str">
        <v>0</v>
      </c>
      <c r="F90" s="15">
        <v>0</v>
      </c>
      <c r="G90" s="17">
        <v>0</v>
      </c>
      <c r="H90" s="17" t="str">
        <v>缺勤</v>
      </c>
      <c r="N90" s="19">
        <v>0</v>
      </c>
      <c r="O90" s="15">
        <v>0</v>
      </c>
      <c r="P90" s="15">
        <v>0</v>
      </c>
      <c r="Q90" s="15">
        <v>0</v>
      </c>
    </row>
    <row r="91" spans="2:17">
      <c r="B91" s="15" t="str">
        <v>0</v>
      </c>
      <c r="C91" s="15">
        <v>0</v>
      </c>
      <c r="D91" s="15" t="str">
        <v>0</v>
      </c>
      <c r="E91" s="15" t="str">
        <v>0</v>
      </c>
      <c r="F91" s="15">
        <v>0</v>
      </c>
      <c r="G91" s="17">
        <v>0</v>
      </c>
      <c r="H91" s="17" t="str">
        <v>缺勤</v>
      </c>
      <c r="N91" s="19">
        <v>0</v>
      </c>
      <c r="O91" s="15">
        <v>0</v>
      </c>
      <c r="P91" s="15">
        <v>0</v>
      </c>
      <c r="Q91" s="15">
        <v>0</v>
      </c>
    </row>
    <row r="92" spans="2:17">
      <c r="B92" s="15" t="str">
        <v>0</v>
      </c>
      <c r="C92" s="15">
        <v>0</v>
      </c>
      <c r="D92" s="15" t="str">
        <v>0</v>
      </c>
      <c r="E92" s="15" t="str">
        <v>0</v>
      </c>
      <c r="F92" s="15">
        <v>0</v>
      </c>
      <c r="G92" s="17">
        <v>0</v>
      </c>
      <c r="H92" s="17" t="str">
        <v>缺勤</v>
      </c>
      <c r="N92" s="19">
        <v>0</v>
      </c>
      <c r="O92" s="15">
        <v>0</v>
      </c>
      <c r="P92" s="15">
        <v>0</v>
      </c>
      <c r="Q92" s="15">
        <v>0</v>
      </c>
    </row>
    <row r="93" spans="2:17">
      <c r="B93" s="15" t="str">
        <v>0</v>
      </c>
      <c r="C93" s="15">
        <v>0</v>
      </c>
      <c r="D93" s="15" t="str">
        <v>0</v>
      </c>
      <c r="E93" s="15" t="str">
        <v>0</v>
      </c>
      <c r="F93" s="15">
        <v>0</v>
      </c>
      <c r="G93" s="17">
        <v>0</v>
      </c>
      <c r="H93" s="17" t="str">
        <v>缺勤</v>
      </c>
      <c r="N93" s="19">
        <v>0</v>
      </c>
      <c r="O93" s="15">
        <v>0</v>
      </c>
      <c r="P93" s="15">
        <v>0</v>
      </c>
      <c r="Q93" s="15">
        <v>0</v>
      </c>
    </row>
    <row r="94" spans="2:17">
      <c r="B94" s="15" t="str">
        <v>0</v>
      </c>
      <c r="C94" s="15">
        <v>0</v>
      </c>
      <c r="D94" s="15" t="str">
        <v>0</v>
      </c>
      <c r="E94" s="15" t="str">
        <v>0</v>
      </c>
      <c r="F94" s="15">
        <v>0</v>
      </c>
      <c r="G94" s="17">
        <v>0</v>
      </c>
      <c r="H94" s="17" t="str">
        <v>缺勤</v>
      </c>
      <c r="N94" s="19">
        <v>0</v>
      </c>
      <c r="O94" s="15">
        <v>0</v>
      </c>
      <c r="P94" s="15">
        <v>0</v>
      </c>
      <c r="Q94" s="15">
        <v>0</v>
      </c>
    </row>
    <row r="95" spans="2:17">
      <c r="B95" s="15" t="str">
        <v>0</v>
      </c>
      <c r="C95" s="15">
        <v>0</v>
      </c>
      <c r="D95" s="15" t="str">
        <v>0</v>
      </c>
      <c r="E95" s="15" t="str">
        <v>0</v>
      </c>
      <c r="F95" s="15">
        <v>0</v>
      </c>
      <c r="G95" s="17">
        <v>0</v>
      </c>
      <c r="H95" s="17" t="str">
        <v>缺勤</v>
      </c>
      <c r="N95" s="19">
        <v>0</v>
      </c>
      <c r="O95" s="15">
        <v>0</v>
      </c>
      <c r="P95" s="15">
        <v>0</v>
      </c>
      <c r="Q95" s="15">
        <v>0</v>
      </c>
    </row>
    <row r="96" spans="2:17">
      <c r="B96" s="15" t="str">
        <v>0</v>
      </c>
      <c r="C96" s="15">
        <v>0</v>
      </c>
      <c r="D96" s="15" t="str">
        <v>0</v>
      </c>
      <c r="E96" s="15" t="str">
        <v>0</v>
      </c>
      <c r="F96" s="15">
        <v>0</v>
      </c>
      <c r="G96" s="17">
        <v>0</v>
      </c>
      <c r="H96" s="17" t="str">
        <v>缺勤</v>
      </c>
      <c r="N96" s="19">
        <v>0</v>
      </c>
      <c r="O96" s="15">
        <v>0</v>
      </c>
      <c r="P96" s="15">
        <v>0</v>
      </c>
      <c r="Q96" s="15">
        <v>0</v>
      </c>
    </row>
    <row r="97" spans="2:17">
      <c r="B97" s="15" t="str">
        <v>0</v>
      </c>
      <c r="C97" s="15">
        <v>0</v>
      </c>
      <c r="D97" s="15" t="str">
        <v>0</v>
      </c>
      <c r="E97" s="15" t="str">
        <v>0</v>
      </c>
      <c r="F97" s="15">
        <v>0</v>
      </c>
      <c r="G97" s="17">
        <v>0</v>
      </c>
      <c r="H97" s="17" t="str">
        <v>缺勤</v>
      </c>
      <c r="N97" s="19">
        <v>0</v>
      </c>
      <c r="O97" s="15">
        <v>0</v>
      </c>
      <c r="P97" s="15">
        <v>0</v>
      </c>
      <c r="Q97" s="15">
        <v>0</v>
      </c>
    </row>
    <row r="98" spans="2:17">
      <c r="B98" s="15" t="str">
        <v>0</v>
      </c>
      <c r="C98" s="15">
        <v>0</v>
      </c>
      <c r="D98" s="15" t="str">
        <v>0</v>
      </c>
      <c r="E98" s="15" t="str">
        <v>0</v>
      </c>
      <c r="F98" s="15">
        <v>0</v>
      </c>
      <c r="G98" s="17">
        <v>0</v>
      </c>
      <c r="H98" s="17" t="str">
        <v>缺勤</v>
      </c>
      <c r="N98" s="19">
        <v>0</v>
      </c>
      <c r="O98" s="15">
        <v>0</v>
      </c>
      <c r="P98" s="15">
        <v>0</v>
      </c>
      <c r="Q98" s="15">
        <v>0</v>
      </c>
    </row>
    <row r="99" spans="2:17">
      <c r="B99" s="15" t="str">
        <v>0</v>
      </c>
      <c r="C99" s="15">
        <v>0</v>
      </c>
      <c r="D99" s="15" t="str">
        <v>0</v>
      </c>
      <c r="E99" s="15" t="str">
        <v>0</v>
      </c>
      <c r="F99" s="15">
        <v>0</v>
      </c>
      <c r="G99" s="17">
        <v>0</v>
      </c>
      <c r="H99" s="17" t="str">
        <v>缺勤</v>
      </c>
      <c r="N99" s="19">
        <v>0</v>
      </c>
      <c r="O99" s="15">
        <v>0</v>
      </c>
      <c r="P99" s="15">
        <v>0</v>
      </c>
      <c r="Q99" s="15">
        <v>0</v>
      </c>
    </row>
    <row r="100" spans="2:17">
      <c r="B100" s="15" t="str">
        <v>0</v>
      </c>
      <c r="C100" s="15">
        <v>0</v>
      </c>
      <c r="D100" s="15" t="str">
        <v>0</v>
      </c>
      <c r="E100" s="15" t="str">
        <v>0</v>
      </c>
      <c r="F100" s="15">
        <v>0</v>
      </c>
      <c r="G100" s="17">
        <v>0</v>
      </c>
      <c r="H100" s="17" t="str">
        <v>缺勤</v>
      </c>
      <c r="N100" s="19">
        <v>0</v>
      </c>
      <c r="O100" s="15">
        <v>0</v>
      </c>
      <c r="P100" s="15">
        <v>0</v>
      </c>
      <c r="Q100" s="15">
        <v>0</v>
      </c>
    </row>
    <row r="101" spans="2:17">
      <c r="B101" s="15" t="str">
        <v>0</v>
      </c>
      <c r="C101" s="15">
        <v>0</v>
      </c>
      <c r="D101" s="15" t="str">
        <v>0</v>
      </c>
      <c r="E101" s="15" t="str">
        <v>0</v>
      </c>
      <c r="F101" s="15">
        <v>0</v>
      </c>
      <c r="G101" s="17">
        <v>0</v>
      </c>
      <c r="H101" s="17" t="str">
        <v>缺勤</v>
      </c>
      <c r="N101" s="19">
        <v>0</v>
      </c>
      <c r="O101" s="15">
        <v>0</v>
      </c>
      <c r="P101" s="15">
        <v>0</v>
      </c>
      <c r="Q101" s="15">
        <v>0</v>
      </c>
    </row>
    <row r="102" spans="2:17">
      <c r="B102" s="15" t="str">
        <v>0</v>
      </c>
      <c r="C102" s="15">
        <v>0</v>
      </c>
      <c r="D102" s="15" t="str">
        <v>0</v>
      </c>
      <c r="E102" s="15" t="str">
        <v>0</v>
      </c>
      <c r="F102" s="15">
        <v>0</v>
      </c>
      <c r="G102" s="17">
        <v>0</v>
      </c>
      <c r="H102" s="17" t="str">
        <v>缺勤</v>
      </c>
      <c r="N102" s="19">
        <v>0</v>
      </c>
      <c r="O102" s="15">
        <v>0</v>
      </c>
      <c r="P102" s="15">
        <v>0</v>
      </c>
      <c r="Q102" s="15">
        <v>0</v>
      </c>
    </row>
    <row r="103" spans="2:17">
      <c r="B103" s="15" t="str">
        <v>0</v>
      </c>
      <c r="C103" s="15">
        <v>0</v>
      </c>
      <c r="D103" s="15" t="str">
        <v>0</v>
      </c>
      <c r="E103" s="15" t="str">
        <v>0</v>
      </c>
      <c r="F103" s="15">
        <v>0</v>
      </c>
      <c r="G103" s="17">
        <v>0</v>
      </c>
      <c r="H103" s="17" t="str">
        <v>缺勤</v>
      </c>
      <c r="N103" s="19">
        <v>0</v>
      </c>
      <c r="O103" s="15">
        <v>0</v>
      </c>
      <c r="P103" s="15">
        <v>0</v>
      </c>
      <c r="Q103" s="15">
        <v>0</v>
      </c>
    </row>
    <row r="104" spans="2:17">
      <c r="B104" s="15" t="str">
        <v>0</v>
      </c>
      <c r="C104" s="15">
        <v>0</v>
      </c>
      <c r="D104" s="15" t="str">
        <v>0</v>
      </c>
      <c r="E104" s="15" t="str">
        <v>0</v>
      </c>
      <c r="F104" s="15">
        <v>0</v>
      </c>
      <c r="G104" s="17">
        <v>0</v>
      </c>
      <c r="H104" s="17" t="str">
        <v>缺勤</v>
      </c>
      <c r="N104" s="19">
        <v>0</v>
      </c>
      <c r="O104" s="15">
        <v>0</v>
      </c>
      <c r="P104" s="15">
        <v>0</v>
      </c>
      <c r="Q104" s="15">
        <v>0</v>
      </c>
    </row>
    <row r="105" spans="2:17">
      <c r="B105" s="15" t="str">
        <v>0</v>
      </c>
      <c r="C105" s="15">
        <v>0</v>
      </c>
      <c r="D105" s="15" t="str">
        <v>0</v>
      </c>
      <c r="E105" s="15" t="str">
        <v>0</v>
      </c>
      <c r="F105" s="15">
        <v>0</v>
      </c>
      <c r="G105" s="17">
        <v>0</v>
      </c>
      <c r="H105" s="17" t="str">
        <v>缺勤</v>
      </c>
      <c r="N105" s="19">
        <v>0</v>
      </c>
      <c r="O105" s="15">
        <v>0</v>
      </c>
      <c r="P105" s="15">
        <v>0</v>
      </c>
      <c r="Q105" s="15">
        <v>0</v>
      </c>
    </row>
    <row r="106" spans="2:17">
      <c r="B106" s="15" t="str">
        <v>0</v>
      </c>
      <c r="C106" s="15">
        <v>0</v>
      </c>
      <c r="D106" s="15" t="str">
        <v>0</v>
      </c>
      <c r="E106" s="15" t="str">
        <v>0</v>
      </c>
      <c r="F106" s="15">
        <v>0</v>
      </c>
      <c r="G106" s="17">
        <v>0</v>
      </c>
      <c r="H106" s="17" t="str">
        <v>缺勤</v>
      </c>
      <c r="N106" s="19">
        <v>0</v>
      </c>
      <c r="O106" s="15">
        <v>0</v>
      </c>
      <c r="P106" s="15">
        <v>0</v>
      </c>
      <c r="Q106" s="15">
        <v>0</v>
      </c>
    </row>
    <row r="107" spans="2:17">
      <c r="B107" s="15" t="str">
        <v>0</v>
      </c>
      <c r="C107" s="15">
        <v>0</v>
      </c>
      <c r="D107" s="15" t="str">
        <v>0</v>
      </c>
      <c r="E107" s="15" t="str">
        <v>0</v>
      </c>
      <c r="F107" s="15">
        <v>0</v>
      </c>
      <c r="G107" s="17">
        <v>0</v>
      </c>
      <c r="H107" s="17" t="str">
        <v>缺勤</v>
      </c>
      <c r="N107" s="19">
        <v>0</v>
      </c>
      <c r="O107" s="15">
        <v>0</v>
      </c>
      <c r="P107" s="15">
        <v>0</v>
      </c>
      <c r="Q107" s="15">
        <v>0</v>
      </c>
    </row>
    <row r="108" spans="2:17">
      <c r="B108" s="15" t="str">
        <v>0</v>
      </c>
      <c r="C108" s="15">
        <v>0</v>
      </c>
      <c r="D108" s="15" t="str">
        <v>0</v>
      </c>
      <c r="E108" s="15" t="str">
        <v>0</v>
      </c>
      <c r="F108" s="15">
        <v>0</v>
      </c>
      <c r="G108" s="17">
        <v>0</v>
      </c>
      <c r="H108" s="17" t="str">
        <v>缺勤</v>
      </c>
      <c r="N108" s="19">
        <v>0</v>
      </c>
      <c r="O108" s="15">
        <v>0</v>
      </c>
      <c r="P108" s="15">
        <v>0</v>
      </c>
      <c r="Q108" s="15">
        <v>0</v>
      </c>
    </row>
    <row r="109" spans="2:17">
      <c r="B109" s="15" t="str">
        <v>0</v>
      </c>
      <c r="C109" s="15">
        <v>0</v>
      </c>
      <c r="D109" s="15" t="str">
        <v>0</v>
      </c>
      <c r="E109" s="15" t="str">
        <v>0</v>
      </c>
      <c r="F109" s="15">
        <v>0</v>
      </c>
      <c r="G109" s="17">
        <v>0</v>
      </c>
      <c r="H109" s="17" t="str">
        <v>缺勤</v>
      </c>
      <c r="N109" s="19">
        <v>0</v>
      </c>
      <c r="O109" s="15">
        <v>0</v>
      </c>
      <c r="P109" s="15">
        <v>0</v>
      </c>
      <c r="Q109" s="15">
        <v>0</v>
      </c>
    </row>
    <row r="110" spans="2:17">
      <c r="B110" s="15" t="str">
        <v>0</v>
      </c>
      <c r="C110" s="15">
        <v>0</v>
      </c>
      <c r="D110" s="15" t="str">
        <v>0</v>
      </c>
      <c r="E110" s="15" t="str">
        <v>0</v>
      </c>
      <c r="F110" s="15">
        <v>0</v>
      </c>
      <c r="G110" s="17">
        <v>0</v>
      </c>
      <c r="H110" s="17" t="str">
        <v>缺勤</v>
      </c>
      <c r="N110" s="19">
        <v>0</v>
      </c>
      <c r="O110" s="15">
        <v>0</v>
      </c>
      <c r="P110" s="15">
        <v>0</v>
      </c>
      <c r="Q110" s="15">
        <v>0</v>
      </c>
    </row>
    <row r="111" spans="2:17">
      <c r="B111" s="15" t="str">
        <v>0</v>
      </c>
      <c r="C111" s="15">
        <v>0</v>
      </c>
      <c r="D111" s="15" t="str">
        <v>0</v>
      </c>
      <c r="E111" s="15" t="str">
        <v>0</v>
      </c>
      <c r="F111" s="15">
        <v>0</v>
      </c>
      <c r="G111" s="17">
        <v>0</v>
      </c>
      <c r="H111" s="17" t="str">
        <v>缺勤</v>
      </c>
      <c r="N111" s="19">
        <v>0</v>
      </c>
      <c r="O111" s="15">
        <v>0</v>
      </c>
      <c r="P111" s="15">
        <v>0</v>
      </c>
      <c r="Q111" s="15">
        <v>0</v>
      </c>
    </row>
    <row r="112" spans="2:17">
      <c r="B112" s="15" t="str">
        <v>0</v>
      </c>
      <c r="C112" s="15">
        <v>0</v>
      </c>
      <c r="D112" s="15" t="str">
        <v>0</v>
      </c>
      <c r="E112" s="15" t="str">
        <v>0</v>
      </c>
      <c r="F112" s="15">
        <v>0</v>
      </c>
      <c r="G112" s="17">
        <v>0</v>
      </c>
      <c r="H112" s="17" t="str">
        <v>缺勤</v>
      </c>
      <c r="N112" s="19">
        <v>0</v>
      </c>
      <c r="O112" s="15">
        <v>0</v>
      </c>
      <c r="P112" s="15">
        <v>0</v>
      </c>
      <c r="Q112" s="15">
        <v>0</v>
      </c>
    </row>
    <row r="113" spans="2:17">
      <c r="B113" s="15" t="str">
        <v>0</v>
      </c>
      <c r="C113" s="15">
        <v>0</v>
      </c>
      <c r="D113" s="15" t="str">
        <v>0</v>
      </c>
      <c r="E113" s="15" t="str">
        <v>0</v>
      </c>
      <c r="F113" s="15">
        <v>0</v>
      </c>
      <c r="G113" s="17">
        <v>0</v>
      </c>
      <c r="H113" s="17" t="str">
        <v>缺勤</v>
      </c>
      <c r="N113" s="19">
        <v>0</v>
      </c>
      <c r="O113" s="15">
        <v>0</v>
      </c>
      <c r="P113" s="15">
        <v>0</v>
      </c>
      <c r="Q113" s="15">
        <v>0</v>
      </c>
    </row>
    <row r="114" spans="2:17">
      <c r="B114" s="15" t="str">
        <v>0</v>
      </c>
      <c r="C114" s="15">
        <v>0</v>
      </c>
      <c r="D114" s="15" t="str">
        <v>0</v>
      </c>
      <c r="E114" s="15" t="str">
        <v>0</v>
      </c>
      <c r="F114" s="15">
        <v>0</v>
      </c>
      <c r="G114" s="17">
        <v>0</v>
      </c>
      <c r="H114" s="17" t="str">
        <v>缺勤</v>
      </c>
      <c r="N114" s="19">
        <v>0</v>
      </c>
      <c r="O114" s="15">
        <v>0</v>
      </c>
      <c r="P114" s="15">
        <v>0</v>
      </c>
      <c r="Q114" s="15">
        <v>0</v>
      </c>
    </row>
    <row r="115" spans="2:17">
      <c r="B115" s="15" t="str">
        <v>0</v>
      </c>
      <c r="C115" s="15">
        <v>0</v>
      </c>
      <c r="D115" s="15" t="str">
        <v>0</v>
      </c>
      <c r="E115" s="15" t="str">
        <v>0</v>
      </c>
      <c r="F115" s="15">
        <v>0</v>
      </c>
      <c r="G115" s="17">
        <v>0</v>
      </c>
      <c r="H115" s="17" t="str">
        <v>缺勤</v>
      </c>
      <c r="N115" s="19">
        <v>0</v>
      </c>
      <c r="O115" s="15">
        <v>0</v>
      </c>
      <c r="P115" s="15">
        <v>0</v>
      </c>
      <c r="Q115" s="15">
        <v>0</v>
      </c>
    </row>
    <row r="116" spans="2:17">
      <c r="B116" s="15" t="str">
        <v>0</v>
      </c>
      <c r="C116" s="15">
        <v>0</v>
      </c>
      <c r="D116" s="15" t="str">
        <v>0</v>
      </c>
      <c r="E116" s="15" t="str">
        <v>0</v>
      </c>
      <c r="F116" s="15">
        <v>0</v>
      </c>
      <c r="G116" s="17">
        <v>0</v>
      </c>
      <c r="H116" s="17" t="str">
        <v>缺勤</v>
      </c>
      <c r="N116" s="19">
        <v>0</v>
      </c>
      <c r="O116" s="15">
        <v>0</v>
      </c>
      <c r="P116" s="15">
        <v>0</v>
      </c>
      <c r="Q116" s="15">
        <v>0</v>
      </c>
    </row>
    <row r="117" spans="2:17">
      <c r="B117" s="15" t="str">
        <v>0</v>
      </c>
      <c r="C117" s="15">
        <v>0</v>
      </c>
      <c r="D117" s="15" t="str">
        <v>0</v>
      </c>
      <c r="E117" s="15" t="str">
        <v>0</v>
      </c>
      <c r="F117" s="15">
        <v>0</v>
      </c>
      <c r="G117" s="17">
        <v>0</v>
      </c>
      <c r="H117" s="17" t="str">
        <v>缺勤</v>
      </c>
      <c r="N117" s="19">
        <v>0</v>
      </c>
      <c r="O117" s="15">
        <v>0</v>
      </c>
      <c r="P117" s="15">
        <v>0</v>
      </c>
      <c r="Q117" s="15">
        <v>0</v>
      </c>
    </row>
    <row r="118" spans="2:17">
      <c r="B118" s="15" t="str">
        <v>0</v>
      </c>
      <c r="C118" s="15">
        <v>0</v>
      </c>
      <c r="D118" s="15" t="str">
        <v>0</v>
      </c>
      <c r="E118" s="15" t="str">
        <v>0</v>
      </c>
      <c r="F118" s="15">
        <v>0</v>
      </c>
      <c r="G118" s="17">
        <v>0</v>
      </c>
      <c r="H118" s="17" t="str">
        <v>缺勤</v>
      </c>
      <c r="N118" s="19">
        <v>0</v>
      </c>
      <c r="O118" s="15">
        <v>0</v>
      </c>
      <c r="P118" s="15">
        <v>0</v>
      </c>
      <c r="Q118" s="15">
        <v>0</v>
      </c>
    </row>
    <row r="119" spans="2:17">
      <c r="B119" s="15" t="str">
        <v>0</v>
      </c>
      <c r="C119" s="15">
        <v>0</v>
      </c>
      <c r="D119" s="15" t="str">
        <v>0</v>
      </c>
      <c r="E119" s="15" t="str">
        <v>0</v>
      </c>
      <c r="F119" s="15">
        <v>0</v>
      </c>
      <c r="G119" s="17">
        <v>0</v>
      </c>
      <c r="H119" s="17" t="str">
        <v>缺勤</v>
      </c>
      <c r="N119" s="19">
        <v>0</v>
      </c>
      <c r="O119" s="15">
        <v>0</v>
      </c>
      <c r="P119" s="15">
        <v>0</v>
      </c>
      <c r="Q119" s="15">
        <v>0</v>
      </c>
    </row>
    <row r="120" spans="2:17">
      <c r="B120" s="15" t="str">
        <v>0</v>
      </c>
      <c r="C120" s="15">
        <v>0</v>
      </c>
      <c r="D120" s="15" t="str">
        <v>0</v>
      </c>
      <c r="E120" s="15" t="str">
        <v>0</v>
      </c>
      <c r="F120" s="15">
        <v>0</v>
      </c>
      <c r="G120" s="17">
        <v>0</v>
      </c>
      <c r="H120" s="17" t="str">
        <v>缺勤</v>
      </c>
      <c r="N120" s="19">
        <v>0</v>
      </c>
      <c r="O120" s="15">
        <v>0</v>
      </c>
      <c r="P120" s="15">
        <v>0</v>
      </c>
      <c r="Q120" s="15">
        <v>0</v>
      </c>
    </row>
    <row r="121" spans="2:17">
      <c r="B121" s="15" t="str">
        <v>0</v>
      </c>
      <c r="C121" s="15">
        <v>0</v>
      </c>
      <c r="D121" s="15" t="str">
        <v>0</v>
      </c>
      <c r="E121" s="15" t="str">
        <v>0</v>
      </c>
      <c r="F121" s="15">
        <v>0</v>
      </c>
      <c r="G121" s="17">
        <v>0</v>
      </c>
      <c r="H121" s="17" t="str">
        <v>缺勤</v>
      </c>
      <c r="N121" s="19">
        <v>0</v>
      </c>
      <c r="O121" s="15">
        <v>0</v>
      </c>
      <c r="P121" s="15">
        <v>0</v>
      </c>
      <c r="Q121" s="15">
        <v>0</v>
      </c>
    </row>
    <row r="122" spans="2:17">
      <c r="B122" s="15" t="str">
        <v>0</v>
      </c>
      <c r="C122" s="15">
        <v>0</v>
      </c>
      <c r="D122" s="15" t="str">
        <v>0</v>
      </c>
      <c r="E122" s="15" t="str">
        <v>0</v>
      </c>
      <c r="F122" s="15">
        <v>0</v>
      </c>
      <c r="G122" s="17">
        <v>0</v>
      </c>
      <c r="H122" s="17" t="str">
        <v>缺勤</v>
      </c>
      <c r="N122" s="19">
        <v>0</v>
      </c>
      <c r="O122" s="15">
        <v>0</v>
      </c>
      <c r="P122" s="15">
        <v>0</v>
      </c>
      <c r="Q122" s="15">
        <v>0</v>
      </c>
    </row>
    <row r="123" spans="2:17">
      <c r="B123" s="15" t="str">
        <v>0</v>
      </c>
      <c r="C123" s="15">
        <v>0</v>
      </c>
      <c r="D123" s="15" t="str">
        <v>0</v>
      </c>
      <c r="E123" s="15" t="str">
        <v>0</v>
      </c>
      <c r="F123" s="15">
        <v>0</v>
      </c>
      <c r="G123" s="17">
        <v>0</v>
      </c>
      <c r="H123" s="17" t="str">
        <v>缺勤</v>
      </c>
      <c r="N123" s="19">
        <v>0</v>
      </c>
      <c r="O123" s="15">
        <v>0</v>
      </c>
      <c r="P123" s="15">
        <v>0</v>
      </c>
      <c r="Q123" s="15">
        <v>0</v>
      </c>
    </row>
    <row r="124" spans="2:17">
      <c r="B124" s="15" t="str">
        <v>0</v>
      </c>
      <c r="C124" s="15">
        <v>0</v>
      </c>
      <c r="D124" s="15" t="str">
        <v>0</v>
      </c>
      <c r="E124" s="15" t="str">
        <v>0</v>
      </c>
      <c r="F124" s="15">
        <v>0</v>
      </c>
      <c r="G124" s="17">
        <v>0</v>
      </c>
      <c r="H124" s="17" t="str">
        <v>缺勤</v>
      </c>
      <c r="N124" s="19">
        <v>0</v>
      </c>
      <c r="O124" s="15">
        <v>0</v>
      </c>
      <c r="P124" s="15">
        <v>0</v>
      </c>
      <c r="Q124" s="15">
        <v>0</v>
      </c>
    </row>
    <row r="125" spans="2:17">
      <c r="B125" s="15" t="str">
        <v>0</v>
      </c>
      <c r="C125" s="15">
        <v>0</v>
      </c>
      <c r="D125" s="15" t="str">
        <v>0</v>
      </c>
      <c r="E125" s="15" t="str">
        <v>0</v>
      </c>
      <c r="F125" s="15">
        <v>0</v>
      </c>
      <c r="G125" s="17">
        <v>0</v>
      </c>
      <c r="H125" s="17" t="str">
        <v>缺勤</v>
      </c>
      <c r="N125" s="19">
        <v>0</v>
      </c>
      <c r="O125" s="15">
        <v>0</v>
      </c>
      <c r="P125" s="15">
        <v>0</v>
      </c>
      <c r="Q125" s="15">
        <v>0</v>
      </c>
    </row>
    <row r="126" spans="2:17">
      <c r="B126" s="15" t="str">
        <v>0</v>
      </c>
      <c r="C126" s="15">
        <v>0</v>
      </c>
      <c r="D126" s="15" t="str">
        <v>0</v>
      </c>
      <c r="E126" s="15" t="str">
        <v>0</v>
      </c>
      <c r="F126" s="15">
        <v>0</v>
      </c>
      <c r="G126" s="17">
        <v>0</v>
      </c>
      <c r="H126" s="17" t="str">
        <v>缺勤</v>
      </c>
      <c r="N126" s="19">
        <v>0</v>
      </c>
      <c r="O126" s="15">
        <v>0</v>
      </c>
      <c r="P126" s="15">
        <v>0</v>
      </c>
      <c r="Q126" s="15">
        <v>0</v>
      </c>
    </row>
    <row r="127" spans="2:17">
      <c r="B127" s="15" t="str">
        <v>0</v>
      </c>
      <c r="C127" s="15">
        <v>0</v>
      </c>
      <c r="D127" s="15" t="str">
        <v>0</v>
      </c>
      <c r="E127" s="15" t="str">
        <v>0</v>
      </c>
      <c r="F127" s="15">
        <v>0</v>
      </c>
      <c r="G127" s="17">
        <v>0</v>
      </c>
      <c r="H127" s="17" t="str">
        <v>缺勤</v>
      </c>
      <c r="N127" s="19">
        <v>0</v>
      </c>
      <c r="O127" s="15">
        <v>0</v>
      </c>
      <c r="P127" s="15">
        <v>0</v>
      </c>
      <c r="Q127" s="15">
        <v>0</v>
      </c>
    </row>
    <row r="128" spans="2:17">
      <c r="B128" s="15" t="str">
        <v>0</v>
      </c>
      <c r="C128" s="15">
        <v>0</v>
      </c>
      <c r="D128" s="15" t="str">
        <v>0</v>
      </c>
      <c r="E128" s="15" t="str">
        <v>0</v>
      </c>
      <c r="F128" s="15">
        <v>0</v>
      </c>
      <c r="G128" s="17">
        <v>0</v>
      </c>
      <c r="H128" s="17" t="str">
        <v>缺勤</v>
      </c>
      <c r="N128" s="19">
        <v>0</v>
      </c>
      <c r="O128" s="15">
        <v>0</v>
      </c>
      <c r="P128" s="15">
        <v>0</v>
      </c>
      <c r="Q128" s="15">
        <v>0</v>
      </c>
    </row>
    <row r="129" spans="2:17">
      <c r="B129" s="15" t="str">
        <v>0</v>
      </c>
      <c r="C129" s="15">
        <v>0</v>
      </c>
      <c r="D129" s="15" t="str">
        <v>0</v>
      </c>
      <c r="E129" s="15" t="str">
        <v>0</v>
      </c>
      <c r="F129" s="15">
        <v>0</v>
      </c>
      <c r="G129" s="17">
        <v>0</v>
      </c>
      <c r="H129" s="17" t="str">
        <v>缺勤</v>
      </c>
      <c r="N129" s="19">
        <v>0</v>
      </c>
      <c r="O129" s="15">
        <v>0</v>
      </c>
      <c r="P129" s="15">
        <v>0</v>
      </c>
      <c r="Q129" s="15">
        <v>0</v>
      </c>
    </row>
    <row r="130" spans="2:17">
      <c r="B130" s="15" t="str">
        <v>0</v>
      </c>
      <c r="C130" s="15">
        <v>0</v>
      </c>
      <c r="D130" s="15" t="str">
        <v>0</v>
      </c>
      <c r="E130" s="15" t="str">
        <v>0</v>
      </c>
      <c r="F130" s="15">
        <v>0</v>
      </c>
      <c r="G130" s="17">
        <v>0</v>
      </c>
      <c r="H130" s="17" t="str">
        <v>缺勤</v>
      </c>
      <c r="N130" s="19">
        <v>0</v>
      </c>
      <c r="O130" s="15">
        <v>0</v>
      </c>
      <c r="P130" s="15">
        <v>0</v>
      </c>
      <c r="Q130" s="15">
        <v>0</v>
      </c>
    </row>
    <row r="131" spans="2:17">
      <c r="B131" s="15" t="str">
        <v>0</v>
      </c>
      <c r="C131" s="15">
        <v>0</v>
      </c>
      <c r="D131" s="15" t="str">
        <v>0</v>
      </c>
      <c r="E131" s="15" t="str">
        <v>0</v>
      </c>
      <c r="F131" s="15">
        <v>0</v>
      </c>
      <c r="G131" s="17">
        <v>0</v>
      </c>
      <c r="H131" s="17" t="str">
        <v>缺勤</v>
      </c>
      <c r="N131" s="19">
        <v>0</v>
      </c>
      <c r="O131" s="15">
        <v>0</v>
      </c>
      <c r="P131" s="15">
        <v>0</v>
      </c>
      <c r="Q131" s="15">
        <v>0</v>
      </c>
    </row>
    <row r="132" spans="2:17">
      <c r="B132" s="15" t="str">
        <v>0</v>
      </c>
      <c r="C132" s="15">
        <v>0</v>
      </c>
      <c r="D132" s="15" t="str">
        <v>0</v>
      </c>
      <c r="E132" s="15" t="str">
        <v>0</v>
      </c>
      <c r="F132" s="15">
        <v>0</v>
      </c>
      <c r="G132" s="17">
        <v>0</v>
      </c>
      <c r="H132" s="17" t="str">
        <v>缺勤</v>
      </c>
      <c r="N132" s="19">
        <v>0</v>
      </c>
      <c r="O132" s="15">
        <v>0</v>
      </c>
      <c r="P132" s="15">
        <v>0</v>
      </c>
      <c r="Q132" s="15">
        <v>0</v>
      </c>
    </row>
    <row r="133" spans="2:17">
      <c r="B133" s="15" t="str">
        <v>0</v>
      </c>
      <c r="C133" s="15">
        <v>0</v>
      </c>
      <c r="D133" s="15" t="str">
        <v>0</v>
      </c>
      <c r="E133" s="15" t="str">
        <v>0</v>
      </c>
      <c r="F133" s="15">
        <v>0</v>
      </c>
      <c r="G133" s="17">
        <v>0</v>
      </c>
      <c r="H133" s="17" t="str">
        <v>缺勤</v>
      </c>
      <c r="N133" s="19">
        <v>0</v>
      </c>
      <c r="O133" s="15">
        <v>0</v>
      </c>
      <c r="P133" s="15">
        <v>0</v>
      </c>
      <c r="Q133" s="15">
        <v>0</v>
      </c>
    </row>
    <row r="134" spans="2:17">
      <c r="B134" s="15" t="str">
        <v>0</v>
      </c>
      <c r="C134" s="15">
        <v>0</v>
      </c>
      <c r="D134" s="15" t="str">
        <v>0</v>
      </c>
      <c r="E134" s="15" t="str">
        <v>0</v>
      </c>
      <c r="F134" s="15">
        <v>0</v>
      </c>
      <c r="G134" s="17">
        <v>0</v>
      </c>
      <c r="H134" s="17" t="str">
        <v>缺勤</v>
      </c>
      <c r="N134" s="19">
        <v>0</v>
      </c>
      <c r="O134" s="15">
        <v>0</v>
      </c>
      <c r="P134" s="15">
        <v>0</v>
      </c>
      <c r="Q134" s="15">
        <v>0</v>
      </c>
    </row>
    <row r="135" spans="2:17">
      <c r="B135" s="15" t="str">
        <v>0</v>
      </c>
      <c r="C135" s="15">
        <v>0</v>
      </c>
      <c r="D135" s="15" t="str">
        <v>0</v>
      </c>
      <c r="E135" s="15" t="str">
        <v>0</v>
      </c>
      <c r="F135" s="15">
        <v>0</v>
      </c>
      <c r="G135" s="17">
        <v>0</v>
      </c>
      <c r="H135" s="17" t="str">
        <v>缺勤</v>
      </c>
      <c r="N135" s="19">
        <v>0</v>
      </c>
      <c r="O135" s="15">
        <v>0</v>
      </c>
      <c r="P135" s="15">
        <v>0</v>
      </c>
      <c r="Q135" s="15">
        <v>0</v>
      </c>
    </row>
    <row r="136" spans="2:17">
      <c r="B136" s="15" t="str">
        <v>0</v>
      </c>
      <c r="C136" s="15">
        <v>0</v>
      </c>
      <c r="D136" s="15" t="str">
        <v>0</v>
      </c>
      <c r="E136" s="15" t="str">
        <v>0</v>
      </c>
      <c r="F136" s="15">
        <v>0</v>
      </c>
      <c r="G136" s="17">
        <v>0</v>
      </c>
      <c r="H136" s="17" t="str">
        <v>缺勤</v>
      </c>
      <c r="N136" s="19">
        <v>0</v>
      </c>
      <c r="O136" s="15">
        <v>0</v>
      </c>
      <c r="P136" s="15">
        <v>0</v>
      </c>
      <c r="Q136" s="15">
        <v>0</v>
      </c>
    </row>
    <row r="137" spans="2:17">
      <c r="B137" s="15" t="str">
        <v>0</v>
      </c>
      <c r="C137" s="15">
        <v>0</v>
      </c>
      <c r="D137" s="15" t="str">
        <v>0</v>
      </c>
      <c r="E137" s="15" t="str">
        <v>0</v>
      </c>
      <c r="F137" s="15">
        <v>0</v>
      </c>
      <c r="G137" s="17">
        <v>0</v>
      </c>
      <c r="H137" s="17" t="str">
        <v>缺勤</v>
      </c>
      <c r="N137" s="19">
        <v>0</v>
      </c>
      <c r="O137" s="15">
        <v>0</v>
      </c>
      <c r="P137" s="15">
        <v>0</v>
      </c>
      <c r="Q137" s="15">
        <v>0</v>
      </c>
    </row>
    <row r="138" spans="2:17">
      <c r="B138" s="15" t="str">
        <v>0</v>
      </c>
      <c r="C138" s="15">
        <v>0</v>
      </c>
      <c r="D138" s="15" t="str">
        <v>0</v>
      </c>
      <c r="E138" s="15" t="str">
        <v>0</v>
      </c>
      <c r="F138" s="15">
        <v>0</v>
      </c>
      <c r="G138" s="17">
        <v>0</v>
      </c>
      <c r="H138" s="17" t="str">
        <v>缺勤</v>
      </c>
      <c r="N138" s="19">
        <v>0</v>
      </c>
      <c r="O138" s="15">
        <v>0</v>
      </c>
      <c r="P138" s="15">
        <v>0</v>
      </c>
      <c r="Q138" s="15">
        <v>0</v>
      </c>
    </row>
    <row r="139" spans="2:17">
      <c r="B139" s="15" t="str">
        <v>0</v>
      </c>
      <c r="C139" s="15">
        <v>0</v>
      </c>
      <c r="D139" s="15" t="str">
        <v>0</v>
      </c>
      <c r="E139" s="15" t="str">
        <v>0</v>
      </c>
      <c r="F139" s="15">
        <v>0</v>
      </c>
      <c r="G139" s="17">
        <v>0</v>
      </c>
      <c r="H139" s="17" t="str">
        <v>缺勤</v>
      </c>
      <c r="N139" s="19">
        <v>0</v>
      </c>
      <c r="O139" s="15">
        <v>0</v>
      </c>
      <c r="P139" s="15">
        <v>0</v>
      </c>
      <c r="Q139" s="15">
        <v>0</v>
      </c>
    </row>
    <row r="140" spans="2:17">
      <c r="B140" s="15" t="str">
        <v>0</v>
      </c>
      <c r="C140" s="15">
        <v>0</v>
      </c>
      <c r="D140" s="15" t="str">
        <v>0</v>
      </c>
      <c r="E140" s="15" t="str">
        <v>0</v>
      </c>
      <c r="F140" s="15">
        <v>0</v>
      </c>
      <c r="G140" s="17">
        <v>0</v>
      </c>
      <c r="H140" s="17" t="str">
        <v>缺勤</v>
      </c>
      <c r="N140" s="19">
        <v>0</v>
      </c>
      <c r="O140" s="15">
        <v>0</v>
      </c>
      <c r="P140" s="15">
        <v>0</v>
      </c>
      <c r="Q140" s="15">
        <v>0</v>
      </c>
    </row>
    <row r="141" spans="2:17">
      <c r="B141" s="15" t="str">
        <v>0</v>
      </c>
      <c r="C141" s="15">
        <v>0</v>
      </c>
      <c r="D141" s="15" t="str">
        <v>0</v>
      </c>
      <c r="E141" s="15" t="str">
        <v>0</v>
      </c>
      <c r="F141" s="15">
        <v>0</v>
      </c>
      <c r="G141" s="17">
        <v>0</v>
      </c>
      <c r="H141" s="17" t="str">
        <v>缺勤</v>
      </c>
      <c r="N141" s="19">
        <v>0</v>
      </c>
      <c r="O141" s="15">
        <v>0</v>
      </c>
      <c r="P141" s="15">
        <v>0</v>
      </c>
      <c r="Q141" s="15">
        <v>0</v>
      </c>
    </row>
    <row r="142" spans="2:17">
      <c r="B142" s="15" t="str">
        <v>0</v>
      </c>
      <c r="C142" s="15">
        <v>0</v>
      </c>
      <c r="D142" s="15" t="str">
        <v>0</v>
      </c>
      <c r="E142" s="15" t="str">
        <v>0</v>
      </c>
      <c r="F142" s="15">
        <v>0</v>
      </c>
      <c r="G142" s="17">
        <v>0</v>
      </c>
      <c r="H142" s="17" t="str">
        <v>缺勤</v>
      </c>
      <c r="N142" s="19">
        <v>0</v>
      </c>
      <c r="O142" s="15">
        <v>0</v>
      </c>
      <c r="P142" s="15">
        <v>0</v>
      </c>
      <c r="Q142" s="15">
        <v>0</v>
      </c>
    </row>
    <row r="143" spans="2:17">
      <c r="B143" s="15" t="str">
        <v>0</v>
      </c>
      <c r="C143" s="15">
        <v>0</v>
      </c>
      <c r="D143" s="15" t="str">
        <v>0</v>
      </c>
      <c r="E143" s="15" t="str">
        <v>0</v>
      </c>
      <c r="F143" s="15">
        <v>0</v>
      </c>
      <c r="G143" s="17">
        <v>0</v>
      </c>
      <c r="H143" s="17" t="str">
        <v>缺勤</v>
      </c>
      <c r="N143" s="19">
        <v>0</v>
      </c>
      <c r="O143" s="15">
        <v>0</v>
      </c>
      <c r="P143" s="15">
        <v>0</v>
      </c>
      <c r="Q143" s="15">
        <v>0</v>
      </c>
    </row>
    <row r="144" spans="2:17">
      <c r="B144" s="15" t="str">
        <v>0</v>
      </c>
      <c r="C144" s="15">
        <v>0</v>
      </c>
      <c r="D144" s="15" t="str">
        <v>0</v>
      </c>
      <c r="E144" s="15" t="str">
        <v>0</v>
      </c>
      <c r="F144" s="15">
        <v>0</v>
      </c>
      <c r="G144" s="17">
        <v>0</v>
      </c>
      <c r="H144" s="17" t="str">
        <v>缺勤</v>
      </c>
      <c r="N144" s="19">
        <v>0</v>
      </c>
      <c r="O144" s="15">
        <v>0</v>
      </c>
      <c r="P144" s="15">
        <v>0</v>
      </c>
      <c r="Q144" s="15">
        <v>0</v>
      </c>
    </row>
    <row r="145" spans="2:17">
      <c r="B145" s="15" t="str">
        <v>0</v>
      </c>
      <c r="C145" s="15">
        <v>0</v>
      </c>
      <c r="D145" s="15" t="str">
        <v>0</v>
      </c>
      <c r="E145" s="15" t="str">
        <v>0</v>
      </c>
      <c r="F145" s="15">
        <v>0</v>
      </c>
      <c r="G145" s="17">
        <v>0</v>
      </c>
      <c r="H145" s="17" t="str">
        <v>缺勤</v>
      </c>
      <c r="N145" s="19">
        <v>0</v>
      </c>
      <c r="O145" s="15">
        <v>0</v>
      </c>
      <c r="P145" s="15">
        <v>0</v>
      </c>
      <c r="Q145" s="15">
        <v>0</v>
      </c>
    </row>
    <row r="146" spans="2:17">
      <c r="B146" s="15" t="str">
        <v>0</v>
      </c>
      <c r="C146" s="15">
        <v>0</v>
      </c>
      <c r="D146" s="15" t="str">
        <v>0</v>
      </c>
      <c r="E146" s="15" t="str">
        <v>0</v>
      </c>
      <c r="F146" s="15">
        <v>0</v>
      </c>
      <c r="G146" s="17">
        <v>0</v>
      </c>
      <c r="H146" s="17" t="str">
        <v>缺勤</v>
      </c>
      <c r="N146" s="19">
        <v>0</v>
      </c>
      <c r="O146" s="15">
        <v>0</v>
      </c>
      <c r="P146" s="15">
        <v>0</v>
      </c>
      <c r="Q146" s="15">
        <v>0</v>
      </c>
    </row>
    <row r="147" spans="2:17">
      <c r="B147" s="15" t="str">
        <v>0</v>
      </c>
      <c r="C147" s="15">
        <v>0</v>
      </c>
      <c r="D147" s="15" t="str">
        <v>0</v>
      </c>
      <c r="E147" s="15" t="str">
        <v>0</v>
      </c>
      <c r="F147" s="15">
        <v>0</v>
      </c>
      <c r="G147" s="17">
        <v>0</v>
      </c>
      <c r="H147" s="17" t="str">
        <v>缺勤</v>
      </c>
      <c r="N147" s="19">
        <v>0</v>
      </c>
      <c r="O147" s="15">
        <v>0</v>
      </c>
      <c r="P147" s="15">
        <v>0</v>
      </c>
      <c r="Q147" s="15">
        <v>0</v>
      </c>
    </row>
    <row r="148" spans="2:17">
      <c r="B148" s="15" t="str">
        <v>0</v>
      </c>
      <c r="C148" s="15">
        <v>0</v>
      </c>
      <c r="D148" s="15" t="str">
        <v>0</v>
      </c>
      <c r="E148" s="15" t="str">
        <v>0</v>
      </c>
      <c r="F148" s="15">
        <v>0</v>
      </c>
      <c r="G148" s="17">
        <v>0</v>
      </c>
      <c r="H148" s="17" t="str">
        <v>缺勤</v>
      </c>
      <c r="N148" s="19">
        <v>0</v>
      </c>
      <c r="O148" s="15">
        <v>0</v>
      </c>
      <c r="P148" s="15">
        <v>0</v>
      </c>
      <c r="Q148" s="15">
        <v>0</v>
      </c>
    </row>
    <row r="149" spans="2:17">
      <c r="B149" s="15" t="str">
        <v>0</v>
      </c>
      <c r="C149" s="15">
        <v>0</v>
      </c>
      <c r="D149" s="15" t="str">
        <v>0</v>
      </c>
      <c r="E149" s="15" t="str">
        <v>0</v>
      </c>
      <c r="F149" s="15">
        <v>0</v>
      </c>
      <c r="G149" s="17">
        <v>0</v>
      </c>
      <c r="H149" s="17" t="str">
        <v>缺勤</v>
      </c>
      <c r="N149" s="19">
        <v>0</v>
      </c>
      <c r="O149" s="15">
        <v>0</v>
      </c>
      <c r="P149" s="15">
        <v>0</v>
      </c>
      <c r="Q149" s="15">
        <v>0</v>
      </c>
    </row>
    <row r="150" spans="2:17">
      <c r="B150" s="15" t="str">
        <v>0</v>
      </c>
      <c r="C150" s="15">
        <v>0</v>
      </c>
      <c r="D150" s="15" t="str">
        <v>0</v>
      </c>
      <c r="E150" s="15" t="str">
        <v>0</v>
      </c>
      <c r="F150" s="15">
        <v>0</v>
      </c>
      <c r="G150" s="17">
        <v>0</v>
      </c>
      <c r="H150" s="17" t="str">
        <v>缺勤</v>
      </c>
      <c r="N150" s="19">
        <v>0</v>
      </c>
      <c r="O150" s="15">
        <v>0</v>
      </c>
      <c r="P150" s="15">
        <v>0</v>
      </c>
      <c r="Q150" s="15">
        <v>0</v>
      </c>
    </row>
    <row r="151" spans="2:17">
      <c r="B151" s="15" t="str">
        <v>0</v>
      </c>
      <c r="C151" s="15">
        <v>0</v>
      </c>
      <c r="D151" s="15" t="str">
        <v>0</v>
      </c>
      <c r="E151" s="15" t="str">
        <v>0</v>
      </c>
      <c r="F151" s="15">
        <v>0</v>
      </c>
      <c r="G151" s="17">
        <v>0</v>
      </c>
      <c r="H151" s="17" t="str">
        <v>缺勤</v>
      </c>
      <c r="N151" s="19">
        <v>0</v>
      </c>
      <c r="O151" s="15">
        <v>0</v>
      </c>
      <c r="P151" s="15">
        <v>0</v>
      </c>
      <c r="Q151" s="15">
        <v>0</v>
      </c>
    </row>
    <row r="152" spans="2:17">
      <c r="B152" s="15" t="str">
        <v>0</v>
      </c>
      <c r="C152" s="15">
        <v>0</v>
      </c>
      <c r="D152" s="15" t="str">
        <v>0</v>
      </c>
      <c r="E152" s="15" t="str">
        <v>0</v>
      </c>
      <c r="F152" s="15">
        <v>0</v>
      </c>
      <c r="G152" s="17">
        <v>0</v>
      </c>
      <c r="H152" s="17" t="str">
        <v>缺勤</v>
      </c>
      <c r="N152" s="19">
        <v>0</v>
      </c>
      <c r="O152" s="15">
        <v>0</v>
      </c>
      <c r="P152" s="15">
        <v>0</v>
      </c>
      <c r="Q152" s="15">
        <v>0</v>
      </c>
    </row>
    <row r="153" spans="2:17">
      <c r="B153" s="15" t="str">
        <v>0</v>
      </c>
      <c r="C153" s="15">
        <v>0</v>
      </c>
      <c r="D153" s="15" t="str">
        <v>0</v>
      </c>
      <c r="E153" s="15" t="str">
        <v>0</v>
      </c>
      <c r="F153" s="15">
        <v>0</v>
      </c>
      <c r="G153" s="17">
        <v>0</v>
      </c>
      <c r="H153" s="17" t="str">
        <v>缺勤</v>
      </c>
      <c r="N153" s="19">
        <v>0</v>
      </c>
      <c r="O153" s="15">
        <v>0</v>
      </c>
      <c r="P153" s="15">
        <v>0</v>
      </c>
      <c r="Q153" s="15">
        <v>0</v>
      </c>
    </row>
    <row r="154" spans="2:17">
      <c r="B154" s="15" t="str">
        <v>0</v>
      </c>
      <c r="C154" s="15">
        <v>0</v>
      </c>
      <c r="D154" s="15" t="str">
        <v>0</v>
      </c>
      <c r="E154" s="15" t="str">
        <v>0</v>
      </c>
      <c r="F154" s="15">
        <v>0</v>
      </c>
      <c r="G154" s="17">
        <v>0</v>
      </c>
      <c r="H154" s="17" t="str">
        <v>缺勤</v>
      </c>
      <c r="N154" s="19">
        <v>0</v>
      </c>
      <c r="O154" s="15">
        <v>0</v>
      </c>
      <c r="P154" s="15">
        <v>0</v>
      </c>
      <c r="Q154" s="15">
        <v>0</v>
      </c>
    </row>
    <row r="155" spans="2:17">
      <c r="B155" s="15" t="str">
        <v>0</v>
      </c>
      <c r="C155" s="15">
        <v>0</v>
      </c>
      <c r="D155" s="15" t="str">
        <v>0</v>
      </c>
      <c r="E155" s="15" t="str">
        <v>0</v>
      </c>
      <c r="F155" s="15">
        <v>0</v>
      </c>
      <c r="G155" s="17">
        <v>0</v>
      </c>
      <c r="H155" s="17" t="str">
        <v>缺勤</v>
      </c>
      <c r="N155" s="19">
        <v>0</v>
      </c>
      <c r="O155" s="15">
        <v>0</v>
      </c>
      <c r="P155" s="15">
        <v>0</v>
      </c>
      <c r="Q155" s="15">
        <v>0</v>
      </c>
    </row>
    <row r="156" spans="2:17">
      <c r="B156" s="15" t="str">
        <v>0</v>
      </c>
      <c r="C156" s="15">
        <v>0</v>
      </c>
      <c r="D156" s="15" t="str">
        <v>0</v>
      </c>
      <c r="E156" s="15" t="str">
        <v>0</v>
      </c>
      <c r="F156" s="15">
        <v>0</v>
      </c>
      <c r="G156" s="17">
        <v>0</v>
      </c>
      <c r="H156" s="17" t="str">
        <v>缺勤</v>
      </c>
      <c r="N156" s="19">
        <v>0</v>
      </c>
      <c r="O156" s="15">
        <v>0</v>
      </c>
      <c r="P156" s="15">
        <v>0</v>
      </c>
      <c r="Q156" s="15">
        <v>0</v>
      </c>
    </row>
    <row r="157" spans="2:17">
      <c r="B157" s="15" t="str">
        <v>0</v>
      </c>
      <c r="C157" s="15">
        <v>0</v>
      </c>
      <c r="D157" s="15" t="str">
        <v>0</v>
      </c>
      <c r="E157" s="15" t="str">
        <v>0</v>
      </c>
      <c r="F157" s="15">
        <v>0</v>
      </c>
      <c r="G157" s="17">
        <v>0</v>
      </c>
      <c r="H157" s="17" t="str">
        <v>缺勤</v>
      </c>
      <c r="N157" s="19">
        <v>0</v>
      </c>
      <c r="O157" s="15">
        <v>0</v>
      </c>
      <c r="P157" s="15">
        <v>0</v>
      </c>
      <c r="Q157" s="15">
        <v>0</v>
      </c>
    </row>
    <row r="158" spans="2:17">
      <c r="B158" s="15" t="str">
        <v>0</v>
      </c>
      <c r="C158" s="15">
        <v>0</v>
      </c>
      <c r="D158" s="15" t="str">
        <v>0</v>
      </c>
      <c r="E158" s="15" t="str">
        <v>0</v>
      </c>
      <c r="F158" s="15">
        <v>0</v>
      </c>
      <c r="G158" s="17">
        <v>0</v>
      </c>
      <c r="H158" s="17" t="str">
        <v>缺勤</v>
      </c>
      <c r="N158" s="19">
        <v>0</v>
      </c>
      <c r="O158" s="15">
        <v>0</v>
      </c>
      <c r="P158" s="15">
        <v>0</v>
      </c>
      <c r="Q158" s="15">
        <v>0</v>
      </c>
    </row>
    <row r="159" spans="2:17">
      <c r="B159" s="15" t="str">
        <v>0</v>
      </c>
      <c r="C159" s="15">
        <v>0</v>
      </c>
      <c r="D159" s="15" t="str">
        <v>0</v>
      </c>
      <c r="E159" s="15" t="str">
        <v>0</v>
      </c>
      <c r="F159" s="15">
        <v>0</v>
      </c>
      <c r="G159" s="17">
        <v>0</v>
      </c>
      <c r="H159" s="17" t="str">
        <v>缺勤</v>
      </c>
      <c r="N159" s="19">
        <v>0</v>
      </c>
      <c r="O159" s="15">
        <v>0</v>
      </c>
      <c r="P159" s="15">
        <v>0</v>
      </c>
      <c r="Q159" s="15">
        <v>0</v>
      </c>
    </row>
    <row r="160" spans="2:17">
      <c r="B160" s="15" t="str">
        <v>0</v>
      </c>
      <c r="C160" s="15">
        <v>0</v>
      </c>
      <c r="D160" s="15" t="str">
        <v>0</v>
      </c>
      <c r="E160" s="15" t="str">
        <v>0</v>
      </c>
      <c r="F160" s="15">
        <v>0</v>
      </c>
      <c r="G160" s="17">
        <v>0</v>
      </c>
      <c r="H160" s="17" t="str">
        <v>缺勤</v>
      </c>
      <c r="N160" s="19">
        <v>0</v>
      </c>
      <c r="O160" s="15">
        <v>0</v>
      </c>
      <c r="P160" s="15">
        <v>0</v>
      </c>
      <c r="Q160" s="15">
        <v>0</v>
      </c>
    </row>
    <row r="161" spans="2:17">
      <c r="B161" s="15" t="str">
        <v>0</v>
      </c>
      <c r="C161" s="15">
        <v>0</v>
      </c>
      <c r="D161" s="15" t="str">
        <v>0</v>
      </c>
      <c r="E161" s="15" t="str">
        <v>0</v>
      </c>
      <c r="F161" s="15">
        <v>0</v>
      </c>
      <c r="G161" s="17">
        <v>0</v>
      </c>
      <c r="H161" s="17" t="str">
        <v>缺勤</v>
      </c>
      <c r="N161" s="19">
        <v>0</v>
      </c>
      <c r="O161" s="15">
        <v>0</v>
      </c>
      <c r="P161" s="15">
        <v>0</v>
      </c>
      <c r="Q161" s="15">
        <v>0</v>
      </c>
    </row>
    <row r="162" spans="2:17">
      <c r="B162" s="15" t="str">
        <v>0</v>
      </c>
      <c r="C162" s="15">
        <v>0</v>
      </c>
      <c r="D162" s="15" t="str">
        <v>0</v>
      </c>
      <c r="E162" s="15" t="str">
        <v>0</v>
      </c>
      <c r="F162" s="15">
        <v>0</v>
      </c>
      <c r="G162" s="17">
        <v>0</v>
      </c>
      <c r="H162" s="17" t="str">
        <v>缺勤</v>
      </c>
      <c r="N162" s="19">
        <v>0</v>
      </c>
      <c r="O162" s="15">
        <v>0</v>
      </c>
      <c r="P162" s="15">
        <v>0</v>
      </c>
      <c r="Q162" s="15">
        <v>0</v>
      </c>
    </row>
    <row r="163" spans="2:17">
      <c r="B163" s="15" t="str">
        <v>0</v>
      </c>
      <c r="C163" s="15">
        <v>0</v>
      </c>
      <c r="D163" s="15" t="str">
        <v>0</v>
      </c>
      <c r="E163" s="15" t="str">
        <v>0</v>
      </c>
      <c r="F163" s="15">
        <v>0</v>
      </c>
      <c r="G163" s="17">
        <v>0</v>
      </c>
      <c r="H163" s="17" t="str">
        <v>缺勤</v>
      </c>
      <c r="N163" s="19">
        <v>0</v>
      </c>
      <c r="O163" s="15">
        <v>0</v>
      </c>
      <c r="P163" s="15">
        <v>0</v>
      </c>
      <c r="Q163" s="15">
        <v>0</v>
      </c>
    </row>
    <row r="164" spans="2:17">
      <c r="B164" s="15" t="str">
        <v>0</v>
      </c>
      <c r="C164" s="15">
        <v>0</v>
      </c>
      <c r="D164" s="15" t="str">
        <v>0</v>
      </c>
      <c r="E164" s="15" t="str">
        <v>0</v>
      </c>
      <c r="F164" s="15">
        <v>0</v>
      </c>
      <c r="G164" s="17">
        <v>0</v>
      </c>
      <c r="H164" s="17" t="str">
        <v>缺勤</v>
      </c>
      <c r="N164" s="19">
        <v>0</v>
      </c>
      <c r="O164" s="15">
        <v>0</v>
      </c>
      <c r="P164" s="15">
        <v>0</v>
      </c>
      <c r="Q164" s="15">
        <v>0</v>
      </c>
    </row>
    <row r="165" spans="2:17">
      <c r="B165" s="15" t="str">
        <v>0</v>
      </c>
      <c r="C165" s="15">
        <v>0</v>
      </c>
      <c r="D165" s="15" t="str">
        <v>0</v>
      </c>
      <c r="E165" s="15" t="str">
        <v>0</v>
      </c>
      <c r="F165" s="15">
        <v>0</v>
      </c>
      <c r="G165" s="17">
        <v>0</v>
      </c>
      <c r="H165" s="17" t="str">
        <v>缺勤</v>
      </c>
      <c r="N165" s="19">
        <v>0</v>
      </c>
      <c r="O165" s="15">
        <v>0</v>
      </c>
      <c r="P165" s="15">
        <v>0</v>
      </c>
      <c r="Q165" s="15">
        <v>0</v>
      </c>
    </row>
    <row r="166" spans="2:17">
      <c r="B166" s="15" t="str">
        <v>0</v>
      </c>
      <c r="C166" s="15">
        <v>0</v>
      </c>
      <c r="D166" s="15" t="str">
        <v>0</v>
      </c>
      <c r="E166" s="15" t="str">
        <v>0</v>
      </c>
      <c r="F166" s="15">
        <v>0</v>
      </c>
      <c r="G166" s="17">
        <v>0</v>
      </c>
      <c r="H166" s="17" t="str">
        <v>缺勤</v>
      </c>
      <c r="N166" s="19">
        <v>0</v>
      </c>
      <c r="O166" s="15">
        <v>0</v>
      </c>
      <c r="P166" s="15">
        <v>0</v>
      </c>
      <c r="Q166" s="15">
        <v>0</v>
      </c>
    </row>
    <row r="167" spans="2:17">
      <c r="B167" s="15" t="str">
        <v>0</v>
      </c>
      <c r="C167" s="15">
        <v>0</v>
      </c>
      <c r="D167" s="15" t="str">
        <v>0</v>
      </c>
      <c r="E167" s="15" t="str">
        <v>0</v>
      </c>
      <c r="F167" s="15">
        <v>0</v>
      </c>
      <c r="G167" s="17">
        <v>0</v>
      </c>
      <c r="H167" s="17" t="str">
        <v>缺勤</v>
      </c>
      <c r="N167" s="19">
        <v>0</v>
      </c>
      <c r="O167" s="15">
        <v>0</v>
      </c>
      <c r="P167" s="15">
        <v>0</v>
      </c>
      <c r="Q167" s="15">
        <v>0</v>
      </c>
    </row>
    <row r="168" spans="2:17">
      <c r="B168" s="15" t="str">
        <v>0</v>
      </c>
      <c r="C168" s="15">
        <v>0</v>
      </c>
      <c r="D168" s="15" t="str">
        <v>0</v>
      </c>
      <c r="E168" s="15" t="str">
        <v>0</v>
      </c>
      <c r="F168" s="15">
        <v>0</v>
      </c>
      <c r="G168" s="17">
        <v>0</v>
      </c>
      <c r="H168" s="17" t="str">
        <v>缺勤</v>
      </c>
      <c r="N168" s="19">
        <v>0</v>
      </c>
      <c r="O168" s="15">
        <v>0</v>
      </c>
      <c r="P168" s="15">
        <v>0</v>
      </c>
      <c r="Q168" s="15">
        <v>0</v>
      </c>
    </row>
    <row r="169" spans="2:17">
      <c r="B169" s="15" t="str">
        <v>0</v>
      </c>
      <c r="C169" s="15">
        <v>0</v>
      </c>
      <c r="D169" s="15" t="str">
        <v>0</v>
      </c>
      <c r="E169" s="15" t="str">
        <v>0</v>
      </c>
      <c r="F169" s="15">
        <v>0</v>
      </c>
      <c r="G169" s="17">
        <v>0</v>
      </c>
      <c r="H169" s="17" t="str">
        <v>缺勤</v>
      </c>
      <c r="N169" s="19">
        <v>0</v>
      </c>
      <c r="O169" s="15">
        <v>0</v>
      </c>
      <c r="P169" s="15">
        <v>0</v>
      </c>
      <c r="Q169" s="15">
        <v>0</v>
      </c>
    </row>
    <row r="170" spans="2:17">
      <c r="B170" s="15" t="str">
        <v>0</v>
      </c>
      <c r="C170" s="15">
        <v>0</v>
      </c>
      <c r="D170" s="15" t="str">
        <v>0</v>
      </c>
      <c r="E170" s="15" t="str">
        <v>0</v>
      </c>
      <c r="F170" s="15">
        <v>0</v>
      </c>
      <c r="G170" s="17">
        <v>0</v>
      </c>
      <c r="H170" s="17" t="str">
        <v>缺勤</v>
      </c>
      <c r="N170" s="19">
        <v>0</v>
      </c>
      <c r="O170" s="15">
        <v>0</v>
      </c>
      <c r="P170" s="15">
        <v>0</v>
      </c>
      <c r="Q170" s="15">
        <v>0</v>
      </c>
    </row>
    <row r="171" spans="2:17">
      <c r="B171" s="15" t="str">
        <v>0</v>
      </c>
      <c r="C171" s="15">
        <v>0</v>
      </c>
      <c r="D171" s="15" t="str">
        <v>0</v>
      </c>
      <c r="E171" s="15" t="str">
        <v>0</v>
      </c>
      <c r="F171" s="15">
        <v>0</v>
      </c>
      <c r="G171" s="17">
        <v>0</v>
      </c>
      <c r="H171" s="17" t="str">
        <v>缺勤</v>
      </c>
      <c r="N171" s="19">
        <v>0</v>
      </c>
      <c r="O171" s="15">
        <v>0</v>
      </c>
      <c r="P171" s="15">
        <v>0</v>
      </c>
      <c r="Q171" s="15">
        <v>0</v>
      </c>
    </row>
    <row r="172" spans="2:17">
      <c r="B172" s="15" t="str">
        <v>0</v>
      </c>
      <c r="C172" s="15">
        <v>0</v>
      </c>
      <c r="D172" s="15" t="str">
        <v>0</v>
      </c>
      <c r="E172" s="15" t="str">
        <v>0</v>
      </c>
      <c r="F172" s="15">
        <v>0</v>
      </c>
      <c r="G172" s="17">
        <v>0</v>
      </c>
      <c r="H172" s="17" t="str">
        <v>缺勤</v>
      </c>
      <c r="N172" s="19">
        <v>0</v>
      </c>
      <c r="O172" s="15">
        <v>0</v>
      </c>
      <c r="P172" s="15">
        <v>0</v>
      </c>
      <c r="Q172" s="15">
        <v>0</v>
      </c>
    </row>
    <row r="173" spans="2:17">
      <c r="B173" s="15" t="str">
        <v>0</v>
      </c>
      <c r="C173" s="15">
        <v>0</v>
      </c>
      <c r="D173" s="15" t="str">
        <v>0</v>
      </c>
      <c r="E173" s="15" t="str">
        <v>0</v>
      </c>
      <c r="F173" s="15">
        <v>0</v>
      </c>
      <c r="G173" s="17">
        <v>0</v>
      </c>
      <c r="H173" s="17" t="str">
        <v>缺勤</v>
      </c>
      <c r="N173" s="19">
        <v>0</v>
      </c>
      <c r="O173" s="15">
        <v>0</v>
      </c>
      <c r="P173" s="15">
        <v>0</v>
      </c>
      <c r="Q173" s="15">
        <v>0</v>
      </c>
    </row>
    <row r="174" spans="2:17">
      <c r="B174" s="15" t="str">
        <v>0</v>
      </c>
      <c r="C174" s="15">
        <v>0</v>
      </c>
      <c r="D174" s="15" t="str">
        <v>0</v>
      </c>
      <c r="E174" s="15" t="str">
        <v>0</v>
      </c>
      <c r="F174" s="15">
        <v>0</v>
      </c>
      <c r="G174" s="17">
        <v>0</v>
      </c>
      <c r="H174" s="17" t="str">
        <v>缺勤</v>
      </c>
      <c r="N174" s="19">
        <v>0</v>
      </c>
      <c r="O174" s="15">
        <v>0</v>
      </c>
      <c r="P174" s="15">
        <v>0</v>
      </c>
      <c r="Q174" s="15">
        <v>0</v>
      </c>
    </row>
    <row r="175" spans="2:17">
      <c r="B175" s="15" t="str">
        <v>0</v>
      </c>
      <c r="C175" s="15">
        <v>0</v>
      </c>
      <c r="D175" s="15" t="str">
        <v>0</v>
      </c>
      <c r="E175" s="15" t="str">
        <v>0</v>
      </c>
      <c r="F175" s="15">
        <v>0</v>
      </c>
      <c r="G175" s="17">
        <v>0</v>
      </c>
      <c r="H175" s="17" t="str">
        <v>缺勤</v>
      </c>
      <c r="N175" s="19">
        <v>0</v>
      </c>
      <c r="O175" s="15">
        <v>0</v>
      </c>
      <c r="P175" s="15">
        <v>0</v>
      </c>
      <c r="Q175" s="15">
        <v>0</v>
      </c>
    </row>
    <row r="176" spans="2:17">
      <c r="B176" s="15" t="str">
        <v>0</v>
      </c>
      <c r="C176" s="15">
        <v>0</v>
      </c>
      <c r="D176" s="15" t="str">
        <v>0</v>
      </c>
      <c r="E176" s="15" t="str">
        <v>0</v>
      </c>
      <c r="F176" s="15">
        <v>0</v>
      </c>
      <c r="G176" s="17">
        <v>0</v>
      </c>
      <c r="H176" s="17" t="str">
        <v>缺勤</v>
      </c>
      <c r="N176" s="19">
        <v>0</v>
      </c>
      <c r="O176" s="15">
        <v>0</v>
      </c>
      <c r="P176" s="15">
        <v>0</v>
      </c>
      <c r="Q176" s="15">
        <v>0</v>
      </c>
    </row>
    <row r="177" spans="2:17">
      <c r="B177" s="15" t="str">
        <v>0</v>
      </c>
      <c r="C177" s="15">
        <v>0</v>
      </c>
      <c r="D177" s="15" t="str">
        <v>0</v>
      </c>
      <c r="E177" s="15" t="str">
        <v>0</v>
      </c>
      <c r="F177" s="15">
        <v>0</v>
      </c>
      <c r="G177" s="17">
        <v>0</v>
      </c>
      <c r="H177" s="17" t="str">
        <v>缺勤</v>
      </c>
      <c r="N177" s="19">
        <v>0</v>
      </c>
      <c r="O177" s="15">
        <v>0</v>
      </c>
      <c r="P177" s="15">
        <v>0</v>
      </c>
      <c r="Q177" s="15">
        <v>0</v>
      </c>
    </row>
    <row r="178" spans="2:17">
      <c r="B178" s="15" t="str">
        <v>0</v>
      </c>
      <c r="C178" s="15">
        <v>0</v>
      </c>
      <c r="D178" s="15" t="str">
        <v>0</v>
      </c>
      <c r="E178" s="15" t="str">
        <v>0</v>
      </c>
      <c r="F178" s="15">
        <v>0</v>
      </c>
      <c r="G178" s="17">
        <v>0</v>
      </c>
      <c r="H178" s="17" t="str">
        <v>缺勤</v>
      </c>
      <c r="N178" s="19">
        <v>0</v>
      </c>
      <c r="O178" s="15">
        <v>0</v>
      </c>
      <c r="P178" s="15">
        <v>0</v>
      </c>
      <c r="Q178" s="15">
        <v>0</v>
      </c>
    </row>
    <row r="179" spans="2:17">
      <c r="B179" s="15" t="str">
        <v>0</v>
      </c>
      <c r="C179" s="15">
        <v>0</v>
      </c>
      <c r="D179" s="15" t="str">
        <v>0</v>
      </c>
      <c r="E179" s="15" t="str">
        <v>0</v>
      </c>
      <c r="F179" s="15">
        <v>0</v>
      </c>
      <c r="G179" s="17">
        <v>0</v>
      </c>
      <c r="H179" s="17" t="str">
        <v>缺勤</v>
      </c>
      <c r="N179" s="19">
        <v>0</v>
      </c>
      <c r="O179" s="15">
        <v>0</v>
      </c>
      <c r="P179" s="15">
        <v>0</v>
      </c>
      <c r="Q179" s="15">
        <v>0</v>
      </c>
    </row>
    <row r="180" spans="2:17">
      <c r="B180" s="15" t="str">
        <v>0</v>
      </c>
      <c r="C180" s="15">
        <v>0</v>
      </c>
      <c r="D180" s="15" t="str">
        <v>0</v>
      </c>
      <c r="E180" s="15" t="str">
        <v>0</v>
      </c>
      <c r="F180" s="15">
        <v>0</v>
      </c>
      <c r="G180" s="17">
        <v>0</v>
      </c>
      <c r="H180" s="17" t="str">
        <v>缺勤</v>
      </c>
      <c r="N180" s="19">
        <v>0</v>
      </c>
      <c r="O180" s="15">
        <v>0</v>
      </c>
      <c r="P180" s="15">
        <v>0</v>
      </c>
      <c r="Q180" s="15">
        <v>0</v>
      </c>
    </row>
    <row r="181" spans="2:17">
      <c r="B181" s="15" t="str">
        <v>0</v>
      </c>
      <c r="C181" s="15">
        <v>0</v>
      </c>
      <c r="D181" s="15" t="str">
        <v>0</v>
      </c>
      <c r="E181" s="15" t="str">
        <v>0</v>
      </c>
      <c r="F181" s="15">
        <v>0</v>
      </c>
      <c r="G181" s="17">
        <v>0</v>
      </c>
      <c r="H181" s="17" t="str">
        <v>缺勤</v>
      </c>
      <c r="N181" s="19">
        <v>0</v>
      </c>
      <c r="O181" s="15">
        <v>0</v>
      </c>
      <c r="P181" s="15">
        <v>0</v>
      </c>
      <c r="Q181" s="15">
        <v>0</v>
      </c>
    </row>
    <row r="182" spans="2:17">
      <c r="B182" s="15" t="str">
        <v>0</v>
      </c>
      <c r="C182" s="15">
        <v>0</v>
      </c>
      <c r="D182" s="15" t="str">
        <v>0</v>
      </c>
      <c r="E182" s="15" t="str">
        <v>0</v>
      </c>
      <c r="F182" s="15">
        <v>0</v>
      </c>
      <c r="G182" s="17">
        <v>0</v>
      </c>
      <c r="H182" s="17" t="str">
        <v>缺勤</v>
      </c>
      <c r="N182" s="19">
        <v>0</v>
      </c>
      <c r="O182" s="15">
        <v>0</v>
      </c>
      <c r="P182" s="15">
        <v>0</v>
      </c>
      <c r="Q182" s="15">
        <v>0</v>
      </c>
    </row>
    <row r="183" spans="2:17">
      <c r="B183" s="15" t="str">
        <v>0</v>
      </c>
      <c r="C183" s="15">
        <v>0</v>
      </c>
      <c r="D183" s="15" t="str">
        <v>0</v>
      </c>
      <c r="E183" s="15" t="str">
        <v>0</v>
      </c>
      <c r="F183" s="15">
        <v>0</v>
      </c>
      <c r="G183" s="17">
        <v>0</v>
      </c>
      <c r="H183" s="17" t="str">
        <v>缺勤</v>
      </c>
      <c r="N183" s="19">
        <v>0</v>
      </c>
      <c r="O183" s="15">
        <v>0</v>
      </c>
      <c r="P183" s="15">
        <v>0</v>
      </c>
      <c r="Q183" s="15">
        <v>0</v>
      </c>
    </row>
    <row r="184" spans="2:17">
      <c r="B184" s="15" t="str">
        <v>0</v>
      </c>
      <c r="C184" s="15">
        <v>0</v>
      </c>
      <c r="D184" s="15" t="str">
        <v>0</v>
      </c>
      <c r="E184" s="15" t="str">
        <v>0</v>
      </c>
      <c r="F184" s="15">
        <v>0</v>
      </c>
      <c r="G184" s="17">
        <v>0</v>
      </c>
      <c r="H184" s="17" t="str">
        <v>缺勤</v>
      </c>
      <c r="N184" s="19">
        <v>0</v>
      </c>
      <c r="O184" s="15">
        <v>0</v>
      </c>
      <c r="P184" s="15">
        <v>0</v>
      </c>
      <c r="Q184" s="15">
        <v>0</v>
      </c>
    </row>
    <row r="185" spans="2:17">
      <c r="B185" s="15" t="str">
        <v>0</v>
      </c>
      <c r="C185" s="15">
        <v>0</v>
      </c>
      <c r="D185" s="15" t="str">
        <v>0</v>
      </c>
      <c r="E185" s="15" t="str">
        <v>0</v>
      </c>
      <c r="F185" s="15">
        <v>0</v>
      </c>
      <c r="G185" s="17">
        <v>0</v>
      </c>
      <c r="H185" s="17" t="str">
        <v>缺勤</v>
      </c>
      <c r="N185" s="19">
        <v>0</v>
      </c>
      <c r="O185" s="15">
        <v>0</v>
      </c>
      <c r="P185" s="15">
        <v>0</v>
      </c>
      <c r="Q185" s="15">
        <v>0</v>
      </c>
    </row>
    <row r="186" spans="2:17">
      <c r="B186" s="15" t="str">
        <v>0</v>
      </c>
      <c r="C186" s="15">
        <v>0</v>
      </c>
      <c r="D186" s="15" t="str">
        <v>0</v>
      </c>
      <c r="E186" s="15" t="str">
        <v>0</v>
      </c>
      <c r="F186" s="15">
        <v>0</v>
      </c>
      <c r="G186" s="17">
        <v>0</v>
      </c>
      <c r="H186" s="17" t="str">
        <v>缺勤</v>
      </c>
      <c r="N186" s="19">
        <v>0</v>
      </c>
      <c r="O186" s="15">
        <v>0</v>
      </c>
      <c r="P186" s="15">
        <v>0</v>
      </c>
      <c r="Q186" s="15">
        <v>0</v>
      </c>
    </row>
    <row r="187" spans="2:17">
      <c r="B187" s="15" t="str">
        <v>0</v>
      </c>
      <c r="C187" s="15">
        <v>0</v>
      </c>
      <c r="D187" s="15" t="str">
        <v>0</v>
      </c>
      <c r="E187" s="15" t="str">
        <v>0</v>
      </c>
      <c r="F187" s="15">
        <v>0</v>
      </c>
      <c r="G187" s="17">
        <v>0</v>
      </c>
      <c r="H187" s="17" t="str">
        <v>缺勤</v>
      </c>
      <c r="N187" s="19">
        <v>0</v>
      </c>
      <c r="O187" s="15">
        <v>0</v>
      </c>
      <c r="P187" s="15">
        <v>0</v>
      </c>
      <c r="Q187" s="15">
        <v>0</v>
      </c>
    </row>
    <row r="188" spans="2:17">
      <c r="B188" s="15" t="str">
        <v>0</v>
      </c>
      <c r="C188" s="15">
        <v>0</v>
      </c>
      <c r="D188" s="15" t="str">
        <v>0</v>
      </c>
      <c r="E188" s="15" t="str">
        <v>0</v>
      </c>
      <c r="F188" s="15">
        <v>0</v>
      </c>
      <c r="G188" s="17">
        <v>0</v>
      </c>
      <c r="H188" s="17" t="str">
        <v>缺勤</v>
      </c>
      <c r="N188" s="19">
        <v>0</v>
      </c>
      <c r="O188" s="15">
        <v>0</v>
      </c>
      <c r="P188" s="15">
        <v>0</v>
      </c>
      <c r="Q188" s="15">
        <v>0</v>
      </c>
    </row>
    <row r="189" spans="2:17">
      <c r="B189" s="15" t="str">
        <v>0</v>
      </c>
      <c r="C189" s="15">
        <v>0</v>
      </c>
      <c r="D189" s="15" t="str">
        <v>0</v>
      </c>
      <c r="E189" s="15" t="str">
        <v>0</v>
      </c>
      <c r="F189" s="15">
        <v>0</v>
      </c>
      <c r="G189" s="17">
        <v>0</v>
      </c>
      <c r="H189" s="17" t="str">
        <v>缺勤</v>
      </c>
      <c r="N189" s="19">
        <v>0</v>
      </c>
      <c r="O189" s="15">
        <v>0</v>
      </c>
      <c r="P189" s="15">
        <v>0</v>
      </c>
      <c r="Q189" s="15">
        <v>0</v>
      </c>
    </row>
    <row r="190" spans="2:17">
      <c r="B190" s="15" t="str">
        <v>0</v>
      </c>
      <c r="C190" s="15">
        <v>0</v>
      </c>
      <c r="D190" s="15" t="str">
        <v>0</v>
      </c>
      <c r="E190" s="15" t="str">
        <v>0</v>
      </c>
      <c r="F190" s="15">
        <v>0</v>
      </c>
      <c r="G190" s="17">
        <v>0</v>
      </c>
      <c r="H190" s="17" t="str">
        <v>缺勤</v>
      </c>
      <c r="N190" s="19">
        <v>0</v>
      </c>
      <c r="O190" s="15">
        <v>0</v>
      </c>
      <c r="P190" s="15">
        <v>0</v>
      </c>
      <c r="Q190" s="15">
        <v>0</v>
      </c>
    </row>
    <row r="191" spans="2:17">
      <c r="B191" s="15" t="str">
        <v>0</v>
      </c>
      <c r="C191" s="15">
        <v>0</v>
      </c>
      <c r="D191" s="15" t="str">
        <v>0</v>
      </c>
      <c r="E191" s="15" t="str">
        <v>0</v>
      </c>
      <c r="F191" s="15">
        <v>0</v>
      </c>
      <c r="G191" s="17">
        <v>0</v>
      </c>
      <c r="H191" s="17" t="str">
        <v>缺勤</v>
      </c>
      <c r="N191" s="19">
        <v>0</v>
      </c>
      <c r="O191" s="15">
        <v>0</v>
      </c>
      <c r="P191" s="15">
        <v>0</v>
      </c>
      <c r="Q191" s="15">
        <v>0</v>
      </c>
    </row>
    <row r="192" spans="2:17">
      <c r="B192" s="15" t="str">
        <v>0</v>
      </c>
      <c r="C192" s="15">
        <v>0</v>
      </c>
      <c r="D192" s="15" t="str">
        <v>0</v>
      </c>
      <c r="E192" s="15" t="str">
        <v>0</v>
      </c>
      <c r="F192" s="15">
        <v>0</v>
      </c>
      <c r="G192" s="17">
        <v>0</v>
      </c>
      <c r="H192" s="17" t="str">
        <v>缺勤</v>
      </c>
      <c r="N192" s="19">
        <v>0</v>
      </c>
      <c r="O192" s="15">
        <v>0</v>
      </c>
      <c r="P192" s="15">
        <v>0</v>
      </c>
      <c r="Q192" s="15">
        <v>0</v>
      </c>
    </row>
    <row r="193" spans="2:17">
      <c r="B193" s="15" t="str">
        <v>0</v>
      </c>
      <c r="C193" s="15">
        <v>0</v>
      </c>
      <c r="D193" s="15" t="str">
        <v>0</v>
      </c>
      <c r="E193" s="15" t="str">
        <v>0</v>
      </c>
      <c r="F193" s="15">
        <v>0</v>
      </c>
      <c r="G193" s="17">
        <v>0</v>
      </c>
      <c r="H193" s="17" t="str">
        <v>缺勤</v>
      </c>
      <c r="N193" s="19">
        <v>0</v>
      </c>
      <c r="O193" s="15">
        <v>0</v>
      </c>
      <c r="P193" s="15">
        <v>0</v>
      </c>
      <c r="Q193" s="15">
        <v>0</v>
      </c>
    </row>
    <row r="194" spans="2:17">
      <c r="B194" s="15" t="str">
        <v>0</v>
      </c>
      <c r="C194" s="15">
        <v>0</v>
      </c>
      <c r="D194" s="15" t="str">
        <v>0</v>
      </c>
      <c r="E194" s="15" t="str">
        <v>0</v>
      </c>
      <c r="F194" s="15">
        <v>0</v>
      </c>
      <c r="G194" s="17">
        <v>0</v>
      </c>
      <c r="H194" s="17" t="str">
        <v>缺勤</v>
      </c>
      <c r="N194" s="19">
        <v>0</v>
      </c>
      <c r="O194" s="15">
        <v>0</v>
      </c>
      <c r="P194" s="15">
        <v>0</v>
      </c>
      <c r="Q194" s="15">
        <v>0</v>
      </c>
    </row>
    <row r="195" spans="2:17">
      <c r="B195" s="15" t="str">
        <v>0</v>
      </c>
      <c r="C195" s="15">
        <v>0</v>
      </c>
      <c r="D195" s="15" t="str">
        <v>0</v>
      </c>
      <c r="E195" s="15" t="str">
        <v>0</v>
      </c>
      <c r="F195" s="15">
        <v>0</v>
      </c>
      <c r="G195" s="17">
        <v>0</v>
      </c>
      <c r="H195" s="17" t="str">
        <v>缺勤</v>
      </c>
      <c r="N195" s="19">
        <v>0</v>
      </c>
      <c r="O195" s="15">
        <v>0</v>
      </c>
      <c r="P195" s="15">
        <v>0</v>
      </c>
      <c r="Q195" s="15">
        <v>0</v>
      </c>
    </row>
    <row r="196" spans="2:17">
      <c r="B196" s="15" t="str">
        <v>0</v>
      </c>
      <c r="C196" s="15">
        <v>0</v>
      </c>
      <c r="D196" s="15" t="str">
        <v>0</v>
      </c>
      <c r="E196" s="15" t="str">
        <v>0</v>
      </c>
      <c r="F196" s="15">
        <v>0</v>
      </c>
      <c r="G196" s="17">
        <v>0</v>
      </c>
      <c r="H196" s="17" t="str">
        <v>缺勤</v>
      </c>
      <c r="N196" s="19">
        <v>0</v>
      </c>
      <c r="O196" s="15">
        <v>0</v>
      </c>
      <c r="P196" s="15">
        <v>0</v>
      </c>
      <c r="Q196" s="15">
        <v>0</v>
      </c>
    </row>
    <row r="197" spans="2:17">
      <c r="B197" s="15" t="str">
        <v>0</v>
      </c>
      <c r="C197" s="15">
        <v>0</v>
      </c>
      <c r="D197" s="15" t="str">
        <v>0</v>
      </c>
      <c r="E197" s="15" t="str">
        <v>0</v>
      </c>
      <c r="F197" s="15">
        <v>0</v>
      </c>
      <c r="G197" s="17">
        <v>0</v>
      </c>
      <c r="H197" s="17" t="str">
        <v>缺勤</v>
      </c>
      <c r="N197" s="19">
        <v>0</v>
      </c>
      <c r="O197" s="15">
        <v>0</v>
      </c>
      <c r="P197" s="15">
        <v>0</v>
      </c>
      <c r="Q197" s="15">
        <v>0</v>
      </c>
    </row>
    <row r="198" spans="2:17">
      <c r="B198" s="15" t="str">
        <v>0</v>
      </c>
      <c r="C198" s="15">
        <v>0</v>
      </c>
      <c r="D198" s="15" t="str">
        <v>0</v>
      </c>
      <c r="E198" s="15" t="str">
        <v>0</v>
      </c>
      <c r="F198" s="15">
        <v>0</v>
      </c>
      <c r="G198" s="17">
        <v>0</v>
      </c>
      <c r="H198" s="17" t="str">
        <v>缺勤</v>
      </c>
      <c r="N198" s="19">
        <v>0</v>
      </c>
      <c r="O198" s="15">
        <v>0</v>
      </c>
      <c r="P198" s="15">
        <v>0</v>
      </c>
      <c r="Q198" s="15">
        <v>0</v>
      </c>
    </row>
    <row r="199" spans="2:17">
      <c r="B199" s="15" t="str">
        <v>0</v>
      </c>
      <c r="C199" s="15">
        <v>0</v>
      </c>
      <c r="D199" s="15" t="str">
        <v>0</v>
      </c>
      <c r="E199" s="15" t="str">
        <v>0</v>
      </c>
      <c r="F199" s="15">
        <v>0</v>
      </c>
      <c r="G199" s="17">
        <v>0</v>
      </c>
      <c r="H199" s="17" t="str">
        <v>缺勤</v>
      </c>
      <c r="N199" s="19">
        <v>0</v>
      </c>
      <c r="O199" s="15">
        <v>0</v>
      </c>
      <c r="P199" s="15">
        <v>0</v>
      </c>
      <c r="Q199" s="15">
        <v>0</v>
      </c>
    </row>
    <row r="200" spans="2:17">
      <c r="B200" s="15" t="str">
        <v>0</v>
      </c>
      <c r="C200" s="15">
        <v>0</v>
      </c>
      <c r="D200" s="15" t="str">
        <v>0</v>
      </c>
      <c r="E200" s="15" t="str">
        <v>0</v>
      </c>
      <c r="F200" s="15">
        <v>0</v>
      </c>
      <c r="G200" s="17">
        <v>0</v>
      </c>
      <c r="H200" s="17" t="str">
        <v>缺勤</v>
      </c>
      <c r="N200" s="19">
        <v>0</v>
      </c>
      <c r="O200" s="15">
        <v>0</v>
      </c>
      <c r="P200" s="15">
        <v>0</v>
      </c>
      <c r="Q200" s="15">
        <v>0</v>
      </c>
    </row>
    <row r="201" spans="2:17">
      <c r="B201" s="15" t="str">
        <v>0</v>
      </c>
      <c r="C201" s="15">
        <v>0</v>
      </c>
      <c r="D201" s="15" t="str">
        <v>0</v>
      </c>
      <c r="E201" s="15" t="str">
        <v>0</v>
      </c>
      <c r="F201" s="15">
        <v>0</v>
      </c>
      <c r="G201" s="17">
        <v>0</v>
      </c>
      <c r="H201" s="17" t="str">
        <v>缺勤</v>
      </c>
      <c r="N201" s="19">
        <v>0</v>
      </c>
      <c r="O201" s="15">
        <v>0</v>
      </c>
    </row>
    <row r="202" spans="2:17">
      <c r="B202" s="15" t="str">
        <v>0</v>
      </c>
      <c r="C202" s="15">
        <v>0</v>
      </c>
      <c r="D202" s="15" t="str">
        <v>0</v>
      </c>
      <c r="E202" s="15" t="str">
        <v>0</v>
      </c>
      <c r="F202" s="15">
        <v>0</v>
      </c>
      <c r="G202" s="17">
        <v>0</v>
      </c>
      <c r="H202" s="17" t="str">
        <v>缺勤</v>
      </c>
      <c r="N202" s="19">
        <v>0</v>
      </c>
      <c r="O202" s="15">
        <v>0</v>
      </c>
    </row>
    <row r="203" spans="2:17">
      <c r="B203" s="15" t="str">
        <v>0</v>
      </c>
      <c r="C203" s="15">
        <v>0</v>
      </c>
      <c r="D203" s="15" t="str">
        <v>0</v>
      </c>
      <c r="E203" s="15" t="str">
        <v>0</v>
      </c>
      <c r="F203" s="15">
        <v>0</v>
      </c>
      <c r="G203" s="17">
        <v>0</v>
      </c>
      <c r="H203" s="17" t="str">
        <v>缺勤</v>
      </c>
      <c r="N203" s="19">
        <v>0</v>
      </c>
      <c r="O203" s="15">
        <v>0</v>
      </c>
    </row>
    <row r="204" spans="2:17">
      <c r="B204" s="15" t="str">
        <v>0</v>
      </c>
      <c r="C204" s="15">
        <v>0</v>
      </c>
      <c r="D204" s="15" t="str">
        <v>0</v>
      </c>
      <c r="E204" s="15" t="str">
        <v>0</v>
      </c>
      <c r="F204" s="15">
        <v>0</v>
      </c>
      <c r="G204" s="17">
        <v>0</v>
      </c>
      <c r="H204" s="17" t="str">
        <v>缺勤</v>
      </c>
      <c r="N204" s="19">
        <v>0</v>
      </c>
      <c r="O204" s="15">
        <v>0</v>
      </c>
    </row>
    <row r="205" spans="2:17">
      <c r="B205" s="15" t="str">
        <v>0</v>
      </c>
      <c r="C205" s="15">
        <v>0</v>
      </c>
      <c r="D205" s="15" t="str">
        <v>0</v>
      </c>
      <c r="E205" s="15" t="str">
        <v>0</v>
      </c>
      <c r="F205" s="15">
        <v>0</v>
      </c>
      <c r="G205" s="17">
        <v>0</v>
      </c>
      <c r="H205" s="17" t="str">
        <v>缺勤</v>
      </c>
      <c r="N205" s="19">
        <v>0</v>
      </c>
      <c r="O205" s="15">
        <v>0</v>
      </c>
    </row>
    <row r="206" spans="2:17">
      <c r="B206" s="15" t="str">
        <v>0</v>
      </c>
      <c r="C206" s="15">
        <v>0</v>
      </c>
      <c r="D206" s="15" t="str">
        <v>0</v>
      </c>
      <c r="E206" s="15" t="str">
        <v>0</v>
      </c>
      <c r="F206" s="15">
        <v>0</v>
      </c>
      <c r="G206" s="17">
        <v>0</v>
      </c>
      <c r="H206" s="17" t="str">
        <v>缺勤</v>
      </c>
      <c r="N206" s="19">
        <v>0</v>
      </c>
      <c r="O206" s="15">
        <v>0</v>
      </c>
    </row>
    <row r="207" spans="2:17">
      <c r="B207" s="15" t="str">
        <v>0</v>
      </c>
      <c r="C207" s="15">
        <v>0</v>
      </c>
      <c r="D207" s="15" t="str">
        <v>0</v>
      </c>
      <c r="E207" s="15" t="str">
        <v>0</v>
      </c>
      <c r="F207" s="15">
        <v>0</v>
      </c>
      <c r="G207" s="17">
        <v>0</v>
      </c>
      <c r="H207" s="17" t="str">
        <v>缺勤</v>
      </c>
      <c r="N207" s="19">
        <v>0</v>
      </c>
      <c r="O207" s="15">
        <v>0</v>
      </c>
    </row>
    <row r="208" spans="2:17">
      <c r="B208" s="15" t="str">
        <v>0</v>
      </c>
      <c r="C208" s="15">
        <v>0</v>
      </c>
      <c r="D208" s="15" t="str">
        <v>0</v>
      </c>
      <c r="E208" s="15" t="str">
        <v>0</v>
      </c>
      <c r="F208" s="15">
        <v>0</v>
      </c>
      <c r="G208" s="17">
        <v>0</v>
      </c>
      <c r="H208" s="17" t="str">
        <v>缺勤</v>
      </c>
      <c r="N208" s="19">
        <v>0</v>
      </c>
      <c r="O208" s="15">
        <v>0</v>
      </c>
    </row>
    <row r="209" spans="2:15">
      <c r="B209" s="15" t="str">
        <v>0</v>
      </c>
      <c r="C209" s="15">
        <v>0</v>
      </c>
      <c r="D209" s="15" t="str">
        <v>0</v>
      </c>
      <c r="E209" s="15" t="str">
        <v>0</v>
      </c>
      <c r="F209" s="15">
        <v>0</v>
      </c>
      <c r="G209" s="17">
        <v>0</v>
      </c>
      <c r="H209" s="17" t="str">
        <v>缺勤</v>
      </c>
      <c r="N209" s="19">
        <v>0</v>
      </c>
      <c r="O209" s="15">
        <v>0</v>
      </c>
    </row>
    <row r="210" spans="2:15">
      <c r="B210" s="15" t="str">
        <v>0</v>
      </c>
      <c r="C210" s="15">
        <v>0</v>
      </c>
      <c r="D210" s="15" t="str">
        <v>0</v>
      </c>
      <c r="E210" s="15" t="str">
        <v>0</v>
      </c>
      <c r="F210" s="15">
        <v>0</v>
      </c>
      <c r="G210" s="17">
        <v>0</v>
      </c>
      <c r="H210" s="17" t="str">
        <v>缺勤</v>
      </c>
      <c r="N210" s="19">
        <v>0</v>
      </c>
      <c r="O210" s="15">
        <v>0</v>
      </c>
    </row>
    <row r="211" spans="2:15">
      <c r="B211" s="15" t="str">
        <v>0</v>
      </c>
      <c r="C211" s="15">
        <v>0</v>
      </c>
      <c r="D211" s="15" t="str">
        <v>0</v>
      </c>
      <c r="E211" s="15" t="str">
        <v>0</v>
      </c>
      <c r="F211" s="15">
        <v>0</v>
      </c>
      <c r="G211" s="17">
        <v>0</v>
      </c>
      <c r="H211" s="17" t="str">
        <v>缺勤</v>
      </c>
      <c r="N211" s="19">
        <v>0</v>
      </c>
      <c r="O211" s="15">
        <v>0</v>
      </c>
    </row>
    <row r="212" spans="2:15">
      <c r="B212" s="15" t="str">
        <v>0</v>
      </c>
      <c r="C212" s="15">
        <v>0</v>
      </c>
      <c r="D212" s="15" t="str">
        <v>0</v>
      </c>
      <c r="E212" s="15" t="str">
        <v>0</v>
      </c>
      <c r="F212" s="15">
        <v>0</v>
      </c>
      <c r="G212" s="17">
        <v>0</v>
      </c>
      <c r="H212" s="17" t="str">
        <v>缺勤</v>
      </c>
      <c r="N212" s="19">
        <v>0</v>
      </c>
      <c r="O212" s="15">
        <v>0</v>
      </c>
    </row>
    <row r="213" spans="2:15">
      <c r="B213" s="15" t="str">
        <v>0</v>
      </c>
      <c r="C213" s="15">
        <v>0</v>
      </c>
      <c r="D213" s="15" t="str">
        <v>0</v>
      </c>
      <c r="E213" s="15" t="str">
        <v>0</v>
      </c>
      <c r="F213" s="15">
        <v>0</v>
      </c>
      <c r="G213" s="17">
        <v>0</v>
      </c>
      <c r="H213" s="17" t="str">
        <v>缺勤</v>
      </c>
      <c r="N213" s="19">
        <v>0</v>
      </c>
      <c r="O213" s="15">
        <v>0</v>
      </c>
    </row>
    <row r="214" spans="2:15">
      <c r="B214" s="15" t="str">
        <v>0</v>
      </c>
      <c r="C214" s="15">
        <v>0</v>
      </c>
      <c r="D214" s="15" t="str">
        <v>0</v>
      </c>
      <c r="E214" s="15" t="str">
        <v>0</v>
      </c>
      <c r="F214" s="15">
        <v>0</v>
      </c>
      <c r="G214" s="17">
        <v>0</v>
      </c>
      <c r="H214" s="17" t="str">
        <v>缺勤</v>
      </c>
      <c r="N214" s="19">
        <v>0</v>
      </c>
      <c r="O214" s="15">
        <v>0</v>
      </c>
    </row>
    <row r="215" spans="2:15">
      <c r="B215" s="15" t="str">
        <v>0</v>
      </c>
      <c r="C215" s="15">
        <v>0</v>
      </c>
      <c r="D215" s="15" t="str">
        <v>0</v>
      </c>
      <c r="E215" s="15" t="str">
        <v>0</v>
      </c>
      <c r="F215" s="15">
        <v>0</v>
      </c>
      <c r="G215" s="17">
        <v>0</v>
      </c>
      <c r="H215" s="17" t="str">
        <v>缺勤</v>
      </c>
      <c r="N215" s="19">
        <v>0</v>
      </c>
      <c r="O215" s="15">
        <v>0</v>
      </c>
    </row>
    <row r="216" spans="2:15">
      <c r="B216" s="15" t="str">
        <v>0</v>
      </c>
      <c r="C216" s="15">
        <v>0</v>
      </c>
      <c r="D216" s="15" t="str">
        <v>0</v>
      </c>
      <c r="E216" s="15" t="str">
        <v>0</v>
      </c>
      <c r="F216" s="15">
        <v>0</v>
      </c>
      <c r="G216" s="17">
        <v>0</v>
      </c>
      <c r="H216" s="17" t="str">
        <v>缺勤</v>
      </c>
      <c r="N216" s="19">
        <v>0</v>
      </c>
      <c r="O216" s="15">
        <v>0</v>
      </c>
    </row>
    <row r="217" spans="2:15">
      <c r="B217" s="15" t="str">
        <v>0</v>
      </c>
      <c r="C217" s="15">
        <v>0</v>
      </c>
      <c r="D217" s="15" t="str">
        <v>0</v>
      </c>
      <c r="E217" s="15" t="str">
        <v>0</v>
      </c>
      <c r="F217" s="15">
        <v>0</v>
      </c>
      <c r="G217" s="17">
        <v>0</v>
      </c>
      <c r="H217" s="17" t="str">
        <v>缺勤</v>
      </c>
      <c r="N217" s="19">
        <v>0</v>
      </c>
      <c r="O217" s="15">
        <v>0</v>
      </c>
    </row>
    <row r="218" spans="2:15">
      <c r="B218" s="15" t="str">
        <v>0</v>
      </c>
      <c r="C218" s="15">
        <v>0</v>
      </c>
      <c r="D218" s="15" t="str">
        <v>0</v>
      </c>
      <c r="E218" s="15" t="str">
        <v>0</v>
      </c>
      <c r="F218" s="15">
        <v>0</v>
      </c>
      <c r="G218" s="17">
        <v>0</v>
      </c>
      <c r="H218" s="17" t="str">
        <v>缺勤</v>
      </c>
      <c r="N218" s="19">
        <v>0</v>
      </c>
      <c r="O218" s="15">
        <v>0</v>
      </c>
    </row>
    <row r="219" spans="2:15">
      <c r="B219" s="15" t="str">
        <v>0</v>
      </c>
      <c r="C219" s="15">
        <v>0</v>
      </c>
      <c r="D219" s="15" t="str">
        <v>0</v>
      </c>
      <c r="E219" s="15" t="str">
        <v>0</v>
      </c>
      <c r="F219" s="15">
        <v>0</v>
      </c>
      <c r="G219" s="17">
        <v>0</v>
      </c>
      <c r="H219" s="17" t="str">
        <v>缺勤</v>
      </c>
      <c r="N219" s="19">
        <v>0</v>
      </c>
      <c r="O219" s="15">
        <v>0</v>
      </c>
    </row>
    <row r="220" spans="2:15">
      <c r="B220" s="15" t="str">
        <v>0</v>
      </c>
      <c r="C220" s="15">
        <v>0</v>
      </c>
      <c r="D220" s="15" t="str">
        <v>0</v>
      </c>
      <c r="E220" s="15" t="str">
        <v>0</v>
      </c>
      <c r="F220" s="15">
        <v>0</v>
      </c>
      <c r="G220" s="17">
        <v>0</v>
      </c>
      <c r="H220" s="17" t="str">
        <v>缺勤</v>
      </c>
      <c r="N220" s="19">
        <v>0</v>
      </c>
      <c r="O220" s="15">
        <v>0</v>
      </c>
    </row>
    <row r="221" spans="2:15">
      <c r="B221" s="15" t="str">
        <v>0</v>
      </c>
      <c r="C221" s="15">
        <v>0</v>
      </c>
      <c r="D221" s="15" t="str">
        <v>0</v>
      </c>
      <c r="E221" s="15" t="str">
        <v>0</v>
      </c>
      <c r="F221" s="15">
        <v>0</v>
      </c>
      <c r="G221" s="17">
        <v>0</v>
      </c>
      <c r="H221" s="17" t="str">
        <v>缺勤</v>
      </c>
      <c r="N221" s="19">
        <v>0</v>
      </c>
      <c r="O221" s="15">
        <v>0</v>
      </c>
    </row>
    <row r="222" spans="2:15">
      <c r="B222" s="15" t="str">
        <v>0</v>
      </c>
      <c r="C222" s="15">
        <v>0</v>
      </c>
      <c r="D222" s="15" t="str">
        <v>0</v>
      </c>
      <c r="E222" s="15" t="str">
        <v>0</v>
      </c>
      <c r="F222" s="15">
        <v>0</v>
      </c>
      <c r="G222" s="17">
        <v>0</v>
      </c>
      <c r="H222" s="17" t="str">
        <v>缺勤</v>
      </c>
      <c r="N222" s="19">
        <v>0</v>
      </c>
      <c r="O222" s="15">
        <v>0</v>
      </c>
    </row>
    <row r="223" spans="2:15">
      <c r="B223" s="15" t="str">
        <v>0</v>
      </c>
      <c r="C223" s="15">
        <v>0</v>
      </c>
      <c r="D223" s="15" t="str">
        <v>0</v>
      </c>
      <c r="E223" s="15" t="str">
        <v>0</v>
      </c>
      <c r="F223" s="15">
        <v>0</v>
      </c>
      <c r="G223" s="17">
        <v>0</v>
      </c>
      <c r="H223" s="17" t="str">
        <v>缺勤</v>
      </c>
      <c r="N223" s="19">
        <v>0</v>
      </c>
      <c r="O223" s="15">
        <v>0</v>
      </c>
    </row>
    <row r="224" spans="2:15">
      <c r="B224" s="15" t="str">
        <v>0</v>
      </c>
      <c r="C224" s="15">
        <v>0</v>
      </c>
      <c r="D224" s="15" t="str">
        <v>0</v>
      </c>
      <c r="E224" s="15" t="str">
        <v>0</v>
      </c>
      <c r="F224" s="15">
        <v>0</v>
      </c>
      <c r="G224" s="17">
        <v>0</v>
      </c>
      <c r="H224" s="17" t="str">
        <v>缺勤</v>
      </c>
      <c r="N224" s="19">
        <v>0</v>
      </c>
      <c r="O224" s="15">
        <v>0</v>
      </c>
    </row>
    <row r="225" spans="2:15">
      <c r="B225" s="15" t="str">
        <v>0</v>
      </c>
      <c r="C225" s="15">
        <v>0</v>
      </c>
      <c r="D225" s="15" t="str">
        <v>0</v>
      </c>
      <c r="E225" s="15" t="str">
        <v>0</v>
      </c>
      <c r="F225" s="15">
        <v>0</v>
      </c>
      <c r="G225" s="17">
        <v>0</v>
      </c>
      <c r="H225" s="17" t="str">
        <v>缺勤</v>
      </c>
      <c r="N225" s="19">
        <v>0</v>
      </c>
      <c r="O225" s="15">
        <v>0</v>
      </c>
    </row>
    <row r="226" spans="2:15">
      <c r="B226" s="15" t="str">
        <v>0</v>
      </c>
      <c r="C226" s="15">
        <v>0</v>
      </c>
      <c r="D226" s="15" t="str">
        <v>0</v>
      </c>
      <c r="E226" s="15" t="str">
        <v>0</v>
      </c>
      <c r="F226" s="15">
        <v>0</v>
      </c>
      <c r="G226" s="17">
        <v>0</v>
      </c>
      <c r="H226" s="17" t="str">
        <v>缺勤</v>
      </c>
      <c r="N226" s="19">
        <v>0</v>
      </c>
      <c r="O226" s="15">
        <v>0</v>
      </c>
    </row>
    <row r="227" spans="2:15">
      <c r="B227" s="15" t="str">
        <v>0</v>
      </c>
      <c r="C227" s="15">
        <v>0</v>
      </c>
      <c r="D227" s="15" t="str">
        <v>0</v>
      </c>
      <c r="E227" s="15" t="str">
        <v>0</v>
      </c>
      <c r="F227" s="15">
        <v>0</v>
      </c>
      <c r="G227" s="17">
        <v>0</v>
      </c>
      <c r="H227" s="17" t="str">
        <v>缺勤</v>
      </c>
      <c r="N227" s="19">
        <v>0</v>
      </c>
      <c r="O227" s="15">
        <v>0</v>
      </c>
    </row>
    <row r="228" spans="2:15">
      <c r="B228" s="15" t="str">
        <v>0</v>
      </c>
      <c r="C228" s="15">
        <v>0</v>
      </c>
      <c r="D228" s="15" t="str">
        <v>0</v>
      </c>
      <c r="E228" s="15" t="str">
        <v>0</v>
      </c>
      <c r="F228" s="15">
        <v>0</v>
      </c>
      <c r="G228" s="17">
        <v>0</v>
      </c>
      <c r="H228" s="17" t="str">
        <v>缺勤</v>
      </c>
      <c r="N228" s="19">
        <v>0</v>
      </c>
      <c r="O228" s="15">
        <v>0</v>
      </c>
    </row>
    <row r="229" spans="2:15">
      <c r="B229" s="15" t="str">
        <v>0</v>
      </c>
      <c r="C229" s="15">
        <v>0</v>
      </c>
      <c r="D229" s="15" t="str">
        <v>0</v>
      </c>
      <c r="E229" s="15" t="str">
        <v>0</v>
      </c>
      <c r="F229" s="15">
        <v>0</v>
      </c>
      <c r="G229" s="17">
        <v>0</v>
      </c>
      <c r="H229" s="17" t="str">
        <v>缺勤</v>
      </c>
      <c r="N229" s="19">
        <v>0</v>
      </c>
      <c r="O229" s="15">
        <v>0</v>
      </c>
    </row>
    <row r="230" spans="2:15">
      <c r="B230" s="15" t="str">
        <v>0</v>
      </c>
      <c r="C230" s="15">
        <v>0</v>
      </c>
      <c r="D230" s="15" t="str">
        <v>0</v>
      </c>
      <c r="E230" s="15" t="str">
        <v>0</v>
      </c>
      <c r="F230" s="15">
        <v>0</v>
      </c>
      <c r="G230" s="17">
        <v>0</v>
      </c>
      <c r="H230" s="17" t="str">
        <v>缺勤</v>
      </c>
      <c r="N230" s="19">
        <v>0</v>
      </c>
      <c r="O230" s="15">
        <v>0</v>
      </c>
    </row>
    <row r="231" spans="2:15">
      <c r="B231" s="15" t="str">
        <v>0</v>
      </c>
      <c r="C231" s="15">
        <v>0</v>
      </c>
      <c r="D231" s="15" t="str">
        <v>0</v>
      </c>
      <c r="E231" s="15" t="str">
        <v>0</v>
      </c>
      <c r="F231" s="15">
        <v>0</v>
      </c>
      <c r="G231" s="17">
        <v>0</v>
      </c>
      <c r="H231" s="17" t="str">
        <v>缺勤</v>
      </c>
      <c r="N231" s="19">
        <v>0</v>
      </c>
      <c r="O231" s="15">
        <v>0</v>
      </c>
    </row>
    <row r="232" spans="2:15">
      <c r="B232" s="15" t="str">
        <v>0</v>
      </c>
      <c r="C232" s="15">
        <v>0</v>
      </c>
      <c r="D232" s="15" t="str">
        <v>0</v>
      </c>
      <c r="E232" s="15" t="str">
        <v>0</v>
      </c>
      <c r="F232" s="15">
        <v>0</v>
      </c>
      <c r="G232" s="17">
        <v>0</v>
      </c>
      <c r="H232" s="17" t="str">
        <v>缺勤</v>
      </c>
      <c r="N232" s="19">
        <v>0</v>
      </c>
      <c r="O232" s="15">
        <v>0</v>
      </c>
    </row>
    <row r="233" spans="2:15">
      <c r="B233" s="15" t="str">
        <v>0</v>
      </c>
      <c r="C233" s="15">
        <v>0</v>
      </c>
      <c r="D233" s="15" t="str">
        <v>0</v>
      </c>
      <c r="E233" s="15" t="str">
        <v>0</v>
      </c>
      <c r="F233" s="15">
        <v>0</v>
      </c>
      <c r="G233" s="17">
        <v>0</v>
      </c>
      <c r="H233" s="17" t="str">
        <v>缺勤</v>
      </c>
      <c r="N233" s="19">
        <v>0</v>
      </c>
      <c r="O233" s="15">
        <v>0</v>
      </c>
    </row>
    <row r="234" spans="2:15">
      <c r="B234" s="15" t="str">
        <v>0</v>
      </c>
      <c r="C234" s="15">
        <v>0</v>
      </c>
      <c r="D234" s="15" t="str">
        <v>0</v>
      </c>
      <c r="E234" s="15" t="str">
        <v>0</v>
      </c>
      <c r="F234" s="15">
        <v>0</v>
      </c>
      <c r="G234" s="17">
        <v>0</v>
      </c>
      <c r="H234" s="17" t="str">
        <v>缺勤</v>
      </c>
      <c r="N234" s="19">
        <v>0</v>
      </c>
      <c r="O234" s="15">
        <v>0</v>
      </c>
    </row>
    <row r="235" spans="2:15">
      <c r="B235" s="15" t="str">
        <v>0</v>
      </c>
      <c r="C235" s="15">
        <v>0</v>
      </c>
      <c r="D235" s="15" t="str">
        <v>0</v>
      </c>
      <c r="E235" s="15" t="str">
        <v>0</v>
      </c>
      <c r="F235" s="15">
        <v>0</v>
      </c>
      <c r="G235" s="17">
        <v>0</v>
      </c>
      <c r="H235" s="17" t="str">
        <v>缺勤</v>
      </c>
      <c r="N235" s="19">
        <v>0</v>
      </c>
      <c r="O235" s="15">
        <v>0</v>
      </c>
    </row>
    <row r="236" spans="2:15">
      <c r="B236" s="15" t="str">
        <v>0</v>
      </c>
      <c r="C236" s="15">
        <v>0</v>
      </c>
      <c r="D236" s="15" t="str">
        <v>0</v>
      </c>
      <c r="E236" s="15" t="str">
        <v>0</v>
      </c>
      <c r="F236" s="15">
        <v>0</v>
      </c>
      <c r="G236" s="17">
        <v>0</v>
      </c>
      <c r="H236" s="17" t="str">
        <v>缺勤</v>
      </c>
      <c r="N236" s="19">
        <v>0</v>
      </c>
      <c r="O236" s="15">
        <v>0</v>
      </c>
    </row>
    <row r="237" spans="2:15">
      <c r="B237" s="15" t="str">
        <v>0</v>
      </c>
      <c r="C237" s="15">
        <v>0</v>
      </c>
      <c r="D237" s="15" t="str">
        <v>0</v>
      </c>
      <c r="E237" s="15" t="str">
        <v>0</v>
      </c>
      <c r="F237" s="15">
        <v>0</v>
      </c>
      <c r="G237" s="17">
        <v>0</v>
      </c>
      <c r="H237" s="17" t="str">
        <v>缺勤</v>
      </c>
      <c r="N237" s="19">
        <v>0</v>
      </c>
      <c r="O237" s="15">
        <v>0</v>
      </c>
    </row>
    <row r="238" spans="2:15">
      <c r="B238" s="15" t="str">
        <v>0</v>
      </c>
      <c r="C238" s="15">
        <v>0</v>
      </c>
      <c r="D238" s="15" t="str">
        <v>0</v>
      </c>
      <c r="E238" s="15" t="str">
        <v>0</v>
      </c>
      <c r="F238" s="15">
        <v>0</v>
      </c>
      <c r="G238" s="17">
        <v>0</v>
      </c>
      <c r="H238" s="17" t="str">
        <v>缺勤</v>
      </c>
      <c r="N238" s="19">
        <v>0</v>
      </c>
      <c r="O238" s="15">
        <v>0</v>
      </c>
    </row>
    <row r="239" spans="2:15">
      <c r="B239" s="15" t="str">
        <v>0</v>
      </c>
      <c r="C239" s="15">
        <v>0</v>
      </c>
      <c r="D239" s="15" t="str">
        <v>0</v>
      </c>
      <c r="E239" s="15" t="str">
        <v>0</v>
      </c>
      <c r="F239" s="15">
        <v>0</v>
      </c>
      <c r="G239" s="17">
        <v>0</v>
      </c>
      <c r="H239" s="17" t="str">
        <v>缺勤</v>
      </c>
      <c r="N239" s="19">
        <v>0</v>
      </c>
      <c r="O239" s="15">
        <v>0</v>
      </c>
    </row>
    <row r="240" spans="2:15">
      <c r="B240" s="15" t="str">
        <v>0</v>
      </c>
      <c r="C240" s="15">
        <v>0</v>
      </c>
      <c r="D240" s="15" t="str">
        <v>0</v>
      </c>
      <c r="E240" s="15" t="str">
        <v>0</v>
      </c>
      <c r="F240" s="15">
        <v>0</v>
      </c>
      <c r="G240" s="17">
        <v>0</v>
      </c>
      <c r="H240" s="17" t="str">
        <v>缺勤</v>
      </c>
      <c r="N240" s="19">
        <v>0</v>
      </c>
      <c r="O240" s="15">
        <v>0</v>
      </c>
    </row>
    <row r="241" spans="2:15">
      <c r="B241" s="15" t="str">
        <v>0</v>
      </c>
      <c r="C241" s="15">
        <v>0</v>
      </c>
      <c r="D241" s="15" t="str">
        <v>0</v>
      </c>
      <c r="E241" s="15" t="str">
        <v>0</v>
      </c>
      <c r="F241" s="15">
        <v>0</v>
      </c>
      <c r="G241" s="17">
        <v>0</v>
      </c>
      <c r="H241" s="17" t="str">
        <v>缺勤</v>
      </c>
      <c r="N241" s="19">
        <v>0</v>
      </c>
      <c r="O241" s="15">
        <v>0</v>
      </c>
    </row>
    <row r="242" spans="2:15">
      <c r="B242" s="15" t="str">
        <v>0</v>
      </c>
      <c r="C242" s="15">
        <v>0</v>
      </c>
      <c r="D242" s="15" t="str">
        <v>0</v>
      </c>
      <c r="E242" s="15" t="str">
        <v>0</v>
      </c>
      <c r="F242" s="15">
        <v>0</v>
      </c>
      <c r="G242" s="17">
        <v>0</v>
      </c>
      <c r="H242" s="17" t="str">
        <v>缺勤</v>
      </c>
      <c r="N242" s="19">
        <v>0</v>
      </c>
      <c r="O242" s="15">
        <v>0</v>
      </c>
    </row>
    <row r="243" spans="2:15">
      <c r="B243" s="15" t="str">
        <v>0</v>
      </c>
      <c r="C243" s="15">
        <v>0</v>
      </c>
      <c r="D243" s="15" t="str">
        <v>0</v>
      </c>
      <c r="E243" s="15" t="str">
        <v>0</v>
      </c>
      <c r="F243" s="15">
        <v>0</v>
      </c>
      <c r="G243" s="17">
        <v>0</v>
      </c>
      <c r="H243" s="17" t="str">
        <v>缺勤</v>
      </c>
      <c r="N243" s="19">
        <v>0</v>
      </c>
      <c r="O243" s="15">
        <v>0</v>
      </c>
    </row>
    <row r="244" spans="2:15">
      <c r="B244" s="15" t="str">
        <v>0</v>
      </c>
      <c r="C244" s="15">
        <v>0</v>
      </c>
      <c r="D244" s="15" t="str">
        <v>0</v>
      </c>
      <c r="E244" s="15" t="str">
        <v>0</v>
      </c>
      <c r="F244" s="15">
        <v>0</v>
      </c>
      <c r="G244" s="17">
        <v>0</v>
      </c>
      <c r="H244" s="17" t="str">
        <v>缺勤</v>
      </c>
      <c r="N244" s="19">
        <v>0</v>
      </c>
      <c r="O244" s="15">
        <v>0</v>
      </c>
    </row>
    <row r="245" spans="2:15">
      <c r="B245" s="15" t="str">
        <v>0</v>
      </c>
      <c r="C245" s="15">
        <v>0</v>
      </c>
      <c r="D245" s="15" t="str">
        <v>0</v>
      </c>
      <c r="E245" s="15" t="str">
        <v>0</v>
      </c>
      <c r="F245" s="15">
        <v>0</v>
      </c>
      <c r="G245" s="17">
        <v>0</v>
      </c>
      <c r="H245" s="17" t="str">
        <v>缺勤</v>
      </c>
      <c r="N245" s="19">
        <v>0</v>
      </c>
      <c r="O245" s="15">
        <v>0</v>
      </c>
    </row>
    <row r="246" spans="2:15">
      <c r="B246" s="15" t="str">
        <v>0</v>
      </c>
      <c r="C246" s="15">
        <v>0</v>
      </c>
      <c r="D246" s="15" t="str">
        <v>0</v>
      </c>
      <c r="E246" s="15" t="str">
        <v>0</v>
      </c>
      <c r="F246" s="15">
        <v>0</v>
      </c>
      <c r="G246" s="17">
        <v>0</v>
      </c>
      <c r="H246" s="17" t="str">
        <v>缺勤</v>
      </c>
      <c r="N246" s="19">
        <v>0</v>
      </c>
      <c r="O246" s="15">
        <v>0</v>
      </c>
    </row>
    <row r="247" spans="2:15">
      <c r="B247" s="15" t="str">
        <v>0</v>
      </c>
      <c r="C247" s="15">
        <v>0</v>
      </c>
      <c r="D247" s="15" t="str">
        <v>0</v>
      </c>
      <c r="E247" s="15" t="str">
        <v>0</v>
      </c>
      <c r="F247" s="15">
        <v>0</v>
      </c>
      <c r="G247" s="17">
        <v>0</v>
      </c>
      <c r="H247" s="17" t="str">
        <v>缺勤</v>
      </c>
      <c r="N247" s="19">
        <v>0</v>
      </c>
      <c r="O247" s="15">
        <v>0</v>
      </c>
    </row>
    <row r="248" spans="2:15">
      <c r="B248" s="15" t="str">
        <v>0</v>
      </c>
      <c r="C248" s="15">
        <v>0</v>
      </c>
      <c r="D248" s="15" t="str">
        <v>0</v>
      </c>
      <c r="E248" s="15" t="str">
        <v>0</v>
      </c>
      <c r="F248" s="15">
        <v>0</v>
      </c>
      <c r="G248" s="17">
        <v>0</v>
      </c>
      <c r="H248" s="17" t="str">
        <v>缺勤</v>
      </c>
      <c r="N248" s="19">
        <v>0</v>
      </c>
      <c r="O248" s="15">
        <v>0</v>
      </c>
    </row>
    <row r="249" spans="2:15">
      <c r="B249" s="15" t="str">
        <v>0</v>
      </c>
      <c r="C249" s="15">
        <v>0</v>
      </c>
      <c r="D249" s="15" t="str">
        <v>0</v>
      </c>
      <c r="E249" s="15" t="str">
        <v>0</v>
      </c>
      <c r="F249" s="15">
        <v>0</v>
      </c>
      <c r="G249" s="17">
        <v>0</v>
      </c>
      <c r="H249" s="17" t="str">
        <v>缺勤</v>
      </c>
      <c r="N249" s="19">
        <v>0</v>
      </c>
      <c r="O249" s="15">
        <v>0</v>
      </c>
    </row>
    <row r="250" spans="2:15">
      <c r="B250" s="15" t="str">
        <v>0</v>
      </c>
      <c r="C250" s="15">
        <v>0</v>
      </c>
      <c r="D250" s="15" t="str">
        <v>0</v>
      </c>
      <c r="E250" s="15" t="str">
        <v>0</v>
      </c>
      <c r="F250" s="15">
        <v>0</v>
      </c>
      <c r="G250" s="17">
        <v>0</v>
      </c>
      <c r="H250" s="17" t="str">
        <v>缺勤</v>
      </c>
      <c r="N250" s="19">
        <v>0</v>
      </c>
      <c r="O250" s="15">
        <v>0</v>
      </c>
    </row>
    <row r="251" spans="2:15">
      <c r="B251" s="15" t="str">
        <v>0</v>
      </c>
      <c r="C251" s="15">
        <v>0</v>
      </c>
      <c r="D251" s="15" t="str">
        <v>0</v>
      </c>
      <c r="E251" s="15" t="str">
        <v>0</v>
      </c>
      <c r="F251" s="15">
        <v>0</v>
      </c>
      <c r="G251" s="17">
        <v>0</v>
      </c>
      <c r="H251" s="17" t="str">
        <v>缺勤</v>
      </c>
      <c r="N251" s="19">
        <v>0</v>
      </c>
      <c r="O251" s="15">
        <v>0</v>
      </c>
    </row>
    <row r="252" spans="2:15">
      <c r="B252" s="15" t="str">
        <v>0</v>
      </c>
      <c r="C252" s="15">
        <v>0</v>
      </c>
      <c r="D252" s="15" t="str">
        <v>0</v>
      </c>
      <c r="E252" s="15" t="str">
        <v>0</v>
      </c>
      <c r="F252" s="15">
        <v>0</v>
      </c>
      <c r="G252" s="17">
        <v>0</v>
      </c>
      <c r="H252" s="17" t="str">
        <v>缺勤</v>
      </c>
      <c r="N252" s="19">
        <v>0</v>
      </c>
      <c r="O252" s="15">
        <v>0</v>
      </c>
    </row>
    <row r="253" spans="2:15">
      <c r="B253" s="15" t="str">
        <v>0</v>
      </c>
      <c r="C253" s="15">
        <v>0</v>
      </c>
      <c r="D253" s="15" t="str">
        <v>0</v>
      </c>
      <c r="E253" s="15" t="str">
        <v>0</v>
      </c>
      <c r="F253" s="15">
        <v>0</v>
      </c>
      <c r="G253" s="17">
        <v>0</v>
      </c>
      <c r="H253" s="17" t="str">
        <v>缺勤</v>
      </c>
      <c r="N253" s="19">
        <v>0</v>
      </c>
      <c r="O253" s="15">
        <v>0</v>
      </c>
    </row>
    <row r="254" spans="2:15">
      <c r="B254" s="15" t="str">
        <v>0</v>
      </c>
      <c r="C254" s="15">
        <v>0</v>
      </c>
      <c r="D254" s="15" t="str">
        <v>0</v>
      </c>
      <c r="E254" s="15" t="str">
        <v>0</v>
      </c>
      <c r="F254" s="15">
        <v>0</v>
      </c>
      <c r="G254" s="17">
        <v>0</v>
      </c>
      <c r="H254" s="17" t="str">
        <v>缺勤</v>
      </c>
      <c r="N254" s="19">
        <v>0</v>
      </c>
      <c r="O254" s="15">
        <v>0</v>
      </c>
    </row>
    <row r="255" spans="2:15">
      <c r="B255" s="15" t="str">
        <v>0</v>
      </c>
      <c r="C255" s="15">
        <v>0</v>
      </c>
      <c r="D255" s="15" t="str">
        <v>0</v>
      </c>
      <c r="E255" s="15" t="str">
        <v>0</v>
      </c>
      <c r="F255" s="15">
        <v>0</v>
      </c>
      <c r="G255" s="17">
        <v>0</v>
      </c>
      <c r="H255" s="17" t="str">
        <v>缺勤</v>
      </c>
      <c r="N255" s="19">
        <v>0</v>
      </c>
      <c r="O255" s="15">
        <v>0</v>
      </c>
    </row>
    <row r="256" spans="2:15">
      <c r="B256" s="15" t="str">
        <v>0</v>
      </c>
      <c r="C256" s="15">
        <v>0</v>
      </c>
      <c r="D256" s="15" t="str">
        <v>0</v>
      </c>
      <c r="E256" s="15" t="str">
        <v>0</v>
      </c>
      <c r="F256" s="15">
        <v>0</v>
      </c>
      <c r="G256" s="17">
        <v>0</v>
      </c>
      <c r="H256" s="17" t="str">
        <v>缺勤</v>
      </c>
      <c r="N256" s="19">
        <v>0</v>
      </c>
      <c r="O256" s="15">
        <v>0</v>
      </c>
    </row>
    <row r="257" spans="2:15">
      <c r="B257" s="15" t="str">
        <v>0</v>
      </c>
      <c r="C257" s="15">
        <v>0</v>
      </c>
      <c r="D257" s="15" t="str">
        <v>0</v>
      </c>
      <c r="E257" s="15" t="str">
        <v>0</v>
      </c>
      <c r="F257" s="15">
        <v>0</v>
      </c>
      <c r="G257" s="17">
        <v>0</v>
      </c>
      <c r="H257" s="17" t="str">
        <v>缺勤</v>
      </c>
      <c r="N257" s="19">
        <v>0</v>
      </c>
      <c r="O257" s="15">
        <v>0</v>
      </c>
    </row>
    <row r="258" spans="2:15">
      <c r="B258" s="15" t="str">
        <v>0</v>
      </c>
      <c r="C258" s="15">
        <v>0</v>
      </c>
      <c r="D258" s="15" t="str">
        <v>0</v>
      </c>
      <c r="E258" s="15" t="str">
        <v>0</v>
      </c>
      <c r="F258" s="15">
        <v>0</v>
      </c>
      <c r="G258" s="17">
        <v>0</v>
      </c>
      <c r="H258" s="17" t="str">
        <v>缺勤</v>
      </c>
      <c r="N258" s="19">
        <v>0</v>
      </c>
      <c r="O258" s="15">
        <v>0</v>
      </c>
    </row>
    <row r="259" spans="2:15">
      <c r="B259" s="15" t="str">
        <v>0</v>
      </c>
      <c r="C259" s="15">
        <v>0</v>
      </c>
      <c r="D259" s="15" t="str">
        <v>0</v>
      </c>
      <c r="E259" s="15" t="str">
        <v>0</v>
      </c>
      <c r="F259" s="15">
        <v>0</v>
      </c>
      <c r="G259" s="17">
        <v>0</v>
      </c>
      <c r="H259" s="17" t="str">
        <v>缺勤</v>
      </c>
      <c r="N259" s="19">
        <v>0</v>
      </c>
      <c r="O259" s="15">
        <v>0</v>
      </c>
    </row>
    <row r="260" spans="2:15">
      <c r="B260" s="15" t="str">
        <v>0</v>
      </c>
      <c r="C260" s="15">
        <v>0</v>
      </c>
      <c r="D260" s="15" t="str">
        <v>0</v>
      </c>
      <c r="E260" s="15" t="str">
        <v>0</v>
      </c>
      <c r="F260" s="15">
        <v>0</v>
      </c>
      <c r="G260" s="17">
        <v>0</v>
      </c>
      <c r="H260" s="17" t="str">
        <v>缺勤</v>
      </c>
      <c r="N260" s="19">
        <v>0</v>
      </c>
      <c r="O260" s="15">
        <v>0</v>
      </c>
    </row>
    <row r="261" spans="2:15">
      <c r="B261" s="15" t="str">
        <v>0</v>
      </c>
      <c r="C261" s="15">
        <v>0</v>
      </c>
      <c r="D261" s="15" t="str">
        <v>0</v>
      </c>
      <c r="E261" s="15" t="str">
        <v>0</v>
      </c>
      <c r="F261" s="15">
        <v>0</v>
      </c>
      <c r="G261" s="17">
        <v>0</v>
      </c>
      <c r="H261" s="17" t="str">
        <v>缺勤</v>
      </c>
      <c r="N261" s="19">
        <v>0</v>
      </c>
      <c r="O261" s="15">
        <v>0</v>
      </c>
    </row>
    <row r="262" spans="2:15">
      <c r="B262" s="15" t="str">
        <v>0</v>
      </c>
      <c r="C262" s="15">
        <v>0</v>
      </c>
      <c r="D262" s="15" t="str">
        <v>0</v>
      </c>
      <c r="E262" s="15" t="str">
        <v>0</v>
      </c>
      <c r="F262" s="15">
        <v>0</v>
      </c>
      <c r="G262" s="17">
        <v>0</v>
      </c>
      <c r="H262" s="17" t="str">
        <v>缺勤</v>
      </c>
      <c r="N262" s="19">
        <v>0</v>
      </c>
      <c r="O262" s="15">
        <v>0</v>
      </c>
    </row>
    <row r="263" spans="2:15">
      <c r="B263" s="15" t="str">
        <v>0</v>
      </c>
      <c r="C263" s="15">
        <v>0</v>
      </c>
      <c r="D263" s="15" t="str">
        <v>0</v>
      </c>
      <c r="E263" s="15" t="str">
        <v>0</v>
      </c>
      <c r="F263" s="15">
        <v>0</v>
      </c>
      <c r="G263" s="17">
        <v>0</v>
      </c>
      <c r="H263" s="17" t="str">
        <v>缺勤</v>
      </c>
      <c r="N263" s="19">
        <v>0</v>
      </c>
      <c r="O263" s="15">
        <v>0</v>
      </c>
    </row>
    <row r="264" spans="2:15">
      <c r="B264" s="15" t="str">
        <v>0</v>
      </c>
      <c r="C264" s="15">
        <v>0</v>
      </c>
      <c r="D264" s="15" t="str">
        <v>0</v>
      </c>
      <c r="E264" s="15" t="str">
        <v>0</v>
      </c>
      <c r="F264" s="15">
        <v>0</v>
      </c>
      <c r="G264" s="17">
        <v>0</v>
      </c>
      <c r="H264" s="17" t="str">
        <v>缺勤</v>
      </c>
      <c r="N264" s="19">
        <v>0</v>
      </c>
      <c r="O264" s="15">
        <v>0</v>
      </c>
    </row>
    <row r="265" spans="2:15">
      <c r="B265" s="15" t="str">
        <v>0</v>
      </c>
      <c r="C265" s="15">
        <v>0</v>
      </c>
      <c r="D265" s="15" t="str">
        <v>0</v>
      </c>
      <c r="E265" s="15" t="str">
        <v>0</v>
      </c>
      <c r="F265" s="15">
        <v>0</v>
      </c>
      <c r="G265" s="17">
        <v>0</v>
      </c>
      <c r="H265" s="17" t="str">
        <v>缺勤</v>
      </c>
      <c r="N265" s="19">
        <v>0</v>
      </c>
      <c r="O265" s="15">
        <v>0</v>
      </c>
    </row>
    <row r="266" spans="2:15">
      <c r="B266" s="15" t="str">
        <v>0</v>
      </c>
      <c r="C266" s="15">
        <v>0</v>
      </c>
      <c r="D266" s="15" t="str">
        <v>0</v>
      </c>
      <c r="E266" s="15" t="str">
        <v>0</v>
      </c>
      <c r="F266" s="15">
        <v>0</v>
      </c>
      <c r="G266" s="17">
        <v>0</v>
      </c>
      <c r="H266" s="17" t="str">
        <v>缺勤</v>
      </c>
      <c r="N266" s="19">
        <v>0</v>
      </c>
      <c r="O266" s="15">
        <v>0</v>
      </c>
    </row>
    <row r="267" spans="2:15">
      <c r="B267" s="15" t="str">
        <v>0</v>
      </c>
      <c r="C267" s="15">
        <v>0</v>
      </c>
      <c r="D267" s="15" t="str">
        <v>0</v>
      </c>
      <c r="E267" s="15" t="str">
        <v>0</v>
      </c>
      <c r="F267" s="15">
        <v>0</v>
      </c>
      <c r="G267" s="17">
        <v>0</v>
      </c>
      <c r="H267" s="17" t="str">
        <v>缺勤</v>
      </c>
      <c r="N267" s="19">
        <v>0</v>
      </c>
      <c r="O267" s="15">
        <v>0</v>
      </c>
    </row>
    <row r="268" spans="2:15">
      <c r="B268" s="15" t="str">
        <v>0</v>
      </c>
      <c r="C268" s="15">
        <v>0</v>
      </c>
      <c r="D268" s="15" t="str">
        <v>0</v>
      </c>
      <c r="E268" s="15" t="str">
        <v>0</v>
      </c>
      <c r="F268" s="15">
        <v>0</v>
      </c>
      <c r="G268" s="17">
        <v>0</v>
      </c>
      <c r="H268" s="17" t="str">
        <v>缺勤</v>
      </c>
      <c r="N268" s="19">
        <v>0</v>
      </c>
      <c r="O268" s="15">
        <v>0</v>
      </c>
    </row>
    <row r="269" spans="2:15">
      <c r="B269" s="15" t="str">
        <v>0</v>
      </c>
      <c r="C269" s="15">
        <v>0</v>
      </c>
      <c r="D269" s="15" t="str">
        <v>0</v>
      </c>
      <c r="E269" s="15" t="str">
        <v>0</v>
      </c>
      <c r="F269" s="15">
        <v>0</v>
      </c>
      <c r="G269" s="17">
        <v>0</v>
      </c>
      <c r="H269" s="17" t="str">
        <v>缺勤</v>
      </c>
      <c r="N269" s="19">
        <v>0</v>
      </c>
      <c r="O269" s="15">
        <v>0</v>
      </c>
    </row>
    <row r="270" spans="2:15">
      <c r="B270" s="15" t="str">
        <v>0</v>
      </c>
      <c r="C270" s="15">
        <v>0</v>
      </c>
      <c r="D270" s="15" t="str">
        <v>0</v>
      </c>
      <c r="E270" s="15" t="str">
        <v>0</v>
      </c>
      <c r="F270" s="15">
        <v>0</v>
      </c>
      <c r="G270" s="17">
        <v>0</v>
      </c>
      <c r="H270" s="17" t="str">
        <v>缺勤</v>
      </c>
      <c r="N270" s="19">
        <v>0</v>
      </c>
      <c r="O270" s="15">
        <v>0</v>
      </c>
    </row>
    <row r="271" spans="2:15">
      <c r="B271" s="15" t="str">
        <v>0</v>
      </c>
      <c r="C271" s="15">
        <v>0</v>
      </c>
      <c r="D271" s="15" t="str">
        <v>0</v>
      </c>
      <c r="E271" s="15" t="str">
        <v>0</v>
      </c>
      <c r="F271" s="15">
        <v>0</v>
      </c>
      <c r="G271" s="17">
        <v>0</v>
      </c>
      <c r="H271" s="17" t="str">
        <v>缺勤</v>
      </c>
      <c r="N271" s="19">
        <v>0</v>
      </c>
      <c r="O271" s="15">
        <v>0</v>
      </c>
    </row>
    <row r="272" spans="2:15">
      <c r="B272" s="15" t="str">
        <v>0</v>
      </c>
      <c r="C272" s="15">
        <v>0</v>
      </c>
      <c r="D272" s="15" t="str">
        <v>0</v>
      </c>
      <c r="E272" s="15" t="str">
        <v>0</v>
      </c>
      <c r="F272" s="15">
        <v>0</v>
      </c>
      <c r="G272" s="17">
        <v>0</v>
      </c>
      <c r="H272" s="17" t="str">
        <v>缺勤</v>
      </c>
      <c r="N272" s="19">
        <v>0</v>
      </c>
      <c r="O272" s="15">
        <v>0</v>
      </c>
    </row>
    <row r="273" spans="2:15">
      <c r="B273" s="15" t="str">
        <v>0</v>
      </c>
      <c r="C273" s="15">
        <v>0</v>
      </c>
      <c r="D273" s="15" t="str">
        <v>0</v>
      </c>
      <c r="E273" s="15" t="str">
        <v>0</v>
      </c>
      <c r="F273" s="15">
        <v>0</v>
      </c>
      <c r="G273" s="17">
        <v>0</v>
      </c>
      <c r="H273" s="17" t="str">
        <v>缺勤</v>
      </c>
      <c r="N273" s="19">
        <v>0</v>
      </c>
      <c r="O273" s="15">
        <v>0</v>
      </c>
    </row>
    <row r="274" spans="2:15">
      <c r="B274" s="15" t="str">
        <v>0</v>
      </c>
      <c r="C274" s="15">
        <v>0</v>
      </c>
      <c r="D274" s="15" t="str">
        <v>0</v>
      </c>
      <c r="E274" s="15" t="str">
        <v>0</v>
      </c>
      <c r="F274" s="15">
        <v>0</v>
      </c>
      <c r="G274" s="17">
        <v>0</v>
      </c>
      <c r="H274" s="17" t="str">
        <v>缺勤</v>
      </c>
      <c r="N274" s="19">
        <v>0</v>
      </c>
      <c r="O274" s="15">
        <v>0</v>
      </c>
    </row>
    <row r="275" spans="2:15">
      <c r="B275" s="15" t="str">
        <v>0</v>
      </c>
      <c r="C275" s="15">
        <v>0</v>
      </c>
      <c r="D275" s="15" t="str">
        <v>0</v>
      </c>
      <c r="E275" s="15" t="str">
        <v>0</v>
      </c>
      <c r="F275" s="15">
        <v>0</v>
      </c>
      <c r="G275" s="17">
        <v>0</v>
      </c>
      <c r="H275" s="17" t="str">
        <v>缺勤</v>
      </c>
      <c r="N275" s="19">
        <v>0</v>
      </c>
      <c r="O275" s="15">
        <v>0</v>
      </c>
    </row>
    <row r="276" spans="2:15">
      <c r="B276" s="15" t="str">
        <v>0</v>
      </c>
      <c r="C276" s="15">
        <v>0</v>
      </c>
      <c r="D276" s="15" t="str">
        <v>0</v>
      </c>
      <c r="E276" s="15" t="str">
        <v>0</v>
      </c>
      <c r="F276" s="15">
        <v>0</v>
      </c>
      <c r="G276" s="17">
        <v>0</v>
      </c>
      <c r="H276" s="17" t="str">
        <v>缺勤</v>
      </c>
      <c r="N276" s="19">
        <v>0</v>
      </c>
      <c r="O276" s="15">
        <v>0</v>
      </c>
    </row>
    <row r="277" spans="2:15">
      <c r="B277" s="15" t="str">
        <v>0</v>
      </c>
      <c r="C277" s="15">
        <v>0</v>
      </c>
      <c r="D277" s="15" t="str">
        <v>0</v>
      </c>
      <c r="E277" s="15" t="str">
        <v>0</v>
      </c>
      <c r="F277" s="15">
        <v>0</v>
      </c>
      <c r="G277" s="17">
        <v>0</v>
      </c>
      <c r="H277" s="17" t="str">
        <v>缺勤</v>
      </c>
      <c r="N277" s="19">
        <v>0</v>
      </c>
      <c r="O277" s="15">
        <v>0</v>
      </c>
    </row>
    <row r="278" spans="2:15">
      <c r="B278" s="15" t="str">
        <v>0</v>
      </c>
      <c r="C278" s="15">
        <v>0</v>
      </c>
      <c r="D278" s="15" t="str">
        <v>0</v>
      </c>
      <c r="E278" s="15" t="str">
        <v>0</v>
      </c>
      <c r="F278" s="15">
        <v>0</v>
      </c>
      <c r="G278" s="17">
        <v>0</v>
      </c>
      <c r="H278" s="17" t="str">
        <v>缺勤</v>
      </c>
      <c r="N278" s="19">
        <v>0</v>
      </c>
      <c r="O278" s="15">
        <v>0</v>
      </c>
    </row>
    <row r="279" spans="2:15">
      <c r="B279" s="15" t="str">
        <v>0</v>
      </c>
      <c r="C279" s="15">
        <v>0</v>
      </c>
      <c r="D279" s="15" t="str">
        <v>0</v>
      </c>
      <c r="E279" s="15" t="str">
        <v>0</v>
      </c>
      <c r="F279" s="15">
        <v>0</v>
      </c>
      <c r="G279" s="17">
        <v>0</v>
      </c>
      <c r="H279" s="17" t="str">
        <v>缺勤</v>
      </c>
      <c r="N279" s="19">
        <v>0</v>
      </c>
      <c r="O279" s="15">
        <v>0</v>
      </c>
    </row>
    <row r="280" spans="2:15">
      <c r="B280" s="15" t="str">
        <v>0</v>
      </c>
      <c r="C280" s="15">
        <v>0</v>
      </c>
      <c r="D280" s="15" t="str">
        <v>0</v>
      </c>
      <c r="E280" s="15" t="str">
        <v>0</v>
      </c>
      <c r="F280" s="15">
        <v>0</v>
      </c>
      <c r="G280" s="17">
        <v>0</v>
      </c>
      <c r="H280" s="17" t="str">
        <v>缺勤</v>
      </c>
      <c r="N280" s="19">
        <v>0</v>
      </c>
      <c r="O280" s="15">
        <v>0</v>
      </c>
    </row>
    <row r="281" spans="2:15">
      <c r="B281" s="15" t="str">
        <v>0</v>
      </c>
      <c r="C281" s="15">
        <v>0</v>
      </c>
      <c r="D281" s="15" t="str">
        <v>0</v>
      </c>
      <c r="E281" s="15" t="str">
        <v>0</v>
      </c>
      <c r="F281" s="15">
        <v>0</v>
      </c>
      <c r="G281" s="17">
        <v>0</v>
      </c>
      <c r="H281" s="17" t="str">
        <v>缺勤</v>
      </c>
      <c r="N281" s="19">
        <v>0</v>
      </c>
      <c r="O281" s="15">
        <v>0</v>
      </c>
    </row>
    <row r="282" spans="2:15">
      <c r="B282" s="15" t="str">
        <v>0</v>
      </c>
      <c r="C282" s="15">
        <v>0</v>
      </c>
      <c r="D282" s="15" t="str">
        <v>0</v>
      </c>
      <c r="E282" s="15" t="str">
        <v>0</v>
      </c>
      <c r="F282" s="15">
        <v>0</v>
      </c>
      <c r="G282" s="17">
        <v>0</v>
      </c>
      <c r="H282" s="17" t="str">
        <v>缺勤</v>
      </c>
      <c r="N282" s="19">
        <v>0</v>
      </c>
      <c r="O282" s="15">
        <v>0</v>
      </c>
    </row>
    <row r="283" spans="2:15">
      <c r="B283" s="15" t="str">
        <v>0</v>
      </c>
      <c r="C283" s="15">
        <v>0</v>
      </c>
      <c r="D283" s="15" t="str">
        <v>0</v>
      </c>
      <c r="E283" s="15" t="str">
        <v>0</v>
      </c>
      <c r="F283" s="15">
        <v>0</v>
      </c>
      <c r="G283" s="17">
        <v>0</v>
      </c>
      <c r="H283" s="17" t="str">
        <v>缺勤</v>
      </c>
      <c r="N283" s="19">
        <v>0</v>
      </c>
      <c r="O283" s="15">
        <v>0</v>
      </c>
    </row>
    <row r="284" spans="2:15">
      <c r="B284" s="15" t="str">
        <v>0</v>
      </c>
      <c r="C284" s="15">
        <v>0</v>
      </c>
      <c r="D284" s="15" t="str">
        <v>0</v>
      </c>
      <c r="E284" s="15" t="str">
        <v>0</v>
      </c>
      <c r="F284" s="15">
        <v>0</v>
      </c>
      <c r="G284" s="17">
        <v>0</v>
      </c>
      <c r="H284" s="17" t="str">
        <v>缺勤</v>
      </c>
      <c r="N284" s="19">
        <v>0</v>
      </c>
      <c r="O284" s="15">
        <v>0</v>
      </c>
    </row>
    <row r="285" spans="2:15">
      <c r="B285" s="15" t="str">
        <v>0</v>
      </c>
      <c r="C285" s="15">
        <v>0</v>
      </c>
      <c r="D285" s="15" t="str">
        <v>0</v>
      </c>
      <c r="E285" s="15" t="str">
        <v>0</v>
      </c>
      <c r="F285" s="15">
        <v>0</v>
      </c>
      <c r="G285" s="17">
        <v>0</v>
      </c>
      <c r="H285" s="17" t="str">
        <v>缺勤</v>
      </c>
      <c r="N285" s="19">
        <v>0</v>
      </c>
      <c r="O285" s="15">
        <v>0</v>
      </c>
    </row>
    <row r="286" spans="2:15">
      <c r="B286" s="15" t="str">
        <v>0</v>
      </c>
      <c r="C286" s="15">
        <v>0</v>
      </c>
      <c r="D286" s="15" t="str">
        <v>0</v>
      </c>
      <c r="E286" s="15" t="str">
        <v>0</v>
      </c>
      <c r="F286" s="15">
        <v>0</v>
      </c>
      <c r="G286" s="17">
        <v>0</v>
      </c>
      <c r="H286" s="17" t="str">
        <v>缺勤</v>
      </c>
      <c r="N286" s="19">
        <v>0</v>
      </c>
      <c r="O286" s="15">
        <v>0</v>
      </c>
    </row>
    <row r="287" spans="2:15">
      <c r="B287" s="15" t="str">
        <v>0</v>
      </c>
      <c r="C287" s="15">
        <v>0</v>
      </c>
      <c r="D287" s="15" t="str">
        <v>0</v>
      </c>
      <c r="E287" s="15" t="str">
        <v>0</v>
      </c>
      <c r="F287" s="15">
        <v>0</v>
      </c>
      <c r="G287" s="17">
        <v>0</v>
      </c>
      <c r="H287" s="17" t="str">
        <v>缺勤</v>
      </c>
      <c r="N287" s="19">
        <v>0</v>
      </c>
      <c r="O287" s="15">
        <v>0</v>
      </c>
    </row>
    <row r="288" spans="2:15">
      <c r="B288" s="15" t="str">
        <v>0</v>
      </c>
      <c r="C288" s="15">
        <v>0</v>
      </c>
      <c r="D288" s="15" t="str">
        <v>0</v>
      </c>
      <c r="E288" s="15" t="str">
        <v>0</v>
      </c>
      <c r="F288" s="15">
        <v>0</v>
      </c>
      <c r="G288" s="17">
        <v>0</v>
      </c>
      <c r="H288" s="17" t="str">
        <v>缺勤</v>
      </c>
      <c r="N288" s="19">
        <v>0</v>
      </c>
      <c r="O288" s="15">
        <v>0</v>
      </c>
    </row>
    <row r="289" spans="2:15">
      <c r="B289" s="15" t="str">
        <v>0</v>
      </c>
      <c r="C289" s="15">
        <v>0</v>
      </c>
      <c r="D289" s="15" t="str">
        <v>0</v>
      </c>
      <c r="E289" s="15" t="str">
        <v>0</v>
      </c>
      <c r="F289" s="15">
        <v>0</v>
      </c>
      <c r="G289" s="17">
        <v>0</v>
      </c>
      <c r="H289" s="17" t="str">
        <v>缺勤</v>
      </c>
      <c r="N289" s="19">
        <v>0</v>
      </c>
      <c r="O289" s="15">
        <v>0</v>
      </c>
    </row>
    <row r="290" spans="2:15">
      <c r="B290" s="15" t="str">
        <v>0</v>
      </c>
      <c r="C290" s="15">
        <v>0</v>
      </c>
      <c r="D290" s="15" t="str">
        <v>0</v>
      </c>
      <c r="E290" s="15" t="str">
        <v>0</v>
      </c>
      <c r="F290" s="15">
        <v>0</v>
      </c>
      <c r="G290" s="17">
        <v>0</v>
      </c>
      <c r="H290" s="17" t="str">
        <v>缺勤</v>
      </c>
      <c r="N290" s="19">
        <v>0</v>
      </c>
      <c r="O290" s="15">
        <v>0</v>
      </c>
    </row>
    <row r="291" spans="2:15">
      <c r="B291" s="15" t="str">
        <v>0</v>
      </c>
      <c r="C291" s="15">
        <v>0</v>
      </c>
      <c r="D291" s="15" t="str">
        <v>0</v>
      </c>
      <c r="E291" s="15" t="str">
        <v>0</v>
      </c>
      <c r="F291" s="15">
        <v>0</v>
      </c>
      <c r="G291" s="17">
        <v>0</v>
      </c>
      <c r="H291" s="17" t="str">
        <v>缺勤</v>
      </c>
      <c r="N291" s="19">
        <v>0</v>
      </c>
      <c r="O291" s="15">
        <v>0</v>
      </c>
    </row>
    <row r="292" spans="2:15">
      <c r="B292" s="15" t="str">
        <v>0</v>
      </c>
      <c r="C292" s="15">
        <v>0</v>
      </c>
      <c r="D292" s="15" t="str">
        <v>0</v>
      </c>
      <c r="E292" s="15" t="str">
        <v>0</v>
      </c>
      <c r="F292" s="15">
        <v>0</v>
      </c>
      <c r="G292" s="17">
        <v>0</v>
      </c>
      <c r="H292" s="17" t="str">
        <v>缺勤</v>
      </c>
      <c r="N292" s="19">
        <v>0</v>
      </c>
      <c r="O292" s="15">
        <v>0</v>
      </c>
    </row>
    <row r="293" spans="2:15">
      <c r="B293" s="15" t="str">
        <v>0</v>
      </c>
      <c r="C293" s="15">
        <v>0</v>
      </c>
      <c r="D293" s="15" t="str">
        <v>0</v>
      </c>
      <c r="E293" s="15" t="str">
        <v>0</v>
      </c>
      <c r="F293" s="15">
        <v>0</v>
      </c>
      <c r="G293" s="17">
        <v>0</v>
      </c>
      <c r="H293" s="17" t="str">
        <v>缺勤</v>
      </c>
      <c r="N293" s="19">
        <v>0</v>
      </c>
      <c r="O293" s="15">
        <v>0</v>
      </c>
    </row>
    <row r="294" spans="2:15">
      <c r="B294" s="15" t="str">
        <v>0</v>
      </c>
      <c r="C294" s="15">
        <v>0</v>
      </c>
      <c r="D294" s="15" t="str">
        <v>0</v>
      </c>
      <c r="E294" s="15" t="str">
        <v>0</v>
      </c>
      <c r="F294" s="15">
        <v>0</v>
      </c>
      <c r="G294" s="17">
        <v>0</v>
      </c>
      <c r="H294" s="17" t="str">
        <v>缺勤</v>
      </c>
      <c r="N294" s="19">
        <v>0</v>
      </c>
      <c r="O294" s="15">
        <v>0</v>
      </c>
    </row>
    <row r="295" spans="2:15">
      <c r="B295" s="15" t="str">
        <v>0</v>
      </c>
      <c r="C295" s="15">
        <v>0</v>
      </c>
      <c r="D295" s="15" t="str">
        <v>0</v>
      </c>
      <c r="E295" s="15" t="str">
        <v>0</v>
      </c>
      <c r="F295" s="15">
        <v>0</v>
      </c>
      <c r="G295" s="17">
        <v>0</v>
      </c>
      <c r="H295" s="17" t="str">
        <v>缺勤</v>
      </c>
      <c r="N295" s="19">
        <v>0</v>
      </c>
      <c r="O295" s="15">
        <v>0</v>
      </c>
    </row>
    <row r="296" spans="2:15">
      <c r="B296" s="15" t="str">
        <v>0</v>
      </c>
      <c r="C296" s="15">
        <v>0</v>
      </c>
      <c r="D296" s="15" t="str">
        <v>0</v>
      </c>
      <c r="E296" s="15" t="str">
        <v>0</v>
      </c>
      <c r="F296" s="15">
        <v>0</v>
      </c>
      <c r="G296" s="17">
        <v>0</v>
      </c>
      <c r="H296" s="17" t="str">
        <v>缺勤</v>
      </c>
      <c r="N296" s="19">
        <v>0</v>
      </c>
      <c r="O296" s="15">
        <v>0</v>
      </c>
    </row>
    <row r="297" spans="2:15">
      <c r="B297" s="15" t="str">
        <v>0</v>
      </c>
      <c r="C297" s="15">
        <v>0</v>
      </c>
      <c r="D297" s="15" t="str">
        <v>0</v>
      </c>
      <c r="E297" s="15" t="str">
        <v>0</v>
      </c>
      <c r="F297" s="15">
        <v>0</v>
      </c>
      <c r="G297" s="17">
        <v>0</v>
      </c>
      <c r="H297" s="17" t="str">
        <v>缺勤</v>
      </c>
      <c r="N297" s="19">
        <v>0</v>
      </c>
      <c r="O297" s="15">
        <v>0</v>
      </c>
    </row>
    <row r="298" spans="2:15">
      <c r="B298" s="15" t="str">
        <v>0</v>
      </c>
      <c r="C298" s="15">
        <v>0</v>
      </c>
      <c r="D298" s="15" t="str">
        <v>0</v>
      </c>
      <c r="E298" s="15" t="str">
        <v>0</v>
      </c>
      <c r="F298" s="15">
        <v>0</v>
      </c>
      <c r="G298" s="17">
        <v>0</v>
      </c>
      <c r="H298" s="17" t="str">
        <v>缺勤</v>
      </c>
      <c r="N298" s="19">
        <v>0</v>
      </c>
      <c r="O298" s="15">
        <v>0</v>
      </c>
    </row>
    <row r="299" spans="2:15">
      <c r="B299" s="15" t="str">
        <v>0</v>
      </c>
      <c r="C299" s="15">
        <v>0</v>
      </c>
      <c r="D299" s="15" t="str">
        <v>0</v>
      </c>
      <c r="E299" s="15" t="str">
        <v>0</v>
      </c>
      <c r="F299" s="15">
        <v>0</v>
      </c>
      <c r="G299" s="17">
        <v>0</v>
      </c>
      <c r="H299" s="17" t="str">
        <v>缺勤</v>
      </c>
      <c r="N299" s="19">
        <v>0</v>
      </c>
      <c r="O299" s="15">
        <v>0</v>
      </c>
    </row>
    <row r="300" spans="2:15">
      <c r="B300" s="15" t="str">
        <v>0</v>
      </c>
      <c r="C300" s="15">
        <v>0</v>
      </c>
      <c r="D300" s="15" t="str">
        <v>0</v>
      </c>
      <c r="E300" s="15" t="str">
        <v>0</v>
      </c>
      <c r="F300" s="15">
        <v>0</v>
      </c>
      <c r="G300" s="17">
        <v>0</v>
      </c>
      <c r="H300" s="17" t="str">
        <v>缺勤</v>
      </c>
      <c r="N300" s="19">
        <v>0</v>
      </c>
      <c r="O300" s="15">
        <v>0</v>
      </c>
    </row>
  </sheetData>
  <sheetProtection sheet="1" objects="1"/>
  <mergeCells count="1">
    <mergeCell ref="M1:N1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J14"/>
  <sheetViews>
    <sheetView workbookViewId="0">
      <selection activeCell="A1" sqref="A1:D1"/>
    </sheetView>
  </sheetViews>
  <sheetFormatPr defaultColWidth="52" defaultRowHeight="43.2"/>
  <cols>
    <col min="1" max="1" width="33.2857142857143" style="1" customWidth="1"/>
    <col min="2" max="2" width="18.1428571428571" style="1" customWidth="1"/>
    <col min="3" max="3" width="33.2857142857143" style="1" customWidth="1"/>
    <col min="4" max="4" width="15.3571428571429" style="1" customWidth="1"/>
    <col min="5" max="5" width="31.0714285714286" style="1" customWidth="1"/>
    <col min="6" max="6" width="25.5714285714286" style="1" customWidth="1"/>
    <col min="7" max="7" width="13.5" style="1" customWidth="1"/>
    <col min="8" max="8" width="17" style="1" customWidth="1"/>
    <col min="9" max="9" width="14.2142857142857" style="1" customWidth="1"/>
    <col min="10" max="10" width="19.7857142857143" style="1" customWidth="1"/>
    <col min="11" max="11" width="11.7857142857143" style="1" customWidth="1"/>
    <col min="12" max="16384" width="52" style="1"/>
  </cols>
  <sheetData>
    <row r="1" spans="1:10">
      <c r="A1" s="2" t="s">
        <v>29</v>
      </c>
      <c r="B1" s="2"/>
      <c r="C1" s="2"/>
      <c r="D1" s="2"/>
      <c r="E1" s="3" t="str">
        <f ca="1">TEXT(TODAY(),"yyyy年m月")</f>
        <v>2026年4月</v>
      </c>
      <c r="F1" s="3"/>
    </row>
    <row r="2" spans="1:10">
      <c r="A2" s="3" t="s">
        <v>30</v>
      </c>
      <c r="B2" s="2"/>
      <c r="C2" s="3" t="s">
        <v>31</v>
      </c>
      <c r="D2" s="2"/>
      <c r="E2" s="3" t="s">
        <v>32</v>
      </c>
      <c r="F2" s="2"/>
    </row>
    <row r="3" spans="1:10">
      <c r="A3" s="3" t="s">
        <v>33</v>
      </c>
      <c r="B3" s="3">
        <f>J14</f>
        <v>0</v>
      </c>
      <c r="C3" s="3" t="s">
        <v>34</v>
      </c>
      <c r="D3" s="3">
        <f>H8</f>
        <v>0</v>
      </c>
      <c r="E3" s="3" t="s">
        <v>35</v>
      </c>
      <c r="F3" s="4">
        <f>I9</f>
        <v>0</v>
      </c>
    </row>
    <row r="4" spans="1:10">
      <c r="A4" s="5"/>
      <c r="B4" s="5"/>
      <c r="C4" s="5"/>
      <c r="D4" s="5"/>
      <c r="E4" s="5"/>
      <c r="F4" s="5"/>
      <c r="G4" s="6" t="s">
        <v>36</v>
      </c>
      <c r="H4" s="6"/>
      <c r="I4" s="6"/>
      <c r="J4" s="7"/>
    </row>
    <row r="5" spans="1:10">
      <c r="E5" s="8"/>
      <c r="F5" s="8"/>
      <c r="G5" s="9" t="s">
        <v>37</v>
      </c>
      <c r="H5" s="9" t="s">
        <v>28</v>
      </c>
      <c r="I5" s="9" t="s">
        <v>38</v>
      </c>
      <c r="J5" s="9" t="s">
        <v>39</v>
      </c>
    </row>
    <row r="6" spans="1:10">
      <c r="E6" s="8"/>
      <c r="F6" s="8"/>
      <c r="G6" s="9" t="s">
        <v>40</v>
      </c>
      <c r="H6" s="10"/>
      <c r="I6" s="9">
        <v>500</v>
      </c>
      <c r="J6" s="9">
        <f>H6/I6</f>
        <v>0</v>
      </c>
    </row>
    <row r="7" spans="1:10">
      <c r="E7" s="11"/>
      <c r="G7" s="9" t="s">
        <v>41</v>
      </c>
      <c r="H7" s="10"/>
      <c r="I7" s="9">
        <v>1000</v>
      </c>
      <c r="J7" s="9">
        <f>H7/I7</f>
        <v>0</v>
      </c>
    </row>
    <row r="8" spans="1:10">
      <c r="E8" s="11"/>
      <c r="G8" s="9"/>
      <c r="H8" s="9">
        <f>SUM(H6:H7)</f>
        <v>0</v>
      </c>
      <c r="I8" s="9"/>
      <c r="J8" s="9">
        <f>SUM(J6:J7)</f>
        <v>0</v>
      </c>
    </row>
    <row r="9" spans="1:10">
      <c r="E9" s="12"/>
      <c r="F9" s="12"/>
      <c r="G9" s="13" t="s">
        <v>42</v>
      </c>
      <c r="H9" s="13"/>
      <c r="I9" s="13">
        <f>J14-H8</f>
        <v>0</v>
      </c>
      <c r="J9" s="13"/>
    </row>
    <row r="10" spans="1:10">
      <c r="E10" s="11"/>
      <c r="G10" s="14" t="s">
        <v>43</v>
      </c>
      <c r="H10" s="6"/>
      <c r="I10" s="6"/>
      <c r="J10" s="7"/>
    </row>
    <row r="11" spans="1:10">
      <c r="G11" s="9" t="s">
        <v>37</v>
      </c>
      <c r="H11" s="9" t="s">
        <v>28</v>
      </c>
      <c r="I11" s="9" t="s">
        <v>38</v>
      </c>
      <c r="J11" s="9" t="s">
        <v>44</v>
      </c>
    </row>
    <row r="12" spans="1:10">
      <c r="G12" s="9" t="s">
        <v>40</v>
      </c>
      <c r="H12" s="10"/>
      <c r="I12" s="9">
        <v>500</v>
      </c>
      <c r="J12" s="9">
        <f>H12*I12</f>
        <v>0</v>
      </c>
    </row>
    <row r="13" spans="1:10">
      <c r="G13" s="9" t="s">
        <v>41</v>
      </c>
      <c r="H13" s="10"/>
      <c r="I13" s="9">
        <v>1000</v>
      </c>
      <c r="J13" s="9">
        <f>H13*I13</f>
        <v>0</v>
      </c>
    </row>
    <row r="14" spans="1:10">
      <c r="G14" s="9"/>
      <c r="H14" s="9"/>
      <c r="I14" s="9"/>
      <c r="J14" s="9">
        <f>SUM(J12:J13)</f>
        <v>0</v>
      </c>
    </row>
  </sheetData>
  <sheetProtection sheet="1" objects="1"/>
  <mergeCells count="6">
    <mergeCell ref="A1:D1"/>
    <mergeCell ref="E1:F1"/>
    <mergeCell ref="G4:J4"/>
    <mergeCell ref="G9:H9"/>
    <mergeCell ref="I9:J9"/>
    <mergeCell ref="G10:J10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2" master="" otherUserPermission="visible"/>
  <rangeList sheetStid="1" master="" otherUserPermission="visible"/>
  <rangeList sheetStid="3" master="" otherUserPermission="visible"/>
  <rangeList sheetStid="10" master="" otherUserPermission="visible"/>
  <rangeList sheetStid="5" master="" otherUserPermission="visible"/>
  <rangeList sheetStid="11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盘点表</vt:lpstr>
      <vt:lpstr>配送员履约明细表</vt:lpstr>
      <vt:lpstr>单袋比导出</vt:lpstr>
      <vt:lpstr>耗材申请表</vt:lpstr>
      <vt:lpstr>当前状态</vt:lpstr>
      <vt:lpstr>单量排行榜</vt:lpstr>
      <vt:lpstr>代码</vt:lpstr>
      <vt:lpstr>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shaoxing</cp:lastModifiedBy>
  <dcterms:created xsi:type="dcterms:W3CDTF">2024-08-24T01:18:00Z</dcterms:created>
  <dcterms:modified xsi:type="dcterms:W3CDTF">2026-04-22T15:24:59Z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E6636B0301E5AABDD62D7502EB88C46E3C3903730C85DC3E197C3FFC49211E2925938A9C88A9B0AD5FB7B6D68EC4DBD534661F5B7024FDA03716DADDEDBDFB09FF6C4ABF5E41399CCDA1A85C28B3C4B9DD02ABA97C5503F09A92C88F84BF6D6EFDFE02D9A6047075FFA37EDFE4A</vt:lpwstr>
  </property>
  <property fmtid="{D5CDD505-2E9C-101B-9397-08002B2CF9AE}" pid="3" name="ICV">
    <vt:lpwstr>39051B86DF6E383DD449FE67D1695F60_42</vt:lpwstr>
  </property>
  <property fmtid="{D5CDD505-2E9C-101B-9397-08002B2CF9AE}" pid="4" name="KSOProductBuildVer">
    <vt:lpwstr>2052-12.1.25867.25867</vt:lpwstr>
  </property>
  <property fmtid="{D5CDD505-2E9C-101B-9397-08002B2CF9AE}" pid="5" name="CalculationRule">
    <vt:i4>0</vt:i4>
  </property>
</Properties>
</file>