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5520" activeTab="1"/>
  </bookViews>
  <sheets>
    <sheet name="服务排名" sheetId="1" state="hidden" r:id="rId1"/>
    <sheet name="问单展示板" sheetId="14" r:id="rId2"/>
    <sheet name="冷链化冻" sheetId="18" r:id="rId3"/>
    <sheet name="问单数据源" sheetId="12" r:id="rId4"/>
    <sheet name="代码" sheetId="16" r:id="rId5"/>
    <sheet name="周报" sheetId="11" state="hidden" r:id="rId6"/>
  </sheets>
  <definedNames>
    <definedName name="_xlnm._FilterDatabase" localSheetId="3" hidden="1">问单数据源!$A$1:$BZ$452</definedName>
    <definedName name="_xlnm._FilterDatabase" localSheetId="0">服务排名!$A$1:$I$21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<sst xmlns="http://schemas.openxmlformats.org/spreadsheetml/2006/main" count="94" uniqueCount="75">
  <si>
    <t>门店名称/考核目标</t>
  </si>
  <si>
    <t>配送问单达成</t>
  </si>
  <si>
    <t>差评率达成</t>
  </si>
  <si>
    <t>配送工单个人有责率达成</t>
  </si>
  <si>
    <t>问单得分</t>
  </si>
  <si>
    <t>差评得分</t>
  </si>
  <si>
    <t>有责率得分</t>
  </si>
  <si>
    <t>综合得分</t>
  </si>
  <si>
    <t>服务排名</t>
  </si>
  <si>
    <t>常州盒马鲜生万象城店</t>
  </si>
  <si>
    <t>无锡盒马鲜生广益店</t>
  </si>
  <si>
    <t>南通盒马鲜生复悦里店</t>
  </si>
  <si>
    <t>南通盒马鲜生王府广场店</t>
  </si>
  <si>
    <t>南通盒马mini星湖城市广场店</t>
  </si>
  <si>
    <t>苏州湖东邻里中心店</t>
  </si>
  <si>
    <t>昆山盒马鲜生招商花园店</t>
  </si>
  <si>
    <t>南通盒马鲜生海门龙信广场店</t>
  </si>
  <si>
    <t>昆山万象汇店</t>
  </si>
  <si>
    <t>无锡八佰伴店</t>
  </si>
  <si>
    <t>苏州易生活店</t>
  </si>
  <si>
    <t>苏州盒马mini石湖金陵广场店</t>
  </si>
  <si>
    <t>南通万象城店</t>
  </si>
  <si>
    <t>常熟盒马鲜生天虹店</t>
  </si>
  <si>
    <t>苏州盒马鲜生龙湖东吴天街店</t>
  </si>
  <si>
    <t>南通盒马鲜生启东吾悦店</t>
  </si>
  <si>
    <t>无锡盒马鲜生滨湖万象汇店</t>
  </si>
  <si>
    <t>苏州盛博广场店</t>
  </si>
  <si>
    <t>昆山昆城店</t>
  </si>
  <si>
    <t>苏州悠方店</t>
  </si>
  <si>
    <t>是否有责</t>
  </si>
  <si>
    <t>备注</t>
  </si>
  <si>
    <t>图片</t>
  </si>
  <si>
    <t>履约单号：</t>
  </si>
  <si>
    <t>⬅️选择左侧履约单号后面小三角，更新关联订单-商品明细</t>
  </si>
  <si>
    <t>商品名称：</t>
  </si>
  <si>
    <t>按需分配可选内容</t>
  </si>
  <si>
    <t>订单属性：</t>
  </si>
  <si>
    <t>全选-仅复制文字粘贴钉钉即可</t>
  </si>
  <si>
    <t>是否化冻问题：</t>
  </si>
  <si>
    <t>店仓规范：</t>
  </si>
  <si>
    <t>配送规范：</t>
  </si>
  <si>
    <t>核实详情：</t>
  </si>
  <si>
    <t>冷链商品化冻</t>
  </si>
  <si>
    <t>商品名称</t>
  </si>
  <si>
    <t>订单属性</t>
  </si>
  <si>
    <t>是否化冻问题</t>
  </si>
  <si>
    <t>是否规范</t>
  </si>
  <si>
    <t>日期</t>
  </si>
  <si>
    <t>sku名称</t>
  </si>
  <si>
    <t>问题原因名称</t>
  </si>
  <si>
    <t>app退款原因</t>
  </si>
  <si>
    <t>app退款描述</t>
  </si>
  <si>
    <t>淘系主订单id</t>
  </si>
  <si>
    <t>配送员名</t>
  </si>
  <si>
    <t>退款凭证</t>
  </si>
  <si>
    <t>拣货员名</t>
  </si>
  <si>
    <t>打包员名</t>
  </si>
  <si>
    <t>内环</t>
  </si>
  <si>
    <t>是</t>
  </si>
  <si>
    <t>规范</t>
  </si>
  <si>
    <t>外环</t>
  </si>
  <si>
    <t>否</t>
  </si>
  <si>
    <t>不规范</t>
  </si>
  <si>
    <t>环外</t>
  </si>
  <si>
    <t>代购</t>
  </si>
  <si>
    <t>门店名称</t>
  </si>
  <si>
    <t>配送问单（8）</t>
  </si>
  <si>
    <t>差评率（1.5）</t>
  </si>
  <si>
    <t>配送一判超时占比</t>
  </si>
  <si>
    <t>配送个人有责率</t>
  </si>
  <si>
    <t>配送落责率</t>
  </si>
  <si>
    <t>冷链商品化冻（0.2）</t>
  </si>
  <si>
    <t>突出问题</t>
  </si>
  <si>
    <t>提升干预</t>
  </si>
  <si>
    <t>苏南子公司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</si>
</sst>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0.0_ "/>
    <numFmt numFmtId="178" formatCode="0.00_);[Red]\(0.00\)"/>
    <numFmt numFmtId="179" formatCode="0.00_ "/>
    <numFmt numFmtId="180" formatCode="0.000_ "/>
  </numFmts>
  <fonts count="35">
    <font>
      <sz val="12"/>
      <color theme="1"/>
      <name val="等线"/>
      <charset val="134"/>
      <scheme val="minor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12"/>
      <color rgb="FF000000"/>
      <name val="宋体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20"/>
      <color theme="1"/>
      <name val="黑体"/>
      <charset val="134"/>
    </font>
    <font>
      <u/>
      <sz val="10"/>
      <color rgb="FF800080"/>
      <name val="等线"/>
      <charset val="134"/>
      <scheme val="minor"/>
    </font>
    <font>
      <sz val="12"/>
      <color rgb="FF000000"/>
      <name val="Kaiti SC Regular"/>
      <charset val="134"/>
    </font>
    <font>
      <sz val="12"/>
      <color theme="1"/>
      <name val="Kaiti SC Regular"/>
      <charset val="134"/>
    </font>
    <font>
      <sz val="36"/>
      <color theme="1"/>
      <name val="黑体"/>
      <charset val="134"/>
    </font>
    <font>
      <sz val="24"/>
      <color theme="1"/>
      <name val="黑体"/>
      <charset val="134"/>
    </font>
    <font>
      <sz val="12"/>
      <color theme="1"/>
      <name val="黑体"/>
      <charset val="134"/>
    </font>
    <font>
      <sz val="72"/>
      <color theme="1"/>
      <name val="黑体"/>
      <charset val="134"/>
    </font>
    <font>
      <u/>
      <sz val="10"/>
      <name val="等线"/>
      <charset val="134"/>
      <scheme val="minor"/>
    </font>
    <font>
      <u/>
      <sz val="10"/>
      <color theme="1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DAE3F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91ABD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6" borderId="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6" applyNumberFormat="0" applyAlignment="0" applyProtection="0">
      <alignment vertical="center"/>
    </xf>
    <xf numFmtId="0" fontId="25" fillId="8" borderId="7" applyNumberFormat="0" applyAlignment="0" applyProtection="0">
      <alignment vertical="center"/>
    </xf>
    <xf numFmtId="0" fontId="26" fillId="8" borderId="6" applyNumberFormat="0" applyAlignment="0" applyProtection="0">
      <alignment vertical="center"/>
    </xf>
    <xf numFmtId="0" fontId="27" fillId="9" borderId="8" applyNumberFormat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0" fontId="1" fillId="2" borderId="1" xfId="0" applyFont="1" applyFill="1" applyBorder="1" applyProtection="1">
      <alignment vertical="center"/>
    </xf>
    <xf numFmtId="0" fontId="1" fillId="2" borderId="1" xfId="0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center" vertical="center" wrapText="1"/>
    </xf>
    <xf numFmtId="0" fontId="1" fillId="3" borderId="2" xfId="0" applyFont="1" applyFill="1" applyBorder="1" applyAlignment="1" applyProtection="1">
      <alignment horizontal="center" vertical="center"/>
    </xf>
    <xf numFmtId="0" fontId="5" fillId="0" borderId="1" xfId="0" applyFont="1" applyBorder="1" applyProtection="1">
      <alignment vertical="center"/>
    </xf>
    <xf numFmtId="176" fontId="2" fillId="0" borderId="1" xfId="0" applyNumberFormat="1" applyFont="1" applyBorder="1" applyAlignment="1" applyProtection="1">
      <alignment horizontal="center" vertical="center"/>
    </xf>
    <xf numFmtId="177" fontId="2" fillId="0" borderId="1" xfId="0" applyNumberFormat="1" applyFont="1" applyBorder="1" applyAlignment="1" applyProtection="1">
      <alignment horizontal="center" vertical="center"/>
    </xf>
    <xf numFmtId="10" fontId="5" fillId="0" borderId="1" xfId="0" applyNumberFormat="1" applyFont="1" applyBorder="1" applyAlignment="1" applyProtection="1">
      <alignment horizontal="center" vertical="center" wrapText="1"/>
    </xf>
    <xf numFmtId="17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Protection="1">
      <alignment vertical="center"/>
    </xf>
    <xf numFmtId="177" fontId="5" fillId="0" borderId="1" xfId="0" applyNumberFormat="1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</xf>
    <xf numFmtId="177" fontId="2" fillId="2" borderId="1" xfId="0" applyNumberFormat="1" applyFont="1" applyFill="1" applyBorder="1" applyAlignment="1" applyProtection="1">
      <alignment horizontal="center" vertical="center"/>
    </xf>
    <xf numFmtId="10" fontId="5" fillId="2" borderId="1" xfId="0" applyNumberFormat="1" applyFont="1" applyFill="1" applyBorder="1" applyAlignment="1" applyProtection="1">
      <alignment horizontal="center" vertical="center" wrapText="1"/>
    </xf>
    <xf numFmtId="178" fontId="2" fillId="2" borderId="1" xfId="0" applyNumberFormat="1" applyFont="1" applyFill="1" applyBorder="1" applyAlignment="1" applyProtection="1">
      <alignment horizontal="center" vertical="center"/>
    </xf>
    <xf numFmtId="0" fontId="6" fillId="0" borderId="0" xfId="0" applyFont="1" applyFill="1" applyAlignment="1">
      <alignment vertical="center" shrinkToFit="1"/>
    </xf>
    <xf numFmtId="0" fontId="0" fillId="0" borderId="0" xfId="0" applyAlignment="1">
      <alignment vertical="center" shrinkToFit="1"/>
    </xf>
    <xf numFmtId="0" fontId="6" fillId="0" borderId="0" xfId="0" applyFont="1" applyFill="1" applyAlignment="1">
      <alignment vertical="center" wrapText="1" shrinkToFit="1"/>
    </xf>
    <xf numFmtId="0" fontId="7" fillId="0" borderId="0" xfId="6" applyFont="1" applyFill="1" applyAlignment="1">
      <alignment vertical="center" shrinkToFit="1"/>
    </xf>
    <xf numFmtId="0" fontId="8" fillId="0" borderId="0" xfId="0" applyFont="1" applyFill="1" applyAlignment="1" applyProtection="1">
      <alignment vertical="center"/>
      <protection locked="0"/>
    </xf>
    <xf numFmtId="0" fontId="9" fillId="0" borderId="0" xfId="0" applyFont="1" applyFill="1" applyAlignment="1" applyProtection="1">
      <alignment vertical="center"/>
      <protection locked="0"/>
    </xf>
    <xf numFmtId="0" fontId="8" fillId="0" borderId="0" xfId="0" applyFont="1" applyFill="1" applyAlignment="1" applyProtection="1">
      <alignment vertical="center" wrapText="1"/>
      <protection locked="0"/>
    </xf>
    <xf numFmtId="22" fontId="8" fillId="0" borderId="0" xfId="0" applyNumberFormat="1" applyFont="1" applyFill="1" applyAlignment="1" applyProtection="1">
      <alignment vertical="center" wrapText="1"/>
      <protection locked="0"/>
    </xf>
    <xf numFmtId="49" fontId="8" fillId="0" borderId="0" xfId="0" applyNumberFormat="1" applyFont="1" applyFill="1" applyAlignment="1" applyProtection="1">
      <alignment vertical="center" wrapText="1"/>
      <protection locked="0"/>
    </xf>
    <xf numFmtId="0" fontId="0" fillId="0" borderId="0" xfId="0" applyBorder="1" applyProtection="1">
      <alignment vertical="center"/>
      <protection hidden="1"/>
    </xf>
    <xf numFmtId="0" fontId="10" fillId="4" borderId="0" xfId="0" applyNumberFormat="1" applyFont="1" applyFill="1" applyBorder="1" applyAlignment="1" applyProtection="1">
      <alignment horizontal="center" vertical="center"/>
      <protection hidden="1"/>
    </xf>
    <xf numFmtId="0" fontId="11" fillId="4" borderId="0" xfId="0" applyFont="1" applyFill="1" applyBorder="1" applyAlignment="1" applyProtection="1">
      <alignment horizontal="right" vertical="center"/>
      <protection hidden="1"/>
    </xf>
    <xf numFmtId="0" fontId="11" fillId="4" borderId="0" xfId="0" applyNumberFormat="1" applyFont="1" applyFill="1" applyBorder="1" applyAlignment="1" applyProtection="1">
      <alignment vertical="center" wrapText="1"/>
      <protection locked="0" hidden="1"/>
    </xf>
    <xf numFmtId="0" fontId="11" fillId="4" borderId="0" xfId="0" applyNumberFormat="1" applyFont="1" applyFill="1" applyBorder="1" applyAlignment="1" applyProtection="1">
      <alignment vertical="center" wrapText="1"/>
      <protection hidden="1"/>
    </xf>
    <xf numFmtId="49" fontId="11" fillId="4" borderId="0" xfId="0" applyNumberFormat="1" applyFont="1" applyFill="1" applyBorder="1" applyProtection="1">
      <alignment vertical="center"/>
      <protection locked="0" hidden="1"/>
    </xf>
    <xf numFmtId="0" fontId="12" fillId="0" borderId="0" xfId="0" applyFont="1" applyFill="1" applyBorder="1" applyAlignment="1" applyProtection="1">
      <alignment horizontal="center" vertical="center"/>
    </xf>
    <xf numFmtId="0" fontId="12" fillId="0" borderId="0" xfId="0" applyFont="1" applyFill="1" applyBorder="1" applyAlignment="1" applyProtection="1">
      <alignment horizontal="center" vertical="center" wrapText="1"/>
    </xf>
    <xf numFmtId="0" fontId="12" fillId="0" borderId="0" xfId="0" applyFont="1" applyFill="1" applyBorder="1" applyAlignment="1" applyProtection="1">
      <alignment horizontal="left" vertical="center" wrapText="1"/>
    </xf>
    <xf numFmtId="0" fontId="12" fillId="0" borderId="0" xfId="0" applyFont="1" applyFill="1" applyBorder="1" applyAlignment="1" applyProtection="1">
      <alignment horizontal="left" vertical="center"/>
    </xf>
    <xf numFmtId="0" fontId="12" fillId="0" borderId="0" xfId="0" applyFont="1" applyFill="1" applyBorder="1" applyAlignment="1" applyProtection="1">
      <alignment horizontal="center" vertical="center"/>
      <protection locked="0"/>
    </xf>
    <xf numFmtId="0" fontId="13" fillId="5" borderId="0" xfId="0" applyFont="1" applyFill="1" applyAlignment="1" applyProtection="1">
      <alignment horizontal="center" vertical="center"/>
      <protection locked="0"/>
    </xf>
    <xf numFmtId="0" fontId="12" fillId="5" borderId="0" xfId="0" applyFont="1" applyFill="1" applyBorder="1" applyAlignment="1" applyProtection="1">
      <alignment horizontal="center" vertical="center"/>
    </xf>
    <xf numFmtId="0" fontId="12" fillId="5" borderId="0" xfId="0" applyFont="1" applyFill="1" applyBorder="1" applyAlignment="1" applyProtection="1">
      <alignment horizontal="left" vertical="center" wrapText="1"/>
    </xf>
    <xf numFmtId="0" fontId="12" fillId="5" borderId="0" xfId="0" applyFont="1" applyFill="1" applyBorder="1" applyAlignment="1" applyProtection="1">
      <alignment horizontal="left" vertical="center"/>
    </xf>
    <xf numFmtId="0" fontId="12" fillId="5" borderId="0" xfId="0" applyFont="1" applyFill="1" applyBorder="1" applyAlignment="1" applyProtection="1">
      <alignment horizontal="center" vertical="center"/>
      <protection locked="0"/>
    </xf>
    <xf numFmtId="0" fontId="14" fillId="0" borderId="0" xfId="6" applyFont="1" applyFill="1" applyBorder="1" applyAlignment="1" applyProtection="1">
      <alignment horizontal="center" vertical="center"/>
    </xf>
    <xf numFmtId="0" fontId="15" fillId="0" borderId="0" xfId="6" applyFont="1" applyFill="1" applyBorder="1" applyAlignment="1" applyProtection="1">
      <alignment horizontal="left" vertical="center"/>
    </xf>
    <xf numFmtId="0" fontId="7" fillId="0" borderId="0" xfId="6" applyFont="1" applyFill="1" applyBorder="1" applyAlignment="1" applyProtection="1">
      <alignment horizontal="center" vertical="center"/>
    </xf>
    <xf numFmtId="0" fontId="15" fillId="0" borderId="0" xfId="6" applyFont="1" applyFill="1" applyBorder="1" applyAlignment="1" applyProtection="1">
      <alignment horizontal="center" vertical="center"/>
    </xf>
    <xf numFmtId="0" fontId="5" fillId="0" borderId="0" xfId="0" applyFont="1">
      <alignment vertical="center"/>
    </xf>
    <xf numFmtId="0" fontId="5" fillId="2" borderId="1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/>
    </xf>
    <xf numFmtId="179" fontId="5" fillId="0" borderId="1" xfId="0" applyNumberFormat="1" applyFont="1" applyBorder="1" applyAlignment="1" applyProtection="1">
      <alignment horizontal="center" vertical="center"/>
    </xf>
    <xf numFmtId="180" fontId="5" fillId="0" borderId="1" xfId="0" applyNumberFormat="1" applyFont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6">
    <dxf>
      <font>
        <color auto="1"/>
      </font>
      <fill>
        <patternFill patternType="solid">
          <bgColor rgb="FFFFC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4" tint="0.4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0000"/>
        </patternFill>
      </fill>
    </dxf>
  </dxfs>
  <tableStyles count="0" defaultTableStyle="TableStyleMedium2" defaultPivotStyle="PivotStyleLight16"/>
  <colors>
    <mruColors>
      <color rgb="00FF8B8F"/>
      <color rgb="00FF5E78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microsoft.com/office/2017/06/relationships/rdRichValue" Target="richData/rdrichvalue.xml"/><Relationship Id="rId11" Type="http://schemas.microsoft.com/office/2017/06/relationships/rdRichValueStructure" Target="richData/rdrichvaluestructure.xml"/><Relationship Id="rId10" Type="http://schemas.openxmlformats.org/officeDocument/2006/relationships/sheetMetadata" Target="metadata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13335</xdr:colOff>
      <xdr:row>27</xdr:row>
      <xdr:rowOff>92075</xdr:rowOff>
    </xdr:from>
    <xdr:ext cx="5943600" cy="3384550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13335" y="5016500"/>
          <a:ext cx="5943600" cy="3384550"/>
        </a:xfrm>
        <a:prstGeom prst="rect">
          <a:avLst/>
        </a:prstGeom>
      </xdr:spPr>
    </xdr:pic>
    <xdr:clientData/>
  </xdr:oneCellAnchor>
</xdr:wsDr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wdkreverse.cn-hangzhou.oss.aliyuncs.com/0cd87aa1-68b2-460d-8a4d-fe26a3a8d093" TargetMode="External"/><Relationship Id="rId8" Type="http://schemas.openxmlformats.org/officeDocument/2006/relationships/hyperlink" Target="https://wdkreverse.cn-hangzhou.oss.aliyuncs.com/04481ea7-5e68-4487-a47e-57fc66493d28" TargetMode="External"/><Relationship Id="rId7" Type="http://schemas.openxmlformats.org/officeDocument/2006/relationships/hyperlink" Target="https://wdkreverse.cn-hangzhou.oss.aliyuncs.com/40738c25-80e7-419f-89dc-2f41b45ce996" TargetMode="External"/><Relationship Id="rId6" Type="http://schemas.openxmlformats.org/officeDocument/2006/relationships/hyperlink" Target="https://wdkreverse.cn-hangzhou.oss.aliyuncs.com/0cfeff92-01ec-4605-857c-0163d9218f41" TargetMode="External"/><Relationship Id="rId5" Type="http://schemas.openxmlformats.org/officeDocument/2006/relationships/hyperlink" Target="https://wdkreverse.cn-hangzhou.oss.aliyuncs.com/e5de68d6-1c8f-43f9-88c5-ee209f945657" TargetMode="External"/><Relationship Id="rId4" Type="http://schemas.openxmlformats.org/officeDocument/2006/relationships/hyperlink" Target="https://wdkreverse.cn-hangzhou.oss.aliyuncs.com/9e73ffa1-ba91-4254-96fe-4dcd4d485b20" TargetMode="External"/><Relationship Id="rId3" Type="http://schemas.openxmlformats.org/officeDocument/2006/relationships/hyperlink" Target="https://wdkreverse.oss-cn-hangzhou.aliyuncs.com/8054109c-49b3-4d18-bf00-4a672ee0cdd3" TargetMode="External"/><Relationship Id="rId2" Type="http://schemas.openxmlformats.org/officeDocument/2006/relationships/hyperlink" Target="https://wdkreverse.cn-hangzhou.oss.aliyuncs.com/44ca72b3-d20f-460e-aded-12582f383514" TargetMode="External"/><Relationship Id="rId1" Type="http://schemas.openxmlformats.org/officeDocument/2006/relationships/hyperlink" Target="https://wdkreverse.cn-hangzhou.oss.aliyuncs.com/764046e3-4a42-46e8-be52-2d33df24669b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21"/>
  <sheetViews>
    <sheetView workbookViewId="0">
      <selection activeCell="A1" sqref="A1"/>
    </sheetView>
  </sheetViews>
  <sheetFormatPr defaultColWidth="41.6666666666667" defaultRowHeight="14" customHeight="1"/>
  <cols>
    <col min="1" max="1" width="29.8333333333333" style="51" customWidth="1"/>
    <col min="2" max="2" width="14" style="51" customWidth="1"/>
    <col min="3" max="3" width="11.8333333333333" style="51" customWidth="1"/>
    <col min="4" max="4" width="22.6666666666667" style="51" customWidth="1"/>
    <col min="5" max="6" width="9.5" style="51" customWidth="1"/>
    <col min="7" max="7" width="11.8333333333333" style="51" customWidth="1"/>
    <col min="8" max="9" width="9.5" style="51" customWidth="1"/>
    <col min="10" max="40" width="41.6666666666667" style="51" customWidth="1"/>
  </cols>
  <sheetData>
    <row r="1" customHeight="1" spans="1:9">
      <c r="A1" s="18" t="s">
        <v>0</v>
      </c>
      <c r="B1" s="18" t="s">
        <v>1</v>
      </c>
      <c r="C1" s="18" t="s">
        <v>2</v>
      </c>
      <c r="D1" s="52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53" t="s">
        <v>8</v>
      </c>
    </row>
    <row r="2" customHeight="1" spans="1:9">
      <c r="A2" s="52" t="s">
        <v>9</v>
      </c>
      <c r="B2" s="53"/>
      <c r="C2" s="53"/>
      <c r="D2" s="20"/>
      <c r="E2" s="54">
        <f t="shared" ref="E2:E21" si="0">8-B2</f>
        <v>8</v>
      </c>
      <c r="F2" s="54">
        <f t="shared" ref="F2:F21" si="1">(2.5-C2)*6</f>
        <v>15</v>
      </c>
      <c r="G2" s="55">
        <f t="shared" ref="G2:G21" si="2">(D2-0.5)*10</f>
        <v>-5</v>
      </c>
      <c r="H2" s="16">
        <f t="shared" ref="H2:H21" si="3">SUM(E2:G2)</f>
        <v>18</v>
      </c>
      <c r="I2" s="53">
        <v>1</v>
      </c>
    </row>
    <row r="3" customHeight="1" spans="1:9">
      <c r="A3" s="18" t="s">
        <v>10</v>
      </c>
      <c r="B3" s="53"/>
      <c r="C3" s="53"/>
      <c r="D3" s="20"/>
      <c r="E3" s="54">
        <f t="shared" si="0"/>
        <v>8</v>
      </c>
      <c r="F3" s="54">
        <f t="shared" si="1"/>
        <v>15</v>
      </c>
      <c r="G3" s="55">
        <f t="shared" si="2"/>
        <v>-5</v>
      </c>
      <c r="H3" s="16">
        <f t="shared" si="3"/>
        <v>18</v>
      </c>
      <c r="I3" s="53">
        <v>1</v>
      </c>
    </row>
    <row r="4" customHeight="1" spans="1:9">
      <c r="A4" s="18" t="s">
        <v>11</v>
      </c>
      <c r="B4" s="53"/>
      <c r="C4" s="53"/>
      <c r="D4" s="20"/>
      <c r="E4" s="54">
        <f t="shared" si="0"/>
        <v>8</v>
      </c>
      <c r="F4" s="54">
        <f t="shared" si="1"/>
        <v>15</v>
      </c>
      <c r="G4" s="55">
        <f t="shared" si="2"/>
        <v>-5</v>
      </c>
      <c r="H4" s="16">
        <f t="shared" si="3"/>
        <v>18</v>
      </c>
      <c r="I4" s="53">
        <v>1</v>
      </c>
    </row>
    <row r="5" customHeight="1" spans="1:9">
      <c r="A5" s="18" t="s">
        <v>12</v>
      </c>
      <c r="B5" s="53"/>
      <c r="C5" s="53"/>
      <c r="D5" s="20"/>
      <c r="E5" s="54">
        <f t="shared" si="0"/>
        <v>8</v>
      </c>
      <c r="F5" s="54">
        <f t="shared" si="1"/>
        <v>15</v>
      </c>
      <c r="G5" s="55">
        <f t="shared" si="2"/>
        <v>-5</v>
      </c>
      <c r="H5" s="16">
        <f t="shared" si="3"/>
        <v>18</v>
      </c>
      <c r="I5" s="53">
        <v>1</v>
      </c>
    </row>
    <row r="6" customHeight="1" spans="1:9">
      <c r="A6" s="18" t="s">
        <v>13</v>
      </c>
      <c r="B6" s="53"/>
      <c r="C6" s="53"/>
      <c r="D6" s="20"/>
      <c r="E6" s="54">
        <f t="shared" si="0"/>
        <v>8</v>
      </c>
      <c r="F6" s="54">
        <f t="shared" si="1"/>
        <v>15</v>
      </c>
      <c r="G6" s="55">
        <f t="shared" si="2"/>
        <v>-5</v>
      </c>
      <c r="H6" s="16">
        <f t="shared" si="3"/>
        <v>18</v>
      </c>
      <c r="I6" s="53">
        <v>1</v>
      </c>
    </row>
    <row r="7" customHeight="1" spans="1:9">
      <c r="A7" s="18" t="s">
        <v>14</v>
      </c>
      <c r="B7" s="53"/>
      <c r="C7" s="53"/>
      <c r="D7" s="20"/>
      <c r="E7" s="54">
        <f t="shared" si="0"/>
        <v>8</v>
      </c>
      <c r="F7" s="54">
        <f t="shared" si="1"/>
        <v>15</v>
      </c>
      <c r="G7" s="55">
        <f t="shared" si="2"/>
        <v>-5</v>
      </c>
      <c r="H7" s="16">
        <f t="shared" si="3"/>
        <v>18</v>
      </c>
      <c r="I7" s="53">
        <v>1</v>
      </c>
    </row>
    <row r="8" customHeight="1" spans="1:9">
      <c r="A8" s="18" t="s">
        <v>15</v>
      </c>
      <c r="B8" s="53"/>
      <c r="C8" s="53"/>
      <c r="D8" s="20"/>
      <c r="E8" s="54">
        <f t="shared" si="0"/>
        <v>8</v>
      </c>
      <c r="F8" s="54">
        <f t="shared" si="1"/>
        <v>15</v>
      </c>
      <c r="G8" s="55">
        <f t="shared" si="2"/>
        <v>-5</v>
      </c>
      <c r="H8" s="16">
        <f t="shared" si="3"/>
        <v>18</v>
      </c>
      <c r="I8" s="53">
        <v>1</v>
      </c>
    </row>
    <row r="9" customHeight="1" spans="1:9">
      <c r="A9" s="18" t="s">
        <v>16</v>
      </c>
      <c r="B9" s="53"/>
      <c r="C9" s="53"/>
      <c r="D9" s="20"/>
      <c r="E9" s="54">
        <f t="shared" si="0"/>
        <v>8</v>
      </c>
      <c r="F9" s="54">
        <f t="shared" si="1"/>
        <v>15</v>
      </c>
      <c r="G9" s="55">
        <f t="shared" si="2"/>
        <v>-5</v>
      </c>
      <c r="H9" s="16">
        <f t="shared" si="3"/>
        <v>18</v>
      </c>
      <c r="I9" s="53">
        <v>1</v>
      </c>
    </row>
    <row r="10" customHeight="1" spans="1:9">
      <c r="A10" s="18" t="s">
        <v>17</v>
      </c>
      <c r="B10" s="53"/>
      <c r="C10" s="53"/>
      <c r="D10" s="20"/>
      <c r="E10" s="54">
        <f t="shared" si="0"/>
        <v>8</v>
      </c>
      <c r="F10" s="54">
        <f t="shared" si="1"/>
        <v>15</v>
      </c>
      <c r="G10" s="55">
        <f t="shared" si="2"/>
        <v>-5</v>
      </c>
      <c r="H10" s="16">
        <f t="shared" si="3"/>
        <v>18</v>
      </c>
      <c r="I10" s="53">
        <v>1</v>
      </c>
    </row>
    <row r="11" customHeight="1" spans="1:9">
      <c r="A11" s="18" t="s">
        <v>18</v>
      </c>
      <c r="B11" s="53"/>
      <c r="C11" s="53"/>
      <c r="D11" s="20"/>
      <c r="E11" s="54">
        <f t="shared" si="0"/>
        <v>8</v>
      </c>
      <c r="F11" s="54">
        <f t="shared" si="1"/>
        <v>15</v>
      </c>
      <c r="G11" s="55">
        <f t="shared" si="2"/>
        <v>-5</v>
      </c>
      <c r="H11" s="16">
        <f t="shared" si="3"/>
        <v>18</v>
      </c>
      <c r="I11" s="53">
        <v>1</v>
      </c>
    </row>
    <row r="12" customHeight="1" spans="1:9">
      <c r="A12" s="18" t="s">
        <v>19</v>
      </c>
      <c r="B12" s="53"/>
      <c r="C12" s="53"/>
      <c r="D12" s="20"/>
      <c r="E12" s="54">
        <f t="shared" si="0"/>
        <v>8</v>
      </c>
      <c r="F12" s="54">
        <f t="shared" si="1"/>
        <v>15</v>
      </c>
      <c r="G12" s="55">
        <f t="shared" si="2"/>
        <v>-5</v>
      </c>
      <c r="H12" s="16">
        <f t="shared" si="3"/>
        <v>18</v>
      </c>
      <c r="I12" s="53">
        <v>1</v>
      </c>
    </row>
    <row r="13" customHeight="1" spans="1:9">
      <c r="A13" s="18" t="s">
        <v>20</v>
      </c>
      <c r="B13" s="53"/>
      <c r="C13" s="53"/>
      <c r="D13" s="20"/>
      <c r="E13" s="54">
        <f t="shared" si="0"/>
        <v>8</v>
      </c>
      <c r="F13" s="54">
        <f t="shared" si="1"/>
        <v>15</v>
      </c>
      <c r="G13" s="55">
        <f t="shared" si="2"/>
        <v>-5</v>
      </c>
      <c r="H13" s="16">
        <f t="shared" si="3"/>
        <v>18</v>
      </c>
      <c r="I13" s="53">
        <v>1</v>
      </c>
    </row>
    <row r="14" customHeight="1" spans="1:9">
      <c r="A14" s="18" t="s">
        <v>21</v>
      </c>
      <c r="B14" s="53"/>
      <c r="C14" s="53"/>
      <c r="D14" s="20"/>
      <c r="E14" s="54">
        <f t="shared" si="0"/>
        <v>8</v>
      </c>
      <c r="F14" s="54">
        <f t="shared" si="1"/>
        <v>15</v>
      </c>
      <c r="G14" s="55">
        <f t="shared" si="2"/>
        <v>-5</v>
      </c>
      <c r="H14" s="16">
        <f t="shared" si="3"/>
        <v>18</v>
      </c>
      <c r="I14" s="53">
        <v>1</v>
      </c>
    </row>
    <row r="15" customHeight="1" spans="1:9">
      <c r="A15" s="53" t="s">
        <v>22</v>
      </c>
      <c r="B15" s="53"/>
      <c r="C15" s="53"/>
      <c r="D15" s="20"/>
      <c r="E15" s="54">
        <f t="shared" si="0"/>
        <v>8</v>
      </c>
      <c r="F15" s="54">
        <f t="shared" si="1"/>
        <v>15</v>
      </c>
      <c r="G15" s="55">
        <f t="shared" si="2"/>
        <v>-5</v>
      </c>
      <c r="H15" s="16">
        <f t="shared" si="3"/>
        <v>18</v>
      </c>
      <c r="I15" s="53">
        <v>1</v>
      </c>
    </row>
    <row r="16" customHeight="1" spans="1:9">
      <c r="A16" s="18" t="s">
        <v>23</v>
      </c>
      <c r="B16" s="53"/>
      <c r="C16" s="53"/>
      <c r="D16" s="20"/>
      <c r="E16" s="54">
        <f t="shared" si="0"/>
        <v>8</v>
      </c>
      <c r="F16" s="54">
        <f t="shared" si="1"/>
        <v>15</v>
      </c>
      <c r="G16" s="55">
        <f t="shared" si="2"/>
        <v>-5</v>
      </c>
      <c r="H16" s="16">
        <f t="shared" si="3"/>
        <v>18</v>
      </c>
      <c r="I16" s="53">
        <v>1</v>
      </c>
    </row>
    <row r="17" customHeight="1" spans="1:9">
      <c r="A17" s="18" t="s">
        <v>24</v>
      </c>
      <c r="B17" s="53"/>
      <c r="C17" s="53"/>
      <c r="D17" s="20"/>
      <c r="E17" s="54">
        <f t="shared" si="0"/>
        <v>8</v>
      </c>
      <c r="F17" s="54">
        <f t="shared" si="1"/>
        <v>15</v>
      </c>
      <c r="G17" s="55">
        <f t="shared" si="2"/>
        <v>-5</v>
      </c>
      <c r="H17" s="16">
        <f t="shared" si="3"/>
        <v>18</v>
      </c>
      <c r="I17" s="53">
        <v>1</v>
      </c>
    </row>
    <row r="18" customHeight="1" spans="1:9">
      <c r="A18" s="18" t="s">
        <v>25</v>
      </c>
      <c r="B18" s="53"/>
      <c r="C18" s="53"/>
      <c r="D18" s="20"/>
      <c r="E18" s="54">
        <f t="shared" si="0"/>
        <v>8</v>
      </c>
      <c r="F18" s="54">
        <f t="shared" si="1"/>
        <v>15</v>
      </c>
      <c r="G18" s="55">
        <f t="shared" si="2"/>
        <v>-5</v>
      </c>
      <c r="H18" s="16">
        <f t="shared" si="3"/>
        <v>18</v>
      </c>
      <c r="I18" s="53">
        <v>1</v>
      </c>
    </row>
    <row r="19" customHeight="1" spans="1:9">
      <c r="A19" s="18" t="s">
        <v>26</v>
      </c>
      <c r="B19" s="53"/>
      <c r="C19" s="53"/>
      <c r="D19" s="20"/>
      <c r="E19" s="54">
        <f t="shared" si="0"/>
        <v>8</v>
      </c>
      <c r="F19" s="54">
        <f t="shared" si="1"/>
        <v>15</v>
      </c>
      <c r="G19" s="55">
        <f t="shared" si="2"/>
        <v>-5</v>
      </c>
      <c r="H19" s="16">
        <f t="shared" si="3"/>
        <v>18</v>
      </c>
      <c r="I19" s="53">
        <v>1</v>
      </c>
    </row>
    <row r="20" customHeight="1" spans="1:9">
      <c r="A20" s="18" t="s">
        <v>27</v>
      </c>
      <c r="B20" s="53"/>
      <c r="C20" s="53"/>
      <c r="D20" s="20"/>
      <c r="E20" s="54">
        <f t="shared" si="0"/>
        <v>8</v>
      </c>
      <c r="F20" s="54">
        <f t="shared" si="1"/>
        <v>15</v>
      </c>
      <c r="G20" s="55">
        <f t="shared" si="2"/>
        <v>-5</v>
      </c>
      <c r="H20" s="16">
        <f t="shared" si="3"/>
        <v>18</v>
      </c>
      <c r="I20" s="53">
        <v>1</v>
      </c>
    </row>
    <row r="21" customHeight="1" spans="1:9">
      <c r="A21" s="18" t="s">
        <v>28</v>
      </c>
      <c r="B21" s="53"/>
      <c r="C21" s="53"/>
      <c r="D21" s="20"/>
      <c r="E21" s="54">
        <f t="shared" si="0"/>
        <v>8</v>
      </c>
      <c r="F21" s="54">
        <f t="shared" si="1"/>
        <v>15</v>
      </c>
      <c r="G21" s="55">
        <f t="shared" si="2"/>
        <v>-5</v>
      </c>
      <c r="H21" s="16">
        <f t="shared" si="3"/>
        <v>18</v>
      </c>
      <c r="I21" s="53">
        <v>1</v>
      </c>
    </row>
  </sheetData>
  <conditionalFormatting sqref="H2:H21">
    <cfRule type="dataBar" priority="2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{b65a472c-6625-4ee8-b2c6-be0a1ba41ac4}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5a472c-6625-4ee8-b2c6-be0a1ba41a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H2:H21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L183"/>
  <sheetViews>
    <sheetView tabSelected="1" workbookViewId="0">
      <pane ySplit="2" topLeftCell="A3" activePane="bottomLeft" state="frozen"/>
      <selection/>
      <selection pane="bottomLeft" activeCell="A1" sqref="A1:J1"/>
    </sheetView>
  </sheetViews>
  <sheetFormatPr defaultColWidth="34.025" defaultRowHeight="17.6"/>
  <cols>
    <col min="1" max="1" width="10.6666666666667" style="37" customWidth="1"/>
    <col min="2" max="2" width="32.775" style="38" customWidth="1"/>
    <col min="3" max="3" width="14" style="38" customWidth="1"/>
    <col min="4" max="4" width="27.3333333333333" style="37" customWidth="1"/>
    <col min="5" max="5" width="43.325" style="39" customWidth="1"/>
    <col min="6" max="6" width="32" style="37" customWidth="1"/>
    <col min="7" max="7" width="9.6" style="37" customWidth="1"/>
    <col min="8" max="8" width="97.0666666666667" style="40" hidden="1" customWidth="1"/>
    <col min="9" max="9" width="9.6" style="41" customWidth="1"/>
    <col min="10" max="10" width="41.3833333333333" style="41" customWidth="1"/>
    <col min="11" max="11" width="1.525" style="37" customWidth="1"/>
    <col min="12" max="12" width="8.13333333333333" style="37" customWidth="1"/>
    <col min="13" max="13" width="20.6666666666667" style="37" customWidth="1"/>
    <col min="14" max="14" width="21.6" style="37" customWidth="1"/>
    <col min="15" max="16" width="9.6" style="37" customWidth="1"/>
    <col min="17" max="16383" width="34.025" style="37" customWidth="1"/>
    <col min="16384" max="16384" width="34.025" style="37"/>
  </cols>
  <sheetData>
    <row r="1" ht="101.6" spans="1:12">
      <c r="A1" s="42" t="s">
        <v>26</v>
      </c>
      <c r="B1" s="42"/>
      <c r="C1" s="42"/>
      <c r="D1" s="42"/>
      <c r="E1" s="42"/>
      <c r="F1" s="42"/>
      <c r="G1" s="42"/>
      <c r="H1" s="42"/>
      <c r="I1" s="42"/>
      <c r="J1" s="42"/>
    </row>
    <row r="2" ht="18" spans="1:12">
      <c r="A2" s="43" t="str" cm="1">
        <f t="array" ref="A2:H2">代码!I1:P1</f>
        <v>日期</v>
      </c>
      <c r="B2" s="43" t="str">
        <v>sku名称</v>
      </c>
      <c r="C2" s="43" t="str">
        <v>问题原因名称</v>
      </c>
      <c r="D2" s="43" t="str">
        <v>app退款原因</v>
      </c>
      <c r="E2" s="44" t="str">
        <v>app退款描述</v>
      </c>
      <c r="F2" s="43" t="str">
        <v>淘系主订单id</v>
      </c>
      <c r="G2" s="43" t="str">
        <v>配送员名</v>
      </c>
      <c r="H2" s="45" t="str">
        <v>退款凭证</v>
      </c>
      <c r="I2" s="46" t="s">
        <v>29</v>
      </c>
      <c r="J2" s="46" t="s">
        <v>30</v>
      </c>
      <c r="L2" s="47" t="s">
        <v>31</v>
      </c>
    </row>
    <row r="3" ht="18" spans="1:12">
      <c r="A3" s="37" t="str" cm="1">
        <f t="array" ref="A3:H3">_xlfn._xlws.SORT(_xlfn._xlws.FILTER(代码!I2:P500,LEN(代码!N2:N500)&gt;0),6,1)</f>
        <v>未找到匹配项</v>
      </c>
      <c r="B3" s="37" t="str">
        <v>未找到匹配项</v>
      </c>
      <c r="C3" s="37" t="str">
        <v>未找到匹配项</v>
      </c>
      <c r="D3" s="37" t="str">
        <v>未找到匹配项</v>
      </c>
      <c r="E3" s="39" t="str">
        <v>未找到匹配项</v>
      </c>
      <c r="F3" s="37" t="str">
        <v>未找到匹配项</v>
      </c>
      <c r="G3" s="37" t="str">
        <v>未找到匹配项</v>
      </c>
      <c r="H3" s="48" t="str">
        <v>未找到匹配项</v>
      </c>
      <c r="L3" s="49" t="str">
        <f t="shared" ref="L3:L34" si="0">IF(OR(LEFT(H3,7)="http://",LEFT(H3,8)="https://"),HYPERLINK(H3,"查看图片"),"")</f>
        <v/>
      </c>
    </row>
    <row r="4" spans="1:12">
      <c r="H4" s="48"/>
      <c r="L4" s="49" t="str">
        <f t="shared" si="0"/>
        <v/>
      </c>
    </row>
    <row r="5" spans="1:12">
      <c r="H5" s="48"/>
      <c r="L5" s="49" t="str">
        <f t="shared" si="0"/>
        <v/>
      </c>
    </row>
    <row r="6" spans="1:12">
      <c r="H6" s="48"/>
      <c r="L6" s="49" t="str">
        <f t="shared" si="0"/>
        <v/>
      </c>
    </row>
    <row r="7" spans="1:12">
      <c r="H7" s="48"/>
      <c r="L7" s="50" t="str">
        <f t="shared" si="0"/>
        <v/>
      </c>
    </row>
    <row r="8" spans="1:12">
      <c r="H8" s="48"/>
      <c r="L8" s="49" t="str">
        <f t="shared" si="0"/>
        <v/>
      </c>
    </row>
    <row r="9" spans="1:12">
      <c r="L9" s="49" t="str">
        <f t="shared" si="0"/>
        <v/>
      </c>
    </row>
    <row r="10" spans="1:12">
      <c r="L10" s="50" t="str">
        <f t="shared" si="0"/>
        <v/>
      </c>
    </row>
    <row r="11" spans="1:12">
      <c r="L11" s="50" t="str">
        <f t="shared" si="0"/>
        <v/>
      </c>
    </row>
    <row r="12" spans="1:12">
      <c r="H12" s="48"/>
      <c r="L12" s="50" t="str">
        <f t="shared" si="0"/>
        <v/>
      </c>
    </row>
    <row r="13" spans="1:12">
      <c r="L13" s="50" t="str">
        <f t="shared" si="0"/>
        <v/>
      </c>
    </row>
    <row r="14" spans="1:12">
      <c r="L14" s="50" t="str">
        <f t="shared" si="0"/>
        <v/>
      </c>
    </row>
    <row r="15" spans="1:12">
      <c r="H15" s="48"/>
      <c r="L15" s="49" t="str">
        <f t="shared" si="0"/>
        <v/>
      </c>
    </row>
    <row r="16" spans="1:12">
      <c r="H16" s="48"/>
      <c r="L16" s="50" t="str">
        <f t="shared" si="0"/>
        <v/>
      </c>
    </row>
    <row r="17" spans="12:12">
      <c r="L17" s="50" t="str">
        <f t="shared" si="0"/>
        <v/>
      </c>
    </row>
    <row r="18" spans="12:12">
      <c r="L18" s="50" t="str">
        <f t="shared" si="0"/>
        <v/>
      </c>
    </row>
    <row r="19" spans="12:12">
      <c r="L19" s="50" t="str">
        <f t="shared" si="0"/>
        <v/>
      </c>
    </row>
    <row r="20" spans="12:12">
      <c r="L20" s="49" t="str">
        <f t="shared" si="0"/>
        <v/>
      </c>
    </row>
    <row r="21" spans="12:12">
      <c r="L21" s="50" t="str">
        <f t="shared" si="0"/>
        <v/>
      </c>
    </row>
    <row r="22" spans="12:12">
      <c r="L22" s="50" t="str">
        <f t="shared" si="0"/>
        <v/>
      </c>
    </row>
    <row r="23" spans="12:12">
      <c r="L23" s="50" t="str">
        <f t="shared" si="0"/>
        <v/>
      </c>
    </row>
    <row r="24" spans="12:12">
      <c r="L24" s="50" t="str">
        <f t="shared" si="0"/>
        <v/>
      </c>
    </row>
    <row r="25" spans="12:12">
      <c r="L25" s="50" t="str">
        <f t="shared" si="0"/>
        <v/>
      </c>
    </row>
    <row r="26" spans="12:12">
      <c r="L26" s="50" t="str">
        <f t="shared" si="0"/>
        <v/>
      </c>
    </row>
    <row r="27" spans="12:12">
      <c r="L27" s="50" t="str">
        <f t="shared" si="0"/>
        <v/>
      </c>
    </row>
    <row r="28" spans="12:12">
      <c r="L28" s="50" t="str">
        <f t="shared" si="0"/>
        <v/>
      </c>
    </row>
    <row r="29" spans="12:12">
      <c r="L29" s="50" t="str">
        <f t="shared" si="0"/>
        <v/>
      </c>
    </row>
    <row r="30" spans="12:12">
      <c r="L30" s="50" t="str">
        <f t="shared" si="0"/>
        <v/>
      </c>
    </row>
    <row r="31" spans="12:12">
      <c r="L31" s="50" t="str">
        <f t="shared" si="0"/>
        <v/>
      </c>
    </row>
    <row r="32" spans="12:12">
      <c r="L32" s="50" t="str">
        <f t="shared" si="0"/>
        <v/>
      </c>
    </row>
    <row r="33" spans="12:12">
      <c r="L33" s="50" t="str">
        <f t="shared" si="0"/>
        <v/>
      </c>
    </row>
    <row r="34" spans="12:12">
      <c r="L34" s="50" t="str">
        <f t="shared" si="0"/>
        <v/>
      </c>
    </row>
    <row r="35" spans="12:12">
      <c r="L35" s="50" t="str">
        <f t="shared" ref="L35:L66" si="1">IF(OR(LEFT(H35,7)="http://",LEFT(H35,8)="https://"),HYPERLINK(H35,"查看图片"),"")</f>
        <v/>
      </c>
    </row>
    <row r="36" spans="12:12">
      <c r="L36" s="50" t="str">
        <f t="shared" si="1"/>
        <v/>
      </c>
    </row>
    <row r="37" spans="12:12">
      <c r="L37" s="50" t="str">
        <f t="shared" si="1"/>
        <v/>
      </c>
    </row>
    <row r="38" spans="12:12">
      <c r="L38" s="50" t="str">
        <f t="shared" si="1"/>
        <v/>
      </c>
    </row>
    <row r="39" spans="12:12">
      <c r="L39" s="50" t="str">
        <f t="shared" si="1"/>
        <v/>
      </c>
    </row>
    <row r="40" spans="12:12">
      <c r="L40" s="50" t="str">
        <f t="shared" si="1"/>
        <v/>
      </c>
    </row>
    <row r="41" spans="12:12">
      <c r="L41" s="50" t="str">
        <f t="shared" si="1"/>
        <v/>
      </c>
    </row>
    <row r="42" spans="12:12">
      <c r="L42" s="50" t="str">
        <f t="shared" si="1"/>
        <v/>
      </c>
    </row>
    <row r="43" spans="12:12">
      <c r="L43" s="50" t="str">
        <f t="shared" si="1"/>
        <v/>
      </c>
    </row>
    <row r="44" spans="12:12">
      <c r="L44" s="50" t="str">
        <f t="shared" si="1"/>
        <v/>
      </c>
    </row>
    <row r="45" spans="12:12">
      <c r="L45" s="50" t="str">
        <f t="shared" si="1"/>
        <v/>
      </c>
    </row>
    <row r="46" spans="12:12">
      <c r="L46" s="50" t="str">
        <f t="shared" si="1"/>
        <v/>
      </c>
    </row>
    <row r="47" spans="12:12">
      <c r="L47" s="50" t="str">
        <f t="shared" si="1"/>
        <v/>
      </c>
    </row>
    <row r="48" spans="12:12">
      <c r="L48" s="50" t="str">
        <f t="shared" si="1"/>
        <v/>
      </c>
    </row>
    <row r="49" spans="12:12">
      <c r="L49" s="50" t="str">
        <f t="shared" si="1"/>
        <v/>
      </c>
    </row>
    <row r="50" spans="12:12">
      <c r="L50" s="50" t="str">
        <f t="shared" si="1"/>
        <v/>
      </c>
    </row>
    <row r="51" spans="12:12">
      <c r="L51" s="50" t="str">
        <f t="shared" si="1"/>
        <v/>
      </c>
    </row>
    <row r="52" spans="12:12">
      <c r="L52" s="50" t="str">
        <f t="shared" si="1"/>
        <v/>
      </c>
    </row>
    <row r="53" spans="12:12">
      <c r="L53" s="50" t="str">
        <f t="shared" si="1"/>
        <v/>
      </c>
    </row>
    <row r="54" spans="12:12">
      <c r="L54" s="50" t="str">
        <f t="shared" si="1"/>
        <v/>
      </c>
    </row>
    <row r="55" spans="12:12">
      <c r="L55" s="50" t="str">
        <f t="shared" si="1"/>
        <v/>
      </c>
    </row>
    <row r="56" spans="12:12">
      <c r="L56" s="50" t="str">
        <f t="shared" si="1"/>
        <v/>
      </c>
    </row>
    <row r="57" spans="12:12">
      <c r="L57" s="50" t="str">
        <f t="shared" si="1"/>
        <v/>
      </c>
    </row>
    <row r="58" spans="12:12">
      <c r="L58" s="50" t="str">
        <f t="shared" si="1"/>
        <v/>
      </c>
    </row>
    <row r="59" spans="12:12">
      <c r="L59" s="50" t="str">
        <f t="shared" si="1"/>
        <v/>
      </c>
    </row>
    <row r="60" spans="12:12">
      <c r="L60" s="50" t="str">
        <f t="shared" si="1"/>
        <v/>
      </c>
    </row>
    <row r="61" spans="12:12">
      <c r="L61" s="50" t="str">
        <f t="shared" si="1"/>
        <v/>
      </c>
    </row>
    <row r="62" spans="12:12">
      <c r="L62" s="50" t="str">
        <f t="shared" si="1"/>
        <v/>
      </c>
    </row>
    <row r="63" spans="12:12">
      <c r="L63" s="50" t="str">
        <f t="shared" si="1"/>
        <v/>
      </c>
    </row>
    <row r="64" spans="12:12">
      <c r="L64" s="50" t="str">
        <f t="shared" si="1"/>
        <v/>
      </c>
    </row>
    <row r="65" spans="12:12">
      <c r="L65" s="50" t="str">
        <f t="shared" si="1"/>
        <v/>
      </c>
    </row>
    <row r="66" spans="12:12">
      <c r="L66" s="50" t="str">
        <f t="shared" si="1"/>
        <v/>
      </c>
    </row>
    <row r="67" spans="12:12">
      <c r="L67" s="50" t="str">
        <f t="shared" ref="L67:L98" si="2">IF(OR(LEFT(H67,7)="http://",LEFT(H67,8)="https://"),HYPERLINK(H67,"查看图片"),"")</f>
        <v/>
      </c>
    </row>
    <row r="68" spans="12:12">
      <c r="L68" s="50" t="str">
        <f t="shared" si="2"/>
        <v/>
      </c>
    </row>
    <row r="69" spans="12:12">
      <c r="L69" s="50" t="str">
        <f t="shared" si="2"/>
        <v/>
      </c>
    </row>
    <row r="70" spans="12:12">
      <c r="L70" s="50" t="str">
        <f t="shared" si="2"/>
        <v/>
      </c>
    </row>
    <row r="71" spans="12:12">
      <c r="L71" s="50" t="str">
        <f t="shared" si="2"/>
        <v/>
      </c>
    </row>
    <row r="72" spans="12:12">
      <c r="L72" s="50" t="str">
        <f t="shared" si="2"/>
        <v/>
      </c>
    </row>
    <row r="73" spans="12:12">
      <c r="L73" s="50" t="str">
        <f t="shared" si="2"/>
        <v/>
      </c>
    </row>
    <row r="74" spans="12:12">
      <c r="L74" s="50" t="str">
        <f t="shared" si="2"/>
        <v/>
      </c>
    </row>
    <row r="75" spans="12:12">
      <c r="L75" s="50" t="str">
        <f t="shared" si="2"/>
        <v/>
      </c>
    </row>
    <row r="76" spans="12:12">
      <c r="L76" s="50" t="str">
        <f t="shared" si="2"/>
        <v/>
      </c>
    </row>
    <row r="77" spans="12:12">
      <c r="L77" s="50" t="str">
        <f t="shared" si="2"/>
        <v/>
      </c>
    </row>
    <row r="78" spans="12:12">
      <c r="L78" s="50" t="str">
        <f t="shared" si="2"/>
        <v/>
      </c>
    </row>
    <row r="79" spans="12:12">
      <c r="L79" s="50" t="str">
        <f t="shared" si="2"/>
        <v/>
      </c>
    </row>
    <row r="80" spans="12:12">
      <c r="L80" s="50" t="str">
        <f t="shared" si="2"/>
        <v/>
      </c>
    </row>
    <row r="81" spans="12:12">
      <c r="L81" s="50" t="str">
        <f t="shared" si="2"/>
        <v/>
      </c>
    </row>
    <row r="82" spans="12:12">
      <c r="L82" s="50" t="str">
        <f t="shared" si="2"/>
        <v/>
      </c>
    </row>
    <row r="83" spans="12:12">
      <c r="L83" s="50" t="str">
        <f t="shared" si="2"/>
        <v/>
      </c>
    </row>
    <row r="84" spans="12:12">
      <c r="L84" s="50" t="str">
        <f t="shared" si="2"/>
        <v/>
      </c>
    </row>
    <row r="85" spans="12:12">
      <c r="L85" s="50" t="str">
        <f t="shared" si="2"/>
        <v/>
      </c>
    </row>
    <row r="86" spans="12:12">
      <c r="L86" s="50" t="str">
        <f t="shared" si="2"/>
        <v/>
      </c>
    </row>
    <row r="87" spans="12:12">
      <c r="L87" s="50" t="str">
        <f t="shared" si="2"/>
        <v/>
      </c>
    </row>
    <row r="88" spans="12:12">
      <c r="L88" s="50" t="str">
        <f t="shared" si="2"/>
        <v/>
      </c>
    </row>
    <row r="89" spans="12:12">
      <c r="L89" s="50" t="str">
        <f t="shared" si="2"/>
        <v/>
      </c>
    </row>
    <row r="90" spans="12:12">
      <c r="L90" s="50" t="str">
        <f t="shared" si="2"/>
        <v/>
      </c>
    </row>
    <row r="91" spans="12:12">
      <c r="L91" s="50" t="str">
        <f t="shared" si="2"/>
        <v/>
      </c>
    </row>
    <row r="92" spans="12:12">
      <c r="L92" s="50" t="str">
        <f t="shared" si="2"/>
        <v/>
      </c>
    </row>
    <row r="93" spans="12:12">
      <c r="L93" s="50" t="str">
        <f t="shared" si="2"/>
        <v/>
      </c>
    </row>
    <row r="94" spans="12:12">
      <c r="L94" s="50" t="str">
        <f t="shared" si="2"/>
        <v/>
      </c>
    </row>
    <row r="95" spans="12:12">
      <c r="L95" s="50" t="str">
        <f t="shared" si="2"/>
        <v/>
      </c>
    </row>
    <row r="96" spans="12:12">
      <c r="L96" s="50" t="str">
        <f t="shared" si="2"/>
        <v/>
      </c>
    </row>
    <row r="97" spans="12:12">
      <c r="L97" s="50" t="str">
        <f t="shared" si="2"/>
        <v/>
      </c>
    </row>
    <row r="98" spans="12:12">
      <c r="L98" s="50" t="str">
        <f t="shared" si="2"/>
        <v/>
      </c>
    </row>
    <row r="99" spans="12:12">
      <c r="L99" s="50" t="str">
        <f t="shared" ref="L99:L130" si="3">IF(OR(LEFT(H99,7)="http://",LEFT(H99,8)="https://"),HYPERLINK(H99,"查看图片"),"")</f>
        <v/>
      </c>
    </row>
    <row r="100" spans="12:12">
      <c r="L100" s="50" t="str">
        <f t="shared" si="3"/>
        <v/>
      </c>
    </row>
    <row r="101" spans="12:12">
      <c r="L101" s="50" t="str">
        <f t="shared" si="3"/>
        <v/>
      </c>
    </row>
    <row r="102" spans="12:12">
      <c r="L102" s="50" t="str">
        <f t="shared" si="3"/>
        <v/>
      </c>
    </row>
    <row r="103" spans="12:12">
      <c r="L103" s="50" t="str">
        <f t="shared" si="3"/>
        <v/>
      </c>
    </row>
    <row r="104" spans="12:12">
      <c r="L104" s="50" t="str">
        <f t="shared" si="3"/>
        <v/>
      </c>
    </row>
    <row r="105" spans="12:12">
      <c r="L105" s="50" t="str">
        <f t="shared" si="3"/>
        <v/>
      </c>
    </row>
    <row r="106" spans="12:12">
      <c r="L106" s="50" t="str">
        <f t="shared" si="3"/>
        <v/>
      </c>
    </row>
    <row r="107" spans="12:12">
      <c r="L107" s="50" t="str">
        <f t="shared" si="3"/>
        <v/>
      </c>
    </row>
    <row r="108" spans="12:12">
      <c r="L108" s="50" t="str">
        <f t="shared" si="3"/>
        <v/>
      </c>
    </row>
    <row r="109" spans="12:12">
      <c r="L109" s="50" t="str">
        <f t="shared" si="3"/>
        <v/>
      </c>
    </row>
    <row r="110" spans="12:12">
      <c r="L110" s="50" t="str">
        <f t="shared" si="3"/>
        <v/>
      </c>
    </row>
    <row r="111" spans="12:12">
      <c r="L111" s="50" t="str">
        <f t="shared" si="3"/>
        <v/>
      </c>
    </row>
    <row r="112" spans="12:12">
      <c r="L112" s="50" t="str">
        <f t="shared" si="3"/>
        <v/>
      </c>
    </row>
    <row r="113" spans="12:12">
      <c r="L113" s="50" t="str">
        <f t="shared" si="3"/>
        <v/>
      </c>
    </row>
    <row r="114" spans="12:12">
      <c r="L114" s="50" t="str">
        <f t="shared" si="3"/>
        <v/>
      </c>
    </row>
    <row r="115" spans="12:12">
      <c r="L115" s="50" t="str">
        <f t="shared" si="3"/>
        <v/>
      </c>
    </row>
    <row r="116" spans="12:12">
      <c r="L116" s="50" t="str">
        <f t="shared" si="3"/>
        <v/>
      </c>
    </row>
    <row r="117" spans="12:12">
      <c r="L117" s="50" t="str">
        <f t="shared" si="3"/>
        <v/>
      </c>
    </row>
    <row r="118" spans="12:12">
      <c r="L118" s="50" t="str">
        <f t="shared" si="3"/>
        <v/>
      </c>
    </row>
    <row r="119" spans="12:12">
      <c r="L119" s="50" t="str">
        <f t="shared" si="3"/>
        <v/>
      </c>
    </row>
    <row r="120" spans="12:12">
      <c r="L120" s="50" t="str">
        <f t="shared" si="3"/>
        <v/>
      </c>
    </row>
    <row r="121" spans="12:12">
      <c r="L121" s="50" t="str">
        <f t="shared" si="3"/>
        <v/>
      </c>
    </row>
    <row r="122" spans="12:12">
      <c r="L122" s="50" t="str">
        <f t="shared" si="3"/>
        <v/>
      </c>
    </row>
    <row r="123" spans="12:12">
      <c r="L123" s="50" t="str">
        <f t="shared" si="3"/>
        <v/>
      </c>
    </row>
    <row r="124" spans="12:12">
      <c r="L124" s="50" t="str">
        <f t="shared" si="3"/>
        <v/>
      </c>
    </row>
    <row r="125" spans="12:12">
      <c r="L125" s="50" t="str">
        <f t="shared" si="3"/>
        <v/>
      </c>
    </row>
    <row r="126" spans="12:12">
      <c r="L126" s="50" t="str">
        <f t="shared" si="3"/>
        <v/>
      </c>
    </row>
    <row r="127" spans="12:12">
      <c r="L127" s="50" t="str">
        <f t="shared" si="3"/>
        <v/>
      </c>
    </row>
    <row r="128" spans="12:12">
      <c r="L128" s="50" t="str">
        <f t="shared" si="3"/>
        <v/>
      </c>
    </row>
    <row r="129" spans="12:12">
      <c r="L129" s="50" t="str">
        <f t="shared" si="3"/>
        <v/>
      </c>
    </row>
    <row r="130" spans="12:12">
      <c r="L130" s="50" t="str">
        <f t="shared" si="3"/>
        <v/>
      </c>
    </row>
    <row r="131" spans="12:12">
      <c r="L131" s="50" t="str">
        <f t="shared" ref="L131:L162" si="4">IF(OR(LEFT(H131,7)="http://",LEFT(H131,8)="https://"),HYPERLINK(H131,"查看图片"),"")</f>
        <v/>
      </c>
    </row>
    <row r="132" spans="12:12">
      <c r="L132" s="50" t="str">
        <f t="shared" si="4"/>
        <v/>
      </c>
    </row>
    <row r="133" spans="12:12">
      <c r="L133" s="50" t="str">
        <f t="shared" si="4"/>
        <v/>
      </c>
    </row>
    <row r="134" spans="12:12">
      <c r="L134" s="50" t="str">
        <f t="shared" si="4"/>
        <v/>
      </c>
    </row>
    <row r="135" spans="12:12">
      <c r="L135" s="50" t="str">
        <f t="shared" si="4"/>
        <v/>
      </c>
    </row>
    <row r="136" spans="12:12">
      <c r="L136" s="50" t="str">
        <f t="shared" si="4"/>
        <v/>
      </c>
    </row>
    <row r="137" spans="12:12">
      <c r="L137" s="50" t="str">
        <f t="shared" si="4"/>
        <v/>
      </c>
    </row>
    <row r="138" spans="12:12">
      <c r="L138" s="50" t="str">
        <f t="shared" si="4"/>
        <v/>
      </c>
    </row>
    <row r="139" spans="12:12">
      <c r="L139" s="50" t="str">
        <f t="shared" si="4"/>
        <v/>
      </c>
    </row>
    <row r="140" spans="12:12">
      <c r="L140" s="50" t="str">
        <f t="shared" si="4"/>
        <v/>
      </c>
    </row>
    <row r="141" spans="12:12">
      <c r="L141" s="50" t="str">
        <f t="shared" si="4"/>
        <v/>
      </c>
    </row>
    <row r="142" spans="12:12">
      <c r="L142" s="50" t="str">
        <f t="shared" si="4"/>
        <v/>
      </c>
    </row>
    <row r="143" spans="12:12">
      <c r="L143" s="50" t="str">
        <f t="shared" si="4"/>
        <v/>
      </c>
    </row>
    <row r="144" spans="12:12">
      <c r="L144" s="50" t="str">
        <f t="shared" si="4"/>
        <v/>
      </c>
    </row>
    <row r="145" spans="12:12">
      <c r="L145" s="50" t="str">
        <f t="shared" si="4"/>
        <v/>
      </c>
    </row>
    <row r="146" spans="12:12">
      <c r="L146" s="50" t="str">
        <f t="shared" si="4"/>
        <v/>
      </c>
    </row>
    <row r="147" spans="12:12">
      <c r="L147" s="50" t="str">
        <f t="shared" si="4"/>
        <v/>
      </c>
    </row>
    <row r="148" spans="12:12">
      <c r="L148" s="50" t="str">
        <f t="shared" si="4"/>
        <v/>
      </c>
    </row>
    <row r="149" spans="12:12">
      <c r="L149" s="50" t="str">
        <f t="shared" si="4"/>
        <v/>
      </c>
    </row>
    <row r="150" spans="12:12">
      <c r="L150" s="50" t="str">
        <f t="shared" si="4"/>
        <v/>
      </c>
    </row>
    <row r="151" spans="12:12">
      <c r="L151" s="50" t="str">
        <f t="shared" si="4"/>
        <v/>
      </c>
    </row>
    <row r="152" spans="12:12">
      <c r="L152" s="50" t="str">
        <f t="shared" si="4"/>
        <v/>
      </c>
    </row>
    <row r="153" spans="12:12">
      <c r="L153" s="50" t="str">
        <f t="shared" si="4"/>
        <v/>
      </c>
    </row>
    <row r="154" spans="12:12">
      <c r="L154" s="50" t="str">
        <f t="shared" si="4"/>
        <v/>
      </c>
    </row>
    <row r="155" spans="12:12">
      <c r="L155" s="50" t="str">
        <f t="shared" si="4"/>
        <v/>
      </c>
    </row>
    <row r="156" spans="12:12">
      <c r="L156" s="50" t="str">
        <f t="shared" si="4"/>
        <v/>
      </c>
    </row>
    <row r="157" spans="12:12">
      <c r="L157" s="50" t="str">
        <f t="shared" si="4"/>
        <v/>
      </c>
    </row>
    <row r="158" spans="12:12">
      <c r="L158" s="50" t="str">
        <f t="shared" si="4"/>
        <v/>
      </c>
    </row>
    <row r="159" spans="12:12">
      <c r="L159" s="50" t="str">
        <f t="shared" si="4"/>
        <v/>
      </c>
    </row>
    <row r="160" spans="12:12">
      <c r="L160" s="50" t="str">
        <f t="shared" si="4"/>
        <v/>
      </c>
    </row>
    <row r="161" spans="12:12">
      <c r="L161" s="50" t="str">
        <f t="shared" si="4"/>
        <v/>
      </c>
    </row>
    <row r="162" spans="12:12">
      <c r="L162" s="50" t="str">
        <f t="shared" si="4"/>
        <v/>
      </c>
    </row>
    <row r="163" spans="12:12">
      <c r="L163" s="50" t="str">
        <f t="shared" ref="L163:L183" si="5">IF(OR(LEFT(H163,7)="http://",LEFT(H163,8)="https://"),HYPERLINK(H163,"查看图片"),"")</f>
        <v/>
      </c>
    </row>
    <row r="164" spans="12:12">
      <c r="L164" s="50" t="str">
        <f t="shared" si="5"/>
        <v/>
      </c>
    </row>
    <row r="165" spans="12:12">
      <c r="L165" s="50" t="str">
        <f t="shared" si="5"/>
        <v/>
      </c>
    </row>
    <row r="166" spans="12:12">
      <c r="L166" s="50" t="str">
        <f t="shared" si="5"/>
        <v/>
      </c>
    </row>
    <row r="167" spans="12:12">
      <c r="L167" s="50" t="str">
        <f t="shared" si="5"/>
        <v/>
      </c>
    </row>
    <row r="168" spans="12:12">
      <c r="L168" s="50" t="str">
        <f t="shared" si="5"/>
        <v/>
      </c>
    </row>
    <row r="169" spans="12:12">
      <c r="L169" s="50" t="str">
        <f t="shared" si="5"/>
        <v/>
      </c>
    </row>
    <row r="170" spans="12:12">
      <c r="L170" s="50" t="str">
        <f t="shared" si="5"/>
        <v/>
      </c>
    </row>
    <row r="171" spans="12:12">
      <c r="L171" s="50" t="str">
        <f t="shared" si="5"/>
        <v/>
      </c>
    </row>
    <row r="172" spans="12:12">
      <c r="L172" s="50" t="str">
        <f t="shared" si="5"/>
        <v/>
      </c>
    </row>
    <row r="173" spans="12:12">
      <c r="L173" s="50" t="str">
        <f t="shared" si="5"/>
        <v/>
      </c>
    </row>
    <row r="174" spans="12:12">
      <c r="L174" s="50" t="str">
        <f t="shared" si="5"/>
        <v/>
      </c>
    </row>
    <row r="175" spans="12:12">
      <c r="L175" s="50" t="str">
        <f t="shared" si="5"/>
        <v/>
      </c>
    </row>
    <row r="176" spans="12:12">
      <c r="L176" s="50" t="str">
        <f t="shared" si="5"/>
        <v/>
      </c>
    </row>
    <row r="177" spans="12:12">
      <c r="L177" s="50" t="str">
        <f t="shared" si="5"/>
        <v/>
      </c>
    </row>
    <row r="178" spans="12:12">
      <c r="L178" s="50" t="str">
        <f t="shared" si="5"/>
        <v/>
      </c>
    </row>
    <row r="179" spans="12:12">
      <c r="L179" s="50" t="str">
        <f t="shared" si="5"/>
        <v/>
      </c>
    </row>
    <row r="180" spans="12:12">
      <c r="L180" s="50" t="str">
        <f t="shared" si="5"/>
        <v/>
      </c>
    </row>
    <row r="181" spans="12:12">
      <c r="L181" s="50" t="str">
        <f t="shared" si="5"/>
        <v/>
      </c>
    </row>
    <row r="182" spans="12:12">
      <c r="L182" s="50" t="str">
        <f t="shared" si="5"/>
        <v/>
      </c>
    </row>
    <row r="183" spans="12:12">
      <c r="L183" s="50" t="str">
        <f t="shared" si="5"/>
        <v/>
      </c>
    </row>
  </sheetData>
  <sheetProtection sheet="1" objects="1"/>
  <mergeCells count="1">
    <mergeCell ref="A1:J1"/>
  </mergeCells>
  <conditionalFormatting sqref="F2:F1048576">
    <cfRule type="duplicateValues" dxfId="0" priority="1"/>
  </conditionalFormatting>
  <conditionalFormatting sqref="A1 K1:XFD1 $A2:$XFD1048576">
    <cfRule type="notContainsBlanks" dxfId="1" priority="4">
      <formula>LEN(TRIM(A1))&gt;0</formula>
    </cfRule>
  </conditionalFormatting>
  <conditionalFormatting sqref="A2:J100">
    <cfRule type="expression" dxfId="2" priority="2">
      <formula>IF($I2="否",TRUE)</formula>
    </cfRule>
    <cfRule type="expression" dxfId="3" priority="3">
      <formula>IF($I2="是",TRUE)</formula>
    </cfRule>
  </conditionalFormatting>
  <dataValidations count="2">
    <dataValidation type="list" allowBlank="1" showInputMessage="1" showErrorMessage="1" sqref="A1:J1">
      <formula1>代码!$A2:$A100</formula1>
    </dataValidation>
    <dataValidation type="list" allowBlank="1" showInputMessage="1" showErrorMessage="1" sqref="I2:I1048576">
      <formula1>代码!$E$2:$E$3</formula1>
    </dataValidation>
  </dataValidations>
  <hyperlinks>
    <hyperlink ref="H3" r:id="rId1" display="=SORT(FILTER(代码!I2:P500,LEN(代码!N2:N500)&gt;0),6,1)"/>
    <hyperlink ref="H4" r:id="rId2"/>
    <hyperlink ref="H5" r:id="rId3"/>
    <hyperlink ref="H6" r:id="rId4"/>
    <hyperlink ref="H7" r:id="rId5"/>
    <hyperlink ref="H8" r:id="rId6"/>
    <hyperlink ref="H12" r:id="rId7"/>
    <hyperlink ref="H15" r:id="rId8"/>
    <hyperlink ref="H16" r:id="rId9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D8"/>
  <sheetViews>
    <sheetView workbookViewId="0">
      <selection activeCell="A1" sqref="A1:B1"/>
    </sheetView>
  </sheetViews>
  <sheetFormatPr defaultColWidth="68.1916666666667" defaultRowHeight="17.6" outlineLevelRow="7" outlineLevelCol="3"/>
  <cols>
    <col min="1" max="2" width="68.1916666666667" style="31" customWidth="1"/>
    <col min="3" max="3" width="5.275" style="31" customWidth="1"/>
    <col min="4" max="16384" width="68.1916666666667" style="31" customWidth="1"/>
  </cols>
  <sheetData>
    <row r="1" ht="51.2" spans="1:4">
      <c r="A1" s="32" t="str">
        <f>代码!G1</f>
        <v>苏州盛博广场冷链化冻核实:</v>
      </c>
      <c r="B1" s="32"/>
    </row>
    <row r="2" ht="34.4" spans="1:4">
      <c r="A2" s="33" t="s">
        <v>32</v>
      </c>
      <c r="B2" s="34" vm="1" t="e">
        <v>#VALUE!</v>
      </c>
      <c r="D2" s="31" t="s">
        <v>33</v>
      </c>
    </row>
    <row r="3" ht="34.4" spans="1:4">
      <c r="A3" s="33" t="s">
        <v>34</v>
      </c>
      <c r="B3" s="35" vm="2" t="e" cm="1">
        <f t="array" ref="B3">_xlfn.LET(_xlpm.lookup_value,B2,_xlpm.search_array,问单数据源!BG:BG,_xlpm.condition_array,问单数据源!H:H,_xlpm.return_array,问单数据源!N:N,_xlpm.matches,_xlfn._xlws.FILTER(_xlpm.return_array,(_xlpm.search_array=_xlpm.lookup_value)*(_xlpm.condition_array="冷链商品化冻"),""),_xlfn.TEXTJOIN(CHAR(10),TRUE,_xlpm.matches))</f>
        <v>#VALUE!</v>
      </c>
      <c r="D3" s="31" t="s">
        <v>35</v>
      </c>
    </row>
    <row r="4" ht="34.4" spans="1:4">
      <c r="A4" s="33" t="s">
        <v>36</v>
      </c>
      <c r="B4" s="34"/>
      <c r="D4" s="31" t="s">
        <v>37</v>
      </c>
    </row>
    <row r="5" ht="34.4" spans="1:4">
      <c r="A5" s="33" t="s">
        <v>38</v>
      </c>
      <c r="B5" s="34"/>
    </row>
    <row r="6" ht="34.4" spans="1:4">
      <c r="A6" s="33" t="s">
        <v>39</v>
      </c>
      <c r="B6" s="34"/>
    </row>
    <row r="7" ht="34.4" spans="1:4">
      <c r="A7" s="33" t="s">
        <v>40</v>
      </c>
      <c r="B7" s="34"/>
    </row>
    <row r="8" ht="34.4" spans="1:4">
      <c r="A8" s="33" t="s">
        <v>41</v>
      </c>
      <c r="B8" s="36"/>
    </row>
  </sheetData>
  <sheetProtection sheet="1" objects="1"/>
  <mergeCells count="1">
    <mergeCell ref="A1:B1"/>
  </mergeCells>
  <conditionalFormatting sqref="B2">
    <cfRule type="containsBlanks" dxfId="4" priority="3">
      <formula>LEN(TRIM(B2))=0</formula>
    </cfRule>
  </conditionalFormatting>
  <conditionalFormatting sqref="B2:B8">
    <cfRule type="containsText" dxfId="5" priority="6" operator="between" text="有责">
      <formula>NOT(ISERROR(SEARCH("有责",B2)))</formula>
    </cfRule>
  </conditionalFormatting>
  <conditionalFormatting sqref="B4:B8">
    <cfRule type="containsBlanks" dxfId="4" priority="4">
      <formula>LEN(TRIM(B4))=0</formula>
    </cfRule>
  </conditionalFormatting>
  <conditionalFormatting sqref="A1 A2:B8">
    <cfRule type="notContainsBlanks" dxfId="1" priority="5">
      <formula>LEN(TRIM(A1))&gt;0</formula>
    </cfRule>
  </conditionalFormatting>
  <conditionalFormatting sqref="A6:B7">
    <cfRule type="expression" dxfId="5" priority="1">
      <formula>IF($B6="不规范",TRUE)</formula>
    </cfRule>
  </conditionalFormatting>
  <dataValidations count="4">
    <dataValidation type="list" allowBlank="1" showInputMessage="1" showErrorMessage="1" sqref="B2">
      <formula1>代码!$B2:$B100</formula1>
    </dataValidation>
    <dataValidation type="list" allowBlank="1" showInputMessage="1" showErrorMessage="1" sqref="B4">
      <formula1>代码!$D$2:$D$5</formula1>
    </dataValidation>
    <dataValidation type="list" allowBlank="1" showInputMessage="1" showErrorMessage="1" sqref="B5">
      <formula1>代码!$E$2:$E$3</formula1>
    </dataValidation>
    <dataValidation type="list" allowBlank="1" showInputMessage="1" showErrorMessage="1" sqref="B6:B7">
      <formula1>代码!$F$2:$F$3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BZ873"/>
  <sheetViews>
    <sheetView workbookViewId="0">
      <selection activeCell="A1" sqref="A1"/>
    </sheetView>
  </sheetViews>
  <sheetFormatPr defaultColWidth="133.75" defaultRowHeight="17.6"/>
  <cols>
    <col min="1" max="2" width="8.93333333333333" style="26" customWidth="1"/>
    <col min="3" max="3" width="14.2" style="26" customWidth="1"/>
    <col min="4" max="4" width="8.83333333333333" style="26" customWidth="1"/>
    <col min="5" max="5" width="11.8666666666667" style="26" customWidth="1"/>
    <col min="6" max="7" width="8.83333333333333" style="26" customWidth="1"/>
    <col min="8" max="9" width="16.8333333333333" style="26" customWidth="1"/>
    <col min="10" max="10" width="15.8333333333333" style="26" customWidth="1"/>
    <col min="11" max="11" width="21.8333333333333" style="26" customWidth="1"/>
    <col min="12" max="12" width="26.8333333333333" style="26" customWidth="1"/>
    <col min="13" max="13" width="11.8666666666667" style="26" customWidth="1"/>
    <col min="14" max="14" width="57.1666666666667" style="26" customWidth="1"/>
    <col min="15" max="15" width="20.8333333333333" style="26" customWidth="1"/>
    <col min="16" max="16" width="132.833333333333" style="26" customWidth="1"/>
    <col min="17" max="17" width="76.1666666666667" style="26" customWidth="1"/>
    <col min="18" max="19" width="12.8333333333333" style="26" customWidth="1"/>
    <col min="20" max="20" width="108.333333333333" style="26" customWidth="1"/>
    <col min="21" max="21" width="20.8333333333333" style="26" customWidth="1"/>
    <col min="22" max="22" width="15" style="26" customWidth="1"/>
    <col min="23" max="23" width="32.8333333333333" style="26" customWidth="1"/>
    <col min="24" max="24" width="12.8333333333333" style="26" customWidth="1"/>
    <col min="25" max="25" width="16.8333333333333" style="26" customWidth="1"/>
    <col min="26" max="26" width="23.3333333333333" style="26" customWidth="1"/>
    <col min="27" max="27" width="10.8333333333333" style="26" customWidth="1"/>
    <col min="28" max="28" width="16.8333333333333" style="26" customWidth="1"/>
    <col min="29" max="29" width="10.5" style="26" customWidth="1"/>
    <col min="30" max="30" width="59.3333333333333" style="26" customWidth="1"/>
    <col min="31" max="31" width="10.8333333333333" style="26" customWidth="1"/>
    <col min="32" max="32" width="12.8333333333333" style="26" customWidth="1"/>
    <col min="33" max="33" width="11.8666666666667" style="26" customWidth="1"/>
    <col min="34" max="34" width="19.6666666666667" style="26" customWidth="1"/>
    <col min="35" max="35" width="16.8333333333333" style="26" customWidth="1"/>
    <col min="36" max="36" width="12.8333333333333" style="26" customWidth="1"/>
    <col min="37" max="37" width="16.8333333333333" style="26" customWidth="1"/>
    <col min="38" max="38" width="10.8333333333333" style="26" customWidth="1"/>
    <col min="39" max="39" width="12.8333333333333" style="26" customWidth="1"/>
    <col min="40" max="40" width="30.8333333333333" style="26" customWidth="1"/>
    <col min="41" max="41" width="8.83333333333333" style="26" customWidth="1"/>
    <col min="42" max="45" width="18.5" style="26" customWidth="1"/>
    <col min="46" max="46" width="36.8333333333333" style="26" customWidth="1"/>
    <col min="47" max="47" width="18.3333333333333" style="26" customWidth="1"/>
    <col min="48" max="48" width="15.6666666666667" style="26" customWidth="1"/>
    <col min="49" max="49" width="17.5" style="26" customWidth="1"/>
    <col min="50" max="53" width="12.8333333333333" style="26" customWidth="1"/>
    <col min="54" max="54" width="8.83333333333333" style="26" customWidth="1"/>
    <col min="55" max="55" width="14.8333333333333" style="26" customWidth="1"/>
    <col min="56" max="57" width="8.83333333333333" style="26" customWidth="1"/>
    <col min="58" max="58" width="6.83333333333333" style="26" customWidth="1"/>
    <col min="59" max="59" width="17.5" style="26" customWidth="1"/>
    <col min="60" max="60" width="6.83333333333333" style="26" customWidth="1"/>
    <col min="61" max="61" width="8.83333333333333" style="26" customWidth="1"/>
    <col min="62" max="62" width="10.8333333333333" style="26" customWidth="1"/>
    <col min="63" max="63" width="8.83333333333333" style="26" customWidth="1"/>
    <col min="64" max="64" width="9.86666666666667" style="26" customWidth="1"/>
    <col min="65" max="65" width="8.83333333333333" style="26" customWidth="1"/>
    <col min="66" max="66" width="9.86666666666667" style="26" customWidth="1"/>
    <col min="67" max="67" width="8" style="26" customWidth="1"/>
    <col min="68" max="69" width="8.83333333333333" style="26" customWidth="1"/>
    <col min="70" max="75" width="14.2" style="26" customWidth="1"/>
    <col min="76" max="76" width="8.83333333333333" style="26" customWidth="1"/>
    <col min="77" max="78" width="12.8333333333333" style="26" customWidth="1"/>
    <col min="79" max="16384" width="133.75" style="27" customWidth="1"/>
  </cols>
  <sheetData>
    <row r="1" s="26" customFormat="1" spans="1:78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</row>
    <row r="2" s="27" customFormat="1" spans="1:78">
      <c r="A2" s="28"/>
      <c r="B2" s="28"/>
      <c r="C2" s="29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30"/>
      <c r="AQ2" s="30"/>
      <c r="AR2" s="30"/>
      <c r="AS2" s="30"/>
      <c r="AT2" s="28"/>
      <c r="AU2" s="28"/>
      <c r="AV2" s="28"/>
      <c r="AW2" s="30"/>
      <c r="AX2" s="28"/>
      <c r="AY2" s="28"/>
      <c r="AZ2" s="28"/>
      <c r="BA2" s="28"/>
      <c r="BB2" s="28"/>
      <c r="BC2" s="28"/>
      <c r="BD2" s="28"/>
      <c r="BE2" s="28"/>
      <c r="BF2" s="28"/>
      <c r="BG2" s="30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9"/>
      <c r="BS2" s="29"/>
      <c r="BT2" s="29"/>
      <c r="BU2" s="29"/>
      <c r="BV2" s="29"/>
      <c r="BW2" s="28"/>
      <c r="BX2" s="28"/>
      <c r="BY2" s="28"/>
      <c r="BZ2" s="28"/>
    </row>
    <row r="3" s="27" customFormat="1" spans="1:78">
      <c r="A3" s="28"/>
      <c r="B3" s="28"/>
      <c r="C3" s="29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30"/>
      <c r="AQ3" s="30"/>
      <c r="AR3" s="30"/>
      <c r="AS3" s="30"/>
      <c r="AT3" s="28"/>
      <c r="AU3" s="28"/>
      <c r="AV3" s="28"/>
      <c r="AW3" s="30"/>
      <c r="AX3" s="28"/>
      <c r="AY3" s="28"/>
      <c r="AZ3" s="28"/>
      <c r="BA3" s="28"/>
      <c r="BB3" s="28"/>
      <c r="BC3" s="28"/>
      <c r="BD3" s="28"/>
      <c r="BE3" s="28"/>
      <c r="BF3" s="28"/>
      <c r="BG3" s="30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9"/>
      <c r="BS3" s="29"/>
      <c r="BT3" s="29"/>
      <c r="BU3" s="29"/>
      <c r="BV3" s="29"/>
      <c r="BW3" s="29"/>
      <c r="BX3" s="28"/>
      <c r="BY3" s="28"/>
      <c r="BZ3" s="28"/>
    </row>
    <row r="4" s="27" customFormat="1" spans="1:78">
      <c r="A4" s="28"/>
      <c r="B4" s="28"/>
      <c r="C4" s="29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30"/>
      <c r="AQ4" s="30"/>
      <c r="AR4" s="30"/>
      <c r="AS4" s="30"/>
      <c r="AT4" s="28"/>
      <c r="AU4" s="28"/>
      <c r="AV4" s="28"/>
      <c r="AW4" s="30"/>
      <c r="AX4" s="28"/>
      <c r="AY4" s="28"/>
      <c r="AZ4" s="28"/>
      <c r="BA4" s="28"/>
      <c r="BB4" s="28"/>
      <c r="BC4" s="28"/>
      <c r="BD4" s="28"/>
      <c r="BE4" s="28"/>
      <c r="BF4" s="28"/>
      <c r="BG4" s="30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9"/>
      <c r="BS4" s="29"/>
      <c r="BT4" s="29"/>
      <c r="BU4" s="29"/>
      <c r="BV4" s="29"/>
      <c r="BW4" s="28"/>
      <c r="BX4" s="28"/>
      <c r="BY4" s="28"/>
      <c r="BZ4" s="28"/>
    </row>
    <row r="5" s="27" customFormat="1" spans="1:78">
      <c r="A5" s="28"/>
      <c r="B5" s="28"/>
      <c r="C5" s="29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30"/>
      <c r="AQ5" s="30"/>
      <c r="AR5" s="30"/>
      <c r="AS5" s="30"/>
      <c r="AT5" s="28"/>
      <c r="AU5" s="28"/>
      <c r="AV5" s="28"/>
      <c r="AW5" s="30"/>
      <c r="AX5" s="28"/>
      <c r="AY5" s="28"/>
      <c r="AZ5" s="28"/>
      <c r="BA5" s="28"/>
      <c r="BB5" s="28"/>
      <c r="BC5" s="28"/>
      <c r="BD5" s="28"/>
      <c r="BE5" s="28"/>
      <c r="BF5" s="28"/>
      <c r="BG5" s="30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9"/>
      <c r="BS5" s="29"/>
      <c r="BT5" s="29"/>
      <c r="BU5" s="29"/>
      <c r="BV5" s="29"/>
      <c r="BW5" s="29"/>
      <c r="BX5" s="28"/>
      <c r="BY5" s="28"/>
      <c r="BZ5" s="28"/>
    </row>
    <row r="6" s="27" customFormat="1" spans="1:78">
      <c r="A6" s="28"/>
      <c r="B6" s="28"/>
      <c r="C6" s="29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30"/>
      <c r="AQ6" s="30"/>
      <c r="AR6" s="30"/>
      <c r="AS6" s="30"/>
      <c r="AT6" s="28"/>
      <c r="AU6" s="28"/>
      <c r="AV6" s="28"/>
      <c r="AW6" s="30"/>
      <c r="AX6" s="28"/>
      <c r="AY6" s="28"/>
      <c r="AZ6" s="28"/>
      <c r="BA6" s="28"/>
      <c r="BB6" s="28"/>
      <c r="BC6" s="28"/>
      <c r="BD6" s="28"/>
      <c r="BE6" s="28"/>
      <c r="BF6" s="28"/>
      <c r="BG6" s="30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9"/>
      <c r="BS6" s="29"/>
      <c r="BT6" s="29"/>
      <c r="BU6" s="29"/>
      <c r="BV6" s="29"/>
      <c r="BW6" s="29"/>
      <c r="BX6" s="28"/>
      <c r="BY6" s="28"/>
      <c r="BZ6" s="28"/>
    </row>
    <row r="7" s="27" customFormat="1" spans="1:78">
      <c r="A7" s="28"/>
      <c r="B7" s="28"/>
      <c r="C7" s="29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30"/>
      <c r="AQ7" s="30"/>
      <c r="AR7" s="30"/>
      <c r="AS7" s="30"/>
      <c r="AT7" s="28"/>
      <c r="AU7" s="28"/>
      <c r="AV7" s="28"/>
      <c r="AW7" s="30"/>
      <c r="AX7" s="28"/>
      <c r="AY7" s="28"/>
      <c r="AZ7" s="28"/>
      <c r="BA7" s="28"/>
      <c r="BB7" s="28"/>
      <c r="BC7" s="28"/>
      <c r="BD7" s="28"/>
      <c r="BE7" s="28"/>
      <c r="BF7" s="28"/>
      <c r="BG7" s="30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9"/>
      <c r="BS7" s="29"/>
      <c r="BT7" s="29"/>
      <c r="BU7" s="29"/>
      <c r="BV7" s="29"/>
      <c r="BW7" s="29"/>
      <c r="BX7" s="28"/>
      <c r="BY7" s="28"/>
      <c r="BZ7" s="28"/>
    </row>
    <row r="8" s="27" customFormat="1" spans="1:78">
      <c r="A8" s="28"/>
      <c r="B8" s="28"/>
      <c r="C8" s="29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30"/>
      <c r="AQ8" s="30"/>
      <c r="AR8" s="30"/>
      <c r="AS8" s="30"/>
      <c r="AT8" s="28"/>
      <c r="AU8" s="28"/>
      <c r="AV8" s="28"/>
      <c r="AW8" s="30"/>
      <c r="AX8" s="28"/>
      <c r="AY8" s="28"/>
      <c r="AZ8" s="28"/>
      <c r="BA8" s="28"/>
      <c r="BB8" s="28"/>
      <c r="BC8" s="28"/>
      <c r="BD8" s="28"/>
      <c r="BE8" s="28"/>
      <c r="BF8" s="28"/>
      <c r="BG8" s="30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9"/>
      <c r="BS8" s="29"/>
      <c r="BT8" s="28"/>
      <c r="BU8" s="28"/>
      <c r="BV8" s="29"/>
      <c r="BW8" s="28"/>
      <c r="BX8" s="28"/>
      <c r="BY8" s="28"/>
      <c r="BZ8" s="28"/>
    </row>
    <row r="9" s="27" customFormat="1" spans="1:78">
      <c r="A9" s="28"/>
      <c r="B9" s="28"/>
      <c r="C9" s="29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30"/>
      <c r="AQ9" s="30"/>
      <c r="AR9" s="30"/>
      <c r="AS9" s="30"/>
      <c r="AT9" s="28"/>
      <c r="AU9" s="28"/>
      <c r="AV9" s="28"/>
      <c r="AW9" s="30"/>
      <c r="AX9" s="28"/>
      <c r="AY9" s="28"/>
      <c r="AZ9" s="28"/>
      <c r="BA9" s="28"/>
      <c r="BB9" s="28"/>
      <c r="BC9" s="28"/>
      <c r="BD9" s="28"/>
      <c r="BE9" s="28"/>
      <c r="BF9" s="28"/>
      <c r="BG9" s="30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9"/>
      <c r="BS9" s="29"/>
      <c r="BT9" s="29"/>
      <c r="BU9" s="29"/>
      <c r="BV9" s="29"/>
      <c r="BW9" s="29"/>
      <c r="BX9" s="28"/>
      <c r="BY9" s="28"/>
      <c r="BZ9" s="28"/>
    </row>
    <row r="10" s="27" customFormat="1" spans="1:78">
      <c r="A10" s="28"/>
      <c r="B10" s="28"/>
      <c r="C10" s="29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30"/>
      <c r="AQ10" s="30"/>
      <c r="AR10" s="30"/>
      <c r="AS10" s="30"/>
      <c r="AT10" s="28"/>
      <c r="AU10" s="28"/>
      <c r="AV10" s="28"/>
      <c r="AW10" s="30"/>
      <c r="AX10" s="28"/>
      <c r="AY10" s="28"/>
      <c r="AZ10" s="28"/>
      <c r="BA10" s="28"/>
      <c r="BB10" s="28"/>
      <c r="BC10" s="28"/>
      <c r="BD10" s="28"/>
      <c r="BE10" s="28"/>
      <c r="BF10" s="28"/>
      <c r="BG10" s="30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9"/>
      <c r="BS10" s="29"/>
      <c r="BT10" s="29"/>
      <c r="BU10" s="28"/>
      <c r="BV10" s="29"/>
      <c r="BW10" s="28"/>
      <c r="BX10" s="28"/>
      <c r="BY10" s="28"/>
      <c r="BZ10" s="28"/>
    </row>
    <row r="11" s="27" customFormat="1" spans="1:78">
      <c r="A11" s="28"/>
      <c r="B11" s="28"/>
      <c r="C11" s="29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30"/>
      <c r="AQ11" s="30"/>
      <c r="AR11" s="30"/>
      <c r="AS11" s="30"/>
      <c r="AT11" s="28"/>
      <c r="AU11" s="28"/>
      <c r="AV11" s="28"/>
      <c r="AW11" s="30"/>
      <c r="AX11" s="28"/>
      <c r="AY11" s="28"/>
      <c r="AZ11" s="28"/>
      <c r="BA11" s="28"/>
      <c r="BB11" s="28"/>
      <c r="BC11" s="28"/>
      <c r="BD11" s="28"/>
      <c r="BE11" s="28"/>
      <c r="BF11" s="28"/>
      <c r="BG11" s="30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9"/>
      <c r="BS11" s="29"/>
      <c r="BT11" s="29"/>
      <c r="BU11" s="29"/>
      <c r="BV11" s="29"/>
      <c r="BW11" s="29"/>
      <c r="BX11" s="28"/>
      <c r="BY11" s="28"/>
      <c r="BZ11" s="28"/>
    </row>
    <row r="12" s="27" customFormat="1" spans="1:78">
      <c r="A12" s="28"/>
      <c r="B12" s="28"/>
      <c r="C12" s="29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30"/>
      <c r="AQ12" s="30"/>
      <c r="AR12" s="30"/>
      <c r="AS12" s="30"/>
      <c r="AT12" s="28"/>
      <c r="AU12" s="28"/>
      <c r="AV12" s="28"/>
      <c r="AW12" s="30"/>
      <c r="AX12" s="28"/>
      <c r="AY12" s="28"/>
      <c r="AZ12" s="28"/>
      <c r="BA12" s="28"/>
      <c r="BB12" s="28"/>
      <c r="BC12" s="28"/>
      <c r="BD12" s="28"/>
      <c r="BE12" s="28"/>
      <c r="BF12" s="28"/>
      <c r="BG12" s="30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9"/>
      <c r="BS12" s="29"/>
      <c r="BT12" s="29"/>
      <c r="BU12" s="29"/>
      <c r="BV12" s="29"/>
      <c r="BW12" s="29"/>
      <c r="BX12" s="28"/>
      <c r="BY12" s="28"/>
      <c r="BZ12" s="28"/>
    </row>
    <row r="13" s="27" customFormat="1" spans="1:78">
      <c r="A13" s="28"/>
      <c r="B13" s="28"/>
      <c r="C13" s="29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30"/>
      <c r="AQ13" s="30"/>
      <c r="AR13" s="30"/>
      <c r="AS13" s="30"/>
      <c r="AT13" s="28"/>
      <c r="AU13" s="28"/>
      <c r="AV13" s="28"/>
      <c r="AW13" s="30"/>
      <c r="AX13" s="28"/>
      <c r="AY13" s="28"/>
      <c r="AZ13" s="28"/>
      <c r="BA13" s="28"/>
      <c r="BB13" s="28"/>
      <c r="BC13" s="28"/>
      <c r="BD13" s="28"/>
      <c r="BE13" s="28"/>
      <c r="BF13" s="28"/>
      <c r="BG13" s="30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9"/>
      <c r="BS13" s="29"/>
      <c r="BT13" s="29"/>
      <c r="BU13" s="29"/>
      <c r="BV13" s="29"/>
      <c r="BW13" s="29"/>
      <c r="BX13" s="28"/>
      <c r="BY13" s="28"/>
      <c r="BZ13" s="28"/>
    </row>
    <row r="14" s="27" customFormat="1" spans="1:78">
      <c r="A14" s="28"/>
      <c r="B14" s="28"/>
      <c r="C14" s="29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30"/>
      <c r="AQ14" s="30"/>
      <c r="AR14" s="30"/>
      <c r="AS14" s="30"/>
      <c r="AT14" s="28"/>
      <c r="AU14" s="28"/>
      <c r="AV14" s="28"/>
      <c r="AW14" s="30"/>
      <c r="AX14" s="28"/>
      <c r="AY14" s="28"/>
      <c r="AZ14" s="28"/>
      <c r="BA14" s="28"/>
      <c r="BB14" s="28"/>
      <c r="BC14" s="28"/>
      <c r="BD14" s="28"/>
      <c r="BE14" s="28"/>
      <c r="BF14" s="28"/>
      <c r="BG14" s="30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9"/>
      <c r="BS14" s="29"/>
      <c r="BT14" s="29"/>
      <c r="BU14" s="28"/>
      <c r="BV14" s="29"/>
      <c r="BW14" s="28"/>
      <c r="BX14" s="28"/>
      <c r="BY14" s="28"/>
      <c r="BZ14" s="28"/>
    </row>
    <row r="15" s="27" customFormat="1" spans="1:78">
      <c r="A15" s="28"/>
      <c r="B15" s="28"/>
      <c r="C15" s="29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30"/>
      <c r="AQ15" s="30"/>
      <c r="AR15" s="30"/>
      <c r="AS15" s="30"/>
      <c r="AT15" s="28"/>
      <c r="AU15" s="28"/>
      <c r="AV15" s="28"/>
      <c r="AW15" s="30"/>
      <c r="AX15" s="28"/>
      <c r="AY15" s="28"/>
      <c r="AZ15" s="28"/>
      <c r="BA15" s="28"/>
      <c r="BB15" s="28"/>
      <c r="BC15" s="28"/>
      <c r="BD15" s="28"/>
      <c r="BE15" s="28"/>
      <c r="BF15" s="28"/>
      <c r="BG15" s="30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9"/>
      <c r="BS15" s="29"/>
      <c r="BT15" s="28"/>
      <c r="BU15" s="28"/>
      <c r="BV15" s="29"/>
      <c r="BW15" s="28"/>
      <c r="BX15" s="28"/>
      <c r="BY15" s="28"/>
      <c r="BZ15" s="28"/>
    </row>
    <row r="16" s="27" customFormat="1" spans="1:78">
      <c r="A16" s="28"/>
      <c r="B16" s="28"/>
      <c r="C16" s="29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30"/>
      <c r="AQ16" s="30"/>
      <c r="AR16" s="30"/>
      <c r="AS16" s="30"/>
      <c r="AT16" s="28"/>
      <c r="AU16" s="28"/>
      <c r="AV16" s="28"/>
      <c r="AW16" s="30"/>
      <c r="AX16" s="28"/>
      <c r="AY16" s="28"/>
      <c r="AZ16" s="28"/>
      <c r="BA16" s="28"/>
      <c r="BB16" s="28"/>
      <c r="BC16" s="28"/>
      <c r="BD16" s="28"/>
      <c r="BE16" s="28"/>
      <c r="BF16" s="28"/>
      <c r="BG16" s="30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9"/>
      <c r="BS16" s="29"/>
      <c r="BT16" s="29"/>
      <c r="BU16" s="29"/>
      <c r="BV16" s="29"/>
      <c r="BW16" s="29"/>
      <c r="BX16" s="28"/>
      <c r="BY16" s="28"/>
      <c r="BZ16" s="28"/>
    </row>
    <row r="17" s="27" customFormat="1" spans="1:78">
      <c r="A17" s="28"/>
      <c r="B17" s="28"/>
      <c r="C17" s="29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30"/>
      <c r="AQ17" s="30"/>
      <c r="AR17" s="30"/>
      <c r="AS17" s="30"/>
      <c r="AT17" s="28"/>
      <c r="AU17" s="28"/>
      <c r="AV17" s="28"/>
      <c r="AW17" s="30"/>
      <c r="AX17" s="28"/>
      <c r="AY17" s="28"/>
      <c r="AZ17" s="28"/>
      <c r="BA17" s="28"/>
      <c r="BB17" s="28"/>
      <c r="BC17" s="28"/>
      <c r="BD17" s="28"/>
      <c r="BE17" s="28"/>
      <c r="BF17" s="28"/>
      <c r="BG17" s="30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9"/>
      <c r="BS17" s="29"/>
      <c r="BT17" s="29"/>
      <c r="BU17" s="29"/>
      <c r="BV17" s="29"/>
      <c r="BW17" s="29"/>
      <c r="BX17" s="28"/>
      <c r="BY17" s="28"/>
      <c r="BZ17" s="28"/>
    </row>
    <row r="18" s="27" customFormat="1" spans="1:78">
      <c r="A18" s="28"/>
      <c r="B18" s="28"/>
      <c r="C18" s="29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30"/>
      <c r="AQ18" s="30"/>
      <c r="AR18" s="30"/>
      <c r="AS18" s="30"/>
      <c r="AT18" s="28"/>
      <c r="AU18" s="28"/>
      <c r="AV18" s="28"/>
      <c r="AW18" s="30"/>
      <c r="AX18" s="28"/>
      <c r="AY18" s="28"/>
      <c r="AZ18" s="28"/>
      <c r="BA18" s="28"/>
      <c r="BB18" s="28"/>
      <c r="BC18" s="28"/>
      <c r="BD18" s="28"/>
      <c r="BE18" s="28"/>
      <c r="BF18" s="28"/>
      <c r="BG18" s="30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9"/>
      <c r="BS18" s="29"/>
      <c r="BT18" s="29"/>
      <c r="BU18" s="29"/>
      <c r="BV18" s="29"/>
      <c r="BW18" s="29"/>
      <c r="BX18" s="28"/>
      <c r="BY18" s="28"/>
      <c r="BZ18" s="28"/>
    </row>
    <row r="19" s="27" customFormat="1" spans="1:78">
      <c r="A19" s="28"/>
      <c r="B19" s="28"/>
      <c r="C19" s="29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30"/>
      <c r="AQ19" s="30"/>
      <c r="AR19" s="30"/>
      <c r="AS19" s="30"/>
      <c r="AT19" s="28"/>
      <c r="AU19" s="28"/>
      <c r="AV19" s="28"/>
      <c r="AW19" s="30"/>
      <c r="AX19" s="28"/>
      <c r="AY19" s="28"/>
      <c r="AZ19" s="28"/>
      <c r="BA19" s="28"/>
      <c r="BB19" s="28"/>
      <c r="BC19" s="28"/>
      <c r="BD19" s="28"/>
      <c r="BE19" s="28"/>
      <c r="BF19" s="28"/>
      <c r="BG19" s="30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9"/>
      <c r="BS19" s="28"/>
      <c r="BT19" s="28"/>
      <c r="BU19" s="28"/>
      <c r="BV19" s="29"/>
      <c r="BW19" s="28"/>
      <c r="BX19" s="28"/>
      <c r="BY19" s="28"/>
      <c r="BZ19" s="28"/>
    </row>
    <row r="20" s="27" customFormat="1" spans="1:78">
      <c r="A20" s="28"/>
      <c r="B20" s="28"/>
      <c r="C20" s="29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30"/>
      <c r="AQ20" s="30"/>
      <c r="AR20" s="30"/>
      <c r="AS20" s="30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30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9"/>
      <c r="BW20" s="28"/>
      <c r="BX20" s="28"/>
      <c r="BY20" s="28"/>
      <c r="BZ20" s="28"/>
    </row>
    <row r="21" s="27" customFormat="1" spans="1:78">
      <c r="A21" s="28"/>
      <c r="B21" s="28"/>
      <c r="C21" s="29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30"/>
      <c r="AQ21" s="30"/>
      <c r="AR21" s="30"/>
      <c r="AS21" s="30"/>
      <c r="AT21" s="28"/>
      <c r="AU21" s="28"/>
      <c r="AV21" s="28"/>
      <c r="AW21" s="30"/>
      <c r="AX21" s="28"/>
      <c r="AY21" s="28"/>
      <c r="AZ21" s="28"/>
      <c r="BA21" s="28"/>
      <c r="BB21" s="28"/>
      <c r="BC21" s="28"/>
      <c r="BD21" s="28"/>
      <c r="BE21" s="28"/>
      <c r="BF21" s="28"/>
      <c r="BG21" s="30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9"/>
      <c r="BS21" s="29"/>
      <c r="BT21" s="29"/>
      <c r="BU21" s="29"/>
      <c r="BV21" s="29"/>
      <c r="BW21" s="29"/>
      <c r="BX21" s="28"/>
      <c r="BY21" s="28"/>
      <c r="BZ21" s="28"/>
    </row>
    <row r="22" s="27" customFormat="1" spans="1:78">
      <c r="A22" s="28"/>
      <c r="B22" s="28"/>
      <c r="C22" s="29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30"/>
      <c r="AQ22" s="30"/>
      <c r="AR22" s="30"/>
      <c r="AS22" s="30"/>
      <c r="AT22" s="28"/>
      <c r="AU22" s="28"/>
      <c r="AV22" s="28"/>
      <c r="AW22" s="30"/>
      <c r="AX22" s="28"/>
      <c r="AY22" s="28"/>
      <c r="AZ22" s="28"/>
      <c r="BA22" s="28"/>
      <c r="BB22" s="28"/>
      <c r="BC22" s="28"/>
      <c r="BD22" s="28"/>
      <c r="BE22" s="28"/>
      <c r="BF22" s="28"/>
      <c r="BG22" s="30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9"/>
      <c r="BS22" s="29"/>
      <c r="BT22" s="29"/>
      <c r="BU22" s="29"/>
      <c r="BV22" s="29"/>
      <c r="BW22" s="29"/>
      <c r="BX22" s="28"/>
      <c r="BY22" s="28"/>
      <c r="BZ22" s="28"/>
    </row>
    <row r="23" s="27" customFormat="1" spans="1:78">
      <c r="A23" s="28"/>
      <c r="B23" s="28"/>
      <c r="C23" s="29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30"/>
      <c r="AQ23" s="30"/>
      <c r="AR23" s="30"/>
      <c r="AS23" s="30"/>
      <c r="AT23" s="28"/>
      <c r="AU23" s="28"/>
      <c r="AV23" s="28"/>
      <c r="AW23" s="30"/>
      <c r="AX23" s="28"/>
      <c r="AY23" s="28"/>
      <c r="AZ23" s="28"/>
      <c r="BA23" s="28"/>
      <c r="BB23" s="28"/>
      <c r="BC23" s="28"/>
      <c r="BD23" s="28"/>
      <c r="BE23" s="28"/>
      <c r="BF23" s="28"/>
      <c r="BG23" s="30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9"/>
      <c r="BS23" s="29"/>
      <c r="BT23" s="29"/>
      <c r="BU23" s="29"/>
      <c r="BV23" s="29"/>
      <c r="BW23" s="29"/>
      <c r="BX23" s="28"/>
      <c r="BY23" s="28"/>
      <c r="BZ23" s="28"/>
    </row>
    <row r="24" s="27" customFormat="1" spans="1:78">
      <c r="A24" s="28"/>
      <c r="B24" s="28"/>
      <c r="C24" s="29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30"/>
      <c r="AQ24" s="30"/>
      <c r="AR24" s="30"/>
      <c r="AS24" s="30"/>
      <c r="AT24" s="28"/>
      <c r="AU24" s="28"/>
      <c r="AV24" s="28"/>
      <c r="AW24" s="30"/>
      <c r="AX24" s="28"/>
      <c r="AY24" s="28"/>
      <c r="AZ24" s="28"/>
      <c r="BA24" s="28"/>
      <c r="BB24" s="28"/>
      <c r="BC24" s="28"/>
      <c r="BD24" s="28"/>
      <c r="BE24" s="28"/>
      <c r="BF24" s="28"/>
      <c r="BG24" s="30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9"/>
      <c r="BS24" s="29"/>
      <c r="BT24" s="29"/>
      <c r="BU24" s="29"/>
      <c r="BV24" s="29"/>
      <c r="BW24" s="29"/>
      <c r="BX24" s="28"/>
      <c r="BY24" s="28"/>
      <c r="BZ24" s="28"/>
    </row>
    <row r="25" s="27" customFormat="1" spans="1:78">
      <c r="A25" s="28"/>
      <c r="B25" s="28"/>
      <c r="C25" s="29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30"/>
      <c r="AQ25" s="30"/>
      <c r="AR25" s="30"/>
      <c r="AS25" s="30"/>
      <c r="AT25" s="28"/>
      <c r="AU25" s="28"/>
      <c r="AV25" s="28"/>
      <c r="AW25" s="30"/>
      <c r="AX25" s="28"/>
      <c r="AY25" s="28"/>
      <c r="AZ25" s="28"/>
      <c r="BA25" s="28"/>
      <c r="BB25" s="28"/>
      <c r="BC25" s="28"/>
      <c r="BD25" s="28"/>
      <c r="BE25" s="28"/>
      <c r="BF25" s="28"/>
      <c r="BG25" s="30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9"/>
      <c r="BS25" s="29"/>
      <c r="BT25" s="29"/>
      <c r="BU25" s="29"/>
      <c r="BV25" s="29"/>
      <c r="BW25" s="29"/>
      <c r="BX25" s="28"/>
      <c r="BY25" s="28"/>
      <c r="BZ25" s="28"/>
    </row>
    <row r="26" s="27" customFormat="1" spans="1:78">
      <c r="A26" s="28"/>
      <c r="B26" s="28"/>
      <c r="C26" s="29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30"/>
      <c r="AQ26" s="30"/>
      <c r="AR26" s="30"/>
      <c r="AS26" s="30"/>
      <c r="AT26" s="28"/>
      <c r="AU26" s="28"/>
      <c r="AV26" s="28"/>
      <c r="AW26" s="30"/>
      <c r="AX26" s="28"/>
      <c r="AY26" s="28"/>
      <c r="AZ26" s="28"/>
      <c r="BA26" s="28"/>
      <c r="BB26" s="28"/>
      <c r="BC26" s="28"/>
      <c r="BD26" s="28"/>
      <c r="BE26" s="28"/>
      <c r="BF26" s="28"/>
      <c r="BG26" s="30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9"/>
      <c r="BS26" s="29"/>
      <c r="BT26" s="29"/>
      <c r="BU26" s="28"/>
      <c r="BV26" s="29"/>
      <c r="BW26" s="28"/>
      <c r="BX26" s="28"/>
      <c r="BY26" s="28"/>
      <c r="BZ26" s="28"/>
    </row>
    <row r="27" s="27" customFormat="1" spans="1:78">
      <c r="A27" s="28"/>
      <c r="B27" s="28"/>
      <c r="C27" s="29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30"/>
      <c r="AQ27" s="30"/>
      <c r="AR27" s="30"/>
      <c r="AS27" s="30"/>
      <c r="AT27" s="28"/>
      <c r="AU27" s="28"/>
      <c r="AV27" s="28"/>
      <c r="AW27" s="30"/>
      <c r="AX27" s="28"/>
      <c r="AY27" s="28"/>
      <c r="AZ27" s="28"/>
      <c r="BA27" s="28"/>
      <c r="BB27" s="28"/>
      <c r="BC27" s="28"/>
      <c r="BD27" s="28"/>
      <c r="BE27" s="28"/>
      <c r="BF27" s="28"/>
      <c r="BG27" s="30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9"/>
      <c r="BS27" s="29"/>
      <c r="BT27" s="29"/>
      <c r="BU27" s="29"/>
      <c r="BV27" s="29"/>
      <c r="BW27" s="29"/>
      <c r="BX27" s="28"/>
      <c r="BY27" s="28"/>
      <c r="BZ27" s="28"/>
    </row>
    <row r="28" s="27" customFormat="1" spans="1:78">
      <c r="A28" s="28"/>
      <c r="B28" s="28"/>
      <c r="C28" s="29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30"/>
      <c r="AQ28" s="30"/>
      <c r="AR28" s="30"/>
      <c r="AS28" s="30"/>
      <c r="AT28" s="28"/>
      <c r="AU28" s="28"/>
      <c r="AV28" s="28"/>
      <c r="AW28" s="30"/>
      <c r="AX28" s="28"/>
      <c r="AY28" s="28"/>
      <c r="AZ28" s="28"/>
      <c r="BA28" s="28"/>
      <c r="BB28" s="28"/>
      <c r="BC28" s="28"/>
      <c r="BD28" s="28"/>
      <c r="BE28" s="28"/>
      <c r="BF28" s="28"/>
      <c r="BG28" s="30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9"/>
      <c r="BS28" s="29"/>
      <c r="BT28" s="29"/>
      <c r="BU28" s="29"/>
      <c r="BV28" s="29"/>
      <c r="BW28" s="29"/>
      <c r="BX28" s="28"/>
      <c r="BY28" s="28"/>
      <c r="BZ28" s="28"/>
    </row>
    <row r="29" s="27" customFormat="1" spans="1:78">
      <c r="A29" s="28"/>
      <c r="B29" s="28"/>
      <c r="C29" s="29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30"/>
      <c r="AQ29" s="30"/>
      <c r="AR29" s="30"/>
      <c r="AS29" s="30"/>
      <c r="AT29" s="28"/>
      <c r="AU29" s="28"/>
      <c r="AV29" s="28"/>
      <c r="AW29" s="30"/>
      <c r="AX29" s="28"/>
      <c r="AY29" s="28"/>
      <c r="AZ29" s="28"/>
      <c r="BA29" s="28"/>
      <c r="BB29" s="28"/>
      <c r="BC29" s="28"/>
      <c r="BD29" s="28"/>
      <c r="BE29" s="28"/>
      <c r="BF29" s="28"/>
      <c r="BG29" s="30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9"/>
      <c r="BS29" s="29"/>
      <c r="BT29" s="29"/>
      <c r="BU29" s="29"/>
      <c r="BV29" s="29"/>
      <c r="BW29" s="29"/>
      <c r="BX29" s="28"/>
      <c r="BY29" s="28"/>
      <c r="BZ29" s="28"/>
    </row>
    <row r="30" s="27" customFormat="1" spans="1:78">
      <c r="A30" s="28"/>
      <c r="B30" s="28"/>
      <c r="C30" s="29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30"/>
      <c r="AQ30" s="30"/>
      <c r="AR30" s="30"/>
      <c r="AS30" s="30"/>
      <c r="AT30" s="28"/>
      <c r="AU30" s="28"/>
      <c r="AV30" s="28"/>
      <c r="AW30" s="30"/>
      <c r="AX30" s="28"/>
      <c r="AY30" s="28"/>
      <c r="AZ30" s="28"/>
      <c r="BA30" s="28"/>
      <c r="BB30" s="28"/>
      <c r="BC30" s="28"/>
      <c r="BD30" s="28"/>
      <c r="BE30" s="28"/>
      <c r="BF30" s="28"/>
      <c r="BG30" s="30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9"/>
      <c r="BS30" s="29"/>
      <c r="BT30" s="29"/>
      <c r="BU30" s="29"/>
      <c r="BV30" s="29"/>
      <c r="BW30" s="29"/>
      <c r="BX30" s="28"/>
      <c r="BY30" s="28"/>
      <c r="BZ30" s="28"/>
    </row>
    <row r="31" s="27" customFormat="1" spans="1:78">
      <c r="A31" s="28"/>
      <c r="B31" s="28"/>
      <c r="C31" s="29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30"/>
      <c r="AQ31" s="30"/>
      <c r="AR31" s="30"/>
      <c r="AS31" s="30"/>
      <c r="AT31" s="28"/>
      <c r="AU31" s="28"/>
      <c r="AV31" s="28"/>
      <c r="AW31" s="30"/>
      <c r="AX31" s="28"/>
      <c r="AY31" s="28"/>
      <c r="AZ31" s="28"/>
      <c r="BA31" s="28"/>
      <c r="BB31" s="28"/>
      <c r="BC31" s="28"/>
      <c r="BD31" s="28"/>
      <c r="BE31" s="28"/>
      <c r="BF31" s="28"/>
      <c r="BG31" s="30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9"/>
      <c r="BS31" s="29"/>
      <c r="BT31" s="29"/>
      <c r="BU31" s="29"/>
      <c r="BV31" s="29"/>
      <c r="BW31" s="29"/>
      <c r="BX31" s="28"/>
      <c r="BY31" s="28"/>
      <c r="BZ31" s="28"/>
    </row>
    <row r="32" s="27" customFormat="1" spans="1:78">
      <c r="A32" s="28"/>
      <c r="B32" s="28"/>
      <c r="C32" s="29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30"/>
      <c r="AQ32" s="30"/>
      <c r="AR32" s="30"/>
      <c r="AS32" s="30"/>
      <c r="AT32" s="28"/>
      <c r="AU32" s="28"/>
      <c r="AV32" s="28"/>
      <c r="AW32" s="30"/>
      <c r="AX32" s="28"/>
      <c r="AY32" s="28"/>
      <c r="AZ32" s="28"/>
      <c r="BA32" s="28"/>
      <c r="BB32" s="28"/>
      <c r="BC32" s="28"/>
      <c r="BD32" s="28"/>
      <c r="BE32" s="28"/>
      <c r="BF32" s="28"/>
      <c r="BG32" s="30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9"/>
      <c r="BS32" s="29"/>
      <c r="BT32" s="28"/>
      <c r="BU32" s="28"/>
      <c r="BV32" s="29"/>
      <c r="BW32" s="28"/>
      <c r="BX32" s="28"/>
      <c r="BY32" s="28"/>
      <c r="BZ32" s="28"/>
    </row>
    <row r="33" s="27" customFormat="1" spans="1:78">
      <c r="A33" s="28"/>
      <c r="B33" s="28"/>
      <c r="C33" s="29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30"/>
      <c r="AQ33" s="30"/>
      <c r="AR33" s="30"/>
      <c r="AS33" s="30"/>
      <c r="AT33" s="28"/>
      <c r="AU33" s="28"/>
      <c r="AV33" s="28"/>
      <c r="AW33" s="30"/>
      <c r="AX33" s="28"/>
      <c r="AY33" s="28"/>
      <c r="AZ33" s="28"/>
      <c r="BA33" s="28"/>
      <c r="BB33" s="28"/>
      <c r="BC33" s="28"/>
      <c r="BD33" s="28"/>
      <c r="BE33" s="28"/>
      <c r="BF33" s="28"/>
      <c r="BG33" s="30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9"/>
      <c r="BS33" s="29"/>
      <c r="BT33" s="29"/>
      <c r="BU33" s="29"/>
      <c r="BV33" s="29"/>
      <c r="BW33" s="29"/>
      <c r="BX33" s="28"/>
      <c r="BY33" s="28"/>
      <c r="BZ33" s="28"/>
    </row>
    <row r="34" s="27" customFormat="1" spans="1:78">
      <c r="A34" s="28"/>
      <c r="B34" s="28"/>
      <c r="C34" s="29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30"/>
      <c r="AQ34" s="30"/>
      <c r="AR34" s="30"/>
      <c r="AS34" s="30"/>
      <c r="AT34" s="28"/>
      <c r="AU34" s="28"/>
      <c r="AV34" s="28"/>
      <c r="AW34" s="30"/>
      <c r="AX34" s="28"/>
      <c r="AY34" s="28"/>
      <c r="AZ34" s="28"/>
      <c r="BA34" s="28"/>
      <c r="BB34" s="28"/>
      <c r="BC34" s="28"/>
      <c r="BD34" s="28"/>
      <c r="BE34" s="28"/>
      <c r="BF34" s="28"/>
      <c r="BG34" s="30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9"/>
      <c r="BS34" s="29"/>
      <c r="BT34" s="29"/>
      <c r="BU34" s="29"/>
      <c r="BV34" s="29"/>
      <c r="BW34" s="28"/>
      <c r="BX34" s="28"/>
      <c r="BY34" s="28"/>
      <c r="BZ34" s="28"/>
    </row>
    <row r="35" s="27" customFormat="1" spans="1:78">
      <c r="A35" s="28"/>
      <c r="B35" s="28"/>
      <c r="C35" s="29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30"/>
      <c r="AQ35" s="30"/>
      <c r="AR35" s="30"/>
      <c r="AS35" s="30"/>
      <c r="AT35" s="28"/>
      <c r="AU35" s="28"/>
      <c r="AV35" s="28"/>
      <c r="AW35" s="30"/>
      <c r="AX35" s="28"/>
      <c r="AY35" s="28"/>
      <c r="AZ35" s="28"/>
      <c r="BA35" s="28"/>
      <c r="BB35" s="28"/>
      <c r="BC35" s="28"/>
      <c r="BD35" s="28"/>
      <c r="BE35" s="28"/>
      <c r="BF35" s="28"/>
      <c r="BG35" s="30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9"/>
      <c r="BS35" s="29"/>
      <c r="BT35" s="29"/>
      <c r="BU35" s="29"/>
      <c r="BV35" s="29"/>
      <c r="BW35" s="29"/>
      <c r="BX35" s="28"/>
      <c r="BY35" s="28"/>
      <c r="BZ35" s="28"/>
    </row>
    <row r="36" s="27" customFormat="1" spans="1:78">
      <c r="A36" s="28"/>
      <c r="B36" s="28"/>
      <c r="C36" s="29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30"/>
      <c r="AQ36" s="30"/>
      <c r="AR36" s="30"/>
      <c r="AS36" s="30"/>
      <c r="AT36" s="28"/>
      <c r="AU36" s="28"/>
      <c r="AV36" s="28"/>
      <c r="AW36" s="30"/>
      <c r="AX36" s="28"/>
      <c r="AY36" s="28"/>
      <c r="AZ36" s="28"/>
      <c r="BA36" s="28"/>
      <c r="BB36" s="28"/>
      <c r="BC36" s="28"/>
      <c r="BD36" s="28"/>
      <c r="BE36" s="28"/>
      <c r="BF36" s="28"/>
      <c r="BG36" s="30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9"/>
      <c r="BS36" s="29"/>
      <c r="BT36" s="29"/>
      <c r="BU36" s="29"/>
      <c r="BV36" s="29"/>
      <c r="BW36" s="29"/>
      <c r="BX36" s="28"/>
      <c r="BY36" s="28"/>
      <c r="BZ36" s="28"/>
    </row>
    <row r="37" s="27" customFormat="1" spans="1:78">
      <c r="A37" s="28"/>
      <c r="B37" s="28"/>
      <c r="C37" s="29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30"/>
      <c r="AQ37" s="30"/>
      <c r="AR37" s="30"/>
      <c r="AS37" s="30"/>
      <c r="AT37" s="28"/>
      <c r="AU37" s="28"/>
      <c r="AV37" s="28"/>
      <c r="AW37" s="30"/>
      <c r="AX37" s="28"/>
      <c r="AY37" s="28"/>
      <c r="AZ37" s="28"/>
      <c r="BA37" s="28"/>
      <c r="BB37" s="28"/>
      <c r="BC37" s="28"/>
      <c r="BD37" s="28"/>
      <c r="BE37" s="28"/>
      <c r="BF37" s="28"/>
      <c r="BG37" s="30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9"/>
      <c r="BS37" s="29"/>
      <c r="BT37" s="29"/>
      <c r="BU37" s="29"/>
      <c r="BV37" s="29"/>
      <c r="BW37" s="28"/>
      <c r="BX37" s="28"/>
      <c r="BY37" s="28"/>
      <c r="BZ37" s="28"/>
    </row>
    <row r="38" s="27" customFormat="1" spans="1:78">
      <c r="A38" s="28"/>
      <c r="B38" s="28"/>
      <c r="C38" s="29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30"/>
      <c r="AQ38" s="30"/>
      <c r="AR38" s="30"/>
      <c r="AS38" s="30"/>
      <c r="AT38" s="28"/>
      <c r="AU38" s="28"/>
      <c r="AV38" s="28"/>
      <c r="AW38" s="30"/>
      <c r="AX38" s="28"/>
      <c r="AY38" s="28"/>
      <c r="AZ38" s="28"/>
      <c r="BA38" s="28"/>
      <c r="BB38" s="28"/>
      <c r="BC38" s="28"/>
      <c r="BD38" s="28"/>
      <c r="BE38" s="28"/>
      <c r="BF38" s="28"/>
      <c r="BG38" s="30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9"/>
      <c r="BS38" s="29"/>
      <c r="BT38" s="28"/>
      <c r="BU38" s="28"/>
      <c r="BV38" s="29"/>
      <c r="BW38" s="28"/>
      <c r="BX38" s="28"/>
      <c r="BY38" s="28"/>
      <c r="BZ38" s="28"/>
    </row>
    <row r="39" s="27" customFormat="1" spans="1:78">
      <c r="A39" s="28"/>
      <c r="B39" s="28"/>
      <c r="C39" s="29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30"/>
      <c r="AQ39" s="30"/>
      <c r="AR39" s="30"/>
      <c r="AS39" s="30"/>
      <c r="AT39" s="28"/>
      <c r="AU39" s="28"/>
      <c r="AV39" s="28"/>
      <c r="AW39" s="30"/>
      <c r="AX39" s="28"/>
      <c r="AY39" s="28"/>
      <c r="AZ39" s="28"/>
      <c r="BA39" s="28"/>
      <c r="BB39" s="28"/>
      <c r="BC39" s="28"/>
      <c r="BD39" s="28"/>
      <c r="BE39" s="28"/>
      <c r="BF39" s="28"/>
      <c r="BG39" s="30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9"/>
      <c r="BS39" s="29"/>
      <c r="BT39" s="28"/>
      <c r="BU39" s="28"/>
      <c r="BV39" s="29"/>
      <c r="BW39" s="28"/>
      <c r="BX39" s="28"/>
      <c r="BY39" s="28"/>
      <c r="BZ39" s="28"/>
    </row>
    <row r="40" s="27" customFormat="1" spans="1:78">
      <c r="A40" s="28"/>
      <c r="B40" s="28"/>
      <c r="C40" s="29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30"/>
      <c r="AQ40" s="30"/>
      <c r="AR40" s="30"/>
      <c r="AS40" s="30"/>
      <c r="AT40" s="28"/>
      <c r="AU40" s="28"/>
      <c r="AV40" s="28"/>
      <c r="AW40" s="30"/>
      <c r="AX40" s="28"/>
      <c r="AY40" s="28"/>
      <c r="AZ40" s="28"/>
      <c r="BA40" s="28"/>
      <c r="BB40" s="28"/>
      <c r="BC40" s="28"/>
      <c r="BD40" s="28"/>
      <c r="BE40" s="28"/>
      <c r="BF40" s="28"/>
      <c r="BG40" s="30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9"/>
      <c r="BS40" s="29"/>
      <c r="BT40" s="29"/>
      <c r="BU40" s="29"/>
      <c r="BV40" s="29"/>
      <c r="BW40" s="29"/>
      <c r="BX40" s="28"/>
      <c r="BY40" s="28"/>
      <c r="BZ40" s="28"/>
    </row>
    <row r="41" s="27" customFormat="1" spans="1:78">
      <c r="A41" s="28"/>
      <c r="B41" s="28"/>
      <c r="C41" s="29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30"/>
      <c r="AQ41" s="30"/>
      <c r="AR41" s="30"/>
      <c r="AS41" s="30"/>
      <c r="AT41" s="28"/>
      <c r="AU41" s="28"/>
      <c r="AV41" s="28"/>
      <c r="AW41" s="30"/>
      <c r="AX41" s="28"/>
      <c r="AY41" s="28"/>
      <c r="AZ41" s="28"/>
      <c r="BA41" s="28"/>
      <c r="BB41" s="28"/>
      <c r="BC41" s="28"/>
      <c r="BD41" s="28"/>
      <c r="BE41" s="28"/>
      <c r="BF41" s="28"/>
      <c r="BG41" s="30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9"/>
      <c r="BS41" s="29"/>
      <c r="BT41" s="28"/>
      <c r="BU41" s="28"/>
      <c r="BV41" s="29"/>
      <c r="BW41" s="28"/>
      <c r="BX41" s="28"/>
      <c r="BY41" s="28"/>
      <c r="BZ41" s="28"/>
    </row>
    <row r="42" s="27" customFormat="1" spans="1:78">
      <c r="A42" s="28"/>
      <c r="B42" s="28"/>
      <c r="C42" s="29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30"/>
      <c r="AQ42" s="30"/>
      <c r="AR42" s="30"/>
      <c r="AS42" s="30"/>
      <c r="AT42" s="28"/>
      <c r="AU42" s="28"/>
      <c r="AV42" s="28"/>
      <c r="AW42" s="30"/>
      <c r="AX42" s="28"/>
      <c r="AY42" s="28"/>
      <c r="AZ42" s="28"/>
      <c r="BA42" s="28"/>
      <c r="BB42" s="28"/>
      <c r="BC42" s="28"/>
      <c r="BD42" s="28"/>
      <c r="BE42" s="28"/>
      <c r="BF42" s="28"/>
      <c r="BG42" s="30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9"/>
      <c r="BS42" s="29"/>
      <c r="BT42" s="29"/>
      <c r="BU42" s="29"/>
      <c r="BV42" s="29"/>
      <c r="BW42" s="29"/>
      <c r="BX42" s="28"/>
      <c r="BY42" s="28"/>
      <c r="BZ42" s="28"/>
    </row>
    <row r="43" s="27" customFormat="1" spans="1:78">
      <c r="A43" s="28"/>
      <c r="B43" s="28"/>
      <c r="C43" s="29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30"/>
      <c r="AQ43" s="30"/>
      <c r="AR43" s="30"/>
      <c r="AS43" s="30"/>
      <c r="AT43" s="28"/>
      <c r="AU43" s="28"/>
      <c r="AV43" s="28"/>
      <c r="AW43" s="30"/>
      <c r="AX43" s="28"/>
      <c r="AY43" s="28"/>
      <c r="AZ43" s="28"/>
      <c r="BA43" s="28"/>
      <c r="BB43" s="28"/>
      <c r="BC43" s="28"/>
      <c r="BD43" s="28"/>
      <c r="BE43" s="28"/>
      <c r="BF43" s="28"/>
      <c r="BG43" s="30"/>
      <c r="BH43" s="28"/>
      <c r="BI43" s="28"/>
      <c r="BJ43" s="28"/>
      <c r="BK43" s="28"/>
      <c r="BL43" s="28"/>
      <c r="BM43" s="28"/>
      <c r="BN43" s="28"/>
      <c r="BO43" s="28"/>
      <c r="BP43" s="28"/>
      <c r="BQ43" s="28"/>
      <c r="BR43" s="29"/>
      <c r="BS43" s="29"/>
      <c r="BT43" s="29"/>
      <c r="BU43" s="28"/>
      <c r="BV43" s="29"/>
      <c r="BW43" s="28"/>
      <c r="BX43" s="28"/>
      <c r="BY43" s="28"/>
      <c r="BZ43" s="28"/>
    </row>
    <row r="44" s="27" customFormat="1" spans="1:78">
      <c r="A44" s="28"/>
      <c r="B44" s="28"/>
      <c r="C44" s="29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30"/>
      <c r="AQ44" s="30"/>
      <c r="AR44" s="30"/>
      <c r="AS44" s="30"/>
      <c r="AT44" s="28"/>
      <c r="AU44" s="28"/>
      <c r="AV44" s="28"/>
      <c r="AW44" s="30"/>
      <c r="AX44" s="28"/>
      <c r="AY44" s="28"/>
      <c r="AZ44" s="28"/>
      <c r="BA44" s="28"/>
      <c r="BB44" s="28"/>
      <c r="BC44" s="28"/>
      <c r="BD44" s="28"/>
      <c r="BE44" s="28"/>
      <c r="BF44" s="28"/>
      <c r="BG44" s="30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9"/>
      <c r="BS44" s="28"/>
      <c r="BT44" s="28"/>
      <c r="BU44" s="28"/>
      <c r="BV44" s="29"/>
      <c r="BW44" s="28"/>
      <c r="BX44" s="28"/>
      <c r="BY44" s="28"/>
      <c r="BZ44" s="28"/>
    </row>
    <row r="45" s="27" customFormat="1" spans="1:78">
      <c r="A45" s="28"/>
      <c r="B45" s="28"/>
      <c r="C45" s="29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30"/>
      <c r="AQ45" s="30"/>
      <c r="AR45" s="30"/>
      <c r="AS45" s="30"/>
      <c r="AT45" s="28"/>
      <c r="AU45" s="28"/>
      <c r="AV45" s="28"/>
      <c r="AW45" s="30"/>
      <c r="AX45" s="28"/>
      <c r="AY45" s="28"/>
      <c r="AZ45" s="28"/>
      <c r="BA45" s="28"/>
      <c r="BB45" s="28"/>
      <c r="BC45" s="28"/>
      <c r="BD45" s="28"/>
      <c r="BE45" s="28"/>
      <c r="BF45" s="28"/>
      <c r="BG45" s="30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9"/>
      <c r="BS45" s="29"/>
      <c r="BT45" s="29"/>
      <c r="BU45" s="29"/>
      <c r="BV45" s="29"/>
      <c r="BW45" s="28"/>
      <c r="BX45" s="28"/>
      <c r="BY45" s="28"/>
      <c r="BZ45" s="28"/>
    </row>
    <row r="46" s="27" customFormat="1" spans="1:78">
      <c r="A46" s="28"/>
      <c r="B46" s="28"/>
      <c r="C46" s="29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30"/>
      <c r="AQ46" s="30"/>
      <c r="AR46" s="30"/>
      <c r="AS46" s="30"/>
      <c r="AT46" s="28"/>
      <c r="AU46" s="28"/>
      <c r="AV46" s="28"/>
      <c r="AW46" s="30"/>
      <c r="AX46" s="28"/>
      <c r="AY46" s="28"/>
      <c r="AZ46" s="28"/>
      <c r="BA46" s="28"/>
      <c r="BB46" s="28"/>
      <c r="BC46" s="28"/>
      <c r="BD46" s="28"/>
      <c r="BE46" s="28"/>
      <c r="BF46" s="28"/>
      <c r="BG46" s="30"/>
      <c r="BH46" s="28"/>
      <c r="BI46" s="28"/>
      <c r="BJ46" s="28"/>
      <c r="BK46" s="28"/>
      <c r="BL46" s="28"/>
      <c r="BM46" s="28"/>
      <c r="BN46" s="28"/>
      <c r="BO46" s="28"/>
      <c r="BP46" s="28"/>
      <c r="BQ46" s="28"/>
      <c r="BR46" s="29"/>
      <c r="BS46" s="29"/>
      <c r="BT46" s="28"/>
      <c r="BU46" s="28"/>
      <c r="BV46" s="29"/>
      <c r="BW46" s="28"/>
      <c r="BX46" s="28"/>
      <c r="BY46" s="28"/>
      <c r="BZ46" s="28"/>
    </row>
    <row r="47" s="27" customFormat="1" spans="1:78">
      <c r="A47" s="28"/>
      <c r="B47" s="28"/>
      <c r="C47" s="29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30"/>
      <c r="AQ47" s="30"/>
      <c r="AR47" s="30"/>
      <c r="AS47" s="30"/>
      <c r="AT47" s="28"/>
      <c r="AU47" s="28"/>
      <c r="AV47" s="28"/>
      <c r="AW47" s="30"/>
      <c r="AX47" s="28"/>
      <c r="AY47" s="28"/>
      <c r="AZ47" s="28"/>
      <c r="BA47" s="28"/>
      <c r="BB47" s="28"/>
      <c r="BC47" s="28"/>
      <c r="BD47" s="28"/>
      <c r="BE47" s="28"/>
      <c r="BF47" s="28"/>
      <c r="BG47" s="30"/>
      <c r="BH47" s="28"/>
      <c r="BI47" s="28"/>
      <c r="BJ47" s="28"/>
      <c r="BK47" s="28"/>
      <c r="BL47" s="28"/>
      <c r="BM47" s="28"/>
      <c r="BN47" s="28"/>
      <c r="BO47" s="28"/>
      <c r="BP47" s="28"/>
      <c r="BQ47" s="28"/>
      <c r="BR47" s="29"/>
      <c r="BS47" s="29"/>
      <c r="BT47" s="29"/>
      <c r="BU47" s="28"/>
      <c r="BV47" s="29"/>
      <c r="BW47" s="28"/>
      <c r="BX47" s="28"/>
      <c r="BY47" s="28"/>
      <c r="BZ47" s="28"/>
    </row>
    <row r="48" s="27" customFormat="1" spans="1:78">
      <c r="A48" s="28"/>
      <c r="B48" s="28"/>
      <c r="C48" s="29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30"/>
      <c r="AQ48" s="30"/>
      <c r="AR48" s="30"/>
      <c r="AS48" s="30"/>
      <c r="AT48" s="28"/>
      <c r="AU48" s="28"/>
      <c r="AV48" s="28"/>
      <c r="AW48" s="30"/>
      <c r="AX48" s="28"/>
      <c r="AY48" s="28"/>
      <c r="AZ48" s="28"/>
      <c r="BA48" s="28"/>
      <c r="BB48" s="28"/>
      <c r="BC48" s="28"/>
      <c r="BD48" s="28"/>
      <c r="BE48" s="28"/>
      <c r="BF48" s="28"/>
      <c r="BG48" s="30"/>
      <c r="BH48" s="28"/>
      <c r="BI48" s="28"/>
      <c r="BJ48" s="28"/>
      <c r="BK48" s="28"/>
      <c r="BL48" s="28"/>
      <c r="BM48" s="28"/>
      <c r="BN48" s="28"/>
      <c r="BO48" s="28"/>
      <c r="BP48" s="28"/>
      <c r="BQ48" s="28"/>
      <c r="BR48" s="29"/>
      <c r="BS48" s="29"/>
      <c r="BT48" s="29"/>
      <c r="BU48" s="29"/>
      <c r="BV48" s="29"/>
      <c r="BW48" s="29"/>
      <c r="BX48" s="28"/>
      <c r="BY48" s="28"/>
      <c r="BZ48" s="28"/>
    </row>
    <row r="49" s="27" customFormat="1" spans="1:78">
      <c r="A49" s="28"/>
      <c r="B49" s="28"/>
      <c r="C49" s="29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30"/>
      <c r="AQ49" s="30"/>
      <c r="AR49" s="30"/>
      <c r="AS49" s="30"/>
      <c r="AT49" s="28"/>
      <c r="AU49" s="28"/>
      <c r="AV49" s="28"/>
      <c r="AW49" s="30"/>
      <c r="AX49" s="28"/>
      <c r="AY49" s="28"/>
      <c r="AZ49" s="28"/>
      <c r="BA49" s="28"/>
      <c r="BB49" s="28"/>
      <c r="BC49" s="28"/>
      <c r="BD49" s="28"/>
      <c r="BE49" s="28"/>
      <c r="BF49" s="28"/>
      <c r="BG49" s="30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9"/>
      <c r="BS49" s="29"/>
      <c r="BT49" s="29"/>
      <c r="BU49" s="28"/>
      <c r="BV49" s="29"/>
      <c r="BW49" s="28"/>
      <c r="BX49" s="28"/>
      <c r="BY49" s="28"/>
      <c r="BZ49" s="28"/>
    </row>
    <row r="50" s="27" customFormat="1" spans="1:78">
      <c r="A50" s="28"/>
      <c r="B50" s="28"/>
      <c r="C50" s="29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30"/>
      <c r="AQ50" s="30"/>
      <c r="AR50" s="30"/>
      <c r="AS50" s="30"/>
      <c r="AT50" s="28"/>
      <c r="AU50" s="28"/>
      <c r="AV50" s="28"/>
      <c r="AW50" s="30"/>
      <c r="AX50" s="28"/>
      <c r="AY50" s="28"/>
      <c r="AZ50" s="28"/>
      <c r="BA50" s="28"/>
      <c r="BB50" s="28"/>
      <c r="BC50" s="28"/>
      <c r="BD50" s="28"/>
      <c r="BE50" s="28"/>
      <c r="BF50" s="28"/>
      <c r="BG50" s="30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9"/>
      <c r="BS50" s="29"/>
      <c r="BT50" s="29"/>
      <c r="BU50" s="28"/>
      <c r="BV50" s="29"/>
      <c r="BW50" s="28"/>
      <c r="BX50" s="28"/>
      <c r="BY50" s="28"/>
      <c r="BZ50" s="28"/>
    </row>
    <row r="51" s="27" customFormat="1" spans="1:78">
      <c r="A51" s="28"/>
      <c r="B51" s="28"/>
      <c r="C51" s="29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30"/>
      <c r="AQ51" s="30"/>
      <c r="AR51" s="30"/>
      <c r="AS51" s="30"/>
      <c r="AT51" s="28"/>
      <c r="AU51" s="28"/>
      <c r="AV51" s="28"/>
      <c r="AW51" s="30"/>
      <c r="AX51" s="28"/>
      <c r="AY51" s="28"/>
      <c r="AZ51" s="28"/>
      <c r="BA51" s="28"/>
      <c r="BB51" s="28"/>
      <c r="BC51" s="28"/>
      <c r="BD51" s="28"/>
      <c r="BE51" s="28"/>
      <c r="BF51" s="28"/>
      <c r="BG51" s="30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9"/>
      <c r="BS51" s="29"/>
      <c r="BT51" s="29"/>
      <c r="BU51" s="29"/>
      <c r="BV51" s="29"/>
      <c r="BW51" s="28"/>
      <c r="BX51" s="28"/>
      <c r="BY51" s="28"/>
      <c r="BZ51" s="28"/>
    </row>
    <row r="52" s="27" customFormat="1" spans="1:78">
      <c r="A52" s="28"/>
      <c r="B52" s="28"/>
      <c r="C52" s="29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30"/>
      <c r="AQ52" s="30"/>
      <c r="AR52" s="30"/>
      <c r="AS52" s="30"/>
      <c r="AT52" s="28"/>
      <c r="AU52" s="28"/>
      <c r="AV52" s="28"/>
      <c r="AW52" s="30"/>
      <c r="AX52" s="28"/>
      <c r="AY52" s="28"/>
      <c r="AZ52" s="28"/>
      <c r="BA52" s="28"/>
      <c r="BB52" s="28"/>
      <c r="BC52" s="28"/>
      <c r="BD52" s="28"/>
      <c r="BE52" s="28"/>
      <c r="BF52" s="28"/>
      <c r="BG52" s="30"/>
      <c r="BH52" s="28"/>
      <c r="BI52" s="28"/>
      <c r="BJ52" s="28"/>
      <c r="BK52" s="28"/>
      <c r="BL52" s="28"/>
      <c r="BM52" s="28"/>
      <c r="BN52" s="28"/>
      <c r="BO52" s="28"/>
      <c r="BP52" s="28"/>
      <c r="BQ52" s="28"/>
      <c r="BR52" s="29"/>
      <c r="BS52" s="29"/>
      <c r="BT52" s="29"/>
      <c r="BU52" s="29"/>
      <c r="BV52" s="29"/>
      <c r="BW52" s="29"/>
      <c r="BX52" s="28"/>
      <c r="BY52" s="28"/>
      <c r="BZ52" s="28"/>
    </row>
    <row r="53" s="27" customFormat="1" spans="1:78">
      <c r="A53" s="28"/>
      <c r="B53" s="28"/>
      <c r="C53" s="29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30"/>
      <c r="AQ53" s="30"/>
      <c r="AR53" s="30"/>
      <c r="AS53" s="30"/>
      <c r="AT53" s="28"/>
      <c r="AU53" s="28"/>
      <c r="AV53" s="28"/>
      <c r="AW53" s="30"/>
      <c r="AX53" s="28"/>
      <c r="AY53" s="28"/>
      <c r="AZ53" s="28"/>
      <c r="BA53" s="28"/>
      <c r="BB53" s="28"/>
      <c r="BC53" s="28"/>
      <c r="BD53" s="28"/>
      <c r="BE53" s="28"/>
      <c r="BF53" s="28"/>
      <c r="BG53" s="30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9"/>
      <c r="BS53" s="29"/>
      <c r="BT53" s="29"/>
      <c r="BU53" s="29"/>
      <c r="BV53" s="29"/>
      <c r="BW53" s="29"/>
      <c r="BX53" s="28"/>
      <c r="BY53" s="28"/>
      <c r="BZ53" s="28"/>
    </row>
    <row r="54" s="27" customFormat="1" spans="1:78">
      <c r="A54" s="28"/>
      <c r="B54" s="28"/>
      <c r="C54" s="29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30"/>
      <c r="AQ54" s="30"/>
      <c r="AR54" s="30"/>
      <c r="AS54" s="30"/>
      <c r="AT54" s="28"/>
      <c r="AU54" s="28"/>
      <c r="AV54" s="28"/>
      <c r="AW54" s="30"/>
      <c r="AX54" s="28"/>
      <c r="AY54" s="28"/>
      <c r="AZ54" s="28"/>
      <c r="BA54" s="28"/>
      <c r="BB54" s="28"/>
      <c r="BC54" s="28"/>
      <c r="BD54" s="28"/>
      <c r="BE54" s="28"/>
      <c r="BF54" s="28"/>
      <c r="BG54" s="30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9"/>
      <c r="BS54" s="29"/>
      <c r="BT54" s="29"/>
      <c r="BU54" s="29"/>
      <c r="BV54" s="29"/>
      <c r="BW54" s="29"/>
      <c r="BX54" s="28"/>
      <c r="BY54" s="28"/>
      <c r="BZ54" s="28"/>
    </row>
    <row r="55" s="27" customFormat="1" spans="1:78">
      <c r="A55" s="28"/>
      <c r="B55" s="28"/>
      <c r="C55" s="29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30"/>
      <c r="AQ55" s="30"/>
      <c r="AR55" s="30"/>
      <c r="AS55" s="30"/>
      <c r="AT55" s="28"/>
      <c r="AU55" s="28"/>
      <c r="AV55" s="28"/>
      <c r="AW55" s="30"/>
      <c r="AX55" s="28"/>
      <c r="AY55" s="28"/>
      <c r="AZ55" s="28"/>
      <c r="BA55" s="28"/>
      <c r="BB55" s="28"/>
      <c r="BC55" s="28"/>
      <c r="BD55" s="28"/>
      <c r="BE55" s="28"/>
      <c r="BF55" s="28"/>
      <c r="BG55" s="30"/>
      <c r="BH55" s="28"/>
      <c r="BI55" s="28"/>
      <c r="BJ55" s="28"/>
      <c r="BK55" s="28"/>
      <c r="BL55" s="28"/>
      <c r="BM55" s="28"/>
      <c r="BN55" s="28"/>
      <c r="BO55" s="28"/>
      <c r="BP55" s="28"/>
      <c r="BQ55" s="28"/>
      <c r="BR55" s="29"/>
      <c r="BS55" s="29"/>
      <c r="BT55" s="29"/>
      <c r="BU55" s="28"/>
      <c r="BV55" s="29"/>
      <c r="BW55" s="28"/>
      <c r="BX55" s="28"/>
      <c r="BY55" s="28"/>
      <c r="BZ55" s="28"/>
    </row>
    <row r="56" s="27" customFormat="1" spans="1:78">
      <c r="A56" s="28"/>
      <c r="B56" s="28"/>
      <c r="C56" s="29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30"/>
      <c r="AQ56" s="30"/>
      <c r="AR56" s="30"/>
      <c r="AS56" s="30"/>
      <c r="AT56" s="28"/>
      <c r="AU56" s="29"/>
      <c r="AV56" s="30"/>
      <c r="AW56" s="30"/>
      <c r="AX56" s="28"/>
      <c r="AY56" s="28"/>
      <c r="AZ56" s="28"/>
      <c r="BA56" s="28"/>
      <c r="BB56" s="28"/>
      <c r="BC56" s="28"/>
      <c r="BD56" s="28"/>
      <c r="BE56" s="28"/>
      <c r="BF56" s="28"/>
      <c r="BG56" s="30"/>
      <c r="BH56" s="28"/>
      <c r="BI56" s="28"/>
      <c r="BJ56" s="28"/>
      <c r="BK56" s="28"/>
      <c r="BL56" s="28"/>
      <c r="BM56" s="28"/>
      <c r="BN56" s="28"/>
      <c r="BO56" s="28"/>
      <c r="BP56" s="28"/>
      <c r="BQ56" s="28"/>
      <c r="BR56" s="29"/>
      <c r="BS56" s="29"/>
      <c r="BT56" s="29"/>
      <c r="BU56" s="29"/>
      <c r="BV56" s="29"/>
      <c r="BW56" s="29"/>
      <c r="BX56" s="28"/>
      <c r="BY56" s="28"/>
      <c r="BZ56" s="28"/>
    </row>
    <row r="57" s="27" customFormat="1" spans="1:78">
      <c r="A57" s="28"/>
      <c r="B57" s="28"/>
      <c r="C57" s="29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30"/>
      <c r="AQ57" s="30"/>
      <c r="AR57" s="30"/>
      <c r="AS57" s="30"/>
      <c r="AT57" s="28"/>
      <c r="AU57" s="28"/>
      <c r="AV57" s="28"/>
      <c r="AW57" s="30"/>
      <c r="AX57" s="28"/>
      <c r="AY57" s="28"/>
      <c r="AZ57" s="28"/>
      <c r="BA57" s="28"/>
      <c r="BB57" s="28"/>
      <c r="BC57" s="28"/>
      <c r="BD57" s="28"/>
      <c r="BE57" s="28"/>
      <c r="BF57" s="28"/>
      <c r="BG57" s="30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9"/>
      <c r="BS57" s="29"/>
      <c r="BT57" s="29"/>
      <c r="BU57" s="29"/>
      <c r="BV57" s="29"/>
      <c r="BW57" s="29"/>
      <c r="BX57" s="28"/>
      <c r="BY57" s="28"/>
      <c r="BZ57" s="28"/>
    </row>
    <row r="58" s="27" customFormat="1" spans="1:78">
      <c r="A58" s="28"/>
      <c r="B58" s="28"/>
      <c r="C58" s="29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30"/>
      <c r="AQ58" s="30"/>
      <c r="AR58" s="30"/>
      <c r="AS58" s="30"/>
      <c r="AT58" s="28"/>
      <c r="AU58" s="28"/>
      <c r="AV58" s="28"/>
      <c r="AW58" s="30"/>
      <c r="AX58" s="28"/>
      <c r="AY58" s="28"/>
      <c r="AZ58" s="28"/>
      <c r="BA58" s="28"/>
      <c r="BB58" s="28"/>
      <c r="BC58" s="28"/>
      <c r="BD58" s="28"/>
      <c r="BE58" s="28"/>
      <c r="BF58" s="28"/>
      <c r="BG58" s="30"/>
      <c r="BH58" s="28"/>
      <c r="BI58" s="28"/>
      <c r="BJ58" s="28"/>
      <c r="BK58" s="28"/>
      <c r="BL58" s="28"/>
      <c r="BM58" s="28"/>
      <c r="BN58" s="28"/>
      <c r="BO58" s="28"/>
      <c r="BP58" s="28"/>
      <c r="BQ58" s="28"/>
      <c r="BR58" s="29"/>
      <c r="BS58" s="29"/>
      <c r="BT58" s="29"/>
      <c r="BU58" s="29"/>
      <c r="BV58" s="29"/>
      <c r="BW58" s="29"/>
      <c r="BX58" s="28"/>
      <c r="BY58" s="28"/>
      <c r="BZ58" s="28"/>
    </row>
    <row r="59" s="27" customFormat="1" spans="1:78">
      <c r="A59" s="28"/>
      <c r="B59" s="28"/>
      <c r="C59" s="29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30"/>
      <c r="AQ59" s="30"/>
      <c r="AR59" s="30"/>
      <c r="AS59" s="30"/>
      <c r="AT59" s="28"/>
      <c r="AU59" s="28"/>
      <c r="AV59" s="28"/>
      <c r="AW59" s="30"/>
      <c r="AX59" s="28"/>
      <c r="AY59" s="28"/>
      <c r="AZ59" s="28"/>
      <c r="BA59" s="28"/>
      <c r="BB59" s="28"/>
      <c r="BC59" s="28"/>
      <c r="BD59" s="28"/>
      <c r="BE59" s="28"/>
      <c r="BF59" s="28"/>
      <c r="BG59" s="30"/>
      <c r="BH59" s="28"/>
      <c r="BI59" s="28"/>
      <c r="BJ59" s="28"/>
      <c r="BK59" s="28"/>
      <c r="BL59" s="28"/>
      <c r="BM59" s="28"/>
      <c r="BN59" s="28"/>
      <c r="BO59" s="28"/>
      <c r="BP59" s="28"/>
      <c r="BQ59" s="28"/>
      <c r="BR59" s="29"/>
      <c r="BS59" s="29"/>
      <c r="BT59" s="29"/>
      <c r="BU59" s="29"/>
      <c r="BV59" s="29"/>
      <c r="BW59" s="29"/>
      <c r="BX59" s="28"/>
      <c r="BY59" s="28"/>
      <c r="BZ59" s="28"/>
    </row>
    <row r="60" s="27" customFormat="1" spans="1:78">
      <c r="A60" s="28"/>
      <c r="B60" s="28"/>
      <c r="C60" s="29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30"/>
      <c r="AQ60" s="30"/>
      <c r="AR60" s="30"/>
      <c r="AS60" s="30"/>
      <c r="AT60" s="28"/>
      <c r="AU60" s="28"/>
      <c r="AV60" s="28"/>
      <c r="AW60" s="30"/>
      <c r="AX60" s="28"/>
      <c r="AY60" s="28"/>
      <c r="AZ60" s="28"/>
      <c r="BA60" s="28"/>
      <c r="BB60" s="28"/>
      <c r="BC60" s="28"/>
      <c r="BD60" s="28"/>
      <c r="BE60" s="28"/>
      <c r="BF60" s="28"/>
      <c r="BG60" s="30"/>
      <c r="BH60" s="28"/>
      <c r="BI60" s="28"/>
      <c r="BJ60" s="28"/>
      <c r="BK60" s="28"/>
      <c r="BL60" s="28"/>
      <c r="BM60" s="28"/>
      <c r="BN60" s="28"/>
      <c r="BO60" s="28"/>
      <c r="BP60" s="28"/>
      <c r="BQ60" s="28"/>
      <c r="BR60" s="29"/>
      <c r="BS60" s="29"/>
      <c r="BT60" s="29"/>
      <c r="BU60" s="29"/>
      <c r="BV60" s="29"/>
      <c r="BW60" s="28"/>
      <c r="BX60" s="28"/>
      <c r="BY60" s="28"/>
      <c r="BZ60" s="28"/>
    </row>
    <row r="61" s="27" customFormat="1" spans="1:78">
      <c r="A61" s="28"/>
      <c r="B61" s="28"/>
      <c r="C61" s="29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30"/>
      <c r="AQ61" s="30"/>
      <c r="AR61" s="30"/>
      <c r="AS61" s="30"/>
      <c r="AT61" s="28"/>
      <c r="AU61" s="28"/>
      <c r="AV61" s="28"/>
      <c r="AW61" s="30"/>
      <c r="AX61" s="28"/>
      <c r="AY61" s="28"/>
      <c r="AZ61" s="28"/>
      <c r="BA61" s="28"/>
      <c r="BB61" s="28"/>
      <c r="BC61" s="28"/>
      <c r="BD61" s="28"/>
      <c r="BE61" s="28"/>
      <c r="BF61" s="28"/>
      <c r="BG61" s="30"/>
      <c r="BH61" s="28"/>
      <c r="BI61" s="28"/>
      <c r="BJ61" s="28"/>
      <c r="BK61" s="28"/>
      <c r="BL61" s="28"/>
      <c r="BM61" s="28"/>
      <c r="BN61" s="28"/>
      <c r="BO61" s="28"/>
      <c r="BP61" s="28"/>
      <c r="BQ61" s="28"/>
      <c r="BR61" s="29"/>
      <c r="BS61" s="29"/>
      <c r="BT61" s="29"/>
      <c r="BU61" s="28"/>
      <c r="BV61" s="29"/>
      <c r="BW61" s="28"/>
      <c r="BX61" s="28"/>
      <c r="BY61" s="28"/>
      <c r="BZ61" s="28"/>
    </row>
    <row r="62" s="27" customFormat="1" spans="1:78">
      <c r="A62" s="28"/>
      <c r="B62" s="28"/>
      <c r="C62" s="29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30"/>
      <c r="AQ62" s="30"/>
      <c r="AR62" s="30"/>
      <c r="AS62" s="30"/>
      <c r="AT62" s="28"/>
      <c r="AU62" s="28"/>
      <c r="AV62" s="28"/>
      <c r="AW62" s="30"/>
      <c r="AX62" s="28"/>
      <c r="AY62" s="28"/>
      <c r="AZ62" s="28"/>
      <c r="BA62" s="28"/>
      <c r="BB62" s="28"/>
      <c r="BC62" s="28"/>
      <c r="BD62" s="28"/>
      <c r="BE62" s="28"/>
      <c r="BF62" s="28"/>
      <c r="BG62" s="30"/>
      <c r="BH62" s="28"/>
      <c r="BI62" s="28"/>
      <c r="BJ62" s="28"/>
      <c r="BK62" s="28"/>
      <c r="BL62" s="28"/>
      <c r="BM62" s="28"/>
      <c r="BN62" s="28"/>
      <c r="BO62" s="28"/>
      <c r="BP62" s="28"/>
      <c r="BQ62" s="28"/>
      <c r="BR62" s="29"/>
      <c r="BS62" s="29"/>
      <c r="BT62" s="29"/>
      <c r="BU62" s="28"/>
      <c r="BV62" s="29"/>
      <c r="BW62" s="28"/>
      <c r="BX62" s="28"/>
      <c r="BY62" s="28"/>
      <c r="BZ62" s="28"/>
    </row>
    <row r="63" s="27" customFormat="1" spans="1:78">
      <c r="A63" s="28"/>
      <c r="B63" s="28"/>
      <c r="C63" s="29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30"/>
      <c r="AQ63" s="30"/>
      <c r="AR63" s="30"/>
      <c r="AS63" s="30"/>
      <c r="AT63" s="28"/>
      <c r="AU63" s="28"/>
      <c r="AV63" s="28"/>
      <c r="AW63" s="30"/>
      <c r="AX63" s="28"/>
      <c r="AY63" s="28"/>
      <c r="AZ63" s="28"/>
      <c r="BA63" s="28"/>
      <c r="BB63" s="28"/>
      <c r="BC63" s="28"/>
      <c r="BD63" s="28"/>
      <c r="BE63" s="28"/>
      <c r="BF63" s="28"/>
      <c r="BG63" s="30"/>
      <c r="BH63" s="28"/>
      <c r="BI63" s="28"/>
      <c r="BJ63" s="28"/>
      <c r="BK63" s="28"/>
      <c r="BL63" s="28"/>
      <c r="BM63" s="28"/>
      <c r="BN63" s="28"/>
      <c r="BO63" s="28"/>
      <c r="BP63" s="28"/>
      <c r="BQ63" s="28"/>
      <c r="BR63" s="29"/>
      <c r="BS63" s="28"/>
      <c r="BT63" s="28"/>
      <c r="BU63" s="28"/>
      <c r="BV63" s="29"/>
      <c r="BW63" s="28"/>
      <c r="BX63" s="28"/>
      <c r="BY63" s="28"/>
      <c r="BZ63" s="28"/>
    </row>
    <row r="64" s="27" customFormat="1" spans="1:78">
      <c r="A64" s="28"/>
      <c r="B64" s="28"/>
      <c r="C64" s="29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30"/>
      <c r="AQ64" s="30"/>
      <c r="AR64" s="30"/>
      <c r="AS64" s="30"/>
      <c r="AT64" s="28"/>
      <c r="AU64" s="28"/>
      <c r="AV64" s="28"/>
      <c r="AW64" s="30"/>
      <c r="AX64" s="28"/>
      <c r="AY64" s="28"/>
      <c r="AZ64" s="28"/>
      <c r="BA64" s="28"/>
      <c r="BB64" s="28"/>
      <c r="BC64" s="28"/>
      <c r="BD64" s="28"/>
      <c r="BE64" s="28"/>
      <c r="BF64" s="28"/>
      <c r="BG64" s="30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9"/>
      <c r="BS64" s="29"/>
      <c r="BT64" s="29"/>
      <c r="BU64" s="28"/>
      <c r="BV64" s="29"/>
      <c r="BW64" s="28"/>
      <c r="BX64" s="28"/>
      <c r="BY64" s="28"/>
      <c r="BZ64" s="28"/>
    </row>
    <row r="65" s="27" customFormat="1" spans="1:78">
      <c r="A65" s="28"/>
      <c r="B65" s="28"/>
      <c r="C65" s="29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30"/>
      <c r="AQ65" s="30"/>
      <c r="AR65" s="30"/>
      <c r="AS65" s="30"/>
      <c r="AT65" s="28"/>
      <c r="AU65" s="28"/>
      <c r="AV65" s="28"/>
      <c r="AW65" s="30"/>
      <c r="AX65" s="28"/>
      <c r="AY65" s="28"/>
      <c r="AZ65" s="28"/>
      <c r="BA65" s="28"/>
      <c r="BB65" s="28"/>
      <c r="BC65" s="28"/>
      <c r="BD65" s="28"/>
      <c r="BE65" s="28"/>
      <c r="BF65" s="28"/>
      <c r="BG65" s="30"/>
      <c r="BH65" s="28"/>
      <c r="BI65" s="28"/>
      <c r="BJ65" s="28"/>
      <c r="BK65" s="28"/>
      <c r="BL65" s="28"/>
      <c r="BM65" s="28"/>
      <c r="BN65" s="28"/>
      <c r="BO65" s="28"/>
      <c r="BP65" s="28"/>
      <c r="BQ65" s="28"/>
      <c r="BR65" s="29"/>
      <c r="BS65" s="29"/>
      <c r="BT65" s="29"/>
      <c r="BU65" s="29"/>
      <c r="BV65" s="29"/>
      <c r="BW65" s="29"/>
      <c r="BX65" s="28"/>
      <c r="BY65" s="28"/>
      <c r="BZ65" s="28"/>
    </row>
    <row r="66" s="27" customFormat="1" spans="1:78">
      <c r="A66" s="28"/>
      <c r="B66" s="28"/>
      <c r="C66" s="29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30"/>
      <c r="AQ66" s="30"/>
      <c r="AR66" s="30"/>
      <c r="AS66" s="30"/>
      <c r="AT66" s="28"/>
      <c r="AU66" s="29"/>
      <c r="AV66" s="30"/>
      <c r="AW66" s="30"/>
      <c r="AX66" s="28"/>
      <c r="AY66" s="28"/>
      <c r="AZ66" s="28"/>
      <c r="BA66" s="28"/>
      <c r="BB66" s="28"/>
      <c r="BC66" s="28"/>
      <c r="BD66" s="28"/>
      <c r="BE66" s="28"/>
      <c r="BF66" s="28"/>
      <c r="BG66" s="30"/>
      <c r="BH66" s="28"/>
      <c r="BI66" s="28"/>
      <c r="BJ66" s="28"/>
      <c r="BK66" s="28"/>
      <c r="BL66" s="28"/>
      <c r="BM66" s="28"/>
      <c r="BN66" s="28"/>
      <c r="BO66" s="28"/>
      <c r="BP66" s="28"/>
      <c r="BQ66" s="28"/>
      <c r="BR66" s="29"/>
      <c r="BS66" s="29"/>
      <c r="BT66" s="29"/>
      <c r="BU66" s="29"/>
      <c r="BV66" s="29"/>
      <c r="BW66" s="29"/>
      <c r="BX66" s="28"/>
      <c r="BY66" s="28"/>
      <c r="BZ66" s="28"/>
    </row>
    <row r="67" s="27" customFormat="1" spans="1:78">
      <c r="A67" s="28"/>
      <c r="B67" s="28"/>
      <c r="C67" s="29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30"/>
      <c r="AQ67" s="30"/>
      <c r="AR67" s="30"/>
      <c r="AS67" s="30"/>
      <c r="AT67" s="28"/>
      <c r="AU67" s="28"/>
      <c r="AV67" s="28"/>
      <c r="AW67" s="30"/>
      <c r="AX67" s="28"/>
      <c r="AY67" s="28"/>
      <c r="AZ67" s="28"/>
      <c r="BA67" s="28"/>
      <c r="BB67" s="28"/>
      <c r="BC67" s="28"/>
      <c r="BD67" s="28"/>
      <c r="BE67" s="28"/>
      <c r="BF67" s="28"/>
      <c r="BG67" s="30"/>
      <c r="BH67" s="28"/>
      <c r="BI67" s="28"/>
      <c r="BJ67" s="28"/>
      <c r="BK67" s="28"/>
      <c r="BL67" s="28"/>
      <c r="BM67" s="28"/>
      <c r="BN67" s="28"/>
      <c r="BO67" s="28"/>
      <c r="BP67" s="28"/>
      <c r="BQ67" s="28"/>
      <c r="BR67" s="29"/>
      <c r="BS67" s="29"/>
      <c r="BT67" s="29"/>
      <c r="BU67" s="29"/>
      <c r="BV67" s="29"/>
      <c r="BW67" s="29"/>
      <c r="BX67" s="28"/>
      <c r="BY67" s="28"/>
      <c r="BZ67" s="28"/>
    </row>
    <row r="68" s="27" customFormat="1" spans="1:78">
      <c r="A68" s="28"/>
      <c r="B68" s="28"/>
      <c r="C68" s="29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30"/>
      <c r="AQ68" s="30"/>
      <c r="AR68" s="30"/>
      <c r="AS68" s="30"/>
      <c r="AT68" s="28"/>
      <c r="AU68" s="29"/>
      <c r="AV68" s="30"/>
      <c r="AW68" s="30"/>
      <c r="AX68" s="28"/>
      <c r="AY68" s="28"/>
      <c r="AZ68" s="28"/>
      <c r="BA68" s="28"/>
      <c r="BB68" s="28"/>
      <c r="BC68" s="28"/>
      <c r="BD68" s="28"/>
      <c r="BE68" s="28"/>
      <c r="BF68" s="28"/>
      <c r="BG68" s="30"/>
      <c r="BH68" s="28"/>
      <c r="BI68" s="28"/>
      <c r="BJ68" s="28"/>
      <c r="BK68" s="28"/>
      <c r="BL68" s="28"/>
      <c r="BM68" s="28"/>
      <c r="BN68" s="28"/>
      <c r="BO68" s="28"/>
      <c r="BP68" s="28"/>
      <c r="BQ68" s="28"/>
      <c r="BR68" s="29"/>
      <c r="BS68" s="29"/>
      <c r="BT68" s="29"/>
      <c r="BU68" s="29"/>
      <c r="BV68" s="29"/>
      <c r="BW68" s="29"/>
      <c r="BX68" s="28"/>
      <c r="BY68" s="28"/>
      <c r="BZ68" s="28"/>
    </row>
    <row r="69" s="27" customFormat="1" spans="1:78">
      <c r="A69" s="28"/>
      <c r="B69" s="28"/>
      <c r="C69" s="29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30"/>
      <c r="AQ69" s="30"/>
      <c r="AR69" s="30"/>
      <c r="AS69" s="30"/>
      <c r="AT69" s="28"/>
      <c r="AU69" s="28"/>
      <c r="AV69" s="28"/>
      <c r="AW69" s="30"/>
      <c r="AX69" s="28"/>
      <c r="AY69" s="28"/>
      <c r="AZ69" s="28"/>
      <c r="BA69" s="28"/>
      <c r="BB69" s="28"/>
      <c r="BC69" s="28"/>
      <c r="BD69" s="28"/>
      <c r="BE69" s="28"/>
      <c r="BF69" s="28"/>
      <c r="BG69" s="30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9"/>
      <c r="BS69" s="29"/>
      <c r="BT69" s="29"/>
      <c r="BU69" s="29"/>
      <c r="BV69" s="29"/>
      <c r="BW69" s="28"/>
      <c r="BX69" s="28"/>
      <c r="BY69" s="28"/>
      <c r="BZ69" s="28"/>
    </row>
    <row r="70" s="27" customFormat="1" spans="1:78">
      <c r="A70" s="28"/>
      <c r="B70" s="28"/>
      <c r="C70" s="29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30"/>
      <c r="AQ70" s="30"/>
      <c r="AR70" s="30"/>
      <c r="AS70" s="30"/>
      <c r="AT70" s="28"/>
      <c r="AU70" s="28"/>
      <c r="AV70" s="28"/>
      <c r="AW70" s="30"/>
      <c r="AX70" s="28"/>
      <c r="AY70" s="28"/>
      <c r="AZ70" s="28"/>
      <c r="BA70" s="28"/>
      <c r="BB70" s="28"/>
      <c r="BC70" s="28"/>
      <c r="BD70" s="28"/>
      <c r="BE70" s="28"/>
      <c r="BF70" s="28"/>
      <c r="BG70" s="30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9"/>
      <c r="BS70" s="29"/>
      <c r="BT70" s="28"/>
      <c r="BU70" s="28"/>
      <c r="BV70" s="29"/>
      <c r="BW70" s="28"/>
      <c r="BX70" s="28"/>
      <c r="BY70" s="28"/>
      <c r="BZ70" s="28"/>
    </row>
    <row r="71" s="27" customFormat="1" spans="1:78">
      <c r="A71" s="28"/>
      <c r="B71" s="28"/>
      <c r="C71" s="29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30"/>
      <c r="AQ71" s="30"/>
      <c r="AR71" s="30"/>
      <c r="AS71" s="30"/>
      <c r="AT71" s="28"/>
      <c r="AU71" s="28"/>
      <c r="AV71" s="28"/>
      <c r="AW71" s="30"/>
      <c r="AX71" s="28"/>
      <c r="AY71" s="28"/>
      <c r="AZ71" s="28"/>
      <c r="BA71" s="28"/>
      <c r="BB71" s="28"/>
      <c r="BC71" s="28"/>
      <c r="BD71" s="28"/>
      <c r="BE71" s="28"/>
      <c r="BF71" s="28"/>
      <c r="BG71" s="30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9"/>
      <c r="BS71" s="29"/>
      <c r="BT71" s="28"/>
      <c r="BU71" s="28"/>
      <c r="BV71" s="29"/>
      <c r="BW71" s="28"/>
      <c r="BX71" s="28"/>
      <c r="BY71" s="28"/>
      <c r="BZ71" s="28"/>
    </row>
    <row r="72" s="27" customFormat="1" spans="1:78">
      <c r="A72" s="28"/>
      <c r="B72" s="28"/>
      <c r="C72" s="29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30"/>
      <c r="AQ72" s="30"/>
      <c r="AR72" s="30"/>
      <c r="AS72" s="30"/>
      <c r="AT72" s="28"/>
      <c r="AU72" s="28"/>
      <c r="AV72" s="28"/>
      <c r="AW72" s="30"/>
      <c r="AX72" s="28"/>
      <c r="AY72" s="28"/>
      <c r="AZ72" s="28"/>
      <c r="BA72" s="28"/>
      <c r="BB72" s="28"/>
      <c r="BC72" s="28"/>
      <c r="BD72" s="28"/>
      <c r="BE72" s="28"/>
      <c r="BF72" s="28"/>
      <c r="BG72" s="30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9"/>
      <c r="BS72" s="29"/>
      <c r="BT72" s="29"/>
      <c r="BU72" s="29"/>
      <c r="BV72" s="29"/>
      <c r="BW72" s="29"/>
      <c r="BX72" s="28"/>
      <c r="BY72" s="28"/>
      <c r="BZ72" s="28"/>
    </row>
    <row r="73" s="27" customFormat="1" spans="1:78">
      <c r="A73" s="28"/>
      <c r="B73" s="28"/>
      <c r="C73" s="29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30"/>
      <c r="AQ73" s="30"/>
      <c r="AR73" s="30"/>
      <c r="AS73" s="30"/>
      <c r="AT73" s="28"/>
      <c r="AU73" s="28"/>
      <c r="AV73" s="28"/>
      <c r="AW73" s="30"/>
      <c r="AX73" s="28"/>
      <c r="AY73" s="28"/>
      <c r="AZ73" s="28"/>
      <c r="BA73" s="28"/>
      <c r="BB73" s="28"/>
      <c r="BC73" s="28"/>
      <c r="BD73" s="28"/>
      <c r="BE73" s="28"/>
      <c r="BF73" s="28"/>
      <c r="BG73" s="30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9"/>
      <c r="BS73" s="29"/>
      <c r="BT73" s="29"/>
      <c r="BU73" s="29"/>
      <c r="BV73" s="29"/>
      <c r="BW73" s="29"/>
      <c r="BX73" s="28"/>
      <c r="BY73" s="28"/>
      <c r="BZ73" s="28"/>
    </row>
    <row r="74" s="27" customFormat="1" spans="1:78">
      <c r="A74" s="28"/>
      <c r="B74" s="28"/>
      <c r="C74" s="29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30"/>
      <c r="AQ74" s="30"/>
      <c r="AR74" s="30"/>
      <c r="AS74" s="30"/>
      <c r="AT74" s="28"/>
      <c r="AU74" s="28"/>
      <c r="AV74" s="28"/>
      <c r="AW74" s="30"/>
      <c r="AX74" s="28"/>
      <c r="AY74" s="28"/>
      <c r="AZ74" s="28"/>
      <c r="BA74" s="28"/>
      <c r="BB74" s="28"/>
      <c r="BC74" s="28"/>
      <c r="BD74" s="28"/>
      <c r="BE74" s="28"/>
      <c r="BF74" s="28"/>
      <c r="BG74" s="30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9"/>
      <c r="BS74" s="29"/>
      <c r="BT74" s="28"/>
      <c r="BU74" s="28"/>
      <c r="BV74" s="29"/>
      <c r="BW74" s="28"/>
      <c r="BX74" s="28"/>
      <c r="BY74" s="28"/>
      <c r="BZ74" s="28"/>
    </row>
    <row r="75" s="27" customFormat="1" spans="1:78">
      <c r="A75" s="28"/>
      <c r="B75" s="28"/>
      <c r="C75" s="29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30"/>
      <c r="AQ75" s="30"/>
      <c r="AR75" s="30"/>
      <c r="AS75" s="30"/>
      <c r="AT75" s="28"/>
      <c r="AU75" s="28"/>
      <c r="AV75" s="28"/>
      <c r="AW75" s="30"/>
      <c r="AX75" s="28"/>
      <c r="AY75" s="28"/>
      <c r="AZ75" s="28"/>
      <c r="BA75" s="28"/>
      <c r="BB75" s="28"/>
      <c r="BC75" s="28"/>
      <c r="BD75" s="28"/>
      <c r="BE75" s="28"/>
      <c r="BF75" s="28"/>
      <c r="BG75" s="30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9"/>
      <c r="BS75" s="29"/>
      <c r="BT75" s="28"/>
      <c r="BU75" s="28"/>
      <c r="BV75" s="29"/>
      <c r="BW75" s="28"/>
      <c r="BX75" s="28"/>
      <c r="BY75" s="28"/>
      <c r="BZ75" s="28"/>
    </row>
    <row r="76" s="27" customFormat="1" spans="1:78">
      <c r="A76" s="28"/>
      <c r="B76" s="28"/>
      <c r="C76" s="29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30"/>
      <c r="AQ76" s="30"/>
      <c r="AR76" s="30"/>
      <c r="AS76" s="30"/>
      <c r="AT76" s="28"/>
      <c r="AU76" s="28"/>
      <c r="AV76" s="28"/>
      <c r="AW76" s="30"/>
      <c r="AX76" s="28"/>
      <c r="AY76" s="28"/>
      <c r="AZ76" s="28"/>
      <c r="BA76" s="28"/>
      <c r="BB76" s="28"/>
      <c r="BC76" s="28"/>
      <c r="BD76" s="28"/>
      <c r="BE76" s="28"/>
      <c r="BF76" s="28"/>
      <c r="BG76" s="30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9"/>
      <c r="BS76" s="29"/>
      <c r="BT76" s="29"/>
      <c r="BU76" s="28"/>
      <c r="BV76" s="29"/>
      <c r="BW76" s="28"/>
      <c r="BX76" s="28"/>
      <c r="BY76" s="28"/>
      <c r="BZ76" s="28"/>
    </row>
    <row r="77" s="27" customFormat="1" spans="1:78">
      <c r="A77" s="28"/>
      <c r="B77" s="28"/>
      <c r="C77" s="29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30"/>
      <c r="AQ77" s="30"/>
      <c r="AR77" s="30"/>
      <c r="AS77" s="30"/>
      <c r="AT77" s="28"/>
      <c r="AU77" s="28"/>
      <c r="AV77" s="28"/>
      <c r="AW77" s="30"/>
      <c r="AX77" s="28"/>
      <c r="AY77" s="28"/>
      <c r="AZ77" s="28"/>
      <c r="BA77" s="28"/>
      <c r="BB77" s="28"/>
      <c r="BC77" s="28"/>
      <c r="BD77" s="28"/>
      <c r="BE77" s="28"/>
      <c r="BF77" s="28"/>
      <c r="BG77" s="30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9"/>
      <c r="BS77" s="29"/>
      <c r="BT77" s="28"/>
      <c r="BU77" s="28"/>
      <c r="BV77" s="29"/>
      <c r="BW77" s="28"/>
      <c r="BX77" s="28"/>
      <c r="BY77" s="28"/>
      <c r="BZ77" s="28"/>
    </row>
    <row r="78" s="27" customFormat="1" spans="1:78">
      <c r="A78" s="28"/>
      <c r="B78" s="28"/>
      <c r="C78" s="29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30"/>
      <c r="AQ78" s="30"/>
      <c r="AR78" s="30"/>
      <c r="AS78" s="30"/>
      <c r="AT78" s="28"/>
      <c r="AU78" s="28"/>
      <c r="AV78" s="28"/>
      <c r="AW78" s="30"/>
      <c r="AX78" s="28"/>
      <c r="AY78" s="28"/>
      <c r="AZ78" s="28"/>
      <c r="BA78" s="28"/>
      <c r="BB78" s="28"/>
      <c r="BC78" s="28"/>
      <c r="BD78" s="28"/>
      <c r="BE78" s="28"/>
      <c r="BF78" s="28"/>
      <c r="BG78" s="30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9"/>
      <c r="BS78" s="29"/>
      <c r="BT78" s="29"/>
      <c r="BU78" s="29"/>
      <c r="BV78" s="29"/>
      <c r="BW78" s="28"/>
      <c r="BX78" s="28"/>
      <c r="BY78" s="28"/>
      <c r="BZ78" s="28"/>
    </row>
    <row r="79" s="27" customFormat="1" spans="1:78">
      <c r="A79" s="28"/>
      <c r="B79" s="28"/>
      <c r="C79" s="29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30"/>
      <c r="AQ79" s="30"/>
      <c r="AR79" s="30"/>
      <c r="AS79" s="30"/>
      <c r="AT79" s="28"/>
      <c r="AU79" s="28"/>
      <c r="AV79" s="28"/>
      <c r="AW79" s="30"/>
      <c r="AX79" s="28"/>
      <c r="AY79" s="28"/>
      <c r="AZ79" s="28"/>
      <c r="BA79" s="28"/>
      <c r="BB79" s="28"/>
      <c r="BC79" s="28"/>
      <c r="BD79" s="28"/>
      <c r="BE79" s="28"/>
      <c r="BF79" s="28"/>
      <c r="BG79" s="30"/>
      <c r="BH79" s="28"/>
      <c r="BI79" s="28"/>
      <c r="BJ79" s="28"/>
      <c r="BK79" s="28"/>
      <c r="BL79" s="28"/>
      <c r="BM79" s="28"/>
      <c r="BN79" s="28"/>
      <c r="BO79" s="28"/>
      <c r="BP79" s="28"/>
      <c r="BQ79" s="28"/>
      <c r="BR79" s="29"/>
      <c r="BS79" s="29"/>
      <c r="BT79" s="28"/>
      <c r="BU79" s="28"/>
      <c r="BV79" s="29"/>
      <c r="BW79" s="28"/>
      <c r="BX79" s="28"/>
      <c r="BY79" s="28"/>
      <c r="BZ79" s="28"/>
    </row>
    <row r="80" s="27" customFormat="1" spans="1:78">
      <c r="A80" s="28"/>
      <c r="B80" s="28"/>
      <c r="C80" s="29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30"/>
      <c r="AQ80" s="30"/>
      <c r="AR80" s="30"/>
      <c r="AS80" s="30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30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  <c r="BS80" s="28"/>
      <c r="BT80" s="28"/>
      <c r="BU80" s="28"/>
      <c r="BV80" s="29"/>
      <c r="BW80" s="28"/>
      <c r="BX80" s="28"/>
      <c r="BY80" s="28"/>
      <c r="BZ80" s="28"/>
    </row>
    <row r="81" s="27" customFormat="1" spans="1:78">
      <c r="A81" s="28"/>
      <c r="B81" s="28"/>
      <c r="C81" s="29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30"/>
      <c r="AQ81" s="30"/>
      <c r="AR81" s="30"/>
      <c r="AS81" s="30"/>
      <c r="AT81" s="28"/>
      <c r="AU81" s="28"/>
      <c r="AV81" s="28"/>
      <c r="AW81" s="30"/>
      <c r="AX81" s="28"/>
      <c r="AY81" s="28"/>
      <c r="AZ81" s="28"/>
      <c r="BA81" s="28"/>
      <c r="BB81" s="28"/>
      <c r="BC81" s="28"/>
      <c r="BD81" s="28"/>
      <c r="BE81" s="28"/>
      <c r="BF81" s="28"/>
      <c r="BG81" s="30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9"/>
      <c r="BS81" s="29"/>
      <c r="BT81" s="28"/>
      <c r="BU81" s="28"/>
      <c r="BV81" s="29"/>
      <c r="BW81" s="28"/>
      <c r="BX81" s="28"/>
      <c r="BY81" s="28"/>
      <c r="BZ81" s="28"/>
    </row>
    <row r="82" s="27" customFormat="1" spans="1:78">
      <c r="A82" s="28"/>
      <c r="B82" s="28"/>
      <c r="C82" s="29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30"/>
      <c r="AQ82" s="30"/>
      <c r="AR82" s="30"/>
      <c r="AS82" s="30"/>
      <c r="AT82" s="28"/>
      <c r="AU82" s="28"/>
      <c r="AV82" s="28"/>
      <c r="AW82" s="30"/>
      <c r="AX82" s="28"/>
      <c r="AY82" s="28"/>
      <c r="AZ82" s="28"/>
      <c r="BA82" s="28"/>
      <c r="BB82" s="28"/>
      <c r="BC82" s="28"/>
      <c r="BD82" s="28"/>
      <c r="BE82" s="28"/>
      <c r="BF82" s="28"/>
      <c r="BG82" s="30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9"/>
      <c r="BS82" s="29"/>
      <c r="BT82" s="29"/>
      <c r="BU82" s="29"/>
      <c r="BV82" s="29"/>
      <c r="BW82" s="28"/>
      <c r="BX82" s="28"/>
      <c r="BY82" s="28"/>
      <c r="BZ82" s="28"/>
    </row>
    <row r="83" s="27" customFormat="1" spans="1:78">
      <c r="A83" s="28"/>
      <c r="B83" s="28"/>
      <c r="C83" s="29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30"/>
      <c r="AQ83" s="30"/>
      <c r="AR83" s="30"/>
      <c r="AS83" s="30"/>
      <c r="AT83" s="28"/>
      <c r="AU83" s="28"/>
      <c r="AV83" s="28"/>
      <c r="AW83" s="30"/>
      <c r="AX83" s="28"/>
      <c r="AY83" s="28"/>
      <c r="AZ83" s="28"/>
      <c r="BA83" s="28"/>
      <c r="BB83" s="28"/>
      <c r="BC83" s="28"/>
      <c r="BD83" s="28"/>
      <c r="BE83" s="28"/>
      <c r="BF83" s="28"/>
      <c r="BG83" s="30"/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9"/>
      <c r="BS83" s="29"/>
      <c r="BT83" s="29"/>
      <c r="BU83" s="29"/>
      <c r="BV83" s="29"/>
      <c r="BW83" s="29"/>
      <c r="BX83" s="28"/>
      <c r="BY83" s="28"/>
      <c r="BZ83" s="28"/>
    </row>
    <row r="84" s="27" customFormat="1" spans="1:78">
      <c r="A84" s="28"/>
      <c r="B84" s="28"/>
      <c r="C84" s="29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30"/>
      <c r="AQ84" s="30"/>
      <c r="AR84" s="30"/>
      <c r="AS84" s="30"/>
      <c r="AT84" s="28"/>
      <c r="AU84" s="28"/>
      <c r="AV84" s="28"/>
      <c r="AW84" s="30"/>
      <c r="AX84" s="28"/>
      <c r="AY84" s="28"/>
      <c r="AZ84" s="28"/>
      <c r="BA84" s="28"/>
      <c r="BB84" s="28"/>
      <c r="BC84" s="28"/>
      <c r="BD84" s="28"/>
      <c r="BE84" s="28"/>
      <c r="BF84" s="28"/>
      <c r="BG84" s="30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9"/>
      <c r="BS84" s="29"/>
      <c r="BT84" s="29"/>
      <c r="BU84" s="29"/>
      <c r="BV84" s="29"/>
      <c r="BW84" s="29"/>
      <c r="BX84" s="28"/>
      <c r="BY84" s="28"/>
      <c r="BZ84" s="28"/>
    </row>
    <row r="85" s="27" customFormat="1" spans="1:78">
      <c r="A85" s="28"/>
      <c r="B85" s="28"/>
      <c r="C85" s="29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30"/>
      <c r="AQ85" s="30"/>
      <c r="AR85" s="30"/>
      <c r="AS85" s="30"/>
      <c r="AT85" s="28"/>
      <c r="AU85" s="28"/>
      <c r="AV85" s="28"/>
      <c r="AW85" s="30"/>
      <c r="AX85" s="28"/>
      <c r="AY85" s="28"/>
      <c r="AZ85" s="28"/>
      <c r="BA85" s="28"/>
      <c r="BB85" s="28"/>
      <c r="BC85" s="28"/>
      <c r="BD85" s="28"/>
      <c r="BE85" s="28"/>
      <c r="BF85" s="28"/>
      <c r="BG85" s="30"/>
      <c r="BH85" s="28"/>
      <c r="BI85" s="28"/>
      <c r="BJ85" s="28"/>
      <c r="BK85" s="28"/>
      <c r="BL85" s="28"/>
      <c r="BM85" s="28"/>
      <c r="BN85" s="28"/>
      <c r="BO85" s="28"/>
      <c r="BP85" s="28"/>
      <c r="BQ85" s="28"/>
      <c r="BR85" s="29"/>
      <c r="BS85" s="29"/>
      <c r="BT85" s="29"/>
      <c r="BU85" s="29"/>
      <c r="BV85" s="29"/>
      <c r="BW85" s="29"/>
      <c r="BX85" s="28"/>
      <c r="BY85" s="28"/>
      <c r="BZ85" s="28"/>
    </row>
    <row r="86" s="27" customFormat="1" spans="1:78">
      <c r="A86" s="28"/>
      <c r="B86" s="28"/>
      <c r="C86" s="29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30"/>
      <c r="AQ86" s="30"/>
      <c r="AR86" s="30"/>
      <c r="AS86" s="30"/>
      <c r="AT86" s="28"/>
      <c r="AU86" s="28"/>
      <c r="AV86" s="28"/>
      <c r="AW86" s="30"/>
      <c r="AX86" s="28"/>
      <c r="AY86" s="28"/>
      <c r="AZ86" s="28"/>
      <c r="BA86" s="28"/>
      <c r="BB86" s="28"/>
      <c r="BC86" s="28"/>
      <c r="BD86" s="28"/>
      <c r="BE86" s="28"/>
      <c r="BF86" s="28"/>
      <c r="BG86" s="30"/>
      <c r="BH86" s="28"/>
      <c r="BI86" s="28"/>
      <c r="BJ86" s="28"/>
      <c r="BK86" s="28"/>
      <c r="BL86" s="28"/>
      <c r="BM86" s="28"/>
      <c r="BN86" s="28"/>
      <c r="BO86" s="28"/>
      <c r="BP86" s="28"/>
      <c r="BQ86" s="28"/>
      <c r="BR86" s="29"/>
      <c r="BS86" s="29"/>
      <c r="BT86" s="29"/>
      <c r="BU86" s="29"/>
      <c r="BV86" s="29"/>
      <c r="BW86" s="29"/>
      <c r="BX86" s="28"/>
      <c r="BY86" s="28"/>
      <c r="BZ86" s="28"/>
    </row>
    <row r="87" s="27" customFormat="1" spans="1:78">
      <c r="A87" s="28"/>
      <c r="B87" s="28"/>
      <c r="C87" s="29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30"/>
      <c r="AQ87" s="30"/>
      <c r="AR87" s="30"/>
      <c r="AS87" s="30"/>
      <c r="AT87" s="28"/>
      <c r="AU87" s="28"/>
      <c r="AV87" s="28"/>
      <c r="AW87" s="30"/>
      <c r="AX87" s="28"/>
      <c r="AY87" s="28"/>
      <c r="AZ87" s="28"/>
      <c r="BA87" s="28"/>
      <c r="BB87" s="28"/>
      <c r="BC87" s="28"/>
      <c r="BD87" s="28"/>
      <c r="BE87" s="28"/>
      <c r="BF87" s="28"/>
      <c r="BG87" s="30"/>
      <c r="BH87" s="28"/>
      <c r="BI87" s="28"/>
      <c r="BJ87" s="28"/>
      <c r="BK87" s="28"/>
      <c r="BL87" s="28"/>
      <c r="BM87" s="28"/>
      <c r="BN87" s="28"/>
      <c r="BO87" s="28"/>
      <c r="BP87" s="28"/>
      <c r="BQ87" s="28"/>
      <c r="BR87" s="29"/>
      <c r="BS87" s="29"/>
      <c r="BT87" s="29"/>
      <c r="BU87" s="29"/>
      <c r="BV87" s="29"/>
      <c r="BW87" s="28"/>
      <c r="BX87" s="28"/>
      <c r="BY87" s="28"/>
      <c r="BZ87" s="28"/>
    </row>
    <row r="88" s="27" customFormat="1" spans="1:78">
      <c r="A88" s="28"/>
      <c r="B88" s="28"/>
      <c r="C88" s="29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30"/>
      <c r="AQ88" s="30"/>
      <c r="AR88" s="30"/>
      <c r="AS88" s="30"/>
      <c r="AT88" s="28"/>
      <c r="AU88" s="28"/>
      <c r="AV88" s="28"/>
      <c r="AW88" s="30"/>
      <c r="AX88" s="28"/>
      <c r="AY88" s="28"/>
      <c r="AZ88" s="28"/>
      <c r="BA88" s="28"/>
      <c r="BB88" s="28"/>
      <c r="BC88" s="28"/>
      <c r="BD88" s="28"/>
      <c r="BE88" s="28"/>
      <c r="BF88" s="28"/>
      <c r="BG88" s="30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9"/>
      <c r="BS88" s="29"/>
      <c r="BT88" s="28"/>
      <c r="BU88" s="28"/>
      <c r="BV88" s="29"/>
      <c r="BW88" s="28"/>
      <c r="BX88" s="28"/>
      <c r="BY88" s="28"/>
      <c r="BZ88" s="28"/>
    </row>
    <row r="89" s="27" customFormat="1" spans="1:78">
      <c r="A89" s="28"/>
      <c r="B89" s="28"/>
      <c r="C89" s="29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30"/>
      <c r="AQ89" s="30"/>
      <c r="AR89" s="30"/>
      <c r="AS89" s="30"/>
      <c r="AT89" s="28"/>
      <c r="AU89" s="28"/>
      <c r="AV89" s="28"/>
      <c r="AW89" s="30"/>
      <c r="AX89" s="28"/>
      <c r="AY89" s="28"/>
      <c r="AZ89" s="28"/>
      <c r="BA89" s="28"/>
      <c r="BB89" s="28"/>
      <c r="BC89" s="28"/>
      <c r="BD89" s="28"/>
      <c r="BE89" s="28"/>
      <c r="BF89" s="28"/>
      <c r="BG89" s="30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9"/>
      <c r="BS89" s="29"/>
      <c r="BT89" s="28"/>
      <c r="BU89" s="28"/>
      <c r="BV89" s="29"/>
      <c r="BW89" s="28"/>
      <c r="BX89" s="28"/>
      <c r="BY89" s="28"/>
      <c r="BZ89" s="28"/>
    </row>
    <row r="90" s="27" customFormat="1" spans="1:78">
      <c r="A90" s="28"/>
      <c r="B90" s="28"/>
      <c r="C90" s="29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30"/>
      <c r="AQ90" s="30"/>
      <c r="AR90" s="30"/>
      <c r="AS90" s="30"/>
      <c r="AT90" s="28"/>
      <c r="AU90" s="28"/>
      <c r="AV90" s="28"/>
      <c r="AW90" s="30"/>
      <c r="AX90" s="28"/>
      <c r="AY90" s="28"/>
      <c r="AZ90" s="28"/>
      <c r="BA90" s="28"/>
      <c r="BB90" s="28"/>
      <c r="BC90" s="28"/>
      <c r="BD90" s="28"/>
      <c r="BE90" s="28"/>
      <c r="BF90" s="28"/>
      <c r="BG90" s="30"/>
      <c r="BH90" s="28"/>
      <c r="BI90" s="28"/>
      <c r="BJ90" s="28"/>
      <c r="BK90" s="28"/>
      <c r="BL90" s="28"/>
      <c r="BM90" s="28"/>
      <c r="BN90" s="28"/>
      <c r="BO90" s="28"/>
      <c r="BP90" s="28"/>
      <c r="BQ90" s="28"/>
      <c r="BR90" s="29"/>
      <c r="BS90" s="29"/>
      <c r="BT90" s="29"/>
      <c r="BU90" s="28"/>
      <c r="BV90" s="29"/>
      <c r="BW90" s="28"/>
      <c r="BX90" s="28"/>
      <c r="BY90" s="28"/>
      <c r="BZ90" s="28"/>
    </row>
    <row r="91" s="27" customFormat="1" spans="1:78">
      <c r="A91" s="28"/>
      <c r="B91" s="28"/>
      <c r="C91" s="29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30"/>
      <c r="AQ91" s="30"/>
      <c r="AR91" s="30"/>
      <c r="AS91" s="30"/>
      <c r="AT91" s="28"/>
      <c r="AU91" s="28"/>
      <c r="AV91" s="28"/>
      <c r="AW91" s="30"/>
      <c r="AX91" s="28"/>
      <c r="AY91" s="28"/>
      <c r="AZ91" s="28"/>
      <c r="BA91" s="28"/>
      <c r="BB91" s="28"/>
      <c r="BC91" s="28"/>
      <c r="BD91" s="28"/>
      <c r="BE91" s="28"/>
      <c r="BF91" s="28"/>
      <c r="BG91" s="30"/>
      <c r="BH91" s="28"/>
      <c r="BI91" s="28"/>
      <c r="BJ91" s="28"/>
      <c r="BK91" s="28"/>
      <c r="BL91" s="28"/>
      <c r="BM91" s="28"/>
      <c r="BN91" s="28"/>
      <c r="BO91" s="28"/>
      <c r="BP91" s="28"/>
      <c r="BQ91" s="28"/>
      <c r="BR91" s="29"/>
      <c r="BS91" s="29"/>
      <c r="BT91" s="28"/>
      <c r="BU91" s="28"/>
      <c r="BV91" s="29"/>
      <c r="BW91" s="28"/>
      <c r="BX91" s="28"/>
      <c r="BY91" s="28"/>
      <c r="BZ91" s="28"/>
    </row>
    <row r="92" s="27" customFormat="1" spans="1:78">
      <c r="A92" s="28"/>
      <c r="B92" s="28"/>
      <c r="C92" s="29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30"/>
      <c r="AQ92" s="30"/>
      <c r="AR92" s="30"/>
      <c r="AS92" s="30"/>
      <c r="AT92" s="28"/>
      <c r="AU92" s="28"/>
      <c r="AV92" s="28"/>
      <c r="AW92" s="30"/>
      <c r="AX92" s="28"/>
      <c r="AY92" s="28"/>
      <c r="AZ92" s="28"/>
      <c r="BA92" s="28"/>
      <c r="BB92" s="28"/>
      <c r="BC92" s="28"/>
      <c r="BD92" s="28"/>
      <c r="BE92" s="28"/>
      <c r="BF92" s="28"/>
      <c r="BG92" s="30"/>
      <c r="BH92" s="28"/>
      <c r="BI92" s="28"/>
      <c r="BJ92" s="28"/>
      <c r="BK92" s="28"/>
      <c r="BL92" s="28"/>
      <c r="BM92" s="28"/>
      <c r="BN92" s="28"/>
      <c r="BO92" s="28"/>
      <c r="BP92" s="28"/>
      <c r="BQ92" s="28"/>
      <c r="BR92" s="29"/>
      <c r="BS92" s="29"/>
      <c r="BT92" s="28"/>
      <c r="BU92" s="28"/>
      <c r="BV92" s="29"/>
      <c r="BW92" s="28"/>
      <c r="BX92" s="28"/>
      <c r="BY92" s="28"/>
      <c r="BZ92" s="28"/>
    </row>
    <row r="93" s="27" customFormat="1" spans="1:78">
      <c r="A93" s="28"/>
      <c r="B93" s="28"/>
      <c r="C93" s="29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30"/>
      <c r="AQ93" s="30"/>
      <c r="AR93" s="30"/>
      <c r="AS93" s="30"/>
      <c r="AT93" s="28"/>
      <c r="AU93" s="28"/>
      <c r="AV93" s="28"/>
      <c r="AW93" s="30"/>
      <c r="AX93" s="28"/>
      <c r="AY93" s="28"/>
      <c r="AZ93" s="28"/>
      <c r="BA93" s="28"/>
      <c r="BB93" s="28"/>
      <c r="BC93" s="28"/>
      <c r="BD93" s="28"/>
      <c r="BE93" s="28"/>
      <c r="BF93" s="28"/>
      <c r="BG93" s="30"/>
      <c r="BH93" s="28"/>
      <c r="BI93" s="28"/>
      <c r="BJ93" s="28"/>
      <c r="BK93" s="28"/>
      <c r="BL93" s="28"/>
      <c r="BM93" s="28"/>
      <c r="BN93" s="28"/>
      <c r="BO93" s="28"/>
      <c r="BP93" s="28"/>
      <c r="BQ93" s="28"/>
      <c r="BR93" s="29"/>
      <c r="BS93" s="29"/>
      <c r="BT93" s="29"/>
      <c r="BU93" s="28"/>
      <c r="BV93" s="29"/>
      <c r="BW93" s="28"/>
      <c r="BX93" s="28"/>
      <c r="BY93" s="28"/>
      <c r="BZ93" s="28"/>
    </row>
    <row r="94" s="27" customFormat="1" spans="1:78">
      <c r="A94" s="28"/>
      <c r="B94" s="28"/>
      <c r="C94" s="29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30"/>
      <c r="AQ94" s="30"/>
      <c r="AR94" s="30"/>
      <c r="AS94" s="30"/>
      <c r="AT94" s="28"/>
      <c r="AU94" s="28"/>
      <c r="AV94" s="28"/>
      <c r="AW94" s="30"/>
      <c r="AX94" s="28"/>
      <c r="AY94" s="28"/>
      <c r="AZ94" s="28"/>
      <c r="BA94" s="28"/>
      <c r="BB94" s="28"/>
      <c r="BC94" s="28"/>
      <c r="BD94" s="28"/>
      <c r="BE94" s="28"/>
      <c r="BF94" s="28"/>
      <c r="BG94" s="30"/>
      <c r="BH94" s="28"/>
      <c r="BI94" s="28"/>
      <c r="BJ94" s="28"/>
      <c r="BK94" s="28"/>
      <c r="BL94" s="28"/>
      <c r="BM94" s="28"/>
      <c r="BN94" s="28"/>
      <c r="BO94" s="28"/>
      <c r="BP94" s="28"/>
      <c r="BQ94" s="28"/>
      <c r="BR94" s="29"/>
      <c r="BS94" s="29"/>
      <c r="BT94" s="29"/>
      <c r="BU94" s="28"/>
      <c r="BV94" s="29"/>
      <c r="BW94" s="28"/>
      <c r="BX94" s="28"/>
      <c r="BY94" s="28"/>
      <c r="BZ94" s="28"/>
    </row>
    <row r="95" s="27" customFormat="1" spans="1:78">
      <c r="A95" s="28"/>
      <c r="B95" s="28"/>
      <c r="C95" s="29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30"/>
      <c r="AQ95" s="30"/>
      <c r="AR95" s="30"/>
      <c r="AS95" s="30"/>
      <c r="AT95" s="28"/>
      <c r="AU95" s="28"/>
      <c r="AV95" s="28"/>
      <c r="AW95" s="30"/>
      <c r="AX95" s="28"/>
      <c r="AY95" s="28"/>
      <c r="AZ95" s="28"/>
      <c r="BA95" s="28"/>
      <c r="BB95" s="28"/>
      <c r="BC95" s="28"/>
      <c r="BD95" s="28"/>
      <c r="BE95" s="28"/>
      <c r="BF95" s="28"/>
      <c r="BG95" s="30"/>
      <c r="BH95" s="28"/>
      <c r="BI95" s="28"/>
      <c r="BJ95" s="28"/>
      <c r="BK95" s="28"/>
      <c r="BL95" s="28"/>
      <c r="BM95" s="28"/>
      <c r="BN95" s="28"/>
      <c r="BO95" s="28"/>
      <c r="BP95" s="28"/>
      <c r="BQ95" s="28"/>
      <c r="BR95" s="29"/>
      <c r="BS95" s="28"/>
      <c r="BT95" s="28"/>
      <c r="BU95" s="28"/>
      <c r="BV95" s="29"/>
      <c r="BW95" s="28"/>
      <c r="BX95" s="28"/>
      <c r="BY95" s="28"/>
      <c r="BZ95" s="28"/>
    </row>
    <row r="96" s="27" customFormat="1" spans="1:78">
      <c r="A96" s="28"/>
      <c r="B96" s="28"/>
      <c r="C96" s="29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30"/>
      <c r="AQ96" s="30"/>
      <c r="AR96" s="30"/>
      <c r="AS96" s="30"/>
      <c r="AT96" s="28"/>
      <c r="AU96" s="28"/>
      <c r="AV96" s="28"/>
      <c r="AW96" s="30"/>
      <c r="AX96" s="28"/>
      <c r="AY96" s="28"/>
      <c r="AZ96" s="28"/>
      <c r="BA96" s="28"/>
      <c r="BB96" s="28"/>
      <c r="BC96" s="28"/>
      <c r="BD96" s="28"/>
      <c r="BE96" s="28"/>
      <c r="BF96" s="28"/>
      <c r="BG96" s="30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9"/>
      <c r="BS96" s="28"/>
      <c r="BT96" s="28"/>
      <c r="BU96" s="28"/>
      <c r="BV96" s="29"/>
      <c r="BW96" s="28"/>
      <c r="BX96" s="28"/>
      <c r="BY96" s="28"/>
      <c r="BZ96" s="28"/>
    </row>
    <row r="97" s="27" customFormat="1" spans="1:78">
      <c r="A97" s="28"/>
      <c r="B97" s="28"/>
      <c r="C97" s="29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30"/>
      <c r="AQ97" s="30"/>
      <c r="AR97" s="30"/>
      <c r="AS97" s="30"/>
      <c r="AT97" s="28"/>
      <c r="AU97" s="28"/>
      <c r="AV97" s="28"/>
      <c r="AW97" s="30"/>
      <c r="AX97" s="28"/>
      <c r="AY97" s="28"/>
      <c r="AZ97" s="28"/>
      <c r="BA97" s="28"/>
      <c r="BB97" s="28"/>
      <c r="BC97" s="28"/>
      <c r="BD97" s="28"/>
      <c r="BE97" s="28"/>
      <c r="BF97" s="28"/>
      <c r="BG97" s="30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9"/>
      <c r="BS97" s="28"/>
      <c r="BT97" s="28"/>
      <c r="BU97" s="28"/>
      <c r="BV97" s="29"/>
      <c r="BW97" s="28"/>
      <c r="BX97" s="28"/>
      <c r="BY97" s="28"/>
      <c r="BZ97" s="28"/>
    </row>
    <row r="98" s="27" customFormat="1" spans="1:78">
      <c r="A98" s="28"/>
      <c r="B98" s="28"/>
      <c r="C98" s="29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30"/>
      <c r="AQ98" s="30"/>
      <c r="AR98" s="30"/>
      <c r="AS98" s="30"/>
      <c r="AT98" s="28"/>
      <c r="AU98" s="28"/>
      <c r="AV98" s="28"/>
      <c r="AW98" s="30"/>
      <c r="AX98" s="28"/>
      <c r="AY98" s="28"/>
      <c r="AZ98" s="28"/>
      <c r="BA98" s="28"/>
      <c r="BB98" s="28"/>
      <c r="BC98" s="28"/>
      <c r="BD98" s="28"/>
      <c r="BE98" s="28"/>
      <c r="BF98" s="28"/>
      <c r="BG98" s="30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9"/>
      <c r="BS98" s="29"/>
      <c r="BT98" s="29"/>
      <c r="BU98" s="28"/>
      <c r="BV98" s="29"/>
      <c r="BW98" s="28"/>
      <c r="BX98" s="28"/>
      <c r="BY98" s="28"/>
      <c r="BZ98" s="28"/>
    </row>
    <row r="99" s="27" customFormat="1" spans="1:78">
      <c r="A99" s="28"/>
      <c r="B99" s="28"/>
      <c r="C99" s="29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30"/>
      <c r="AQ99" s="30"/>
      <c r="AR99" s="30"/>
      <c r="AS99" s="30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30"/>
      <c r="BH99" s="28"/>
      <c r="BI99" s="28"/>
      <c r="BJ99" s="28"/>
      <c r="BK99" s="28"/>
      <c r="BL99" s="28"/>
      <c r="BM99" s="28"/>
      <c r="BN99" s="28"/>
      <c r="BO99" s="28"/>
      <c r="BP99" s="28"/>
      <c r="BQ99" s="28"/>
      <c r="BR99" s="28"/>
      <c r="BS99" s="28"/>
      <c r="BT99" s="28"/>
      <c r="BU99" s="28"/>
      <c r="BV99" s="29"/>
      <c r="BW99" s="28"/>
      <c r="BX99" s="28"/>
      <c r="BY99" s="28"/>
      <c r="BZ99" s="28"/>
    </row>
    <row r="100" s="27" customFormat="1" spans="1:78">
      <c r="A100" s="28"/>
      <c r="B100" s="28"/>
      <c r="C100" s="29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30"/>
      <c r="AQ100" s="30"/>
      <c r="AR100" s="30"/>
      <c r="AS100" s="30"/>
      <c r="AT100" s="28"/>
      <c r="AU100" s="29"/>
      <c r="AV100" s="30"/>
      <c r="AW100" s="30"/>
      <c r="AX100" s="28"/>
      <c r="AY100" s="28"/>
      <c r="AZ100" s="28"/>
      <c r="BA100" s="28"/>
      <c r="BB100" s="28"/>
      <c r="BC100" s="28"/>
      <c r="BD100" s="28"/>
      <c r="BE100" s="28"/>
      <c r="BF100" s="28"/>
      <c r="BG100" s="30"/>
      <c r="BH100" s="28"/>
      <c r="BI100" s="28"/>
      <c r="BJ100" s="28"/>
      <c r="BK100" s="28"/>
      <c r="BL100" s="28"/>
      <c r="BM100" s="28"/>
      <c r="BN100" s="28"/>
      <c r="BO100" s="28"/>
      <c r="BP100" s="28"/>
      <c r="BQ100" s="28"/>
      <c r="BR100" s="29"/>
      <c r="BS100" s="29"/>
      <c r="BT100" s="29"/>
      <c r="BU100" s="29"/>
      <c r="BV100" s="29"/>
      <c r="BW100" s="29"/>
      <c r="BX100" s="28"/>
      <c r="BY100" s="28"/>
      <c r="BZ100" s="28"/>
    </row>
    <row r="101" s="27" customFormat="1" spans="1:78">
      <c r="A101" s="28"/>
      <c r="B101" s="28"/>
      <c r="C101" s="29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30"/>
      <c r="AQ101" s="30"/>
      <c r="AR101" s="30"/>
      <c r="AS101" s="30"/>
      <c r="AT101" s="28"/>
      <c r="AU101" s="28"/>
      <c r="AV101" s="28"/>
      <c r="AW101" s="30"/>
      <c r="AX101" s="28"/>
      <c r="AY101" s="28"/>
      <c r="AZ101" s="28"/>
      <c r="BA101" s="28"/>
      <c r="BB101" s="28"/>
      <c r="BC101" s="28"/>
      <c r="BD101" s="28"/>
      <c r="BE101" s="28"/>
      <c r="BF101" s="28"/>
      <c r="BG101" s="30"/>
      <c r="BH101" s="28"/>
      <c r="BI101" s="28"/>
      <c r="BJ101" s="28"/>
      <c r="BK101" s="28"/>
      <c r="BL101" s="28"/>
      <c r="BM101" s="28"/>
      <c r="BN101" s="28"/>
      <c r="BO101" s="28"/>
      <c r="BP101" s="28"/>
      <c r="BQ101" s="28"/>
      <c r="BR101" s="29"/>
      <c r="BS101" s="29"/>
      <c r="BT101" s="29"/>
      <c r="BU101" s="29"/>
      <c r="BV101" s="29"/>
      <c r="BW101" s="29"/>
      <c r="BX101" s="28"/>
      <c r="BY101" s="28"/>
      <c r="BZ101" s="28"/>
    </row>
    <row r="102" s="27" customFormat="1" spans="1:78">
      <c r="A102" s="28"/>
      <c r="B102" s="28"/>
      <c r="C102" s="29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30"/>
      <c r="AQ102" s="30"/>
      <c r="AR102" s="30"/>
      <c r="AS102" s="30"/>
      <c r="AT102" s="28"/>
      <c r="AU102" s="29"/>
      <c r="AV102" s="30"/>
      <c r="AW102" s="30"/>
      <c r="AX102" s="28"/>
      <c r="AY102" s="28"/>
      <c r="AZ102" s="28"/>
      <c r="BA102" s="28"/>
      <c r="BB102" s="28"/>
      <c r="BC102" s="28"/>
      <c r="BD102" s="28"/>
      <c r="BE102" s="28"/>
      <c r="BF102" s="28"/>
      <c r="BG102" s="30"/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  <c r="BR102" s="29"/>
      <c r="BS102" s="29"/>
      <c r="BT102" s="29"/>
      <c r="BU102" s="29"/>
      <c r="BV102" s="29"/>
      <c r="BW102" s="29"/>
      <c r="BX102" s="28"/>
      <c r="BY102" s="28"/>
      <c r="BZ102" s="28"/>
    </row>
    <row r="103" s="27" customFormat="1" spans="1:78">
      <c r="A103" s="28"/>
      <c r="B103" s="28"/>
      <c r="C103" s="29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30"/>
      <c r="AQ103" s="30"/>
      <c r="AR103" s="30"/>
      <c r="AS103" s="30"/>
      <c r="AT103" s="28"/>
      <c r="AU103" s="28"/>
      <c r="AV103" s="28"/>
      <c r="AW103" s="30"/>
      <c r="AX103" s="28"/>
      <c r="AY103" s="28"/>
      <c r="AZ103" s="28"/>
      <c r="BA103" s="28"/>
      <c r="BB103" s="28"/>
      <c r="BC103" s="28"/>
      <c r="BD103" s="28"/>
      <c r="BE103" s="28"/>
      <c r="BF103" s="28"/>
      <c r="BG103" s="30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9"/>
      <c r="BS103" s="29"/>
      <c r="BT103" s="28"/>
      <c r="BU103" s="28"/>
      <c r="BV103" s="29"/>
      <c r="BW103" s="28"/>
      <c r="BX103" s="28"/>
      <c r="BY103" s="28"/>
      <c r="BZ103" s="28"/>
    </row>
    <row r="104" s="27" customFormat="1" spans="1:78">
      <c r="A104" s="28"/>
      <c r="B104" s="28"/>
      <c r="C104" s="29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30"/>
      <c r="AQ104" s="30"/>
      <c r="AR104" s="30"/>
      <c r="AS104" s="30"/>
      <c r="AT104" s="28"/>
      <c r="AU104" s="28"/>
      <c r="AV104" s="28"/>
      <c r="AW104" s="30"/>
      <c r="AX104" s="28"/>
      <c r="AY104" s="28"/>
      <c r="AZ104" s="28"/>
      <c r="BA104" s="28"/>
      <c r="BB104" s="28"/>
      <c r="BC104" s="28"/>
      <c r="BD104" s="28"/>
      <c r="BE104" s="28"/>
      <c r="BF104" s="28"/>
      <c r="BG104" s="30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9"/>
      <c r="BS104" s="29"/>
      <c r="BT104" s="29"/>
      <c r="BU104" s="29"/>
      <c r="BV104" s="29"/>
      <c r="BW104" s="28"/>
      <c r="BX104" s="28"/>
      <c r="BY104" s="28"/>
      <c r="BZ104" s="28"/>
    </row>
    <row r="105" s="27" customFormat="1" spans="1:78">
      <c r="A105" s="28"/>
      <c r="B105" s="28"/>
      <c r="C105" s="29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30"/>
      <c r="AQ105" s="30"/>
      <c r="AR105" s="30"/>
      <c r="AS105" s="30"/>
      <c r="AT105" s="28"/>
      <c r="AU105" s="28"/>
      <c r="AV105" s="28"/>
      <c r="AW105" s="30"/>
      <c r="AX105" s="28"/>
      <c r="AY105" s="28"/>
      <c r="AZ105" s="28"/>
      <c r="BA105" s="28"/>
      <c r="BB105" s="28"/>
      <c r="BC105" s="28"/>
      <c r="BD105" s="28"/>
      <c r="BE105" s="28"/>
      <c r="BF105" s="28"/>
      <c r="BG105" s="30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9"/>
      <c r="BS105" s="29"/>
      <c r="BT105" s="29"/>
      <c r="BU105" s="29"/>
      <c r="BV105" s="29"/>
      <c r="BW105" s="28"/>
      <c r="BX105" s="28"/>
      <c r="BY105" s="28"/>
      <c r="BZ105" s="28"/>
    </row>
    <row r="106" s="27" customFormat="1" spans="1:78">
      <c r="A106" s="28"/>
      <c r="B106" s="28"/>
      <c r="C106" s="29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30"/>
      <c r="AQ106" s="30"/>
      <c r="AR106" s="30"/>
      <c r="AS106" s="30"/>
      <c r="AT106" s="28"/>
      <c r="AU106" s="28"/>
      <c r="AV106" s="28"/>
      <c r="AW106" s="30"/>
      <c r="AX106" s="28"/>
      <c r="AY106" s="28"/>
      <c r="AZ106" s="28"/>
      <c r="BA106" s="28"/>
      <c r="BB106" s="28"/>
      <c r="BC106" s="28"/>
      <c r="BD106" s="28"/>
      <c r="BE106" s="28"/>
      <c r="BF106" s="28"/>
      <c r="BG106" s="30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9"/>
      <c r="BS106" s="29"/>
      <c r="BT106" s="29"/>
      <c r="BU106" s="28"/>
      <c r="BV106" s="29"/>
      <c r="BW106" s="28"/>
      <c r="BX106" s="28"/>
      <c r="BY106" s="28"/>
      <c r="BZ106" s="28"/>
    </row>
    <row r="107" s="27" customFormat="1" spans="1:78">
      <c r="A107" s="28"/>
      <c r="B107" s="28"/>
      <c r="C107" s="29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30"/>
      <c r="AQ107" s="30"/>
      <c r="AR107" s="30"/>
      <c r="AS107" s="30"/>
      <c r="AT107" s="28"/>
      <c r="AU107" s="28"/>
      <c r="AV107" s="28"/>
      <c r="AW107" s="30"/>
      <c r="AX107" s="28"/>
      <c r="AY107" s="28"/>
      <c r="AZ107" s="28"/>
      <c r="BA107" s="28"/>
      <c r="BB107" s="28"/>
      <c r="BC107" s="28"/>
      <c r="BD107" s="28"/>
      <c r="BE107" s="28"/>
      <c r="BF107" s="28"/>
      <c r="BG107" s="30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9"/>
      <c r="BS107" s="29"/>
      <c r="BT107" s="29"/>
      <c r="BU107" s="28"/>
      <c r="BV107" s="29"/>
      <c r="BW107" s="28"/>
      <c r="BX107" s="28"/>
      <c r="BY107" s="28"/>
      <c r="BZ107" s="28"/>
    </row>
    <row r="108" s="27" customFormat="1" spans="1:78">
      <c r="A108" s="28"/>
      <c r="B108" s="28"/>
      <c r="C108" s="29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30"/>
      <c r="AQ108" s="30"/>
      <c r="AR108" s="30"/>
      <c r="AS108" s="30"/>
      <c r="AT108" s="28"/>
      <c r="AU108" s="28"/>
      <c r="AV108" s="28"/>
      <c r="AW108" s="30"/>
      <c r="AX108" s="28"/>
      <c r="AY108" s="28"/>
      <c r="AZ108" s="28"/>
      <c r="BA108" s="28"/>
      <c r="BB108" s="28"/>
      <c r="BC108" s="28"/>
      <c r="BD108" s="28"/>
      <c r="BE108" s="28"/>
      <c r="BF108" s="28"/>
      <c r="BG108" s="30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9"/>
      <c r="BS108" s="29"/>
      <c r="BT108" s="29"/>
      <c r="BU108" s="29"/>
      <c r="BV108" s="29"/>
      <c r="BW108" s="28"/>
      <c r="BX108" s="28"/>
      <c r="BY108" s="28"/>
      <c r="BZ108" s="28"/>
    </row>
    <row r="109" s="27" customFormat="1" spans="1:78">
      <c r="A109" s="28"/>
      <c r="B109" s="28"/>
      <c r="C109" s="29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30"/>
      <c r="AQ109" s="30"/>
      <c r="AR109" s="30"/>
      <c r="AS109" s="30"/>
      <c r="AT109" s="28"/>
      <c r="AU109" s="28"/>
      <c r="AV109" s="28"/>
      <c r="AW109" s="30"/>
      <c r="AX109" s="28"/>
      <c r="AY109" s="28"/>
      <c r="AZ109" s="28"/>
      <c r="BA109" s="28"/>
      <c r="BB109" s="28"/>
      <c r="BC109" s="28"/>
      <c r="BD109" s="28"/>
      <c r="BE109" s="28"/>
      <c r="BF109" s="28"/>
      <c r="BG109" s="30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9"/>
      <c r="BS109" s="29"/>
      <c r="BT109" s="29"/>
      <c r="BU109" s="29"/>
      <c r="BV109" s="29"/>
      <c r="BW109" s="28"/>
      <c r="BX109" s="28"/>
      <c r="BY109" s="28"/>
      <c r="BZ109" s="28"/>
    </row>
    <row r="110" s="27" customFormat="1" spans="1:78">
      <c r="A110" s="28"/>
      <c r="B110" s="28"/>
      <c r="C110" s="29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30"/>
      <c r="AQ110" s="30"/>
      <c r="AR110" s="30"/>
      <c r="AS110" s="30"/>
      <c r="AT110" s="28"/>
      <c r="AU110" s="28"/>
      <c r="AV110" s="28"/>
      <c r="AW110" s="30"/>
      <c r="AX110" s="28"/>
      <c r="AY110" s="28"/>
      <c r="AZ110" s="28"/>
      <c r="BA110" s="28"/>
      <c r="BB110" s="28"/>
      <c r="BC110" s="28"/>
      <c r="BD110" s="28"/>
      <c r="BE110" s="28"/>
      <c r="BF110" s="28"/>
      <c r="BG110" s="30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9"/>
      <c r="BS110" s="29"/>
      <c r="BT110" s="29"/>
      <c r="BU110" s="28"/>
      <c r="BV110" s="29"/>
      <c r="BW110" s="28"/>
      <c r="BX110" s="28"/>
      <c r="BY110" s="28"/>
      <c r="BZ110" s="28"/>
    </row>
    <row r="111" s="27" customFormat="1" spans="1:78">
      <c r="A111" s="28"/>
      <c r="B111" s="28"/>
      <c r="C111" s="29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30"/>
      <c r="AQ111" s="30"/>
      <c r="AR111" s="30"/>
      <c r="AS111" s="30"/>
      <c r="AT111" s="28"/>
      <c r="AU111" s="28"/>
      <c r="AV111" s="28"/>
      <c r="AW111" s="30"/>
      <c r="AX111" s="28"/>
      <c r="AY111" s="28"/>
      <c r="AZ111" s="28"/>
      <c r="BA111" s="28"/>
      <c r="BB111" s="28"/>
      <c r="BC111" s="28"/>
      <c r="BD111" s="28"/>
      <c r="BE111" s="28"/>
      <c r="BF111" s="28"/>
      <c r="BG111" s="30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9"/>
      <c r="BS111" s="29"/>
      <c r="BT111" s="28"/>
      <c r="BU111" s="28"/>
      <c r="BV111" s="29"/>
      <c r="BW111" s="28"/>
      <c r="BX111" s="28"/>
      <c r="BY111" s="28"/>
      <c r="BZ111" s="28"/>
    </row>
    <row r="112" s="27" customFormat="1" spans="1:78">
      <c r="A112" s="28"/>
      <c r="B112" s="28"/>
      <c r="C112" s="29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30"/>
      <c r="AQ112" s="30"/>
      <c r="AR112" s="30"/>
      <c r="AS112" s="30"/>
      <c r="AT112" s="28"/>
      <c r="AU112" s="28"/>
      <c r="AV112" s="28"/>
      <c r="AW112" s="30"/>
      <c r="AX112" s="28"/>
      <c r="AY112" s="28"/>
      <c r="AZ112" s="28"/>
      <c r="BA112" s="28"/>
      <c r="BB112" s="28"/>
      <c r="BC112" s="28"/>
      <c r="BD112" s="28"/>
      <c r="BE112" s="28"/>
      <c r="BF112" s="28"/>
      <c r="BG112" s="30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  <c r="BR112" s="29"/>
      <c r="BS112" s="29"/>
      <c r="BT112" s="28"/>
      <c r="BU112" s="28"/>
      <c r="BV112" s="29"/>
      <c r="BW112" s="28"/>
      <c r="BX112" s="28"/>
      <c r="BY112" s="28"/>
      <c r="BZ112" s="28"/>
    </row>
    <row r="113" s="27" customFormat="1" spans="1:78">
      <c r="A113" s="28"/>
      <c r="B113" s="28"/>
      <c r="C113" s="29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30"/>
      <c r="AQ113" s="30"/>
      <c r="AR113" s="30"/>
      <c r="AS113" s="30"/>
      <c r="AT113" s="28"/>
      <c r="AU113" s="28"/>
      <c r="AV113" s="28"/>
      <c r="AW113" s="30"/>
      <c r="AX113" s="28"/>
      <c r="AY113" s="28"/>
      <c r="AZ113" s="28"/>
      <c r="BA113" s="28"/>
      <c r="BB113" s="28"/>
      <c r="BC113" s="28"/>
      <c r="BD113" s="28"/>
      <c r="BE113" s="28"/>
      <c r="BF113" s="28"/>
      <c r="BG113" s="30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9"/>
      <c r="BS113" s="29"/>
      <c r="BT113" s="29"/>
      <c r="BU113" s="29"/>
      <c r="BV113" s="29"/>
      <c r="BW113" s="29"/>
      <c r="BX113" s="28"/>
      <c r="BY113" s="28"/>
      <c r="BZ113" s="28"/>
    </row>
    <row r="114" s="27" customFormat="1" spans="1:78">
      <c r="A114" s="28"/>
      <c r="B114" s="28"/>
      <c r="C114" s="29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30"/>
      <c r="AQ114" s="30"/>
      <c r="AR114" s="30"/>
      <c r="AS114" s="30"/>
      <c r="AT114" s="28"/>
      <c r="AU114" s="28"/>
      <c r="AV114" s="28"/>
      <c r="AW114" s="30"/>
      <c r="AX114" s="28"/>
      <c r="AY114" s="28"/>
      <c r="AZ114" s="28"/>
      <c r="BA114" s="28"/>
      <c r="BB114" s="28"/>
      <c r="BC114" s="28"/>
      <c r="BD114" s="28"/>
      <c r="BE114" s="28"/>
      <c r="BF114" s="28"/>
      <c r="BG114" s="30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9"/>
      <c r="BS114" s="29"/>
      <c r="BT114" s="29"/>
      <c r="BU114" s="29"/>
      <c r="BV114" s="29"/>
      <c r="BW114" s="29"/>
      <c r="BX114" s="28"/>
      <c r="BY114" s="28"/>
      <c r="BZ114" s="28"/>
    </row>
    <row r="115" s="27" customFormat="1" spans="1:78">
      <c r="A115" s="28"/>
      <c r="B115" s="28"/>
      <c r="C115" s="29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30"/>
      <c r="AQ115" s="30"/>
      <c r="AR115" s="30"/>
      <c r="AS115" s="30"/>
      <c r="AT115" s="28"/>
      <c r="AU115" s="28"/>
      <c r="AV115" s="28"/>
      <c r="AW115" s="30"/>
      <c r="AX115" s="28"/>
      <c r="AY115" s="28"/>
      <c r="AZ115" s="28"/>
      <c r="BA115" s="28"/>
      <c r="BB115" s="28"/>
      <c r="BC115" s="28"/>
      <c r="BD115" s="28"/>
      <c r="BE115" s="28"/>
      <c r="BF115" s="28"/>
      <c r="BG115" s="30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  <c r="BR115" s="29"/>
      <c r="BS115" s="29"/>
      <c r="BT115" s="28"/>
      <c r="BU115" s="28"/>
      <c r="BV115" s="29"/>
      <c r="BW115" s="28"/>
      <c r="BX115" s="28"/>
      <c r="BY115" s="28"/>
      <c r="BZ115" s="28"/>
    </row>
    <row r="116" s="27" customFormat="1" spans="1:78">
      <c r="A116" s="28"/>
      <c r="B116" s="28"/>
      <c r="C116" s="29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30"/>
      <c r="AQ116" s="30"/>
      <c r="AR116" s="30"/>
      <c r="AS116" s="30"/>
      <c r="AT116" s="28"/>
      <c r="AU116" s="28"/>
      <c r="AV116" s="28"/>
      <c r="AW116" s="30"/>
      <c r="AX116" s="28"/>
      <c r="AY116" s="28"/>
      <c r="AZ116" s="28"/>
      <c r="BA116" s="28"/>
      <c r="BB116" s="28"/>
      <c r="BC116" s="28"/>
      <c r="BD116" s="28"/>
      <c r="BE116" s="28"/>
      <c r="BF116" s="28"/>
      <c r="BG116" s="30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9"/>
      <c r="BS116" s="29"/>
      <c r="BT116" s="29"/>
      <c r="BU116" s="28"/>
      <c r="BV116" s="29"/>
      <c r="BW116" s="28"/>
      <c r="BX116" s="28"/>
      <c r="BY116" s="28"/>
      <c r="BZ116" s="28"/>
    </row>
    <row r="117" s="27" customFormat="1" spans="1:78">
      <c r="A117" s="28"/>
      <c r="B117" s="28"/>
      <c r="C117" s="29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30"/>
      <c r="AQ117" s="30"/>
      <c r="AR117" s="30"/>
      <c r="AS117" s="30"/>
      <c r="AT117" s="28"/>
      <c r="AU117" s="28"/>
      <c r="AV117" s="28"/>
      <c r="AW117" s="30"/>
      <c r="AX117" s="28"/>
      <c r="AY117" s="28"/>
      <c r="AZ117" s="28"/>
      <c r="BA117" s="28"/>
      <c r="BB117" s="28"/>
      <c r="BC117" s="28"/>
      <c r="BD117" s="28"/>
      <c r="BE117" s="28"/>
      <c r="BF117" s="28"/>
      <c r="BG117" s="30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  <c r="BR117" s="29"/>
      <c r="BS117" s="29"/>
      <c r="BT117" s="28"/>
      <c r="BU117" s="28"/>
      <c r="BV117" s="29"/>
      <c r="BW117" s="28"/>
      <c r="BX117" s="28"/>
      <c r="BY117" s="28"/>
      <c r="BZ117" s="28"/>
    </row>
    <row r="118" s="27" customFormat="1" spans="1:78">
      <c r="A118" s="28"/>
      <c r="B118" s="28"/>
      <c r="C118" s="29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30"/>
      <c r="AQ118" s="30"/>
      <c r="AR118" s="30"/>
      <c r="AS118" s="30"/>
      <c r="AT118" s="28"/>
      <c r="AU118" s="28"/>
      <c r="AV118" s="28"/>
      <c r="AW118" s="30"/>
      <c r="AX118" s="28"/>
      <c r="AY118" s="28"/>
      <c r="AZ118" s="28"/>
      <c r="BA118" s="28"/>
      <c r="BB118" s="28"/>
      <c r="BC118" s="28"/>
      <c r="BD118" s="28"/>
      <c r="BE118" s="28"/>
      <c r="BF118" s="28"/>
      <c r="BG118" s="30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9"/>
      <c r="BS118" s="28"/>
      <c r="BT118" s="28"/>
      <c r="BU118" s="28"/>
      <c r="BV118" s="29"/>
      <c r="BW118" s="28"/>
      <c r="BX118" s="28"/>
      <c r="BY118" s="28"/>
      <c r="BZ118" s="28"/>
    </row>
    <row r="119" s="27" customFormat="1" spans="1:78">
      <c r="A119" s="28"/>
      <c r="B119" s="28"/>
      <c r="C119" s="29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30"/>
      <c r="AQ119" s="30"/>
      <c r="AR119" s="30"/>
      <c r="AS119" s="30"/>
      <c r="AT119" s="28"/>
      <c r="AU119" s="28"/>
      <c r="AV119" s="28"/>
      <c r="AW119" s="30"/>
      <c r="AX119" s="28"/>
      <c r="AY119" s="28"/>
      <c r="AZ119" s="28"/>
      <c r="BA119" s="28"/>
      <c r="BB119" s="28"/>
      <c r="BC119" s="28"/>
      <c r="BD119" s="28"/>
      <c r="BE119" s="28"/>
      <c r="BF119" s="28"/>
      <c r="BG119" s="30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9"/>
      <c r="BS119" s="29"/>
      <c r="BT119" s="29"/>
      <c r="BU119" s="28"/>
      <c r="BV119" s="29"/>
      <c r="BW119" s="28"/>
      <c r="BX119" s="28"/>
      <c r="BY119" s="28"/>
      <c r="BZ119" s="28"/>
    </row>
    <row r="120" s="27" customFormat="1" spans="1:78">
      <c r="A120" s="28"/>
      <c r="B120" s="28"/>
      <c r="C120" s="29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30"/>
      <c r="AQ120" s="30"/>
      <c r="AR120" s="30"/>
      <c r="AS120" s="30"/>
      <c r="AT120" s="28"/>
      <c r="AU120" s="28"/>
      <c r="AV120" s="28"/>
      <c r="AW120" s="30"/>
      <c r="AX120" s="28"/>
      <c r="AY120" s="28"/>
      <c r="AZ120" s="28"/>
      <c r="BA120" s="28"/>
      <c r="BB120" s="28"/>
      <c r="BC120" s="28"/>
      <c r="BD120" s="28"/>
      <c r="BE120" s="28"/>
      <c r="BF120" s="28"/>
      <c r="BG120" s="30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9"/>
      <c r="BS120" s="29"/>
      <c r="BT120" s="29"/>
      <c r="BU120" s="29"/>
      <c r="BV120" s="29"/>
      <c r="BW120" s="28"/>
      <c r="BX120" s="28"/>
      <c r="BY120" s="28"/>
      <c r="BZ120" s="28"/>
    </row>
    <row r="121" s="27" customFormat="1" spans="1:78">
      <c r="A121" s="28"/>
      <c r="B121" s="28"/>
      <c r="C121" s="29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30"/>
      <c r="AQ121" s="30"/>
      <c r="AR121" s="30"/>
      <c r="AS121" s="30"/>
      <c r="AT121" s="28"/>
      <c r="AU121" s="28"/>
      <c r="AV121" s="28"/>
      <c r="AW121" s="30"/>
      <c r="AX121" s="28"/>
      <c r="AY121" s="28"/>
      <c r="AZ121" s="28"/>
      <c r="BA121" s="28"/>
      <c r="BB121" s="28"/>
      <c r="BC121" s="28"/>
      <c r="BD121" s="28"/>
      <c r="BE121" s="28"/>
      <c r="BF121" s="28"/>
      <c r="BG121" s="30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9"/>
      <c r="BS121" s="29"/>
      <c r="BT121" s="29"/>
      <c r="BU121" s="28"/>
      <c r="BV121" s="29"/>
      <c r="BW121" s="28"/>
      <c r="BX121" s="28"/>
      <c r="BY121" s="28"/>
      <c r="BZ121" s="28"/>
    </row>
    <row r="122" s="27" customFormat="1" spans="1:78">
      <c r="A122" s="28"/>
      <c r="B122" s="28"/>
      <c r="C122" s="29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30"/>
      <c r="AQ122" s="30"/>
      <c r="AR122" s="30"/>
      <c r="AS122" s="30"/>
      <c r="AT122" s="28"/>
      <c r="AU122" s="28"/>
      <c r="AV122" s="28"/>
      <c r="AW122" s="30"/>
      <c r="AX122" s="28"/>
      <c r="AY122" s="28"/>
      <c r="AZ122" s="28"/>
      <c r="BA122" s="28"/>
      <c r="BB122" s="28"/>
      <c r="BC122" s="28"/>
      <c r="BD122" s="28"/>
      <c r="BE122" s="28"/>
      <c r="BF122" s="28"/>
      <c r="BG122" s="30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9"/>
      <c r="BS122" s="29"/>
      <c r="BT122" s="29"/>
      <c r="BU122" s="29"/>
      <c r="BV122" s="29"/>
      <c r="BW122" s="29"/>
      <c r="BX122" s="28"/>
      <c r="BY122" s="28"/>
      <c r="BZ122" s="28"/>
    </row>
    <row r="123" s="27" customFormat="1" spans="1:78">
      <c r="A123" s="28"/>
      <c r="B123" s="28"/>
      <c r="C123" s="29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30"/>
      <c r="AQ123" s="30"/>
      <c r="AR123" s="30"/>
      <c r="AS123" s="30"/>
      <c r="AT123" s="28"/>
      <c r="AU123" s="28"/>
      <c r="AV123" s="28"/>
      <c r="AW123" s="30"/>
      <c r="AX123" s="28"/>
      <c r="AY123" s="28"/>
      <c r="AZ123" s="28"/>
      <c r="BA123" s="28"/>
      <c r="BB123" s="28"/>
      <c r="BC123" s="28"/>
      <c r="BD123" s="28"/>
      <c r="BE123" s="28"/>
      <c r="BF123" s="28"/>
      <c r="BG123" s="30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9"/>
      <c r="BS123" s="29"/>
      <c r="BT123" s="29"/>
      <c r="BU123" s="29"/>
      <c r="BV123" s="29"/>
      <c r="BW123" s="29"/>
      <c r="BX123" s="28"/>
      <c r="BY123" s="28"/>
      <c r="BZ123" s="28"/>
    </row>
    <row r="124" s="27" customFormat="1" spans="1:78">
      <c r="A124" s="28"/>
      <c r="B124" s="28"/>
      <c r="C124" s="29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30"/>
      <c r="AQ124" s="30"/>
      <c r="AR124" s="30"/>
      <c r="AS124" s="30"/>
      <c r="AT124" s="28"/>
      <c r="AU124" s="28"/>
      <c r="AV124" s="28"/>
      <c r="AW124" s="30"/>
      <c r="AX124" s="28"/>
      <c r="AY124" s="28"/>
      <c r="AZ124" s="28"/>
      <c r="BA124" s="28"/>
      <c r="BB124" s="28"/>
      <c r="BC124" s="28"/>
      <c r="BD124" s="28"/>
      <c r="BE124" s="28"/>
      <c r="BF124" s="28"/>
      <c r="BG124" s="30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9"/>
      <c r="BS124" s="29"/>
      <c r="BT124" s="29"/>
      <c r="BU124" s="29"/>
      <c r="BV124" s="29"/>
      <c r="BW124" s="28"/>
      <c r="BX124" s="28"/>
      <c r="BY124" s="28"/>
      <c r="BZ124" s="28"/>
    </row>
    <row r="125" s="27" customFormat="1" spans="1:78">
      <c r="A125" s="28"/>
      <c r="B125" s="28"/>
      <c r="C125" s="29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30"/>
      <c r="AQ125" s="30"/>
      <c r="AR125" s="30"/>
      <c r="AS125" s="30"/>
      <c r="AT125" s="28"/>
      <c r="AU125" s="28"/>
      <c r="AV125" s="28"/>
      <c r="AW125" s="30"/>
      <c r="AX125" s="28"/>
      <c r="AY125" s="28"/>
      <c r="AZ125" s="28"/>
      <c r="BA125" s="28"/>
      <c r="BB125" s="28"/>
      <c r="BC125" s="28"/>
      <c r="BD125" s="28"/>
      <c r="BE125" s="28"/>
      <c r="BF125" s="28"/>
      <c r="BG125" s="30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  <c r="BR125" s="29"/>
      <c r="BS125" s="29"/>
      <c r="BT125" s="28"/>
      <c r="BU125" s="28"/>
      <c r="BV125" s="29"/>
      <c r="BW125" s="28"/>
      <c r="BX125" s="28"/>
      <c r="BY125" s="28"/>
      <c r="BZ125" s="28"/>
    </row>
    <row r="126" s="27" customFormat="1" spans="1:78">
      <c r="A126" s="28"/>
      <c r="B126" s="28"/>
      <c r="C126" s="29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30"/>
      <c r="AQ126" s="30"/>
      <c r="AR126" s="30"/>
      <c r="AS126" s="30"/>
      <c r="AT126" s="28"/>
      <c r="AU126" s="28"/>
      <c r="AV126" s="28"/>
      <c r="AW126" s="30"/>
      <c r="AX126" s="28"/>
      <c r="AY126" s="28"/>
      <c r="AZ126" s="28"/>
      <c r="BA126" s="28"/>
      <c r="BB126" s="28"/>
      <c r="BC126" s="28"/>
      <c r="BD126" s="28"/>
      <c r="BE126" s="28"/>
      <c r="BF126" s="28"/>
      <c r="BG126" s="30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29"/>
      <c r="BS126" s="28"/>
      <c r="BT126" s="28"/>
      <c r="BU126" s="28"/>
      <c r="BV126" s="29"/>
      <c r="BW126" s="28"/>
      <c r="BX126" s="28"/>
      <c r="BY126" s="28"/>
      <c r="BZ126" s="28"/>
    </row>
    <row r="127" s="27" customFormat="1" spans="1:78">
      <c r="A127" s="28"/>
      <c r="B127" s="28"/>
      <c r="C127" s="29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30"/>
      <c r="AQ127" s="30"/>
      <c r="AR127" s="30"/>
      <c r="AS127" s="30"/>
      <c r="AT127" s="28"/>
      <c r="AU127" s="28"/>
      <c r="AV127" s="28"/>
      <c r="AW127" s="30"/>
      <c r="AX127" s="28"/>
      <c r="AY127" s="28"/>
      <c r="AZ127" s="28"/>
      <c r="BA127" s="28"/>
      <c r="BB127" s="28"/>
      <c r="BC127" s="28"/>
      <c r="BD127" s="28"/>
      <c r="BE127" s="28"/>
      <c r="BF127" s="28"/>
      <c r="BG127" s="30"/>
      <c r="BH127" s="28"/>
      <c r="BI127" s="28"/>
      <c r="BJ127" s="28"/>
      <c r="BK127" s="28"/>
      <c r="BL127" s="28"/>
      <c r="BM127" s="28"/>
      <c r="BN127" s="28"/>
      <c r="BO127" s="28"/>
      <c r="BP127" s="28"/>
      <c r="BQ127" s="28"/>
      <c r="BR127" s="29"/>
      <c r="BS127" s="29"/>
      <c r="BT127" s="29"/>
      <c r="BU127" s="28"/>
      <c r="BV127" s="29"/>
      <c r="BW127" s="28"/>
      <c r="BX127" s="28"/>
      <c r="BY127" s="28"/>
      <c r="BZ127" s="28"/>
    </row>
    <row r="128" s="27" customFormat="1" spans="1:78">
      <c r="A128" s="28"/>
      <c r="B128" s="28"/>
      <c r="C128" s="29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30"/>
      <c r="AQ128" s="30"/>
      <c r="AR128" s="30"/>
      <c r="AS128" s="30"/>
      <c r="AT128" s="28"/>
      <c r="AU128" s="28"/>
      <c r="AV128" s="28"/>
      <c r="AW128" s="30"/>
      <c r="AX128" s="28"/>
      <c r="AY128" s="28"/>
      <c r="AZ128" s="28"/>
      <c r="BA128" s="28"/>
      <c r="BB128" s="28"/>
      <c r="BC128" s="28"/>
      <c r="BD128" s="28"/>
      <c r="BE128" s="28"/>
      <c r="BF128" s="28"/>
      <c r="BG128" s="30"/>
      <c r="BH128" s="28"/>
      <c r="BI128" s="28"/>
      <c r="BJ128" s="28"/>
      <c r="BK128" s="28"/>
      <c r="BL128" s="28"/>
      <c r="BM128" s="28"/>
      <c r="BN128" s="28"/>
      <c r="BO128" s="28"/>
      <c r="BP128" s="28"/>
      <c r="BQ128" s="28"/>
      <c r="BR128" s="29"/>
      <c r="BS128" s="29"/>
      <c r="BT128" s="29"/>
      <c r="BU128" s="29"/>
      <c r="BV128" s="29"/>
      <c r="BW128" s="29"/>
      <c r="BX128" s="28"/>
      <c r="BY128" s="28"/>
      <c r="BZ128" s="28"/>
    </row>
    <row r="129" s="27" customFormat="1" spans="1:78">
      <c r="A129" s="28"/>
      <c r="B129" s="28"/>
      <c r="C129" s="29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30"/>
      <c r="AQ129" s="30"/>
      <c r="AR129" s="30"/>
      <c r="AS129" s="30"/>
      <c r="AT129" s="28"/>
      <c r="AU129" s="28"/>
      <c r="AV129" s="28"/>
      <c r="AW129" s="30"/>
      <c r="AX129" s="28"/>
      <c r="AY129" s="28"/>
      <c r="AZ129" s="28"/>
      <c r="BA129" s="28"/>
      <c r="BB129" s="28"/>
      <c r="BC129" s="28"/>
      <c r="BD129" s="28"/>
      <c r="BE129" s="28"/>
      <c r="BF129" s="28"/>
      <c r="BG129" s="30"/>
      <c r="BH129" s="28"/>
      <c r="BI129" s="28"/>
      <c r="BJ129" s="28"/>
      <c r="BK129" s="28"/>
      <c r="BL129" s="28"/>
      <c r="BM129" s="28"/>
      <c r="BN129" s="28"/>
      <c r="BO129" s="28"/>
      <c r="BP129" s="28"/>
      <c r="BQ129" s="28"/>
      <c r="BR129" s="29"/>
      <c r="BS129" s="29"/>
      <c r="BT129" s="29"/>
      <c r="BU129" s="29"/>
      <c r="BV129" s="29"/>
      <c r="BW129" s="29"/>
      <c r="BX129" s="28"/>
      <c r="BY129" s="28"/>
      <c r="BZ129" s="28"/>
    </row>
    <row r="130" s="27" customFormat="1" spans="1:78">
      <c r="A130" s="28"/>
      <c r="B130" s="28"/>
      <c r="C130" s="29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30"/>
      <c r="AQ130" s="30"/>
      <c r="AR130" s="30"/>
      <c r="AS130" s="30"/>
      <c r="AT130" s="28"/>
      <c r="AU130" s="28"/>
      <c r="AV130" s="28"/>
      <c r="AW130" s="30"/>
      <c r="AX130" s="28"/>
      <c r="AY130" s="28"/>
      <c r="AZ130" s="28"/>
      <c r="BA130" s="28"/>
      <c r="BB130" s="28"/>
      <c r="BC130" s="28"/>
      <c r="BD130" s="28"/>
      <c r="BE130" s="28"/>
      <c r="BF130" s="28"/>
      <c r="BG130" s="30"/>
      <c r="BH130" s="28"/>
      <c r="BI130" s="28"/>
      <c r="BJ130" s="28"/>
      <c r="BK130" s="28"/>
      <c r="BL130" s="28"/>
      <c r="BM130" s="28"/>
      <c r="BN130" s="28"/>
      <c r="BO130" s="28"/>
      <c r="BP130" s="28"/>
      <c r="BQ130" s="28"/>
      <c r="BR130" s="29"/>
      <c r="BS130" s="29"/>
      <c r="BT130" s="29"/>
      <c r="BU130" s="29"/>
      <c r="BV130" s="29"/>
      <c r="BW130" s="29"/>
      <c r="BX130" s="28"/>
      <c r="BY130" s="28"/>
      <c r="BZ130" s="28"/>
    </row>
    <row r="131" s="27" customFormat="1" spans="1:78">
      <c r="A131" s="28"/>
      <c r="B131" s="28"/>
      <c r="C131" s="29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30"/>
      <c r="AQ131" s="30"/>
      <c r="AR131" s="30"/>
      <c r="AS131" s="30"/>
      <c r="AT131" s="28"/>
      <c r="AU131" s="28"/>
      <c r="AV131" s="28"/>
      <c r="AW131" s="30"/>
      <c r="AX131" s="28"/>
      <c r="AY131" s="28"/>
      <c r="AZ131" s="28"/>
      <c r="BA131" s="28"/>
      <c r="BB131" s="28"/>
      <c r="BC131" s="28"/>
      <c r="BD131" s="28"/>
      <c r="BE131" s="28"/>
      <c r="BF131" s="28"/>
      <c r="BG131" s="30"/>
      <c r="BH131" s="28"/>
      <c r="BI131" s="28"/>
      <c r="BJ131" s="28"/>
      <c r="BK131" s="28"/>
      <c r="BL131" s="28"/>
      <c r="BM131" s="28"/>
      <c r="BN131" s="28"/>
      <c r="BO131" s="28"/>
      <c r="BP131" s="28"/>
      <c r="BQ131" s="28"/>
      <c r="BR131" s="29"/>
      <c r="BS131" s="29"/>
      <c r="BT131" s="29"/>
      <c r="BU131" s="29"/>
      <c r="BV131" s="29"/>
      <c r="BW131" s="29"/>
      <c r="BX131" s="28"/>
      <c r="BY131" s="28"/>
      <c r="BZ131" s="28"/>
    </row>
    <row r="132" s="27" customFormat="1" spans="1:78">
      <c r="A132" s="28"/>
      <c r="B132" s="28"/>
      <c r="C132" s="29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30"/>
      <c r="AQ132" s="30"/>
      <c r="AR132" s="30"/>
      <c r="AS132" s="30"/>
      <c r="AT132" s="28"/>
      <c r="AU132" s="28"/>
      <c r="AV132" s="28"/>
      <c r="AW132" s="30"/>
      <c r="AX132" s="28"/>
      <c r="AY132" s="28"/>
      <c r="AZ132" s="28"/>
      <c r="BA132" s="28"/>
      <c r="BB132" s="28"/>
      <c r="BC132" s="28"/>
      <c r="BD132" s="28"/>
      <c r="BE132" s="28"/>
      <c r="BF132" s="28"/>
      <c r="BG132" s="30"/>
      <c r="BH132" s="28"/>
      <c r="BI132" s="28"/>
      <c r="BJ132" s="28"/>
      <c r="BK132" s="28"/>
      <c r="BL132" s="28"/>
      <c r="BM132" s="28"/>
      <c r="BN132" s="28"/>
      <c r="BO132" s="28"/>
      <c r="BP132" s="28"/>
      <c r="BQ132" s="28"/>
      <c r="BR132" s="29"/>
      <c r="BS132" s="29"/>
      <c r="BT132" s="29"/>
      <c r="BU132" s="29"/>
      <c r="BV132" s="29"/>
      <c r="BW132" s="29"/>
      <c r="BX132" s="28"/>
      <c r="BY132" s="28"/>
      <c r="BZ132" s="28"/>
    </row>
    <row r="133" s="27" customFormat="1" spans="1:78">
      <c r="A133" s="28"/>
      <c r="B133" s="28"/>
      <c r="C133" s="29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30"/>
      <c r="AQ133" s="30"/>
      <c r="AR133" s="30"/>
      <c r="AS133" s="30"/>
      <c r="AT133" s="28"/>
      <c r="AU133" s="28"/>
      <c r="AV133" s="28"/>
      <c r="AW133" s="30"/>
      <c r="AX133" s="28"/>
      <c r="AY133" s="28"/>
      <c r="AZ133" s="28"/>
      <c r="BA133" s="28"/>
      <c r="BB133" s="28"/>
      <c r="BC133" s="28"/>
      <c r="BD133" s="28"/>
      <c r="BE133" s="28"/>
      <c r="BF133" s="28"/>
      <c r="BG133" s="30"/>
      <c r="BH133" s="28"/>
      <c r="BI133" s="28"/>
      <c r="BJ133" s="28"/>
      <c r="BK133" s="28"/>
      <c r="BL133" s="28"/>
      <c r="BM133" s="28"/>
      <c r="BN133" s="28"/>
      <c r="BO133" s="28"/>
      <c r="BP133" s="28"/>
      <c r="BQ133" s="28"/>
      <c r="BR133" s="29"/>
      <c r="BS133" s="29"/>
      <c r="BT133" s="28"/>
      <c r="BU133" s="28"/>
      <c r="BV133" s="29"/>
      <c r="BW133" s="28"/>
      <c r="BX133" s="28"/>
      <c r="BY133" s="28"/>
      <c r="BZ133" s="28"/>
    </row>
    <row r="134" s="27" customFormat="1" spans="1:78">
      <c r="A134" s="28"/>
      <c r="B134" s="28"/>
      <c r="C134" s="29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30"/>
      <c r="AQ134" s="30"/>
      <c r="AR134" s="30"/>
      <c r="AS134" s="30"/>
      <c r="AT134" s="28"/>
      <c r="AU134" s="28"/>
      <c r="AV134" s="28"/>
      <c r="AW134" s="30"/>
      <c r="AX134" s="28"/>
      <c r="AY134" s="28"/>
      <c r="AZ134" s="28"/>
      <c r="BA134" s="28"/>
      <c r="BB134" s="28"/>
      <c r="BC134" s="28"/>
      <c r="BD134" s="28"/>
      <c r="BE134" s="28"/>
      <c r="BF134" s="28"/>
      <c r="BG134" s="30"/>
      <c r="BH134" s="28"/>
      <c r="BI134" s="28"/>
      <c r="BJ134" s="28"/>
      <c r="BK134" s="28"/>
      <c r="BL134" s="28"/>
      <c r="BM134" s="28"/>
      <c r="BN134" s="28"/>
      <c r="BO134" s="28"/>
      <c r="BP134" s="28"/>
      <c r="BQ134" s="28"/>
      <c r="BR134" s="29"/>
      <c r="BS134" s="29"/>
      <c r="BT134" s="29"/>
      <c r="BU134" s="29"/>
      <c r="BV134" s="29"/>
      <c r="BW134" s="29"/>
      <c r="BX134" s="28"/>
      <c r="BY134" s="28"/>
      <c r="BZ134" s="28"/>
    </row>
    <row r="135" s="27" customFormat="1" spans="1:78">
      <c r="A135" s="28"/>
      <c r="B135" s="28"/>
      <c r="C135" s="29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30"/>
      <c r="AQ135" s="30"/>
      <c r="AR135" s="30"/>
      <c r="AS135" s="30"/>
      <c r="AT135" s="28"/>
      <c r="AU135" s="28"/>
      <c r="AV135" s="28"/>
      <c r="AW135" s="30"/>
      <c r="AX135" s="28"/>
      <c r="AY135" s="28"/>
      <c r="AZ135" s="28"/>
      <c r="BA135" s="28"/>
      <c r="BB135" s="28"/>
      <c r="BC135" s="28"/>
      <c r="BD135" s="28"/>
      <c r="BE135" s="28"/>
      <c r="BF135" s="28"/>
      <c r="BG135" s="30"/>
      <c r="BH135" s="28"/>
      <c r="BI135" s="28"/>
      <c r="BJ135" s="28"/>
      <c r="BK135" s="28"/>
      <c r="BL135" s="28"/>
      <c r="BM135" s="28"/>
      <c r="BN135" s="28"/>
      <c r="BO135" s="28"/>
      <c r="BP135" s="28"/>
      <c r="BQ135" s="28"/>
      <c r="BR135" s="29"/>
      <c r="BS135" s="29"/>
      <c r="BT135" s="29"/>
      <c r="BU135" s="29"/>
      <c r="BV135" s="29"/>
      <c r="BW135" s="29"/>
      <c r="BX135" s="28"/>
      <c r="BY135" s="28"/>
      <c r="BZ135" s="28"/>
    </row>
    <row r="136" s="27" customFormat="1" spans="1:78">
      <c r="A136" s="28"/>
      <c r="B136" s="28"/>
      <c r="C136" s="29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30"/>
      <c r="AQ136" s="30"/>
      <c r="AR136" s="30"/>
      <c r="AS136" s="30"/>
      <c r="AT136" s="28"/>
      <c r="AU136" s="28"/>
      <c r="AV136" s="28"/>
      <c r="AW136" s="30"/>
      <c r="AX136" s="28"/>
      <c r="AY136" s="28"/>
      <c r="AZ136" s="28"/>
      <c r="BA136" s="28"/>
      <c r="BB136" s="28"/>
      <c r="BC136" s="28"/>
      <c r="BD136" s="28"/>
      <c r="BE136" s="28"/>
      <c r="BF136" s="28"/>
      <c r="BG136" s="30"/>
      <c r="BH136" s="28"/>
      <c r="BI136" s="28"/>
      <c r="BJ136" s="28"/>
      <c r="BK136" s="28"/>
      <c r="BL136" s="28"/>
      <c r="BM136" s="28"/>
      <c r="BN136" s="28"/>
      <c r="BO136" s="28"/>
      <c r="BP136" s="28"/>
      <c r="BQ136" s="28"/>
      <c r="BR136" s="29"/>
      <c r="BS136" s="29"/>
      <c r="BT136" s="29"/>
      <c r="BU136" s="28"/>
      <c r="BV136" s="29"/>
      <c r="BW136" s="28"/>
      <c r="BX136" s="28"/>
      <c r="BY136" s="28"/>
      <c r="BZ136" s="28"/>
    </row>
    <row r="137" s="27" customFormat="1" spans="1:78">
      <c r="A137" s="28"/>
      <c r="B137" s="28"/>
      <c r="C137" s="29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30"/>
      <c r="AQ137" s="30"/>
      <c r="AR137" s="30"/>
      <c r="AS137" s="30"/>
      <c r="AT137" s="28"/>
      <c r="AU137" s="29"/>
      <c r="AV137" s="30"/>
      <c r="AW137" s="30"/>
      <c r="AX137" s="28"/>
      <c r="AY137" s="28"/>
      <c r="AZ137" s="28"/>
      <c r="BA137" s="28"/>
      <c r="BB137" s="28"/>
      <c r="BC137" s="28"/>
      <c r="BD137" s="28"/>
      <c r="BE137" s="28"/>
      <c r="BF137" s="28"/>
      <c r="BG137" s="30"/>
      <c r="BH137" s="28"/>
      <c r="BI137" s="28"/>
      <c r="BJ137" s="28"/>
      <c r="BK137" s="28"/>
      <c r="BL137" s="28"/>
      <c r="BM137" s="28"/>
      <c r="BN137" s="28"/>
      <c r="BO137" s="28"/>
      <c r="BP137" s="28"/>
      <c r="BQ137" s="28"/>
      <c r="BR137" s="29"/>
      <c r="BS137" s="29"/>
      <c r="BT137" s="29"/>
      <c r="BU137" s="28"/>
      <c r="BV137" s="29"/>
      <c r="BW137" s="28"/>
      <c r="BX137" s="28"/>
      <c r="BY137" s="28"/>
      <c r="BZ137" s="28"/>
    </row>
    <row r="138" s="27" customFormat="1" spans="1:78">
      <c r="A138" s="28"/>
      <c r="B138" s="28"/>
      <c r="C138" s="29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30"/>
      <c r="AQ138" s="30"/>
      <c r="AR138" s="30"/>
      <c r="AS138" s="30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30"/>
      <c r="BH138" s="28"/>
      <c r="BI138" s="28"/>
      <c r="BJ138" s="28"/>
      <c r="BK138" s="28"/>
      <c r="BL138" s="28"/>
      <c r="BM138" s="28"/>
      <c r="BN138" s="28"/>
      <c r="BO138" s="28"/>
      <c r="BP138" s="28"/>
      <c r="BQ138" s="28"/>
      <c r="BR138" s="28"/>
      <c r="BS138" s="28"/>
      <c r="BT138" s="28"/>
      <c r="BU138" s="28"/>
      <c r="BV138" s="29"/>
      <c r="BW138" s="28"/>
      <c r="BX138" s="28"/>
      <c r="BY138" s="28"/>
      <c r="BZ138" s="28"/>
    </row>
    <row r="139" s="27" customFormat="1" spans="1:78">
      <c r="A139" s="28"/>
      <c r="B139" s="28"/>
      <c r="C139" s="29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30"/>
      <c r="AQ139" s="30"/>
      <c r="AR139" s="30"/>
      <c r="AS139" s="30"/>
      <c r="AT139" s="28"/>
      <c r="AU139" s="28"/>
      <c r="AV139" s="28"/>
      <c r="AW139" s="30"/>
      <c r="AX139" s="28"/>
      <c r="AY139" s="28"/>
      <c r="AZ139" s="28"/>
      <c r="BA139" s="28"/>
      <c r="BB139" s="28"/>
      <c r="BC139" s="28"/>
      <c r="BD139" s="28"/>
      <c r="BE139" s="28"/>
      <c r="BF139" s="28"/>
      <c r="BG139" s="30"/>
      <c r="BH139" s="28"/>
      <c r="BI139" s="28"/>
      <c r="BJ139" s="28"/>
      <c r="BK139" s="28"/>
      <c r="BL139" s="28"/>
      <c r="BM139" s="28"/>
      <c r="BN139" s="28"/>
      <c r="BO139" s="28"/>
      <c r="BP139" s="28"/>
      <c r="BQ139" s="28"/>
      <c r="BR139" s="29"/>
      <c r="BS139" s="29"/>
      <c r="BT139" s="29"/>
      <c r="BU139" s="28"/>
      <c r="BV139" s="29"/>
      <c r="BW139" s="28"/>
      <c r="BX139" s="28"/>
      <c r="BY139" s="28"/>
      <c r="BZ139" s="28"/>
    </row>
    <row r="140" s="27" customFormat="1" spans="1:78">
      <c r="A140" s="28"/>
      <c r="B140" s="28"/>
      <c r="C140" s="29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30"/>
      <c r="AQ140" s="30"/>
      <c r="AR140" s="30"/>
      <c r="AS140" s="30"/>
      <c r="AT140" s="28"/>
      <c r="AU140" s="28"/>
      <c r="AV140" s="28"/>
      <c r="AW140" s="30"/>
      <c r="AX140" s="28"/>
      <c r="AY140" s="28"/>
      <c r="AZ140" s="28"/>
      <c r="BA140" s="28"/>
      <c r="BB140" s="28"/>
      <c r="BC140" s="28"/>
      <c r="BD140" s="28"/>
      <c r="BE140" s="28"/>
      <c r="BF140" s="28"/>
      <c r="BG140" s="30"/>
      <c r="BH140" s="28"/>
      <c r="BI140" s="28"/>
      <c r="BJ140" s="28"/>
      <c r="BK140" s="28"/>
      <c r="BL140" s="28"/>
      <c r="BM140" s="28"/>
      <c r="BN140" s="28"/>
      <c r="BO140" s="28"/>
      <c r="BP140" s="28"/>
      <c r="BQ140" s="28"/>
      <c r="BR140" s="29"/>
      <c r="BS140" s="29"/>
      <c r="BT140" s="29"/>
      <c r="BU140" s="28"/>
      <c r="BV140" s="29"/>
      <c r="BW140" s="28"/>
      <c r="BX140" s="28"/>
      <c r="BY140" s="28"/>
      <c r="BZ140" s="28"/>
    </row>
    <row r="141" s="27" customFormat="1" spans="1:78">
      <c r="A141" s="28"/>
      <c r="B141" s="28"/>
      <c r="C141" s="29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30"/>
      <c r="AQ141" s="30"/>
      <c r="AR141" s="30"/>
      <c r="AS141" s="30"/>
      <c r="AT141" s="28"/>
      <c r="AU141" s="28"/>
      <c r="AV141" s="28"/>
      <c r="AW141" s="30"/>
      <c r="AX141" s="28"/>
      <c r="AY141" s="28"/>
      <c r="AZ141" s="28"/>
      <c r="BA141" s="28"/>
      <c r="BB141" s="28"/>
      <c r="BC141" s="28"/>
      <c r="BD141" s="28"/>
      <c r="BE141" s="28"/>
      <c r="BF141" s="28"/>
      <c r="BG141" s="30"/>
      <c r="BH141" s="28"/>
      <c r="BI141" s="28"/>
      <c r="BJ141" s="28"/>
      <c r="BK141" s="28"/>
      <c r="BL141" s="28"/>
      <c r="BM141" s="28"/>
      <c r="BN141" s="28"/>
      <c r="BO141" s="28"/>
      <c r="BP141" s="28"/>
      <c r="BQ141" s="28"/>
      <c r="BR141" s="29"/>
      <c r="BS141" s="29"/>
      <c r="BT141" s="28"/>
      <c r="BU141" s="28"/>
      <c r="BV141" s="29"/>
      <c r="BW141" s="28"/>
      <c r="BX141" s="28"/>
      <c r="BY141" s="28"/>
      <c r="BZ141" s="28"/>
    </row>
    <row r="142" s="27" customFormat="1" spans="1:78">
      <c r="A142" s="28"/>
      <c r="B142" s="28"/>
      <c r="C142" s="29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30"/>
      <c r="AQ142" s="30"/>
      <c r="AR142" s="30"/>
      <c r="AS142" s="30"/>
      <c r="AT142" s="28"/>
      <c r="AU142" s="28"/>
      <c r="AV142" s="28"/>
      <c r="AW142" s="30"/>
      <c r="AX142" s="28"/>
      <c r="AY142" s="28"/>
      <c r="AZ142" s="28"/>
      <c r="BA142" s="28"/>
      <c r="BB142" s="28"/>
      <c r="BC142" s="28"/>
      <c r="BD142" s="28"/>
      <c r="BE142" s="28"/>
      <c r="BF142" s="28"/>
      <c r="BG142" s="30"/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  <c r="BR142" s="29"/>
      <c r="BS142" s="29"/>
      <c r="BT142" s="29"/>
      <c r="BU142" s="28"/>
      <c r="BV142" s="29"/>
      <c r="BW142" s="28"/>
      <c r="BX142" s="28"/>
      <c r="BY142" s="28"/>
      <c r="BZ142" s="28"/>
    </row>
    <row r="143" s="27" customFormat="1" spans="1:78">
      <c r="A143" s="28"/>
      <c r="B143" s="28"/>
      <c r="C143" s="29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30"/>
      <c r="AQ143" s="30"/>
      <c r="AR143" s="30"/>
      <c r="AS143" s="30"/>
      <c r="AT143" s="28"/>
      <c r="AU143" s="28"/>
      <c r="AV143" s="28"/>
      <c r="AW143" s="30"/>
      <c r="AX143" s="28"/>
      <c r="AY143" s="28"/>
      <c r="AZ143" s="28"/>
      <c r="BA143" s="28"/>
      <c r="BB143" s="28"/>
      <c r="BC143" s="28"/>
      <c r="BD143" s="28"/>
      <c r="BE143" s="28"/>
      <c r="BF143" s="28"/>
      <c r="BG143" s="30"/>
      <c r="BH143" s="28"/>
      <c r="BI143" s="28"/>
      <c r="BJ143" s="28"/>
      <c r="BK143" s="28"/>
      <c r="BL143" s="28"/>
      <c r="BM143" s="28"/>
      <c r="BN143" s="28"/>
      <c r="BO143" s="28"/>
      <c r="BP143" s="28"/>
      <c r="BQ143" s="28"/>
      <c r="BR143" s="29"/>
      <c r="BS143" s="28"/>
      <c r="BT143" s="28"/>
      <c r="BU143" s="28"/>
      <c r="BV143" s="29"/>
      <c r="BW143" s="28"/>
      <c r="BX143" s="28"/>
      <c r="BY143" s="28"/>
      <c r="BZ143" s="28"/>
    </row>
    <row r="144" s="27" customFormat="1" spans="1:78">
      <c r="A144" s="28"/>
      <c r="B144" s="28"/>
      <c r="C144" s="29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30"/>
      <c r="AQ144" s="30"/>
      <c r="AR144" s="30"/>
      <c r="AS144" s="30"/>
      <c r="AT144" s="28"/>
      <c r="AU144" s="28"/>
      <c r="AV144" s="28"/>
      <c r="AW144" s="30"/>
      <c r="AX144" s="28"/>
      <c r="AY144" s="28"/>
      <c r="AZ144" s="28"/>
      <c r="BA144" s="28"/>
      <c r="BB144" s="28"/>
      <c r="BC144" s="28"/>
      <c r="BD144" s="28"/>
      <c r="BE144" s="28"/>
      <c r="BF144" s="28"/>
      <c r="BG144" s="30"/>
      <c r="BH144" s="28"/>
      <c r="BI144" s="28"/>
      <c r="BJ144" s="28"/>
      <c r="BK144" s="28"/>
      <c r="BL144" s="28"/>
      <c r="BM144" s="28"/>
      <c r="BN144" s="28"/>
      <c r="BO144" s="28"/>
      <c r="BP144" s="28"/>
      <c r="BQ144" s="28"/>
      <c r="BR144" s="29"/>
      <c r="BS144" s="29"/>
      <c r="BT144" s="29"/>
      <c r="BU144" s="28"/>
      <c r="BV144" s="29"/>
      <c r="BW144" s="28"/>
      <c r="BX144" s="28"/>
      <c r="BY144" s="28"/>
      <c r="BZ144" s="28"/>
    </row>
    <row r="145" s="27" customFormat="1" spans="1:78">
      <c r="A145" s="28"/>
      <c r="B145" s="28"/>
      <c r="C145" s="29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30"/>
      <c r="AQ145" s="30"/>
      <c r="AR145" s="30"/>
      <c r="AS145" s="30"/>
      <c r="AT145" s="28"/>
      <c r="AU145" s="28"/>
      <c r="AV145" s="28"/>
      <c r="AW145" s="30"/>
      <c r="AX145" s="28"/>
      <c r="AY145" s="28"/>
      <c r="AZ145" s="28"/>
      <c r="BA145" s="28"/>
      <c r="BB145" s="28"/>
      <c r="BC145" s="28"/>
      <c r="BD145" s="28"/>
      <c r="BE145" s="28"/>
      <c r="BF145" s="28"/>
      <c r="BG145" s="30"/>
      <c r="BH145" s="28"/>
      <c r="BI145" s="28"/>
      <c r="BJ145" s="28"/>
      <c r="BK145" s="28"/>
      <c r="BL145" s="28"/>
      <c r="BM145" s="28"/>
      <c r="BN145" s="28"/>
      <c r="BO145" s="28"/>
      <c r="BP145" s="28"/>
      <c r="BQ145" s="28"/>
      <c r="BR145" s="29"/>
      <c r="BS145" s="29"/>
      <c r="BT145" s="29"/>
      <c r="BU145" s="28"/>
      <c r="BV145" s="29"/>
      <c r="BW145" s="28"/>
      <c r="BX145" s="28"/>
      <c r="BY145" s="28"/>
      <c r="BZ145" s="28"/>
    </row>
    <row r="146" s="27" customFormat="1" spans="1:78">
      <c r="A146" s="28"/>
      <c r="B146" s="28"/>
      <c r="C146" s="29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30"/>
      <c r="AQ146" s="30"/>
      <c r="AR146" s="30"/>
      <c r="AS146" s="30"/>
      <c r="AT146" s="28"/>
      <c r="AU146" s="28"/>
      <c r="AV146" s="28"/>
      <c r="AW146" s="30"/>
      <c r="AX146" s="28"/>
      <c r="AY146" s="28"/>
      <c r="AZ146" s="28"/>
      <c r="BA146" s="28"/>
      <c r="BB146" s="28"/>
      <c r="BC146" s="28"/>
      <c r="BD146" s="28"/>
      <c r="BE146" s="28"/>
      <c r="BF146" s="28"/>
      <c r="BG146" s="30"/>
      <c r="BH146" s="28"/>
      <c r="BI146" s="28"/>
      <c r="BJ146" s="28"/>
      <c r="BK146" s="28"/>
      <c r="BL146" s="28"/>
      <c r="BM146" s="28"/>
      <c r="BN146" s="28"/>
      <c r="BO146" s="28"/>
      <c r="BP146" s="28"/>
      <c r="BQ146" s="28"/>
      <c r="BR146" s="29"/>
      <c r="BS146" s="29"/>
      <c r="BT146" s="29"/>
      <c r="BU146" s="29"/>
      <c r="BV146" s="29"/>
      <c r="BW146" s="28"/>
      <c r="BX146" s="28"/>
      <c r="BY146" s="28"/>
      <c r="BZ146" s="28"/>
    </row>
    <row r="147" s="27" customFormat="1" spans="1:78">
      <c r="A147" s="28"/>
      <c r="B147" s="28"/>
      <c r="C147" s="29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30"/>
      <c r="AQ147" s="30"/>
      <c r="AR147" s="30"/>
      <c r="AS147" s="30"/>
      <c r="AT147" s="28"/>
      <c r="AU147" s="28"/>
      <c r="AV147" s="28"/>
      <c r="AW147" s="30"/>
      <c r="AX147" s="28"/>
      <c r="AY147" s="28"/>
      <c r="AZ147" s="28"/>
      <c r="BA147" s="28"/>
      <c r="BB147" s="28"/>
      <c r="BC147" s="28"/>
      <c r="BD147" s="28"/>
      <c r="BE147" s="28"/>
      <c r="BF147" s="28"/>
      <c r="BG147" s="30"/>
      <c r="BH147" s="28"/>
      <c r="BI147" s="28"/>
      <c r="BJ147" s="28"/>
      <c r="BK147" s="28"/>
      <c r="BL147" s="28"/>
      <c r="BM147" s="28"/>
      <c r="BN147" s="28"/>
      <c r="BO147" s="28"/>
      <c r="BP147" s="28"/>
      <c r="BQ147" s="28"/>
      <c r="BR147" s="29"/>
      <c r="BS147" s="29"/>
      <c r="BT147" s="29"/>
      <c r="BU147" s="28"/>
      <c r="BV147" s="29"/>
      <c r="BW147" s="28"/>
      <c r="BX147" s="28"/>
      <c r="BY147" s="28"/>
      <c r="BZ147" s="28"/>
    </row>
    <row r="148" s="27" customFormat="1" spans="1:78">
      <c r="A148" s="28"/>
      <c r="B148" s="28"/>
      <c r="C148" s="29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30"/>
      <c r="AQ148" s="30"/>
      <c r="AR148" s="30"/>
      <c r="AS148" s="30"/>
      <c r="AT148" s="28"/>
      <c r="AU148" s="28"/>
      <c r="AV148" s="28"/>
      <c r="AW148" s="30"/>
      <c r="AX148" s="28"/>
      <c r="AY148" s="28"/>
      <c r="AZ148" s="28"/>
      <c r="BA148" s="28"/>
      <c r="BB148" s="28"/>
      <c r="BC148" s="28"/>
      <c r="BD148" s="28"/>
      <c r="BE148" s="28"/>
      <c r="BF148" s="28"/>
      <c r="BG148" s="30"/>
      <c r="BH148" s="28"/>
      <c r="BI148" s="28"/>
      <c r="BJ148" s="28"/>
      <c r="BK148" s="28"/>
      <c r="BL148" s="28"/>
      <c r="BM148" s="28"/>
      <c r="BN148" s="28"/>
      <c r="BO148" s="28"/>
      <c r="BP148" s="28"/>
      <c r="BQ148" s="28"/>
      <c r="BR148" s="29"/>
      <c r="BS148" s="29"/>
      <c r="BT148" s="29"/>
      <c r="BU148" s="28"/>
      <c r="BV148" s="29"/>
      <c r="BW148" s="28"/>
      <c r="BX148" s="28"/>
      <c r="BY148" s="28"/>
      <c r="BZ148" s="28"/>
    </row>
    <row r="149" s="27" customFormat="1" spans="1:78">
      <c r="A149" s="28"/>
      <c r="B149" s="28"/>
      <c r="C149" s="29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30"/>
      <c r="AQ149" s="30"/>
      <c r="AR149" s="30"/>
      <c r="AS149" s="30"/>
      <c r="AT149" s="28"/>
      <c r="AU149" s="28"/>
      <c r="AV149" s="28"/>
      <c r="AW149" s="30"/>
      <c r="AX149" s="28"/>
      <c r="AY149" s="28"/>
      <c r="AZ149" s="28"/>
      <c r="BA149" s="28"/>
      <c r="BB149" s="28"/>
      <c r="BC149" s="28"/>
      <c r="BD149" s="28"/>
      <c r="BE149" s="28"/>
      <c r="BF149" s="28"/>
      <c r="BG149" s="30"/>
      <c r="BH149" s="28"/>
      <c r="BI149" s="28"/>
      <c r="BJ149" s="28"/>
      <c r="BK149" s="28"/>
      <c r="BL149" s="28"/>
      <c r="BM149" s="28"/>
      <c r="BN149" s="28"/>
      <c r="BO149" s="28"/>
      <c r="BP149" s="28"/>
      <c r="BQ149" s="28"/>
      <c r="BR149" s="29"/>
      <c r="BS149" s="29"/>
      <c r="BT149" s="29"/>
      <c r="BU149" s="28"/>
      <c r="BV149" s="29"/>
      <c r="BW149" s="28"/>
      <c r="BX149" s="28"/>
      <c r="BY149" s="28"/>
      <c r="BZ149" s="28"/>
    </row>
    <row r="150" s="27" customFormat="1" spans="1:78">
      <c r="A150" s="28"/>
      <c r="B150" s="28"/>
      <c r="C150" s="29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30"/>
      <c r="AQ150" s="30"/>
      <c r="AR150" s="30"/>
      <c r="AS150" s="30"/>
      <c r="AT150" s="28"/>
      <c r="AU150" s="28"/>
      <c r="AV150" s="28"/>
      <c r="AW150" s="30"/>
      <c r="AX150" s="28"/>
      <c r="AY150" s="28"/>
      <c r="AZ150" s="28"/>
      <c r="BA150" s="28"/>
      <c r="BB150" s="28"/>
      <c r="BC150" s="28"/>
      <c r="BD150" s="28"/>
      <c r="BE150" s="28"/>
      <c r="BF150" s="28"/>
      <c r="BG150" s="30"/>
      <c r="BH150" s="28"/>
      <c r="BI150" s="28"/>
      <c r="BJ150" s="28"/>
      <c r="BK150" s="28"/>
      <c r="BL150" s="28"/>
      <c r="BM150" s="28"/>
      <c r="BN150" s="28"/>
      <c r="BO150" s="28"/>
      <c r="BP150" s="28"/>
      <c r="BQ150" s="28"/>
      <c r="BR150" s="29"/>
      <c r="BS150" s="28"/>
      <c r="BT150" s="28"/>
      <c r="BU150" s="28"/>
      <c r="BV150" s="29"/>
      <c r="BW150" s="28"/>
      <c r="BX150" s="28"/>
      <c r="BY150" s="28"/>
      <c r="BZ150" s="28"/>
    </row>
    <row r="151" s="27" customFormat="1" spans="1:78">
      <c r="A151" s="28"/>
      <c r="B151" s="28"/>
      <c r="C151" s="29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30"/>
      <c r="AQ151" s="30"/>
      <c r="AR151" s="30"/>
      <c r="AS151" s="30"/>
      <c r="AT151" s="28"/>
      <c r="AU151" s="28"/>
      <c r="AV151" s="28"/>
      <c r="AW151" s="30"/>
      <c r="AX151" s="28"/>
      <c r="AY151" s="28"/>
      <c r="AZ151" s="28"/>
      <c r="BA151" s="28"/>
      <c r="BB151" s="28"/>
      <c r="BC151" s="28"/>
      <c r="BD151" s="28"/>
      <c r="BE151" s="28"/>
      <c r="BF151" s="28"/>
      <c r="BG151" s="30"/>
      <c r="BH151" s="28"/>
      <c r="BI151" s="28"/>
      <c r="BJ151" s="28"/>
      <c r="BK151" s="28"/>
      <c r="BL151" s="28"/>
      <c r="BM151" s="28"/>
      <c r="BN151" s="28"/>
      <c r="BO151" s="28"/>
      <c r="BP151" s="28"/>
      <c r="BQ151" s="28"/>
      <c r="BR151" s="29"/>
      <c r="BS151" s="28"/>
      <c r="BT151" s="28"/>
      <c r="BU151" s="28"/>
      <c r="BV151" s="29"/>
      <c r="BW151" s="28"/>
      <c r="BX151" s="28"/>
      <c r="BY151" s="28"/>
      <c r="BZ151" s="28"/>
    </row>
    <row r="152" s="27" customFormat="1" spans="1:78">
      <c r="A152" s="28"/>
      <c r="B152" s="28"/>
      <c r="C152" s="29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30"/>
      <c r="AQ152" s="30"/>
      <c r="AR152" s="30"/>
      <c r="AS152" s="30"/>
      <c r="AT152" s="28"/>
      <c r="AU152" s="28"/>
      <c r="AV152" s="28"/>
      <c r="AW152" s="30"/>
      <c r="AX152" s="28"/>
      <c r="AY152" s="28"/>
      <c r="AZ152" s="28"/>
      <c r="BA152" s="28"/>
      <c r="BB152" s="28"/>
      <c r="BC152" s="28"/>
      <c r="BD152" s="28"/>
      <c r="BE152" s="28"/>
      <c r="BF152" s="28"/>
      <c r="BG152" s="30"/>
      <c r="BH152" s="28"/>
      <c r="BI152" s="28"/>
      <c r="BJ152" s="28"/>
      <c r="BK152" s="28"/>
      <c r="BL152" s="28"/>
      <c r="BM152" s="28"/>
      <c r="BN152" s="28"/>
      <c r="BO152" s="28"/>
      <c r="BP152" s="28"/>
      <c r="BQ152" s="28"/>
      <c r="BR152" s="29"/>
      <c r="BS152" s="29"/>
      <c r="BT152" s="28"/>
      <c r="BU152" s="28"/>
      <c r="BV152" s="29"/>
      <c r="BW152" s="28"/>
      <c r="BX152" s="28"/>
      <c r="BY152" s="28"/>
      <c r="BZ152" s="28"/>
    </row>
    <row r="153" s="27" customFormat="1" spans="1:78">
      <c r="A153" s="28"/>
      <c r="B153" s="28"/>
      <c r="C153" s="29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30"/>
      <c r="AQ153" s="30"/>
      <c r="AR153" s="30"/>
      <c r="AS153" s="30"/>
      <c r="AT153" s="28"/>
      <c r="AU153" s="28"/>
      <c r="AV153" s="28"/>
      <c r="AW153" s="30"/>
      <c r="AX153" s="28"/>
      <c r="AY153" s="28"/>
      <c r="AZ153" s="28"/>
      <c r="BA153" s="28"/>
      <c r="BB153" s="28"/>
      <c r="BC153" s="28"/>
      <c r="BD153" s="28"/>
      <c r="BE153" s="28"/>
      <c r="BF153" s="28"/>
      <c r="BG153" s="30"/>
      <c r="BH153" s="28"/>
      <c r="BI153" s="28"/>
      <c r="BJ153" s="28"/>
      <c r="BK153" s="28"/>
      <c r="BL153" s="28"/>
      <c r="BM153" s="28"/>
      <c r="BN153" s="28"/>
      <c r="BO153" s="28"/>
      <c r="BP153" s="28"/>
      <c r="BQ153" s="28"/>
      <c r="BR153" s="29"/>
      <c r="BS153" s="29"/>
      <c r="BT153" s="29"/>
      <c r="BU153" s="29"/>
      <c r="BV153" s="29"/>
      <c r="BW153" s="29"/>
      <c r="BX153" s="28"/>
      <c r="BY153" s="28"/>
      <c r="BZ153" s="28"/>
    </row>
    <row r="154" s="27" customFormat="1" spans="1:78">
      <c r="A154" s="28"/>
      <c r="B154" s="28"/>
      <c r="C154" s="29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30"/>
      <c r="AQ154" s="30"/>
      <c r="AR154" s="30"/>
      <c r="AS154" s="30"/>
      <c r="AT154" s="28"/>
      <c r="AU154" s="28"/>
      <c r="AV154" s="28"/>
      <c r="AW154" s="30"/>
      <c r="AX154" s="28"/>
      <c r="AY154" s="28"/>
      <c r="AZ154" s="28"/>
      <c r="BA154" s="28"/>
      <c r="BB154" s="28"/>
      <c r="BC154" s="28"/>
      <c r="BD154" s="28"/>
      <c r="BE154" s="28"/>
      <c r="BF154" s="28"/>
      <c r="BG154" s="30"/>
      <c r="BH154" s="28"/>
      <c r="BI154" s="28"/>
      <c r="BJ154" s="28"/>
      <c r="BK154" s="28"/>
      <c r="BL154" s="28"/>
      <c r="BM154" s="28"/>
      <c r="BN154" s="28"/>
      <c r="BO154" s="28"/>
      <c r="BP154" s="28"/>
      <c r="BQ154" s="28"/>
      <c r="BR154" s="29"/>
      <c r="BS154" s="28"/>
      <c r="BT154" s="28"/>
      <c r="BU154" s="28"/>
      <c r="BV154" s="29"/>
      <c r="BW154" s="28"/>
      <c r="BX154" s="28"/>
      <c r="BY154" s="28"/>
      <c r="BZ154" s="28"/>
    </row>
    <row r="155" s="27" customFormat="1" spans="1:78">
      <c r="A155" s="28"/>
      <c r="B155" s="28"/>
      <c r="C155" s="29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30"/>
      <c r="AQ155" s="30"/>
      <c r="AR155" s="30"/>
      <c r="AS155" s="30"/>
      <c r="AT155" s="28"/>
      <c r="AU155" s="28"/>
      <c r="AV155" s="28"/>
      <c r="AW155" s="30"/>
      <c r="AX155" s="28"/>
      <c r="AY155" s="28"/>
      <c r="AZ155" s="28"/>
      <c r="BA155" s="28"/>
      <c r="BB155" s="28"/>
      <c r="BC155" s="28"/>
      <c r="BD155" s="28"/>
      <c r="BE155" s="28"/>
      <c r="BF155" s="28"/>
      <c r="BG155" s="30"/>
      <c r="BH155" s="28"/>
      <c r="BI155" s="28"/>
      <c r="BJ155" s="28"/>
      <c r="BK155" s="28"/>
      <c r="BL155" s="28"/>
      <c r="BM155" s="28"/>
      <c r="BN155" s="28"/>
      <c r="BO155" s="28"/>
      <c r="BP155" s="28"/>
      <c r="BQ155" s="28"/>
      <c r="BR155" s="29"/>
      <c r="BS155" s="29"/>
      <c r="BT155" s="29"/>
      <c r="BU155" s="28"/>
      <c r="BV155" s="29"/>
      <c r="BW155" s="28"/>
      <c r="BX155" s="28"/>
      <c r="BY155" s="28"/>
      <c r="BZ155" s="28"/>
    </row>
    <row r="156" s="27" customFormat="1" spans="1:78">
      <c r="A156" s="28"/>
      <c r="B156" s="28"/>
      <c r="C156" s="29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30"/>
      <c r="AQ156" s="30"/>
      <c r="AR156" s="30"/>
      <c r="AS156" s="30"/>
      <c r="AT156" s="28"/>
      <c r="AU156" s="28"/>
      <c r="AV156" s="28"/>
      <c r="AW156" s="30"/>
      <c r="AX156" s="28"/>
      <c r="AY156" s="28"/>
      <c r="AZ156" s="28"/>
      <c r="BA156" s="28"/>
      <c r="BB156" s="28"/>
      <c r="BC156" s="28"/>
      <c r="BD156" s="28"/>
      <c r="BE156" s="28"/>
      <c r="BF156" s="28"/>
      <c r="BG156" s="30"/>
      <c r="BH156" s="28"/>
      <c r="BI156" s="28"/>
      <c r="BJ156" s="28"/>
      <c r="BK156" s="28"/>
      <c r="BL156" s="28"/>
      <c r="BM156" s="28"/>
      <c r="BN156" s="28"/>
      <c r="BO156" s="28"/>
      <c r="BP156" s="28"/>
      <c r="BQ156" s="28"/>
      <c r="BR156" s="29"/>
      <c r="BS156" s="29"/>
      <c r="BT156" s="28"/>
      <c r="BU156" s="28"/>
      <c r="BV156" s="29"/>
      <c r="BW156" s="28"/>
      <c r="BX156" s="28"/>
      <c r="BY156" s="28"/>
      <c r="BZ156" s="28"/>
    </row>
    <row r="157" s="27" customFormat="1" spans="1:78">
      <c r="A157" s="28"/>
      <c r="B157" s="28"/>
      <c r="C157" s="29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30"/>
      <c r="AQ157" s="30"/>
      <c r="AR157" s="30"/>
      <c r="AS157" s="30"/>
      <c r="AT157" s="28"/>
      <c r="AU157" s="28"/>
      <c r="AV157" s="28"/>
      <c r="AW157" s="30"/>
      <c r="AX157" s="28"/>
      <c r="AY157" s="28"/>
      <c r="AZ157" s="28"/>
      <c r="BA157" s="28"/>
      <c r="BB157" s="28"/>
      <c r="BC157" s="28"/>
      <c r="BD157" s="28"/>
      <c r="BE157" s="28"/>
      <c r="BF157" s="28"/>
      <c r="BG157" s="30"/>
      <c r="BH157" s="28"/>
      <c r="BI157" s="28"/>
      <c r="BJ157" s="28"/>
      <c r="BK157" s="28"/>
      <c r="BL157" s="28"/>
      <c r="BM157" s="28"/>
      <c r="BN157" s="28"/>
      <c r="BO157" s="28"/>
      <c r="BP157" s="28"/>
      <c r="BQ157" s="28"/>
      <c r="BR157" s="29"/>
      <c r="BS157" s="29"/>
      <c r="BT157" s="29"/>
      <c r="BU157" s="29"/>
      <c r="BV157" s="29"/>
      <c r="BW157" s="28"/>
      <c r="BX157" s="28"/>
      <c r="BY157" s="28"/>
      <c r="BZ157" s="28"/>
    </row>
    <row r="158" s="27" customFormat="1" spans="1:78">
      <c r="A158" s="28"/>
      <c r="B158" s="28"/>
      <c r="C158" s="29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30"/>
      <c r="AQ158" s="30"/>
      <c r="AR158" s="30"/>
      <c r="AS158" s="30"/>
      <c r="AT158" s="28"/>
      <c r="AU158" s="28"/>
      <c r="AV158" s="28"/>
      <c r="AW158" s="30"/>
      <c r="AX158" s="28"/>
      <c r="AY158" s="28"/>
      <c r="AZ158" s="28"/>
      <c r="BA158" s="28"/>
      <c r="BB158" s="28"/>
      <c r="BC158" s="28"/>
      <c r="BD158" s="28"/>
      <c r="BE158" s="28"/>
      <c r="BF158" s="28"/>
      <c r="BG158" s="30"/>
      <c r="BH158" s="28"/>
      <c r="BI158" s="28"/>
      <c r="BJ158" s="28"/>
      <c r="BK158" s="28"/>
      <c r="BL158" s="28"/>
      <c r="BM158" s="28"/>
      <c r="BN158" s="28"/>
      <c r="BO158" s="28"/>
      <c r="BP158" s="28"/>
      <c r="BQ158" s="28"/>
      <c r="BR158" s="29"/>
      <c r="BS158" s="29"/>
      <c r="BT158" s="29"/>
      <c r="BU158" s="28"/>
      <c r="BV158" s="29"/>
      <c r="BW158" s="28"/>
      <c r="BX158" s="28"/>
      <c r="BY158" s="28"/>
      <c r="BZ158" s="28"/>
    </row>
    <row r="159" s="27" customFormat="1" spans="1:78">
      <c r="A159" s="28"/>
      <c r="B159" s="28"/>
      <c r="C159" s="29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30"/>
      <c r="AQ159" s="30"/>
      <c r="AR159" s="30"/>
      <c r="AS159" s="30"/>
      <c r="AT159" s="28"/>
      <c r="AU159" s="28"/>
      <c r="AV159" s="28"/>
      <c r="AW159" s="30"/>
      <c r="AX159" s="28"/>
      <c r="AY159" s="28"/>
      <c r="AZ159" s="28"/>
      <c r="BA159" s="28"/>
      <c r="BB159" s="28"/>
      <c r="BC159" s="28"/>
      <c r="BD159" s="28"/>
      <c r="BE159" s="28"/>
      <c r="BF159" s="28"/>
      <c r="BG159" s="30"/>
      <c r="BH159" s="28"/>
      <c r="BI159" s="28"/>
      <c r="BJ159" s="28"/>
      <c r="BK159" s="28"/>
      <c r="BL159" s="28"/>
      <c r="BM159" s="28"/>
      <c r="BN159" s="28"/>
      <c r="BO159" s="28"/>
      <c r="BP159" s="28"/>
      <c r="BQ159" s="28"/>
      <c r="BR159" s="29"/>
      <c r="BS159" s="29"/>
      <c r="BT159" s="29"/>
      <c r="BU159" s="29"/>
      <c r="BV159" s="29"/>
      <c r="BW159" s="29"/>
      <c r="BX159" s="28"/>
      <c r="BY159" s="28"/>
      <c r="BZ159" s="28"/>
    </row>
    <row r="160" s="27" customFormat="1" spans="1:78">
      <c r="A160" s="28"/>
      <c r="B160" s="28"/>
      <c r="C160" s="29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30"/>
      <c r="AQ160" s="30"/>
      <c r="AR160" s="30"/>
      <c r="AS160" s="30"/>
      <c r="AT160" s="28"/>
      <c r="AU160" s="28"/>
      <c r="AV160" s="28"/>
      <c r="AW160" s="30"/>
      <c r="AX160" s="28"/>
      <c r="AY160" s="28"/>
      <c r="AZ160" s="28"/>
      <c r="BA160" s="28"/>
      <c r="BB160" s="28"/>
      <c r="BC160" s="28"/>
      <c r="BD160" s="28"/>
      <c r="BE160" s="28"/>
      <c r="BF160" s="28"/>
      <c r="BG160" s="30"/>
      <c r="BH160" s="28"/>
      <c r="BI160" s="28"/>
      <c r="BJ160" s="28"/>
      <c r="BK160" s="28"/>
      <c r="BL160" s="28"/>
      <c r="BM160" s="28"/>
      <c r="BN160" s="28"/>
      <c r="BO160" s="28"/>
      <c r="BP160" s="28"/>
      <c r="BQ160" s="28"/>
      <c r="BR160" s="29"/>
      <c r="BS160" s="29"/>
      <c r="BT160" s="29"/>
      <c r="BU160" s="29"/>
      <c r="BV160" s="29"/>
      <c r="BW160" s="29"/>
      <c r="BX160" s="28"/>
      <c r="BY160" s="28"/>
      <c r="BZ160" s="28"/>
    </row>
    <row r="161" s="27" customFormat="1" spans="1:78">
      <c r="A161" s="28"/>
      <c r="B161" s="28"/>
      <c r="C161" s="29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30"/>
      <c r="AQ161" s="30"/>
      <c r="AR161" s="30"/>
      <c r="AS161" s="30"/>
      <c r="AT161" s="28"/>
      <c r="AU161" s="29"/>
      <c r="AV161" s="30"/>
      <c r="AW161" s="30"/>
      <c r="AX161" s="28"/>
      <c r="AY161" s="28"/>
      <c r="AZ161" s="28"/>
      <c r="BA161" s="28"/>
      <c r="BB161" s="28"/>
      <c r="BC161" s="28"/>
      <c r="BD161" s="28"/>
      <c r="BE161" s="28"/>
      <c r="BF161" s="28"/>
      <c r="BG161" s="30"/>
      <c r="BH161" s="28"/>
      <c r="BI161" s="28"/>
      <c r="BJ161" s="28"/>
      <c r="BK161" s="28"/>
      <c r="BL161" s="28"/>
      <c r="BM161" s="28"/>
      <c r="BN161" s="28"/>
      <c r="BO161" s="28"/>
      <c r="BP161" s="28"/>
      <c r="BQ161" s="28"/>
      <c r="BR161" s="29"/>
      <c r="BS161" s="29"/>
      <c r="BT161" s="29"/>
      <c r="BU161" s="28"/>
      <c r="BV161" s="29"/>
      <c r="BW161" s="28"/>
      <c r="BX161" s="28"/>
      <c r="BY161" s="28"/>
      <c r="BZ161" s="28"/>
    </row>
    <row r="162" s="27" customFormat="1" spans="1:78">
      <c r="A162" s="28"/>
      <c r="B162" s="28"/>
      <c r="C162" s="29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30"/>
      <c r="AQ162" s="30"/>
      <c r="AR162" s="30"/>
      <c r="AS162" s="30"/>
      <c r="AT162" s="28"/>
      <c r="AU162" s="28"/>
      <c r="AV162" s="28"/>
      <c r="AW162" s="30"/>
      <c r="AX162" s="28"/>
      <c r="AY162" s="28"/>
      <c r="AZ162" s="28"/>
      <c r="BA162" s="28"/>
      <c r="BB162" s="28"/>
      <c r="BC162" s="28"/>
      <c r="BD162" s="28"/>
      <c r="BE162" s="28"/>
      <c r="BF162" s="28"/>
      <c r="BG162" s="30"/>
      <c r="BH162" s="28"/>
      <c r="BI162" s="28"/>
      <c r="BJ162" s="28"/>
      <c r="BK162" s="28"/>
      <c r="BL162" s="28"/>
      <c r="BM162" s="28"/>
      <c r="BN162" s="28"/>
      <c r="BO162" s="28"/>
      <c r="BP162" s="28"/>
      <c r="BQ162" s="28"/>
      <c r="BR162" s="29"/>
      <c r="BS162" s="29"/>
      <c r="BT162" s="29"/>
      <c r="BU162" s="28"/>
      <c r="BV162" s="29"/>
      <c r="BW162" s="28"/>
      <c r="BX162" s="28"/>
      <c r="BY162" s="28"/>
      <c r="BZ162" s="28"/>
    </row>
    <row r="163" s="27" customFormat="1" spans="1:78">
      <c r="A163" s="28"/>
      <c r="B163" s="28"/>
      <c r="C163" s="29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30"/>
      <c r="AQ163" s="30"/>
      <c r="AR163" s="30"/>
      <c r="AS163" s="30"/>
      <c r="AT163" s="28"/>
      <c r="AU163" s="28"/>
      <c r="AV163" s="28"/>
      <c r="AW163" s="30"/>
      <c r="AX163" s="28"/>
      <c r="AY163" s="28"/>
      <c r="AZ163" s="28"/>
      <c r="BA163" s="28"/>
      <c r="BB163" s="28"/>
      <c r="BC163" s="28"/>
      <c r="BD163" s="28"/>
      <c r="BE163" s="28"/>
      <c r="BF163" s="28"/>
      <c r="BG163" s="30"/>
      <c r="BH163" s="28"/>
      <c r="BI163" s="28"/>
      <c r="BJ163" s="28"/>
      <c r="BK163" s="28"/>
      <c r="BL163" s="28"/>
      <c r="BM163" s="28"/>
      <c r="BN163" s="28"/>
      <c r="BO163" s="28"/>
      <c r="BP163" s="28"/>
      <c r="BQ163" s="28"/>
      <c r="BR163" s="29"/>
      <c r="BS163" s="29"/>
      <c r="BT163" s="29"/>
      <c r="BU163" s="29"/>
      <c r="BV163" s="29"/>
      <c r="BW163" s="29"/>
      <c r="BX163" s="28"/>
      <c r="BY163" s="28"/>
      <c r="BZ163" s="28"/>
    </row>
    <row r="164" s="27" customFormat="1" spans="1:78">
      <c r="A164" s="28"/>
      <c r="B164" s="28"/>
      <c r="C164" s="29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30"/>
      <c r="AQ164" s="30"/>
      <c r="AR164" s="30"/>
      <c r="AS164" s="30"/>
      <c r="AT164" s="28"/>
      <c r="AU164" s="28"/>
      <c r="AV164" s="28"/>
      <c r="AW164" s="30"/>
      <c r="AX164" s="28"/>
      <c r="AY164" s="28"/>
      <c r="AZ164" s="28"/>
      <c r="BA164" s="28"/>
      <c r="BB164" s="28"/>
      <c r="BC164" s="28"/>
      <c r="BD164" s="28"/>
      <c r="BE164" s="28"/>
      <c r="BF164" s="28"/>
      <c r="BG164" s="30"/>
      <c r="BH164" s="28"/>
      <c r="BI164" s="28"/>
      <c r="BJ164" s="28"/>
      <c r="BK164" s="28"/>
      <c r="BL164" s="28"/>
      <c r="BM164" s="28"/>
      <c r="BN164" s="28"/>
      <c r="BO164" s="28"/>
      <c r="BP164" s="28"/>
      <c r="BQ164" s="28"/>
      <c r="BR164" s="29"/>
      <c r="BS164" s="29"/>
      <c r="BT164" s="29"/>
      <c r="BU164" s="29"/>
      <c r="BV164" s="29"/>
      <c r="BW164" s="28"/>
      <c r="BX164" s="28"/>
      <c r="BY164" s="28"/>
      <c r="BZ164" s="28"/>
    </row>
    <row r="165" s="27" customFormat="1" spans="1:78">
      <c r="A165" s="28"/>
      <c r="B165" s="28"/>
      <c r="C165" s="29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30"/>
      <c r="AQ165" s="30"/>
      <c r="AR165" s="30"/>
      <c r="AS165" s="30"/>
      <c r="AT165" s="28"/>
      <c r="AU165" s="28"/>
      <c r="AV165" s="28"/>
      <c r="AW165" s="30"/>
      <c r="AX165" s="28"/>
      <c r="AY165" s="28"/>
      <c r="AZ165" s="28"/>
      <c r="BA165" s="28"/>
      <c r="BB165" s="28"/>
      <c r="BC165" s="28"/>
      <c r="BD165" s="28"/>
      <c r="BE165" s="28"/>
      <c r="BF165" s="28"/>
      <c r="BG165" s="30"/>
      <c r="BH165" s="28"/>
      <c r="BI165" s="28"/>
      <c r="BJ165" s="28"/>
      <c r="BK165" s="28"/>
      <c r="BL165" s="28"/>
      <c r="BM165" s="28"/>
      <c r="BN165" s="28"/>
      <c r="BO165" s="28"/>
      <c r="BP165" s="28"/>
      <c r="BQ165" s="28"/>
      <c r="BR165" s="29"/>
      <c r="BS165" s="29"/>
      <c r="BT165" s="28"/>
      <c r="BU165" s="28"/>
      <c r="BV165" s="29"/>
      <c r="BW165" s="28"/>
      <c r="BX165" s="28"/>
      <c r="BY165" s="28"/>
      <c r="BZ165" s="28"/>
    </row>
    <row r="166" s="27" customFormat="1" spans="1:78">
      <c r="A166" s="28"/>
      <c r="B166" s="28"/>
      <c r="C166" s="29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30"/>
      <c r="AQ166" s="30"/>
      <c r="AR166" s="30"/>
      <c r="AS166" s="30"/>
      <c r="AT166" s="28"/>
      <c r="AU166" s="28"/>
      <c r="AV166" s="28"/>
      <c r="AW166" s="30"/>
      <c r="AX166" s="28"/>
      <c r="AY166" s="28"/>
      <c r="AZ166" s="28"/>
      <c r="BA166" s="28"/>
      <c r="BB166" s="28"/>
      <c r="BC166" s="28"/>
      <c r="BD166" s="28"/>
      <c r="BE166" s="28"/>
      <c r="BF166" s="28"/>
      <c r="BG166" s="30"/>
      <c r="BH166" s="28"/>
      <c r="BI166" s="28"/>
      <c r="BJ166" s="28"/>
      <c r="BK166" s="28"/>
      <c r="BL166" s="28"/>
      <c r="BM166" s="28"/>
      <c r="BN166" s="28"/>
      <c r="BO166" s="28"/>
      <c r="BP166" s="28"/>
      <c r="BQ166" s="28"/>
      <c r="BR166" s="29"/>
      <c r="BS166" s="29"/>
      <c r="BT166" s="29"/>
      <c r="BU166" s="29"/>
      <c r="BV166" s="29"/>
      <c r="BW166" s="29"/>
      <c r="BX166" s="28"/>
      <c r="BY166" s="28"/>
      <c r="BZ166" s="28"/>
    </row>
    <row r="167" s="27" customFormat="1" spans="1:78">
      <c r="A167" s="28"/>
      <c r="B167" s="28"/>
      <c r="C167" s="29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30"/>
      <c r="AQ167" s="30"/>
      <c r="AR167" s="30"/>
      <c r="AS167" s="30"/>
      <c r="AT167" s="28"/>
      <c r="AU167" s="28"/>
      <c r="AV167" s="28"/>
      <c r="AW167" s="30"/>
      <c r="AX167" s="28"/>
      <c r="AY167" s="28"/>
      <c r="AZ167" s="28"/>
      <c r="BA167" s="28"/>
      <c r="BB167" s="28"/>
      <c r="BC167" s="28"/>
      <c r="BD167" s="28"/>
      <c r="BE167" s="28"/>
      <c r="BF167" s="28"/>
      <c r="BG167" s="30"/>
      <c r="BH167" s="28"/>
      <c r="BI167" s="28"/>
      <c r="BJ167" s="28"/>
      <c r="BK167" s="28"/>
      <c r="BL167" s="28"/>
      <c r="BM167" s="28"/>
      <c r="BN167" s="28"/>
      <c r="BO167" s="28"/>
      <c r="BP167" s="28"/>
      <c r="BQ167" s="28"/>
      <c r="BR167" s="29"/>
      <c r="BS167" s="29"/>
      <c r="BT167" s="29"/>
      <c r="BU167" s="28"/>
      <c r="BV167" s="29"/>
      <c r="BW167" s="28"/>
      <c r="BX167" s="28"/>
      <c r="BY167" s="28"/>
      <c r="BZ167" s="28"/>
    </row>
    <row r="168" s="27" customFormat="1" spans="1:78">
      <c r="A168" s="28"/>
      <c r="B168" s="28"/>
      <c r="C168" s="29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30"/>
      <c r="AQ168" s="30"/>
      <c r="AR168" s="30"/>
      <c r="AS168" s="30"/>
      <c r="AT168" s="28"/>
      <c r="AU168" s="28"/>
      <c r="AV168" s="28"/>
      <c r="AW168" s="30"/>
      <c r="AX168" s="28"/>
      <c r="AY168" s="28"/>
      <c r="AZ168" s="28"/>
      <c r="BA168" s="28"/>
      <c r="BB168" s="28"/>
      <c r="BC168" s="28"/>
      <c r="BD168" s="28"/>
      <c r="BE168" s="28"/>
      <c r="BF168" s="28"/>
      <c r="BG168" s="30"/>
      <c r="BH168" s="28"/>
      <c r="BI168" s="28"/>
      <c r="BJ168" s="28"/>
      <c r="BK168" s="28"/>
      <c r="BL168" s="28"/>
      <c r="BM168" s="28"/>
      <c r="BN168" s="28"/>
      <c r="BO168" s="28"/>
      <c r="BP168" s="28"/>
      <c r="BQ168" s="28"/>
      <c r="BR168" s="29"/>
      <c r="BS168" s="29"/>
      <c r="BT168" s="29"/>
      <c r="BU168" s="28"/>
      <c r="BV168" s="29"/>
      <c r="BW168" s="28"/>
      <c r="BX168" s="28"/>
      <c r="BY168" s="28"/>
      <c r="BZ168" s="28"/>
    </row>
    <row r="169" s="27" customFormat="1" spans="1:78">
      <c r="A169" s="28"/>
      <c r="B169" s="28"/>
      <c r="C169" s="29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30"/>
      <c r="AQ169" s="30"/>
      <c r="AR169" s="30"/>
      <c r="AS169" s="30"/>
      <c r="AT169" s="28"/>
      <c r="AU169" s="28"/>
      <c r="AV169" s="28"/>
      <c r="AW169" s="30"/>
      <c r="AX169" s="28"/>
      <c r="AY169" s="28"/>
      <c r="AZ169" s="28"/>
      <c r="BA169" s="28"/>
      <c r="BB169" s="28"/>
      <c r="BC169" s="28"/>
      <c r="BD169" s="28"/>
      <c r="BE169" s="28"/>
      <c r="BF169" s="28"/>
      <c r="BG169" s="30"/>
      <c r="BH169" s="28"/>
      <c r="BI169" s="28"/>
      <c r="BJ169" s="28"/>
      <c r="BK169" s="28"/>
      <c r="BL169" s="28"/>
      <c r="BM169" s="28"/>
      <c r="BN169" s="28"/>
      <c r="BO169" s="28"/>
      <c r="BP169" s="28"/>
      <c r="BQ169" s="28"/>
      <c r="BR169" s="29"/>
      <c r="BS169" s="29"/>
      <c r="BT169" s="28"/>
      <c r="BU169" s="28"/>
      <c r="BV169" s="29"/>
      <c r="BW169" s="28"/>
      <c r="BX169" s="28"/>
      <c r="BY169" s="28"/>
      <c r="BZ169" s="28"/>
    </row>
    <row r="170" s="27" customFormat="1" spans="1:78">
      <c r="A170" s="28"/>
      <c r="B170" s="28"/>
      <c r="C170" s="29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30"/>
      <c r="AQ170" s="30"/>
      <c r="AR170" s="30"/>
      <c r="AS170" s="30"/>
      <c r="AT170" s="28"/>
      <c r="AU170" s="28"/>
      <c r="AV170" s="28"/>
      <c r="AW170" s="30"/>
      <c r="AX170" s="28"/>
      <c r="AY170" s="28"/>
      <c r="AZ170" s="28"/>
      <c r="BA170" s="28"/>
      <c r="BB170" s="28"/>
      <c r="BC170" s="28"/>
      <c r="BD170" s="28"/>
      <c r="BE170" s="28"/>
      <c r="BF170" s="28"/>
      <c r="BG170" s="30"/>
      <c r="BH170" s="28"/>
      <c r="BI170" s="28"/>
      <c r="BJ170" s="28"/>
      <c r="BK170" s="28"/>
      <c r="BL170" s="28"/>
      <c r="BM170" s="28"/>
      <c r="BN170" s="28"/>
      <c r="BO170" s="28"/>
      <c r="BP170" s="28"/>
      <c r="BQ170" s="28"/>
      <c r="BR170" s="29"/>
      <c r="BS170" s="29"/>
      <c r="BT170" s="29"/>
      <c r="BU170" s="28"/>
      <c r="BV170" s="29"/>
      <c r="BW170" s="28"/>
      <c r="BX170" s="28"/>
      <c r="BY170" s="28"/>
      <c r="BZ170" s="28"/>
    </row>
    <row r="171" s="27" customFormat="1" spans="1:78">
      <c r="A171" s="28"/>
      <c r="B171" s="28"/>
      <c r="C171" s="29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30"/>
      <c r="AQ171" s="30"/>
      <c r="AR171" s="30"/>
      <c r="AS171" s="30"/>
      <c r="AT171" s="28"/>
      <c r="AU171" s="28"/>
      <c r="AV171" s="28"/>
      <c r="AW171" s="30"/>
      <c r="AX171" s="28"/>
      <c r="AY171" s="28"/>
      <c r="AZ171" s="28"/>
      <c r="BA171" s="28"/>
      <c r="BB171" s="28"/>
      <c r="BC171" s="28"/>
      <c r="BD171" s="28"/>
      <c r="BE171" s="28"/>
      <c r="BF171" s="28"/>
      <c r="BG171" s="30"/>
      <c r="BH171" s="28"/>
      <c r="BI171" s="28"/>
      <c r="BJ171" s="28"/>
      <c r="BK171" s="28"/>
      <c r="BL171" s="28"/>
      <c r="BM171" s="28"/>
      <c r="BN171" s="28"/>
      <c r="BO171" s="28"/>
      <c r="BP171" s="28"/>
      <c r="BQ171" s="28"/>
      <c r="BR171" s="29"/>
      <c r="BS171" s="29"/>
      <c r="BT171" s="29"/>
      <c r="BU171" s="29"/>
      <c r="BV171" s="29"/>
      <c r="BW171" s="29"/>
      <c r="BX171" s="28"/>
      <c r="BY171" s="28"/>
      <c r="BZ171" s="28"/>
    </row>
    <row r="172" s="27" customFormat="1" spans="1:78">
      <c r="A172" s="28"/>
      <c r="B172" s="28"/>
      <c r="C172" s="29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30"/>
      <c r="AQ172" s="30"/>
      <c r="AR172" s="30"/>
      <c r="AS172" s="30"/>
      <c r="AT172" s="28"/>
      <c r="AU172" s="28"/>
      <c r="AV172" s="28"/>
      <c r="AW172" s="30"/>
      <c r="AX172" s="28"/>
      <c r="AY172" s="28"/>
      <c r="AZ172" s="28"/>
      <c r="BA172" s="28"/>
      <c r="BB172" s="28"/>
      <c r="BC172" s="28"/>
      <c r="BD172" s="28"/>
      <c r="BE172" s="28"/>
      <c r="BF172" s="28"/>
      <c r="BG172" s="30"/>
      <c r="BH172" s="28"/>
      <c r="BI172" s="28"/>
      <c r="BJ172" s="28"/>
      <c r="BK172" s="28"/>
      <c r="BL172" s="28"/>
      <c r="BM172" s="28"/>
      <c r="BN172" s="28"/>
      <c r="BO172" s="28"/>
      <c r="BP172" s="28"/>
      <c r="BQ172" s="28"/>
      <c r="BR172" s="29"/>
      <c r="BS172" s="29"/>
      <c r="BT172" s="29"/>
      <c r="BU172" s="28"/>
      <c r="BV172" s="29"/>
      <c r="BW172" s="28"/>
      <c r="BX172" s="28"/>
      <c r="BY172" s="28"/>
      <c r="BZ172" s="28"/>
    </row>
    <row r="173" s="27" customFormat="1" spans="1:78">
      <c r="A173" s="28"/>
      <c r="B173" s="28"/>
      <c r="C173" s="29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30"/>
      <c r="AQ173" s="30"/>
      <c r="AR173" s="30"/>
      <c r="AS173" s="30"/>
      <c r="AT173" s="28"/>
      <c r="AU173" s="28"/>
      <c r="AV173" s="28"/>
      <c r="AW173" s="30"/>
      <c r="AX173" s="28"/>
      <c r="AY173" s="28"/>
      <c r="AZ173" s="28"/>
      <c r="BA173" s="28"/>
      <c r="BB173" s="28"/>
      <c r="BC173" s="28"/>
      <c r="BD173" s="28"/>
      <c r="BE173" s="28"/>
      <c r="BF173" s="28"/>
      <c r="BG173" s="30"/>
      <c r="BH173" s="28"/>
      <c r="BI173" s="28"/>
      <c r="BJ173" s="28"/>
      <c r="BK173" s="28"/>
      <c r="BL173" s="28"/>
      <c r="BM173" s="28"/>
      <c r="BN173" s="28"/>
      <c r="BO173" s="28"/>
      <c r="BP173" s="28"/>
      <c r="BQ173" s="28"/>
      <c r="BR173" s="29"/>
      <c r="BS173" s="28"/>
      <c r="BT173" s="28"/>
      <c r="BU173" s="28"/>
      <c r="BV173" s="29"/>
      <c r="BW173" s="28"/>
      <c r="BX173" s="28"/>
      <c r="BY173" s="28"/>
      <c r="BZ173" s="28"/>
    </row>
    <row r="174" s="27" customFormat="1" spans="1:78">
      <c r="A174" s="28"/>
      <c r="B174" s="28"/>
      <c r="C174" s="29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30"/>
      <c r="AQ174" s="30"/>
      <c r="AR174" s="30"/>
      <c r="AS174" s="30"/>
      <c r="AT174" s="28"/>
      <c r="AU174" s="28"/>
      <c r="AV174" s="28"/>
      <c r="AW174" s="30"/>
      <c r="AX174" s="28"/>
      <c r="AY174" s="28"/>
      <c r="AZ174" s="28"/>
      <c r="BA174" s="28"/>
      <c r="BB174" s="28"/>
      <c r="BC174" s="28"/>
      <c r="BD174" s="28"/>
      <c r="BE174" s="28"/>
      <c r="BF174" s="28"/>
      <c r="BG174" s="30"/>
      <c r="BH174" s="28"/>
      <c r="BI174" s="28"/>
      <c r="BJ174" s="28"/>
      <c r="BK174" s="28"/>
      <c r="BL174" s="28"/>
      <c r="BM174" s="28"/>
      <c r="BN174" s="28"/>
      <c r="BO174" s="28"/>
      <c r="BP174" s="28"/>
      <c r="BQ174" s="28"/>
      <c r="BR174" s="29"/>
      <c r="BS174" s="29"/>
      <c r="BT174" s="29"/>
      <c r="BU174" s="29"/>
      <c r="BV174" s="29"/>
      <c r="BW174" s="28"/>
      <c r="BX174" s="28"/>
      <c r="BY174" s="28"/>
      <c r="BZ174" s="28"/>
    </row>
    <row r="175" s="27" customFormat="1" spans="1:78">
      <c r="A175" s="28"/>
      <c r="B175" s="28"/>
      <c r="C175" s="29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30"/>
      <c r="AQ175" s="30"/>
      <c r="AR175" s="30"/>
      <c r="AS175" s="30"/>
      <c r="AT175" s="28"/>
      <c r="AU175" s="28"/>
      <c r="AV175" s="28"/>
      <c r="AW175" s="30"/>
      <c r="AX175" s="28"/>
      <c r="AY175" s="28"/>
      <c r="AZ175" s="28"/>
      <c r="BA175" s="28"/>
      <c r="BB175" s="28"/>
      <c r="BC175" s="28"/>
      <c r="BD175" s="28"/>
      <c r="BE175" s="28"/>
      <c r="BF175" s="28"/>
      <c r="BG175" s="30"/>
      <c r="BH175" s="28"/>
      <c r="BI175" s="28"/>
      <c r="BJ175" s="28"/>
      <c r="BK175" s="28"/>
      <c r="BL175" s="28"/>
      <c r="BM175" s="28"/>
      <c r="BN175" s="28"/>
      <c r="BO175" s="28"/>
      <c r="BP175" s="28"/>
      <c r="BQ175" s="28"/>
      <c r="BR175" s="29"/>
      <c r="BS175" s="29"/>
      <c r="BT175" s="29"/>
      <c r="BU175" s="29"/>
      <c r="BV175" s="29"/>
      <c r="BW175" s="28"/>
      <c r="BX175" s="28"/>
      <c r="BY175" s="28"/>
      <c r="BZ175" s="28"/>
    </row>
    <row r="176" s="27" customFormat="1" spans="1:78">
      <c r="A176" s="28"/>
      <c r="B176" s="28"/>
      <c r="C176" s="29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30"/>
      <c r="AQ176" s="30"/>
      <c r="AR176" s="30"/>
      <c r="AS176" s="30"/>
      <c r="AT176" s="28"/>
      <c r="AU176" s="28"/>
      <c r="AV176" s="28"/>
      <c r="AW176" s="30"/>
      <c r="AX176" s="28"/>
      <c r="AY176" s="28"/>
      <c r="AZ176" s="28"/>
      <c r="BA176" s="28"/>
      <c r="BB176" s="28"/>
      <c r="BC176" s="28"/>
      <c r="BD176" s="28"/>
      <c r="BE176" s="28"/>
      <c r="BF176" s="28"/>
      <c r="BG176" s="30"/>
      <c r="BH176" s="28"/>
      <c r="BI176" s="28"/>
      <c r="BJ176" s="28"/>
      <c r="BK176" s="28"/>
      <c r="BL176" s="28"/>
      <c r="BM176" s="28"/>
      <c r="BN176" s="28"/>
      <c r="BO176" s="28"/>
      <c r="BP176" s="28"/>
      <c r="BQ176" s="28"/>
      <c r="BR176" s="29"/>
      <c r="BS176" s="29"/>
      <c r="BT176" s="28"/>
      <c r="BU176" s="28"/>
      <c r="BV176" s="29"/>
      <c r="BW176" s="28"/>
      <c r="BX176" s="28"/>
      <c r="BY176" s="28"/>
      <c r="BZ176" s="28"/>
    </row>
    <row r="177" s="27" customFormat="1" spans="1:78">
      <c r="A177" s="28"/>
      <c r="B177" s="28"/>
      <c r="C177" s="29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30"/>
      <c r="AQ177" s="30"/>
      <c r="AR177" s="30"/>
      <c r="AS177" s="30"/>
      <c r="AT177" s="28"/>
      <c r="AU177" s="28"/>
      <c r="AV177" s="28"/>
      <c r="AW177" s="30"/>
      <c r="AX177" s="28"/>
      <c r="AY177" s="28"/>
      <c r="AZ177" s="28"/>
      <c r="BA177" s="28"/>
      <c r="BB177" s="28"/>
      <c r="BC177" s="28"/>
      <c r="BD177" s="28"/>
      <c r="BE177" s="28"/>
      <c r="BF177" s="28"/>
      <c r="BG177" s="30"/>
      <c r="BH177" s="28"/>
      <c r="BI177" s="28"/>
      <c r="BJ177" s="28"/>
      <c r="BK177" s="28"/>
      <c r="BL177" s="28"/>
      <c r="BM177" s="28"/>
      <c r="BN177" s="28"/>
      <c r="BO177" s="28"/>
      <c r="BP177" s="28"/>
      <c r="BQ177" s="28"/>
      <c r="BR177" s="29"/>
      <c r="BS177" s="28"/>
      <c r="BT177" s="28"/>
      <c r="BU177" s="28"/>
      <c r="BV177" s="29"/>
      <c r="BW177" s="28"/>
      <c r="BX177" s="28"/>
      <c r="BY177" s="28"/>
      <c r="BZ177" s="28"/>
    </row>
    <row r="178" s="27" customFormat="1" spans="1:78">
      <c r="A178" s="28"/>
      <c r="B178" s="28"/>
      <c r="C178" s="29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30"/>
      <c r="AQ178" s="30"/>
      <c r="AR178" s="30"/>
      <c r="AS178" s="30"/>
      <c r="AT178" s="28"/>
      <c r="AU178" s="28"/>
      <c r="AV178" s="28"/>
      <c r="AW178" s="30"/>
      <c r="AX178" s="28"/>
      <c r="AY178" s="28"/>
      <c r="AZ178" s="28"/>
      <c r="BA178" s="28"/>
      <c r="BB178" s="28"/>
      <c r="BC178" s="28"/>
      <c r="BD178" s="28"/>
      <c r="BE178" s="28"/>
      <c r="BF178" s="28"/>
      <c r="BG178" s="30"/>
      <c r="BH178" s="28"/>
      <c r="BI178" s="28"/>
      <c r="BJ178" s="28"/>
      <c r="BK178" s="28"/>
      <c r="BL178" s="28"/>
      <c r="BM178" s="28"/>
      <c r="BN178" s="28"/>
      <c r="BO178" s="28"/>
      <c r="BP178" s="28"/>
      <c r="BQ178" s="28"/>
      <c r="BR178" s="29"/>
      <c r="BS178" s="29"/>
      <c r="BT178" s="29"/>
      <c r="BU178" s="28"/>
      <c r="BV178" s="29"/>
      <c r="BW178" s="28"/>
      <c r="BX178" s="28"/>
      <c r="BY178" s="28"/>
      <c r="BZ178" s="28"/>
    </row>
    <row r="179" s="27" customFormat="1" spans="1:78">
      <c r="A179" s="28"/>
      <c r="B179" s="28"/>
      <c r="C179" s="29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30"/>
      <c r="AQ179" s="30"/>
      <c r="AR179" s="30"/>
      <c r="AS179" s="30"/>
      <c r="AT179" s="28"/>
      <c r="AU179" s="28"/>
      <c r="AV179" s="28"/>
      <c r="AW179" s="30"/>
      <c r="AX179" s="28"/>
      <c r="AY179" s="28"/>
      <c r="AZ179" s="28"/>
      <c r="BA179" s="28"/>
      <c r="BB179" s="28"/>
      <c r="BC179" s="28"/>
      <c r="BD179" s="28"/>
      <c r="BE179" s="28"/>
      <c r="BF179" s="28"/>
      <c r="BG179" s="30"/>
      <c r="BH179" s="28"/>
      <c r="BI179" s="28"/>
      <c r="BJ179" s="28"/>
      <c r="BK179" s="28"/>
      <c r="BL179" s="28"/>
      <c r="BM179" s="28"/>
      <c r="BN179" s="28"/>
      <c r="BO179" s="28"/>
      <c r="BP179" s="28"/>
      <c r="BQ179" s="28"/>
      <c r="BR179" s="29"/>
      <c r="BS179" s="29"/>
      <c r="BT179" s="29"/>
      <c r="BU179" s="29"/>
      <c r="BV179" s="29"/>
      <c r="BW179" s="28"/>
      <c r="BX179" s="28"/>
      <c r="BY179" s="28"/>
      <c r="BZ179" s="28"/>
    </row>
    <row r="180" s="27" customFormat="1" spans="1:78">
      <c r="A180" s="28"/>
      <c r="B180" s="28"/>
      <c r="C180" s="29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30"/>
      <c r="AQ180" s="30"/>
      <c r="AR180" s="30"/>
      <c r="AS180" s="30"/>
      <c r="AT180" s="28"/>
      <c r="AU180" s="28"/>
      <c r="AV180" s="28"/>
      <c r="AW180" s="30"/>
      <c r="AX180" s="28"/>
      <c r="AY180" s="28"/>
      <c r="AZ180" s="28"/>
      <c r="BA180" s="28"/>
      <c r="BB180" s="28"/>
      <c r="BC180" s="28"/>
      <c r="BD180" s="28"/>
      <c r="BE180" s="28"/>
      <c r="BF180" s="28"/>
      <c r="BG180" s="30"/>
      <c r="BH180" s="28"/>
      <c r="BI180" s="28"/>
      <c r="BJ180" s="28"/>
      <c r="BK180" s="28"/>
      <c r="BL180" s="28"/>
      <c r="BM180" s="28"/>
      <c r="BN180" s="28"/>
      <c r="BO180" s="28"/>
      <c r="BP180" s="28"/>
      <c r="BQ180" s="28"/>
      <c r="BR180" s="29"/>
      <c r="BS180" s="29"/>
      <c r="BT180" s="29"/>
      <c r="BU180" s="29"/>
      <c r="BV180" s="29"/>
      <c r="BW180" s="29"/>
      <c r="BX180" s="28"/>
      <c r="BY180" s="28"/>
      <c r="BZ180" s="28"/>
    </row>
    <row r="181" s="27" customFormat="1" spans="1:78">
      <c r="A181" s="28"/>
      <c r="B181" s="28"/>
      <c r="C181" s="29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30"/>
      <c r="AQ181" s="30"/>
      <c r="AR181" s="30"/>
      <c r="AS181" s="30"/>
      <c r="AT181" s="28"/>
      <c r="AU181" s="28"/>
      <c r="AV181" s="28"/>
      <c r="AW181" s="30"/>
      <c r="AX181" s="28"/>
      <c r="AY181" s="28"/>
      <c r="AZ181" s="28"/>
      <c r="BA181" s="28"/>
      <c r="BB181" s="28"/>
      <c r="BC181" s="28"/>
      <c r="BD181" s="28"/>
      <c r="BE181" s="28"/>
      <c r="BF181" s="28"/>
      <c r="BG181" s="30"/>
      <c r="BH181" s="28"/>
      <c r="BI181" s="28"/>
      <c r="BJ181" s="28"/>
      <c r="BK181" s="28"/>
      <c r="BL181" s="28"/>
      <c r="BM181" s="28"/>
      <c r="BN181" s="28"/>
      <c r="BO181" s="28"/>
      <c r="BP181" s="28"/>
      <c r="BQ181" s="28"/>
      <c r="BR181" s="29"/>
      <c r="BS181" s="29"/>
      <c r="BT181" s="29"/>
      <c r="BU181" s="29"/>
      <c r="BV181" s="29"/>
      <c r="BW181" s="29"/>
      <c r="BX181" s="28"/>
      <c r="BY181" s="28"/>
      <c r="BZ181" s="28"/>
    </row>
    <row r="182" s="27" customFormat="1" spans="1:78">
      <c r="A182" s="28"/>
      <c r="B182" s="28"/>
      <c r="C182" s="29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30"/>
      <c r="AQ182" s="30"/>
      <c r="AR182" s="30"/>
      <c r="AS182" s="30"/>
      <c r="AT182" s="28"/>
      <c r="AU182" s="28"/>
      <c r="AV182" s="28"/>
      <c r="AW182" s="30"/>
      <c r="AX182" s="28"/>
      <c r="AY182" s="28"/>
      <c r="AZ182" s="28"/>
      <c r="BA182" s="28"/>
      <c r="BB182" s="28"/>
      <c r="BC182" s="28"/>
      <c r="BD182" s="28"/>
      <c r="BE182" s="28"/>
      <c r="BF182" s="28"/>
      <c r="BG182" s="30"/>
      <c r="BH182" s="28"/>
      <c r="BI182" s="28"/>
      <c r="BJ182" s="28"/>
      <c r="BK182" s="28"/>
      <c r="BL182" s="28"/>
      <c r="BM182" s="28"/>
      <c r="BN182" s="28"/>
      <c r="BO182" s="28"/>
      <c r="BP182" s="28"/>
      <c r="BQ182" s="28"/>
      <c r="BR182" s="29"/>
      <c r="BS182" s="29"/>
      <c r="BT182" s="29"/>
      <c r="BU182" s="29"/>
      <c r="BV182" s="29"/>
      <c r="BW182" s="28"/>
      <c r="BX182" s="28"/>
      <c r="BY182" s="28"/>
      <c r="BZ182" s="28"/>
    </row>
    <row r="183" s="27" customFormat="1" spans="1:78">
      <c r="A183" s="28"/>
      <c r="B183" s="28"/>
      <c r="C183" s="29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30"/>
      <c r="AQ183" s="30"/>
      <c r="AR183" s="30"/>
      <c r="AS183" s="30"/>
      <c r="AT183" s="28"/>
      <c r="AU183" s="28"/>
      <c r="AV183" s="28"/>
      <c r="AW183" s="30"/>
      <c r="AX183" s="28"/>
      <c r="AY183" s="28"/>
      <c r="AZ183" s="28"/>
      <c r="BA183" s="28"/>
      <c r="BB183" s="28"/>
      <c r="BC183" s="28"/>
      <c r="BD183" s="28"/>
      <c r="BE183" s="28"/>
      <c r="BF183" s="28"/>
      <c r="BG183" s="30"/>
      <c r="BH183" s="28"/>
      <c r="BI183" s="28"/>
      <c r="BJ183" s="28"/>
      <c r="BK183" s="28"/>
      <c r="BL183" s="28"/>
      <c r="BM183" s="28"/>
      <c r="BN183" s="28"/>
      <c r="BO183" s="28"/>
      <c r="BP183" s="28"/>
      <c r="BQ183" s="28"/>
      <c r="BR183" s="29"/>
      <c r="BS183" s="29"/>
      <c r="BT183" s="29"/>
      <c r="BU183" s="29"/>
      <c r="BV183" s="29"/>
      <c r="BW183" s="28"/>
      <c r="BX183" s="28"/>
      <c r="BY183" s="28"/>
      <c r="BZ183" s="28"/>
    </row>
    <row r="184" s="27" customFormat="1" spans="1:78">
      <c r="A184" s="28"/>
      <c r="B184" s="28"/>
      <c r="C184" s="29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30"/>
      <c r="AQ184" s="30"/>
      <c r="AR184" s="30"/>
      <c r="AS184" s="30"/>
      <c r="AT184" s="28"/>
      <c r="AU184" s="28"/>
      <c r="AV184" s="28"/>
      <c r="AW184" s="30"/>
      <c r="AX184" s="28"/>
      <c r="AY184" s="28"/>
      <c r="AZ184" s="28"/>
      <c r="BA184" s="28"/>
      <c r="BB184" s="28"/>
      <c r="BC184" s="28"/>
      <c r="BD184" s="28"/>
      <c r="BE184" s="28"/>
      <c r="BF184" s="28"/>
      <c r="BG184" s="30"/>
      <c r="BH184" s="28"/>
      <c r="BI184" s="28"/>
      <c r="BJ184" s="28"/>
      <c r="BK184" s="28"/>
      <c r="BL184" s="28"/>
      <c r="BM184" s="28"/>
      <c r="BN184" s="28"/>
      <c r="BO184" s="28"/>
      <c r="BP184" s="28"/>
      <c r="BQ184" s="28"/>
      <c r="BR184" s="29"/>
      <c r="BS184" s="29"/>
      <c r="BT184" s="29"/>
      <c r="BU184" s="28"/>
      <c r="BV184" s="29"/>
      <c r="BW184" s="28"/>
      <c r="BX184" s="28"/>
      <c r="BY184" s="28"/>
      <c r="BZ184" s="28"/>
    </row>
    <row r="185" s="27" customFormat="1" spans="1:78">
      <c r="A185" s="28"/>
      <c r="B185" s="28"/>
      <c r="C185" s="29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30"/>
      <c r="AQ185" s="30"/>
      <c r="AR185" s="30"/>
      <c r="AS185" s="30"/>
      <c r="AT185" s="28"/>
      <c r="AU185" s="28"/>
      <c r="AV185" s="28"/>
      <c r="AW185" s="30"/>
      <c r="AX185" s="28"/>
      <c r="AY185" s="28"/>
      <c r="AZ185" s="28"/>
      <c r="BA185" s="28"/>
      <c r="BB185" s="28"/>
      <c r="BC185" s="28"/>
      <c r="BD185" s="28"/>
      <c r="BE185" s="28"/>
      <c r="BF185" s="28"/>
      <c r="BG185" s="30"/>
      <c r="BH185" s="28"/>
      <c r="BI185" s="28"/>
      <c r="BJ185" s="28"/>
      <c r="BK185" s="28"/>
      <c r="BL185" s="28"/>
      <c r="BM185" s="28"/>
      <c r="BN185" s="28"/>
      <c r="BO185" s="28"/>
      <c r="BP185" s="28"/>
      <c r="BQ185" s="28"/>
      <c r="BR185" s="29"/>
      <c r="BS185" s="29"/>
      <c r="BT185" s="28"/>
      <c r="BU185" s="28"/>
      <c r="BV185" s="29"/>
      <c r="BW185" s="28"/>
      <c r="BX185" s="28"/>
      <c r="BY185" s="28"/>
      <c r="BZ185" s="28"/>
    </row>
    <row r="186" s="27" customFormat="1" spans="1:78">
      <c r="A186" s="28"/>
      <c r="B186" s="28"/>
      <c r="C186" s="29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30"/>
      <c r="AQ186" s="30"/>
      <c r="AR186" s="30"/>
      <c r="AS186" s="30"/>
      <c r="AT186" s="28"/>
      <c r="AU186" s="28"/>
      <c r="AV186" s="28"/>
      <c r="AW186" s="30"/>
      <c r="AX186" s="28"/>
      <c r="AY186" s="28"/>
      <c r="AZ186" s="28"/>
      <c r="BA186" s="28"/>
      <c r="BB186" s="28"/>
      <c r="BC186" s="28"/>
      <c r="BD186" s="28"/>
      <c r="BE186" s="28"/>
      <c r="BF186" s="28"/>
      <c r="BG186" s="30"/>
      <c r="BH186" s="28"/>
      <c r="BI186" s="28"/>
      <c r="BJ186" s="28"/>
      <c r="BK186" s="28"/>
      <c r="BL186" s="28"/>
      <c r="BM186" s="28"/>
      <c r="BN186" s="28"/>
      <c r="BO186" s="28"/>
      <c r="BP186" s="28"/>
      <c r="BQ186" s="28"/>
      <c r="BR186" s="29"/>
      <c r="BS186" s="29"/>
      <c r="BT186" s="29"/>
      <c r="BU186" s="29"/>
      <c r="BV186" s="29"/>
      <c r="BW186" s="29"/>
      <c r="BX186" s="28"/>
      <c r="BY186" s="28"/>
      <c r="BZ186" s="28"/>
    </row>
    <row r="187" s="27" customFormat="1" spans="1:78">
      <c r="A187" s="28"/>
      <c r="B187" s="28"/>
      <c r="C187" s="29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30"/>
      <c r="AQ187" s="30"/>
      <c r="AR187" s="30"/>
      <c r="AS187" s="30"/>
      <c r="AT187" s="28"/>
      <c r="AU187" s="28"/>
      <c r="AV187" s="28"/>
      <c r="AW187" s="30"/>
      <c r="AX187" s="28"/>
      <c r="AY187" s="28"/>
      <c r="AZ187" s="28"/>
      <c r="BA187" s="28"/>
      <c r="BB187" s="28"/>
      <c r="BC187" s="28"/>
      <c r="BD187" s="28"/>
      <c r="BE187" s="28"/>
      <c r="BF187" s="28"/>
      <c r="BG187" s="30"/>
      <c r="BH187" s="28"/>
      <c r="BI187" s="28"/>
      <c r="BJ187" s="28"/>
      <c r="BK187" s="28"/>
      <c r="BL187" s="28"/>
      <c r="BM187" s="28"/>
      <c r="BN187" s="28"/>
      <c r="BO187" s="28"/>
      <c r="BP187" s="28"/>
      <c r="BQ187" s="28"/>
      <c r="BR187" s="29"/>
      <c r="BS187" s="29"/>
      <c r="BT187" s="29"/>
      <c r="BU187" s="29"/>
      <c r="BV187" s="29"/>
      <c r="BW187" s="29"/>
      <c r="BX187" s="28"/>
      <c r="BY187" s="28"/>
      <c r="BZ187" s="28"/>
    </row>
    <row r="188" s="27" customFormat="1" spans="1:78">
      <c r="A188" s="28"/>
      <c r="B188" s="28"/>
      <c r="C188" s="29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30"/>
      <c r="AQ188" s="30"/>
      <c r="AR188" s="30"/>
      <c r="AS188" s="30"/>
      <c r="AT188" s="28"/>
      <c r="AU188" s="28"/>
      <c r="AV188" s="28"/>
      <c r="AW188" s="30"/>
      <c r="AX188" s="28"/>
      <c r="AY188" s="28"/>
      <c r="AZ188" s="28"/>
      <c r="BA188" s="28"/>
      <c r="BB188" s="28"/>
      <c r="BC188" s="28"/>
      <c r="BD188" s="28"/>
      <c r="BE188" s="28"/>
      <c r="BF188" s="28"/>
      <c r="BG188" s="30"/>
      <c r="BH188" s="28"/>
      <c r="BI188" s="28"/>
      <c r="BJ188" s="28"/>
      <c r="BK188" s="28"/>
      <c r="BL188" s="28"/>
      <c r="BM188" s="28"/>
      <c r="BN188" s="28"/>
      <c r="BO188" s="28"/>
      <c r="BP188" s="28"/>
      <c r="BQ188" s="28"/>
      <c r="BR188" s="29"/>
      <c r="BS188" s="29"/>
      <c r="BT188" s="28"/>
      <c r="BU188" s="28"/>
      <c r="BV188" s="29"/>
      <c r="BW188" s="28"/>
      <c r="BX188" s="28"/>
      <c r="BY188" s="28"/>
      <c r="BZ188" s="28"/>
    </row>
    <row r="189" s="27" customFormat="1" spans="1:78">
      <c r="A189" s="28"/>
      <c r="B189" s="28"/>
      <c r="C189" s="29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30"/>
      <c r="AQ189" s="30"/>
      <c r="AR189" s="30"/>
      <c r="AS189" s="30"/>
      <c r="AT189" s="28"/>
      <c r="AU189" s="28"/>
      <c r="AV189" s="28"/>
      <c r="AW189" s="30"/>
      <c r="AX189" s="28"/>
      <c r="AY189" s="28"/>
      <c r="AZ189" s="28"/>
      <c r="BA189" s="28"/>
      <c r="BB189" s="28"/>
      <c r="BC189" s="28"/>
      <c r="BD189" s="28"/>
      <c r="BE189" s="28"/>
      <c r="BF189" s="28"/>
      <c r="BG189" s="30"/>
      <c r="BH189" s="28"/>
      <c r="BI189" s="28"/>
      <c r="BJ189" s="28"/>
      <c r="BK189" s="28"/>
      <c r="BL189" s="28"/>
      <c r="BM189" s="28"/>
      <c r="BN189" s="28"/>
      <c r="BO189" s="28"/>
      <c r="BP189" s="28"/>
      <c r="BQ189" s="28"/>
      <c r="BR189" s="29"/>
      <c r="BS189" s="29"/>
      <c r="BT189" s="29"/>
      <c r="BU189" s="29"/>
      <c r="BV189" s="29"/>
      <c r="BW189" s="28"/>
      <c r="BX189" s="28"/>
      <c r="BY189" s="28"/>
      <c r="BZ189" s="28"/>
    </row>
    <row r="190" s="27" customFormat="1" spans="1:78">
      <c r="A190" s="28"/>
      <c r="B190" s="28"/>
      <c r="C190" s="29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30"/>
      <c r="AQ190" s="30"/>
      <c r="AR190" s="30"/>
      <c r="AS190" s="30"/>
      <c r="AT190" s="28"/>
      <c r="AU190" s="28"/>
      <c r="AV190" s="28"/>
      <c r="AW190" s="30"/>
      <c r="AX190" s="28"/>
      <c r="AY190" s="28"/>
      <c r="AZ190" s="28"/>
      <c r="BA190" s="28"/>
      <c r="BB190" s="28"/>
      <c r="BC190" s="28"/>
      <c r="BD190" s="28"/>
      <c r="BE190" s="28"/>
      <c r="BF190" s="28"/>
      <c r="BG190" s="30"/>
      <c r="BH190" s="28"/>
      <c r="BI190" s="28"/>
      <c r="BJ190" s="28"/>
      <c r="BK190" s="28"/>
      <c r="BL190" s="28"/>
      <c r="BM190" s="28"/>
      <c r="BN190" s="28"/>
      <c r="BO190" s="28"/>
      <c r="BP190" s="28"/>
      <c r="BQ190" s="28"/>
      <c r="BR190" s="29"/>
      <c r="BS190" s="29"/>
      <c r="BT190" s="29"/>
      <c r="BU190" s="29"/>
      <c r="BV190" s="29"/>
      <c r="BW190" s="29"/>
      <c r="BX190" s="28"/>
      <c r="BY190" s="28"/>
      <c r="BZ190" s="28"/>
    </row>
    <row r="191" s="27" customFormat="1" spans="1:78">
      <c r="A191" s="28"/>
      <c r="B191" s="28"/>
      <c r="C191" s="29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30"/>
      <c r="AQ191" s="30"/>
      <c r="AR191" s="30"/>
      <c r="AS191" s="30"/>
      <c r="AT191" s="28"/>
      <c r="AU191" s="28"/>
      <c r="AV191" s="28"/>
      <c r="AW191" s="30"/>
      <c r="AX191" s="28"/>
      <c r="AY191" s="28"/>
      <c r="AZ191" s="28"/>
      <c r="BA191" s="28"/>
      <c r="BB191" s="28"/>
      <c r="BC191" s="28"/>
      <c r="BD191" s="28"/>
      <c r="BE191" s="28"/>
      <c r="BF191" s="28"/>
      <c r="BG191" s="30"/>
      <c r="BH191" s="28"/>
      <c r="BI191" s="28"/>
      <c r="BJ191" s="28"/>
      <c r="BK191" s="28"/>
      <c r="BL191" s="28"/>
      <c r="BM191" s="28"/>
      <c r="BN191" s="28"/>
      <c r="BO191" s="28"/>
      <c r="BP191" s="28"/>
      <c r="BQ191" s="28"/>
      <c r="BR191" s="29"/>
      <c r="BS191" s="29"/>
      <c r="BT191" s="29"/>
      <c r="BU191" s="29"/>
      <c r="BV191" s="29"/>
      <c r="BW191" s="29"/>
      <c r="BX191" s="28"/>
      <c r="BY191" s="28"/>
      <c r="BZ191" s="28"/>
    </row>
    <row r="192" s="27" customFormat="1" spans="1:78">
      <c r="A192" s="28"/>
      <c r="B192" s="28"/>
      <c r="C192" s="29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30"/>
      <c r="AQ192" s="30"/>
      <c r="AR192" s="30"/>
      <c r="AS192" s="30"/>
      <c r="AT192" s="28"/>
      <c r="AU192" s="28"/>
      <c r="AV192" s="28"/>
      <c r="AW192" s="30"/>
      <c r="AX192" s="28"/>
      <c r="AY192" s="28"/>
      <c r="AZ192" s="28"/>
      <c r="BA192" s="28"/>
      <c r="BB192" s="28"/>
      <c r="BC192" s="28"/>
      <c r="BD192" s="28"/>
      <c r="BE192" s="28"/>
      <c r="BF192" s="28"/>
      <c r="BG192" s="30"/>
      <c r="BH192" s="28"/>
      <c r="BI192" s="28"/>
      <c r="BJ192" s="28"/>
      <c r="BK192" s="28"/>
      <c r="BL192" s="28"/>
      <c r="BM192" s="28"/>
      <c r="BN192" s="28"/>
      <c r="BO192" s="28"/>
      <c r="BP192" s="28"/>
      <c r="BQ192" s="28"/>
      <c r="BR192" s="29"/>
      <c r="BS192" s="29"/>
      <c r="BT192" s="29"/>
      <c r="BU192" s="29"/>
      <c r="BV192" s="29"/>
      <c r="BW192" s="29"/>
      <c r="BX192" s="28"/>
      <c r="BY192" s="28"/>
      <c r="BZ192" s="28"/>
    </row>
    <row r="193" s="27" customFormat="1" spans="1:78">
      <c r="A193" s="28"/>
      <c r="B193" s="28"/>
      <c r="C193" s="29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30"/>
      <c r="AQ193" s="30"/>
      <c r="AR193" s="30"/>
      <c r="AS193" s="30"/>
      <c r="AT193" s="28"/>
      <c r="AU193" s="28"/>
      <c r="AV193" s="28"/>
      <c r="AW193" s="30"/>
      <c r="AX193" s="28"/>
      <c r="AY193" s="28"/>
      <c r="AZ193" s="28"/>
      <c r="BA193" s="28"/>
      <c r="BB193" s="28"/>
      <c r="BC193" s="28"/>
      <c r="BD193" s="28"/>
      <c r="BE193" s="28"/>
      <c r="BF193" s="28"/>
      <c r="BG193" s="30"/>
      <c r="BH193" s="28"/>
      <c r="BI193" s="28"/>
      <c r="BJ193" s="28"/>
      <c r="BK193" s="28"/>
      <c r="BL193" s="28"/>
      <c r="BM193" s="28"/>
      <c r="BN193" s="28"/>
      <c r="BO193" s="28"/>
      <c r="BP193" s="28"/>
      <c r="BQ193" s="28"/>
      <c r="BR193" s="29"/>
      <c r="BS193" s="29"/>
      <c r="BT193" s="29"/>
      <c r="BU193" s="29"/>
      <c r="BV193" s="29"/>
      <c r="BW193" s="29"/>
      <c r="BX193" s="28"/>
      <c r="BY193" s="28"/>
      <c r="BZ193" s="28"/>
    </row>
    <row r="194" s="27" customFormat="1" spans="1:78">
      <c r="A194" s="28"/>
      <c r="B194" s="28"/>
      <c r="C194" s="29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30"/>
      <c r="AQ194" s="30"/>
      <c r="AR194" s="30"/>
      <c r="AS194" s="30"/>
      <c r="AT194" s="28"/>
      <c r="AU194" s="28"/>
      <c r="AV194" s="28"/>
      <c r="AW194" s="30"/>
      <c r="AX194" s="28"/>
      <c r="AY194" s="28"/>
      <c r="AZ194" s="28"/>
      <c r="BA194" s="28"/>
      <c r="BB194" s="28"/>
      <c r="BC194" s="28"/>
      <c r="BD194" s="28"/>
      <c r="BE194" s="28"/>
      <c r="BF194" s="28"/>
      <c r="BG194" s="30"/>
      <c r="BH194" s="28"/>
      <c r="BI194" s="28"/>
      <c r="BJ194" s="28"/>
      <c r="BK194" s="28"/>
      <c r="BL194" s="28"/>
      <c r="BM194" s="28"/>
      <c r="BN194" s="28"/>
      <c r="BO194" s="28"/>
      <c r="BP194" s="28"/>
      <c r="BQ194" s="28"/>
      <c r="BR194" s="29"/>
      <c r="BS194" s="29"/>
      <c r="BT194" s="29"/>
      <c r="BU194" s="29"/>
      <c r="BV194" s="29"/>
      <c r="BW194" s="28"/>
      <c r="BX194" s="28"/>
      <c r="BY194" s="28"/>
      <c r="BZ194" s="28"/>
    </row>
    <row r="195" s="27" customFormat="1" spans="1:78">
      <c r="A195" s="28"/>
      <c r="B195" s="28"/>
      <c r="C195" s="29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30"/>
      <c r="AQ195" s="30"/>
      <c r="AR195" s="30"/>
      <c r="AS195" s="30"/>
      <c r="AT195" s="28"/>
      <c r="AU195" s="28"/>
      <c r="AV195" s="28"/>
      <c r="AW195" s="30"/>
      <c r="AX195" s="28"/>
      <c r="AY195" s="28"/>
      <c r="AZ195" s="28"/>
      <c r="BA195" s="28"/>
      <c r="BB195" s="28"/>
      <c r="BC195" s="28"/>
      <c r="BD195" s="28"/>
      <c r="BE195" s="28"/>
      <c r="BF195" s="28"/>
      <c r="BG195" s="30"/>
      <c r="BH195" s="28"/>
      <c r="BI195" s="28"/>
      <c r="BJ195" s="28"/>
      <c r="BK195" s="28"/>
      <c r="BL195" s="28"/>
      <c r="BM195" s="28"/>
      <c r="BN195" s="28"/>
      <c r="BO195" s="28"/>
      <c r="BP195" s="28"/>
      <c r="BQ195" s="28"/>
      <c r="BR195" s="29"/>
      <c r="BS195" s="29"/>
      <c r="BT195" s="28"/>
      <c r="BU195" s="28"/>
      <c r="BV195" s="29"/>
      <c r="BW195" s="28"/>
      <c r="BX195" s="28"/>
      <c r="BY195" s="28"/>
      <c r="BZ195" s="28"/>
    </row>
    <row r="196" s="27" customFormat="1" spans="1:78">
      <c r="A196" s="28"/>
      <c r="B196" s="28"/>
      <c r="C196" s="29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30"/>
      <c r="AQ196" s="30"/>
      <c r="AR196" s="30"/>
      <c r="AS196" s="30"/>
      <c r="AT196" s="28"/>
      <c r="AU196" s="28"/>
      <c r="AV196" s="28"/>
      <c r="AW196" s="30"/>
      <c r="AX196" s="28"/>
      <c r="AY196" s="28"/>
      <c r="AZ196" s="28"/>
      <c r="BA196" s="28"/>
      <c r="BB196" s="28"/>
      <c r="BC196" s="28"/>
      <c r="BD196" s="28"/>
      <c r="BE196" s="28"/>
      <c r="BF196" s="28"/>
      <c r="BG196" s="30"/>
      <c r="BH196" s="28"/>
      <c r="BI196" s="28"/>
      <c r="BJ196" s="28"/>
      <c r="BK196" s="28"/>
      <c r="BL196" s="28"/>
      <c r="BM196" s="28"/>
      <c r="BN196" s="28"/>
      <c r="BO196" s="28"/>
      <c r="BP196" s="28"/>
      <c r="BQ196" s="28"/>
      <c r="BR196" s="29"/>
      <c r="BS196" s="29"/>
      <c r="BT196" s="28"/>
      <c r="BU196" s="28"/>
      <c r="BV196" s="29"/>
      <c r="BW196" s="28"/>
      <c r="BX196" s="28"/>
      <c r="BY196" s="28"/>
      <c r="BZ196" s="28"/>
    </row>
    <row r="197" s="27" customFormat="1" spans="1:78">
      <c r="A197" s="28"/>
      <c r="B197" s="28"/>
      <c r="C197" s="29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30"/>
      <c r="AQ197" s="30"/>
      <c r="AR197" s="30"/>
      <c r="AS197" s="30"/>
      <c r="AT197" s="28"/>
      <c r="AU197" s="28"/>
      <c r="AV197" s="28"/>
      <c r="AW197" s="30"/>
      <c r="AX197" s="28"/>
      <c r="AY197" s="28"/>
      <c r="AZ197" s="28"/>
      <c r="BA197" s="28"/>
      <c r="BB197" s="28"/>
      <c r="BC197" s="28"/>
      <c r="BD197" s="28"/>
      <c r="BE197" s="28"/>
      <c r="BF197" s="28"/>
      <c r="BG197" s="30"/>
      <c r="BH197" s="28"/>
      <c r="BI197" s="28"/>
      <c r="BJ197" s="28"/>
      <c r="BK197" s="28"/>
      <c r="BL197" s="28"/>
      <c r="BM197" s="28"/>
      <c r="BN197" s="28"/>
      <c r="BO197" s="28"/>
      <c r="BP197" s="28"/>
      <c r="BQ197" s="28"/>
      <c r="BR197" s="29"/>
      <c r="BS197" s="29"/>
      <c r="BT197" s="29"/>
      <c r="BU197" s="29"/>
      <c r="BV197" s="29"/>
      <c r="BW197" s="29"/>
      <c r="BX197" s="28"/>
      <c r="BY197" s="28"/>
      <c r="BZ197" s="28"/>
    </row>
    <row r="198" s="27" customFormat="1" spans="1:78">
      <c r="A198" s="28"/>
      <c r="B198" s="28"/>
      <c r="C198" s="29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30"/>
      <c r="AQ198" s="30"/>
      <c r="AR198" s="30"/>
      <c r="AS198" s="30"/>
      <c r="AT198" s="28"/>
      <c r="AU198" s="28"/>
      <c r="AV198" s="28"/>
      <c r="AW198" s="30"/>
      <c r="AX198" s="28"/>
      <c r="AY198" s="28"/>
      <c r="AZ198" s="28"/>
      <c r="BA198" s="28"/>
      <c r="BB198" s="28"/>
      <c r="BC198" s="28"/>
      <c r="BD198" s="28"/>
      <c r="BE198" s="28"/>
      <c r="BF198" s="28"/>
      <c r="BG198" s="30"/>
      <c r="BH198" s="28"/>
      <c r="BI198" s="28"/>
      <c r="BJ198" s="28"/>
      <c r="BK198" s="28"/>
      <c r="BL198" s="28"/>
      <c r="BM198" s="28"/>
      <c r="BN198" s="28"/>
      <c r="BO198" s="28"/>
      <c r="BP198" s="28"/>
      <c r="BQ198" s="28"/>
      <c r="BR198" s="29"/>
      <c r="BS198" s="29"/>
      <c r="BT198" s="29"/>
      <c r="BU198" s="29"/>
      <c r="BV198" s="29"/>
      <c r="BW198" s="29"/>
      <c r="BX198" s="28"/>
      <c r="BY198" s="28"/>
      <c r="BZ198" s="28"/>
    </row>
    <row r="199" s="27" customFormat="1" spans="1:78">
      <c r="A199" s="28"/>
      <c r="B199" s="28"/>
      <c r="C199" s="29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30"/>
      <c r="AQ199" s="30"/>
      <c r="AR199" s="30"/>
      <c r="AS199" s="30"/>
      <c r="AT199" s="28"/>
      <c r="AU199" s="28"/>
      <c r="AV199" s="28"/>
      <c r="AW199" s="30"/>
      <c r="AX199" s="28"/>
      <c r="AY199" s="28"/>
      <c r="AZ199" s="28"/>
      <c r="BA199" s="28"/>
      <c r="BB199" s="28"/>
      <c r="BC199" s="28"/>
      <c r="BD199" s="28"/>
      <c r="BE199" s="28"/>
      <c r="BF199" s="28"/>
      <c r="BG199" s="30"/>
      <c r="BH199" s="28"/>
      <c r="BI199" s="28"/>
      <c r="BJ199" s="28"/>
      <c r="BK199" s="28"/>
      <c r="BL199" s="28"/>
      <c r="BM199" s="28"/>
      <c r="BN199" s="28"/>
      <c r="BO199" s="28"/>
      <c r="BP199" s="28"/>
      <c r="BQ199" s="28"/>
      <c r="BR199" s="29"/>
      <c r="BS199" s="29"/>
      <c r="BT199" s="29"/>
      <c r="BU199" s="29"/>
      <c r="BV199" s="29"/>
      <c r="BW199" s="28"/>
      <c r="BX199" s="28"/>
      <c r="BY199" s="28"/>
      <c r="BZ199" s="28"/>
    </row>
    <row r="200" s="27" customFormat="1" spans="1:78">
      <c r="A200" s="28"/>
      <c r="B200" s="28"/>
      <c r="C200" s="29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30"/>
      <c r="AQ200" s="30"/>
      <c r="AR200" s="30"/>
      <c r="AS200" s="30"/>
      <c r="AT200" s="28"/>
      <c r="AU200" s="28"/>
      <c r="AV200" s="28"/>
      <c r="AW200" s="30"/>
      <c r="AX200" s="28"/>
      <c r="AY200" s="28"/>
      <c r="AZ200" s="28"/>
      <c r="BA200" s="28"/>
      <c r="BB200" s="28"/>
      <c r="BC200" s="28"/>
      <c r="BD200" s="28"/>
      <c r="BE200" s="28"/>
      <c r="BF200" s="28"/>
      <c r="BG200" s="30"/>
      <c r="BH200" s="28"/>
      <c r="BI200" s="28"/>
      <c r="BJ200" s="28"/>
      <c r="BK200" s="28"/>
      <c r="BL200" s="28"/>
      <c r="BM200" s="28"/>
      <c r="BN200" s="28"/>
      <c r="BO200" s="28"/>
      <c r="BP200" s="28"/>
      <c r="BQ200" s="28"/>
      <c r="BR200" s="29"/>
      <c r="BS200" s="29"/>
      <c r="BT200" s="29"/>
      <c r="BU200" s="28"/>
      <c r="BV200" s="29"/>
      <c r="BW200" s="28"/>
      <c r="BX200" s="28"/>
      <c r="BY200" s="28"/>
      <c r="BZ200" s="28"/>
    </row>
    <row r="201" s="27" customFormat="1" spans="1:78">
      <c r="A201" s="28"/>
      <c r="B201" s="28"/>
      <c r="C201" s="29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30"/>
      <c r="AQ201" s="30"/>
      <c r="AR201" s="30"/>
      <c r="AS201" s="30"/>
      <c r="AT201" s="28"/>
      <c r="AU201" s="28"/>
      <c r="AV201" s="28"/>
      <c r="AW201" s="30"/>
      <c r="AX201" s="28"/>
      <c r="AY201" s="28"/>
      <c r="AZ201" s="28"/>
      <c r="BA201" s="28"/>
      <c r="BB201" s="28"/>
      <c r="BC201" s="28"/>
      <c r="BD201" s="28"/>
      <c r="BE201" s="28"/>
      <c r="BF201" s="28"/>
      <c r="BG201" s="30"/>
      <c r="BH201" s="28"/>
      <c r="BI201" s="28"/>
      <c r="BJ201" s="28"/>
      <c r="BK201" s="28"/>
      <c r="BL201" s="28"/>
      <c r="BM201" s="28"/>
      <c r="BN201" s="28"/>
      <c r="BO201" s="28"/>
      <c r="BP201" s="28"/>
      <c r="BQ201" s="28"/>
      <c r="BR201" s="29"/>
      <c r="BS201" s="29"/>
      <c r="BT201" s="29"/>
      <c r="BU201" s="29"/>
      <c r="BV201" s="29"/>
      <c r="BW201" s="29"/>
      <c r="BX201" s="28"/>
      <c r="BY201" s="28"/>
      <c r="BZ201" s="28"/>
    </row>
    <row r="202" s="27" customFormat="1" spans="1:78">
      <c r="A202" s="28"/>
      <c r="B202" s="28"/>
      <c r="C202" s="29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30"/>
      <c r="AQ202" s="30"/>
      <c r="AR202" s="30"/>
      <c r="AS202" s="30"/>
      <c r="AT202" s="28"/>
      <c r="AU202" s="28"/>
      <c r="AV202" s="28"/>
      <c r="AW202" s="30"/>
      <c r="AX202" s="28"/>
      <c r="AY202" s="28"/>
      <c r="AZ202" s="28"/>
      <c r="BA202" s="28"/>
      <c r="BB202" s="28"/>
      <c r="BC202" s="28"/>
      <c r="BD202" s="28"/>
      <c r="BE202" s="28"/>
      <c r="BF202" s="28"/>
      <c r="BG202" s="30"/>
      <c r="BH202" s="28"/>
      <c r="BI202" s="28"/>
      <c r="BJ202" s="28"/>
      <c r="BK202" s="28"/>
      <c r="BL202" s="28"/>
      <c r="BM202" s="28"/>
      <c r="BN202" s="28"/>
      <c r="BO202" s="28"/>
      <c r="BP202" s="28"/>
      <c r="BQ202" s="28"/>
      <c r="BR202" s="29"/>
      <c r="BS202" s="29"/>
      <c r="BT202" s="29"/>
      <c r="BU202" s="29"/>
      <c r="BV202" s="29"/>
      <c r="BW202" s="29"/>
      <c r="BX202" s="28"/>
      <c r="BY202" s="28"/>
      <c r="BZ202" s="28"/>
    </row>
    <row r="203" s="27" customFormat="1" spans="1:78">
      <c r="A203" s="28"/>
      <c r="B203" s="28"/>
      <c r="C203" s="29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30"/>
      <c r="AQ203" s="30"/>
      <c r="AR203" s="30"/>
      <c r="AS203" s="30"/>
      <c r="AT203" s="28"/>
      <c r="AU203" s="28"/>
      <c r="AV203" s="28"/>
      <c r="AW203" s="30"/>
      <c r="AX203" s="28"/>
      <c r="AY203" s="28"/>
      <c r="AZ203" s="28"/>
      <c r="BA203" s="28"/>
      <c r="BB203" s="28"/>
      <c r="BC203" s="28"/>
      <c r="BD203" s="28"/>
      <c r="BE203" s="28"/>
      <c r="BF203" s="28"/>
      <c r="BG203" s="30"/>
      <c r="BH203" s="28"/>
      <c r="BI203" s="28"/>
      <c r="BJ203" s="28"/>
      <c r="BK203" s="28"/>
      <c r="BL203" s="28"/>
      <c r="BM203" s="28"/>
      <c r="BN203" s="28"/>
      <c r="BO203" s="28"/>
      <c r="BP203" s="28"/>
      <c r="BQ203" s="28"/>
      <c r="BR203" s="29"/>
      <c r="BS203" s="28"/>
      <c r="BT203" s="28"/>
      <c r="BU203" s="28"/>
      <c r="BV203" s="29"/>
      <c r="BW203" s="28"/>
      <c r="BX203" s="28"/>
      <c r="BY203" s="28"/>
      <c r="BZ203" s="28"/>
    </row>
    <row r="204" s="27" customFormat="1" spans="1:78">
      <c r="A204" s="28"/>
      <c r="B204" s="28"/>
      <c r="C204" s="29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30"/>
      <c r="AQ204" s="30"/>
      <c r="AR204" s="30"/>
      <c r="AS204" s="30"/>
      <c r="AT204" s="28"/>
      <c r="AU204" s="28"/>
      <c r="AV204" s="28"/>
      <c r="AW204" s="30"/>
      <c r="AX204" s="28"/>
      <c r="AY204" s="28"/>
      <c r="AZ204" s="28"/>
      <c r="BA204" s="28"/>
      <c r="BB204" s="28"/>
      <c r="BC204" s="28"/>
      <c r="BD204" s="28"/>
      <c r="BE204" s="28"/>
      <c r="BF204" s="28"/>
      <c r="BG204" s="30"/>
      <c r="BH204" s="28"/>
      <c r="BI204" s="28"/>
      <c r="BJ204" s="28"/>
      <c r="BK204" s="28"/>
      <c r="BL204" s="28"/>
      <c r="BM204" s="28"/>
      <c r="BN204" s="28"/>
      <c r="BO204" s="28"/>
      <c r="BP204" s="28"/>
      <c r="BQ204" s="28"/>
      <c r="BR204" s="29"/>
      <c r="BS204" s="29"/>
      <c r="BT204" s="29"/>
      <c r="BU204" s="29"/>
      <c r="BV204" s="29"/>
      <c r="BW204" s="29"/>
      <c r="BX204" s="28"/>
      <c r="BY204" s="28"/>
      <c r="BZ204" s="28"/>
    </row>
    <row r="205" s="27" customFormat="1" spans="1:78">
      <c r="A205" s="28"/>
      <c r="B205" s="28"/>
      <c r="C205" s="29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30"/>
      <c r="AQ205" s="30"/>
      <c r="AR205" s="30"/>
      <c r="AS205" s="30"/>
      <c r="AT205" s="28"/>
      <c r="AU205" s="28"/>
      <c r="AV205" s="28"/>
      <c r="AW205" s="30"/>
      <c r="AX205" s="28"/>
      <c r="AY205" s="28"/>
      <c r="AZ205" s="28"/>
      <c r="BA205" s="28"/>
      <c r="BB205" s="28"/>
      <c r="BC205" s="28"/>
      <c r="BD205" s="28"/>
      <c r="BE205" s="28"/>
      <c r="BF205" s="28"/>
      <c r="BG205" s="30"/>
      <c r="BH205" s="28"/>
      <c r="BI205" s="28"/>
      <c r="BJ205" s="28"/>
      <c r="BK205" s="28"/>
      <c r="BL205" s="28"/>
      <c r="BM205" s="28"/>
      <c r="BN205" s="28"/>
      <c r="BO205" s="28"/>
      <c r="BP205" s="28"/>
      <c r="BQ205" s="28"/>
      <c r="BR205" s="29"/>
      <c r="BS205" s="29"/>
      <c r="BT205" s="29"/>
      <c r="BU205" s="29"/>
      <c r="BV205" s="29"/>
      <c r="BW205" s="29"/>
      <c r="BX205" s="28"/>
      <c r="BY205" s="28"/>
      <c r="BZ205" s="28"/>
    </row>
    <row r="206" s="27" customFormat="1" spans="1:78">
      <c r="A206" s="28"/>
      <c r="B206" s="28"/>
      <c r="C206" s="29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30"/>
      <c r="AQ206" s="30"/>
      <c r="AR206" s="30"/>
      <c r="AS206" s="30"/>
      <c r="AT206" s="28"/>
      <c r="AU206" s="28"/>
      <c r="AV206" s="28"/>
      <c r="AW206" s="30"/>
      <c r="AX206" s="28"/>
      <c r="AY206" s="28"/>
      <c r="AZ206" s="28"/>
      <c r="BA206" s="28"/>
      <c r="BB206" s="28"/>
      <c r="BC206" s="28"/>
      <c r="BD206" s="28"/>
      <c r="BE206" s="28"/>
      <c r="BF206" s="28"/>
      <c r="BG206" s="30"/>
      <c r="BH206" s="28"/>
      <c r="BI206" s="28"/>
      <c r="BJ206" s="28"/>
      <c r="BK206" s="28"/>
      <c r="BL206" s="28"/>
      <c r="BM206" s="28"/>
      <c r="BN206" s="28"/>
      <c r="BO206" s="28"/>
      <c r="BP206" s="28"/>
      <c r="BQ206" s="28"/>
      <c r="BR206" s="29"/>
      <c r="BS206" s="29"/>
      <c r="BT206" s="29"/>
      <c r="BU206" s="29"/>
      <c r="BV206" s="29"/>
      <c r="BW206" s="29"/>
      <c r="BX206" s="28"/>
      <c r="BY206" s="28"/>
      <c r="BZ206" s="28"/>
    </row>
    <row r="207" s="27" customFormat="1" spans="1:78">
      <c r="A207" s="28"/>
      <c r="B207" s="28"/>
      <c r="C207" s="29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30"/>
      <c r="AQ207" s="30"/>
      <c r="AR207" s="30"/>
      <c r="AS207" s="30"/>
      <c r="AT207" s="28"/>
      <c r="AU207" s="28"/>
      <c r="AV207" s="28"/>
      <c r="AW207" s="30"/>
      <c r="AX207" s="28"/>
      <c r="AY207" s="28"/>
      <c r="AZ207" s="28"/>
      <c r="BA207" s="28"/>
      <c r="BB207" s="28"/>
      <c r="BC207" s="28"/>
      <c r="BD207" s="28"/>
      <c r="BE207" s="28"/>
      <c r="BF207" s="28"/>
      <c r="BG207" s="30"/>
      <c r="BH207" s="28"/>
      <c r="BI207" s="28"/>
      <c r="BJ207" s="28"/>
      <c r="BK207" s="28"/>
      <c r="BL207" s="28"/>
      <c r="BM207" s="28"/>
      <c r="BN207" s="28"/>
      <c r="BO207" s="28"/>
      <c r="BP207" s="28"/>
      <c r="BQ207" s="28"/>
      <c r="BR207" s="29"/>
      <c r="BS207" s="29"/>
      <c r="BT207" s="29"/>
      <c r="BU207" s="28"/>
      <c r="BV207" s="29"/>
      <c r="BW207" s="28"/>
      <c r="BX207" s="28"/>
      <c r="BY207" s="28"/>
      <c r="BZ207" s="28"/>
    </row>
    <row r="208" s="27" customFormat="1" spans="1:78">
      <c r="A208" s="28"/>
      <c r="B208" s="28"/>
      <c r="C208" s="29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30"/>
      <c r="AQ208" s="30"/>
      <c r="AR208" s="30"/>
      <c r="AS208" s="30"/>
      <c r="AT208" s="28"/>
      <c r="AU208" s="28"/>
      <c r="AV208" s="28"/>
      <c r="AW208" s="30"/>
      <c r="AX208" s="28"/>
      <c r="AY208" s="28"/>
      <c r="AZ208" s="28"/>
      <c r="BA208" s="28"/>
      <c r="BB208" s="28"/>
      <c r="BC208" s="28"/>
      <c r="BD208" s="28"/>
      <c r="BE208" s="28"/>
      <c r="BF208" s="28"/>
      <c r="BG208" s="30"/>
      <c r="BH208" s="28"/>
      <c r="BI208" s="28"/>
      <c r="BJ208" s="28"/>
      <c r="BK208" s="28"/>
      <c r="BL208" s="28"/>
      <c r="BM208" s="28"/>
      <c r="BN208" s="28"/>
      <c r="BO208" s="28"/>
      <c r="BP208" s="28"/>
      <c r="BQ208" s="28"/>
      <c r="BR208" s="29"/>
      <c r="BS208" s="29"/>
      <c r="BT208" s="29"/>
      <c r="BU208" s="29"/>
      <c r="BV208" s="29"/>
      <c r="BW208" s="29"/>
      <c r="BX208" s="28"/>
      <c r="BY208" s="28"/>
      <c r="BZ208" s="28"/>
    </row>
    <row r="209" s="27" customFormat="1" spans="1:78">
      <c r="A209" s="28"/>
      <c r="B209" s="28"/>
      <c r="C209" s="29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30"/>
      <c r="AQ209" s="30"/>
      <c r="AR209" s="30"/>
      <c r="AS209" s="30"/>
      <c r="AT209" s="28"/>
      <c r="AU209" s="28"/>
      <c r="AV209" s="28"/>
      <c r="AW209" s="30"/>
      <c r="AX209" s="28"/>
      <c r="AY209" s="28"/>
      <c r="AZ209" s="28"/>
      <c r="BA209" s="28"/>
      <c r="BB209" s="28"/>
      <c r="BC209" s="28"/>
      <c r="BD209" s="28"/>
      <c r="BE209" s="28"/>
      <c r="BF209" s="28"/>
      <c r="BG209" s="30"/>
      <c r="BH209" s="28"/>
      <c r="BI209" s="28"/>
      <c r="BJ209" s="28"/>
      <c r="BK209" s="28"/>
      <c r="BL209" s="28"/>
      <c r="BM209" s="28"/>
      <c r="BN209" s="28"/>
      <c r="BO209" s="28"/>
      <c r="BP209" s="28"/>
      <c r="BQ209" s="28"/>
      <c r="BR209" s="29"/>
      <c r="BS209" s="29"/>
      <c r="BT209" s="29"/>
      <c r="BU209" s="29"/>
      <c r="BV209" s="29"/>
      <c r="BW209" s="29"/>
      <c r="BX209" s="28"/>
      <c r="BY209" s="28"/>
      <c r="BZ209" s="28"/>
    </row>
    <row r="210" s="27" customFormat="1" spans="1:78">
      <c r="A210" s="28"/>
      <c r="B210" s="28"/>
      <c r="C210" s="29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30"/>
      <c r="AQ210" s="30"/>
      <c r="AR210" s="30"/>
      <c r="AS210" s="30"/>
      <c r="AT210" s="28"/>
      <c r="AU210" s="28"/>
      <c r="AV210" s="28"/>
      <c r="AW210" s="30"/>
      <c r="AX210" s="28"/>
      <c r="AY210" s="28"/>
      <c r="AZ210" s="28"/>
      <c r="BA210" s="28"/>
      <c r="BB210" s="28"/>
      <c r="BC210" s="28"/>
      <c r="BD210" s="28"/>
      <c r="BE210" s="28"/>
      <c r="BF210" s="28"/>
      <c r="BG210" s="30"/>
      <c r="BH210" s="28"/>
      <c r="BI210" s="28"/>
      <c r="BJ210" s="28"/>
      <c r="BK210" s="28"/>
      <c r="BL210" s="28"/>
      <c r="BM210" s="28"/>
      <c r="BN210" s="28"/>
      <c r="BO210" s="28"/>
      <c r="BP210" s="28"/>
      <c r="BQ210" s="28"/>
      <c r="BR210" s="29"/>
      <c r="BS210" s="29"/>
      <c r="BT210" s="29"/>
      <c r="BU210" s="29"/>
      <c r="BV210" s="29"/>
      <c r="BW210" s="28"/>
      <c r="BX210" s="28"/>
      <c r="BY210" s="28"/>
      <c r="BZ210" s="28"/>
    </row>
    <row r="211" s="27" customFormat="1" spans="1:78">
      <c r="A211" s="28"/>
      <c r="B211" s="28"/>
      <c r="C211" s="29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30"/>
      <c r="AQ211" s="30"/>
      <c r="AR211" s="30"/>
      <c r="AS211" s="30"/>
      <c r="AT211" s="28"/>
      <c r="AU211" s="28"/>
      <c r="AV211" s="28"/>
      <c r="AW211" s="30"/>
      <c r="AX211" s="28"/>
      <c r="AY211" s="28"/>
      <c r="AZ211" s="28"/>
      <c r="BA211" s="28"/>
      <c r="BB211" s="28"/>
      <c r="BC211" s="28"/>
      <c r="BD211" s="28"/>
      <c r="BE211" s="28"/>
      <c r="BF211" s="28"/>
      <c r="BG211" s="30"/>
      <c r="BH211" s="28"/>
      <c r="BI211" s="28"/>
      <c r="BJ211" s="28"/>
      <c r="BK211" s="28"/>
      <c r="BL211" s="28"/>
      <c r="BM211" s="28"/>
      <c r="BN211" s="28"/>
      <c r="BO211" s="28"/>
      <c r="BP211" s="28"/>
      <c r="BQ211" s="28"/>
      <c r="BR211" s="29"/>
      <c r="BS211" s="29"/>
      <c r="BT211" s="29"/>
      <c r="BU211" s="29"/>
      <c r="BV211" s="29"/>
      <c r="BW211" s="28"/>
      <c r="BX211" s="28"/>
      <c r="BY211" s="28"/>
      <c r="BZ211" s="28"/>
    </row>
    <row r="212" s="27" customFormat="1" spans="1:78">
      <c r="A212" s="28"/>
      <c r="B212" s="28"/>
      <c r="C212" s="29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30"/>
      <c r="AQ212" s="30"/>
      <c r="AR212" s="30"/>
      <c r="AS212" s="30"/>
      <c r="AT212" s="28"/>
      <c r="AU212" s="28"/>
      <c r="AV212" s="28"/>
      <c r="AW212" s="30"/>
      <c r="AX212" s="28"/>
      <c r="AY212" s="28"/>
      <c r="AZ212" s="28"/>
      <c r="BA212" s="28"/>
      <c r="BB212" s="28"/>
      <c r="BC212" s="28"/>
      <c r="BD212" s="28"/>
      <c r="BE212" s="28"/>
      <c r="BF212" s="28"/>
      <c r="BG212" s="30"/>
      <c r="BH212" s="28"/>
      <c r="BI212" s="28"/>
      <c r="BJ212" s="28"/>
      <c r="BK212" s="28"/>
      <c r="BL212" s="28"/>
      <c r="BM212" s="28"/>
      <c r="BN212" s="28"/>
      <c r="BO212" s="28"/>
      <c r="BP212" s="28"/>
      <c r="BQ212" s="28"/>
      <c r="BR212" s="29"/>
      <c r="BS212" s="29"/>
      <c r="BT212" s="29"/>
      <c r="BU212" s="29"/>
      <c r="BV212" s="29"/>
      <c r="BW212" s="29"/>
      <c r="BX212" s="28"/>
      <c r="BY212" s="28"/>
      <c r="BZ212" s="28"/>
    </row>
    <row r="213" s="27" customFormat="1" spans="1:78">
      <c r="A213" s="28"/>
      <c r="B213" s="28"/>
      <c r="C213" s="29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30"/>
      <c r="AQ213" s="30"/>
      <c r="AR213" s="30"/>
      <c r="AS213" s="30"/>
      <c r="AT213" s="28"/>
      <c r="AU213" s="28"/>
      <c r="AV213" s="28"/>
      <c r="AW213" s="30"/>
      <c r="AX213" s="28"/>
      <c r="AY213" s="28"/>
      <c r="AZ213" s="28"/>
      <c r="BA213" s="28"/>
      <c r="BB213" s="28"/>
      <c r="BC213" s="28"/>
      <c r="BD213" s="28"/>
      <c r="BE213" s="28"/>
      <c r="BF213" s="28"/>
      <c r="BG213" s="30"/>
      <c r="BH213" s="28"/>
      <c r="BI213" s="28"/>
      <c r="BJ213" s="28"/>
      <c r="BK213" s="28"/>
      <c r="BL213" s="28"/>
      <c r="BM213" s="28"/>
      <c r="BN213" s="28"/>
      <c r="BO213" s="28"/>
      <c r="BP213" s="28"/>
      <c r="BQ213" s="28"/>
      <c r="BR213" s="29"/>
      <c r="BS213" s="29"/>
      <c r="BT213" s="29"/>
      <c r="BU213" s="29"/>
      <c r="BV213" s="29"/>
      <c r="BW213" s="29"/>
      <c r="BX213" s="28"/>
      <c r="BY213" s="28"/>
      <c r="BZ213" s="28"/>
    </row>
    <row r="214" s="27" customFormat="1" spans="1:78">
      <c r="A214" s="28"/>
      <c r="B214" s="28"/>
      <c r="C214" s="29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30"/>
      <c r="AQ214" s="30"/>
      <c r="AR214" s="30"/>
      <c r="AS214" s="30"/>
      <c r="AT214" s="28"/>
      <c r="AU214" s="28"/>
      <c r="AV214" s="28"/>
      <c r="AW214" s="30"/>
      <c r="AX214" s="28"/>
      <c r="AY214" s="28"/>
      <c r="AZ214" s="28"/>
      <c r="BA214" s="28"/>
      <c r="BB214" s="28"/>
      <c r="BC214" s="28"/>
      <c r="BD214" s="28"/>
      <c r="BE214" s="28"/>
      <c r="BF214" s="28"/>
      <c r="BG214" s="30"/>
      <c r="BH214" s="28"/>
      <c r="BI214" s="28"/>
      <c r="BJ214" s="28"/>
      <c r="BK214" s="28"/>
      <c r="BL214" s="28"/>
      <c r="BM214" s="28"/>
      <c r="BN214" s="28"/>
      <c r="BO214" s="28"/>
      <c r="BP214" s="28"/>
      <c r="BQ214" s="28"/>
      <c r="BR214" s="29"/>
      <c r="BS214" s="28"/>
      <c r="BT214" s="28"/>
      <c r="BU214" s="28"/>
      <c r="BV214" s="29"/>
      <c r="BW214" s="28"/>
      <c r="BX214" s="28"/>
      <c r="BY214" s="28"/>
      <c r="BZ214" s="28"/>
    </row>
    <row r="215" s="27" customFormat="1" spans="1:78">
      <c r="A215" s="28"/>
      <c r="B215" s="28"/>
      <c r="C215" s="29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30"/>
      <c r="AQ215" s="30"/>
      <c r="AR215" s="30"/>
      <c r="AS215" s="30"/>
      <c r="AT215" s="28"/>
      <c r="AU215" s="28"/>
      <c r="AV215" s="28"/>
      <c r="AW215" s="30"/>
      <c r="AX215" s="28"/>
      <c r="AY215" s="28"/>
      <c r="AZ215" s="28"/>
      <c r="BA215" s="28"/>
      <c r="BB215" s="28"/>
      <c r="BC215" s="28"/>
      <c r="BD215" s="28"/>
      <c r="BE215" s="28"/>
      <c r="BF215" s="28"/>
      <c r="BG215" s="30"/>
      <c r="BH215" s="28"/>
      <c r="BI215" s="28"/>
      <c r="BJ215" s="28"/>
      <c r="BK215" s="28"/>
      <c r="BL215" s="28"/>
      <c r="BM215" s="28"/>
      <c r="BN215" s="28"/>
      <c r="BO215" s="28"/>
      <c r="BP215" s="28"/>
      <c r="BQ215" s="28"/>
      <c r="BR215" s="29"/>
      <c r="BS215" s="29"/>
      <c r="BT215" s="29"/>
      <c r="BU215" s="29"/>
      <c r="BV215" s="29"/>
      <c r="BW215" s="29"/>
      <c r="BX215" s="28"/>
      <c r="BY215" s="28"/>
      <c r="BZ215" s="28"/>
    </row>
    <row r="216" s="27" customFormat="1" spans="1:78">
      <c r="A216" s="28"/>
      <c r="B216" s="28"/>
      <c r="C216" s="29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30"/>
      <c r="AQ216" s="30"/>
      <c r="AR216" s="30"/>
      <c r="AS216" s="30"/>
      <c r="AT216" s="28"/>
      <c r="AU216" s="28"/>
      <c r="AV216" s="28"/>
      <c r="AW216" s="30"/>
      <c r="AX216" s="28"/>
      <c r="AY216" s="28"/>
      <c r="AZ216" s="28"/>
      <c r="BA216" s="28"/>
      <c r="BB216" s="28"/>
      <c r="BC216" s="28"/>
      <c r="BD216" s="28"/>
      <c r="BE216" s="28"/>
      <c r="BF216" s="28"/>
      <c r="BG216" s="30"/>
      <c r="BH216" s="28"/>
      <c r="BI216" s="28"/>
      <c r="BJ216" s="28"/>
      <c r="BK216" s="28"/>
      <c r="BL216" s="28"/>
      <c r="BM216" s="28"/>
      <c r="BN216" s="28"/>
      <c r="BO216" s="28"/>
      <c r="BP216" s="28"/>
      <c r="BQ216" s="28"/>
      <c r="BR216" s="29"/>
      <c r="BS216" s="29"/>
      <c r="BT216" s="28"/>
      <c r="BU216" s="28"/>
      <c r="BV216" s="29"/>
      <c r="BW216" s="28"/>
      <c r="BX216" s="28"/>
      <c r="BY216" s="28"/>
      <c r="BZ216" s="28"/>
    </row>
    <row r="217" s="27" customFormat="1" spans="1:78">
      <c r="A217" s="28"/>
      <c r="B217" s="28"/>
      <c r="C217" s="29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30"/>
      <c r="AQ217" s="30"/>
      <c r="AR217" s="30"/>
      <c r="AS217" s="30"/>
      <c r="AT217" s="28"/>
      <c r="AU217" s="28"/>
      <c r="AV217" s="28"/>
      <c r="AW217" s="30"/>
      <c r="AX217" s="28"/>
      <c r="AY217" s="28"/>
      <c r="AZ217" s="28"/>
      <c r="BA217" s="28"/>
      <c r="BB217" s="28"/>
      <c r="BC217" s="28"/>
      <c r="BD217" s="28"/>
      <c r="BE217" s="28"/>
      <c r="BF217" s="28"/>
      <c r="BG217" s="30"/>
      <c r="BH217" s="28"/>
      <c r="BI217" s="28"/>
      <c r="BJ217" s="28"/>
      <c r="BK217" s="28"/>
      <c r="BL217" s="28"/>
      <c r="BM217" s="28"/>
      <c r="BN217" s="28"/>
      <c r="BO217" s="28"/>
      <c r="BP217" s="28"/>
      <c r="BQ217" s="28"/>
      <c r="BR217" s="29"/>
      <c r="BS217" s="29"/>
      <c r="BT217" s="29"/>
      <c r="BU217" s="28"/>
      <c r="BV217" s="29"/>
      <c r="BW217" s="28"/>
      <c r="BX217" s="28"/>
      <c r="BY217" s="28"/>
      <c r="BZ217" s="28"/>
    </row>
    <row r="218" s="27" customFormat="1" spans="1:78">
      <c r="A218" s="28"/>
      <c r="B218" s="28"/>
      <c r="C218" s="29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30"/>
      <c r="AQ218" s="30"/>
      <c r="AR218" s="30"/>
      <c r="AS218" s="30"/>
      <c r="AT218" s="28"/>
      <c r="AU218" s="28"/>
      <c r="AV218" s="28"/>
      <c r="AW218" s="30"/>
      <c r="AX218" s="28"/>
      <c r="AY218" s="28"/>
      <c r="AZ218" s="28"/>
      <c r="BA218" s="28"/>
      <c r="BB218" s="28"/>
      <c r="BC218" s="28"/>
      <c r="BD218" s="28"/>
      <c r="BE218" s="28"/>
      <c r="BF218" s="28"/>
      <c r="BG218" s="30"/>
      <c r="BH218" s="28"/>
      <c r="BI218" s="28"/>
      <c r="BJ218" s="28"/>
      <c r="BK218" s="28"/>
      <c r="BL218" s="28"/>
      <c r="BM218" s="28"/>
      <c r="BN218" s="28"/>
      <c r="BO218" s="28"/>
      <c r="BP218" s="28"/>
      <c r="BQ218" s="28"/>
      <c r="BR218" s="29"/>
      <c r="BS218" s="29"/>
      <c r="BT218" s="28"/>
      <c r="BU218" s="28"/>
      <c r="BV218" s="29"/>
      <c r="BW218" s="28"/>
      <c r="BX218" s="28"/>
      <c r="BY218" s="28"/>
      <c r="BZ218" s="28"/>
    </row>
    <row r="219" s="27" customFormat="1" spans="1:78">
      <c r="A219" s="28"/>
      <c r="B219" s="28"/>
      <c r="C219" s="29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30"/>
      <c r="AQ219" s="30"/>
      <c r="AR219" s="30"/>
      <c r="AS219" s="30"/>
      <c r="AT219" s="28"/>
      <c r="AU219" s="28"/>
      <c r="AV219" s="28"/>
      <c r="AW219" s="30"/>
      <c r="AX219" s="28"/>
      <c r="AY219" s="28"/>
      <c r="AZ219" s="28"/>
      <c r="BA219" s="28"/>
      <c r="BB219" s="28"/>
      <c r="BC219" s="28"/>
      <c r="BD219" s="28"/>
      <c r="BE219" s="28"/>
      <c r="BF219" s="28"/>
      <c r="BG219" s="30"/>
      <c r="BH219" s="28"/>
      <c r="BI219" s="28"/>
      <c r="BJ219" s="28"/>
      <c r="BK219" s="28"/>
      <c r="BL219" s="28"/>
      <c r="BM219" s="28"/>
      <c r="BN219" s="28"/>
      <c r="BO219" s="28"/>
      <c r="BP219" s="28"/>
      <c r="BQ219" s="28"/>
      <c r="BR219" s="29"/>
      <c r="BS219" s="29"/>
      <c r="BT219" s="28"/>
      <c r="BU219" s="28"/>
      <c r="BV219" s="29"/>
      <c r="BW219" s="28"/>
      <c r="BX219" s="28"/>
      <c r="BY219" s="28"/>
      <c r="BZ219" s="28"/>
    </row>
    <row r="220" s="27" customFormat="1" spans="1:78">
      <c r="A220" s="28"/>
      <c r="B220" s="28"/>
      <c r="C220" s="29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30"/>
      <c r="AQ220" s="30"/>
      <c r="AR220" s="30"/>
      <c r="AS220" s="30"/>
      <c r="AT220" s="28"/>
      <c r="AU220" s="28"/>
      <c r="AV220" s="28"/>
      <c r="AW220" s="30"/>
      <c r="AX220" s="28"/>
      <c r="AY220" s="28"/>
      <c r="AZ220" s="28"/>
      <c r="BA220" s="28"/>
      <c r="BB220" s="28"/>
      <c r="BC220" s="28"/>
      <c r="BD220" s="28"/>
      <c r="BE220" s="28"/>
      <c r="BF220" s="28"/>
      <c r="BG220" s="30"/>
      <c r="BH220" s="28"/>
      <c r="BI220" s="28"/>
      <c r="BJ220" s="28"/>
      <c r="BK220" s="28"/>
      <c r="BL220" s="28"/>
      <c r="BM220" s="28"/>
      <c r="BN220" s="28"/>
      <c r="BO220" s="28"/>
      <c r="BP220" s="28"/>
      <c r="BQ220" s="28"/>
      <c r="BR220" s="29"/>
      <c r="BS220" s="29"/>
      <c r="BT220" s="29"/>
      <c r="BU220" s="28"/>
      <c r="BV220" s="29"/>
      <c r="BW220" s="28"/>
      <c r="BX220" s="28"/>
      <c r="BY220" s="28"/>
      <c r="BZ220" s="28"/>
    </row>
    <row r="221" s="27" customFormat="1" spans="1:78">
      <c r="A221" s="28"/>
      <c r="B221" s="28"/>
      <c r="C221" s="29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30"/>
      <c r="AQ221" s="30"/>
      <c r="AR221" s="30"/>
      <c r="AS221" s="30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28"/>
      <c r="BE221" s="28"/>
      <c r="BF221" s="28"/>
      <c r="BG221" s="30"/>
      <c r="BH221" s="28"/>
      <c r="BI221" s="28"/>
      <c r="BJ221" s="28"/>
      <c r="BK221" s="28"/>
      <c r="BL221" s="28"/>
      <c r="BM221" s="28"/>
      <c r="BN221" s="28"/>
      <c r="BO221" s="28"/>
      <c r="BP221" s="28"/>
      <c r="BQ221" s="28"/>
      <c r="BR221" s="28"/>
      <c r="BS221" s="28"/>
      <c r="BT221" s="28"/>
      <c r="BU221" s="28"/>
      <c r="BV221" s="29"/>
      <c r="BW221" s="28"/>
      <c r="BX221" s="28"/>
      <c r="BY221" s="28"/>
      <c r="BZ221" s="28"/>
    </row>
    <row r="222" s="27" customFormat="1" spans="1:78">
      <c r="A222" s="28"/>
      <c r="B222" s="28"/>
      <c r="C222" s="29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30"/>
      <c r="AQ222" s="30"/>
      <c r="AR222" s="30"/>
      <c r="AS222" s="30"/>
      <c r="AT222" s="28"/>
      <c r="AU222" s="28"/>
      <c r="AV222" s="28"/>
      <c r="AW222" s="30"/>
      <c r="AX222" s="28"/>
      <c r="AY222" s="28"/>
      <c r="AZ222" s="28"/>
      <c r="BA222" s="28"/>
      <c r="BB222" s="28"/>
      <c r="BC222" s="28"/>
      <c r="BD222" s="28"/>
      <c r="BE222" s="28"/>
      <c r="BF222" s="28"/>
      <c r="BG222" s="30"/>
      <c r="BH222" s="28"/>
      <c r="BI222" s="28"/>
      <c r="BJ222" s="28"/>
      <c r="BK222" s="28"/>
      <c r="BL222" s="28"/>
      <c r="BM222" s="28"/>
      <c r="BN222" s="28"/>
      <c r="BO222" s="28"/>
      <c r="BP222" s="28"/>
      <c r="BQ222" s="28"/>
      <c r="BR222" s="29"/>
      <c r="BS222" s="29"/>
      <c r="BT222" s="29"/>
      <c r="BU222" s="29"/>
      <c r="BV222" s="29"/>
      <c r="BW222" s="28"/>
      <c r="BX222" s="28"/>
      <c r="BY222" s="28"/>
      <c r="BZ222" s="28"/>
    </row>
    <row r="223" s="27" customFormat="1" spans="1:78">
      <c r="A223" s="28"/>
      <c r="B223" s="28"/>
      <c r="C223" s="29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30"/>
      <c r="AQ223" s="30"/>
      <c r="AR223" s="30"/>
      <c r="AS223" s="30"/>
      <c r="AT223" s="28"/>
      <c r="AU223" s="28"/>
      <c r="AV223" s="28"/>
      <c r="AW223" s="30"/>
      <c r="AX223" s="28"/>
      <c r="AY223" s="28"/>
      <c r="AZ223" s="28"/>
      <c r="BA223" s="28"/>
      <c r="BB223" s="28"/>
      <c r="BC223" s="28"/>
      <c r="BD223" s="28"/>
      <c r="BE223" s="28"/>
      <c r="BF223" s="28"/>
      <c r="BG223" s="30"/>
      <c r="BH223" s="28"/>
      <c r="BI223" s="28"/>
      <c r="BJ223" s="28"/>
      <c r="BK223" s="28"/>
      <c r="BL223" s="28"/>
      <c r="BM223" s="28"/>
      <c r="BN223" s="28"/>
      <c r="BO223" s="28"/>
      <c r="BP223" s="28"/>
      <c r="BQ223" s="28"/>
      <c r="BR223" s="29"/>
      <c r="BS223" s="29"/>
      <c r="BT223" s="29"/>
      <c r="BU223" s="29"/>
      <c r="BV223" s="29"/>
      <c r="BW223" s="29"/>
      <c r="BX223" s="28"/>
      <c r="BY223" s="28"/>
      <c r="BZ223" s="28"/>
    </row>
    <row r="224" s="27" customFormat="1" spans="1:78">
      <c r="A224" s="28"/>
      <c r="B224" s="28"/>
      <c r="C224" s="29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30"/>
      <c r="AQ224" s="30"/>
      <c r="AR224" s="30"/>
      <c r="AS224" s="30"/>
      <c r="AT224" s="28"/>
      <c r="AU224" s="28"/>
      <c r="AV224" s="28"/>
      <c r="AW224" s="30"/>
      <c r="AX224" s="28"/>
      <c r="AY224" s="28"/>
      <c r="AZ224" s="28"/>
      <c r="BA224" s="28"/>
      <c r="BB224" s="28"/>
      <c r="BC224" s="28"/>
      <c r="BD224" s="28"/>
      <c r="BE224" s="28"/>
      <c r="BF224" s="28"/>
      <c r="BG224" s="30"/>
      <c r="BH224" s="28"/>
      <c r="BI224" s="28"/>
      <c r="BJ224" s="28"/>
      <c r="BK224" s="28"/>
      <c r="BL224" s="28"/>
      <c r="BM224" s="28"/>
      <c r="BN224" s="28"/>
      <c r="BO224" s="28"/>
      <c r="BP224" s="28"/>
      <c r="BQ224" s="28"/>
      <c r="BR224" s="29"/>
      <c r="BS224" s="29"/>
      <c r="BT224" s="29"/>
      <c r="BU224" s="29"/>
      <c r="BV224" s="29"/>
      <c r="BW224" s="29"/>
      <c r="BX224" s="28"/>
      <c r="BY224" s="28"/>
      <c r="BZ224" s="28"/>
    </row>
    <row r="225" s="27" customFormat="1" spans="1:78">
      <c r="A225" s="28"/>
      <c r="B225" s="28"/>
      <c r="C225" s="29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30"/>
      <c r="AQ225" s="30"/>
      <c r="AR225" s="30"/>
      <c r="AS225" s="30"/>
      <c r="AT225" s="28"/>
      <c r="AU225" s="28"/>
      <c r="AV225" s="28"/>
      <c r="AW225" s="30"/>
      <c r="AX225" s="28"/>
      <c r="AY225" s="28"/>
      <c r="AZ225" s="28"/>
      <c r="BA225" s="28"/>
      <c r="BB225" s="28"/>
      <c r="BC225" s="28"/>
      <c r="BD225" s="28"/>
      <c r="BE225" s="28"/>
      <c r="BF225" s="28"/>
      <c r="BG225" s="30"/>
      <c r="BH225" s="28"/>
      <c r="BI225" s="28"/>
      <c r="BJ225" s="28"/>
      <c r="BK225" s="28"/>
      <c r="BL225" s="28"/>
      <c r="BM225" s="28"/>
      <c r="BN225" s="28"/>
      <c r="BO225" s="28"/>
      <c r="BP225" s="28"/>
      <c r="BQ225" s="28"/>
      <c r="BR225" s="29"/>
      <c r="BS225" s="29"/>
      <c r="BT225" s="28"/>
      <c r="BU225" s="28"/>
      <c r="BV225" s="29"/>
      <c r="BW225" s="28"/>
      <c r="BX225" s="28"/>
      <c r="BY225" s="28"/>
      <c r="BZ225" s="28"/>
    </row>
    <row r="226" s="27" customFormat="1" spans="1:78">
      <c r="A226" s="28"/>
      <c r="B226" s="28"/>
      <c r="C226" s="29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30"/>
      <c r="AQ226" s="30"/>
      <c r="AR226" s="30"/>
      <c r="AS226" s="30"/>
      <c r="AT226" s="28"/>
      <c r="AU226" s="28"/>
      <c r="AV226" s="28"/>
      <c r="AW226" s="30"/>
      <c r="AX226" s="28"/>
      <c r="AY226" s="28"/>
      <c r="AZ226" s="28"/>
      <c r="BA226" s="28"/>
      <c r="BB226" s="28"/>
      <c r="BC226" s="28"/>
      <c r="BD226" s="28"/>
      <c r="BE226" s="28"/>
      <c r="BF226" s="28"/>
      <c r="BG226" s="30"/>
      <c r="BH226" s="28"/>
      <c r="BI226" s="28"/>
      <c r="BJ226" s="28"/>
      <c r="BK226" s="28"/>
      <c r="BL226" s="28"/>
      <c r="BM226" s="28"/>
      <c r="BN226" s="28"/>
      <c r="BO226" s="28"/>
      <c r="BP226" s="28"/>
      <c r="BQ226" s="28"/>
      <c r="BR226" s="29"/>
      <c r="BS226" s="29"/>
      <c r="BT226" s="29"/>
      <c r="BU226" s="28"/>
      <c r="BV226" s="29"/>
      <c r="BW226" s="28"/>
      <c r="BX226" s="28"/>
      <c r="BY226" s="28"/>
      <c r="BZ226" s="28"/>
    </row>
    <row r="227" s="27" customFormat="1" spans="1:78">
      <c r="A227" s="28"/>
      <c r="B227" s="28"/>
      <c r="C227" s="29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30"/>
      <c r="AQ227" s="30"/>
      <c r="AR227" s="30"/>
      <c r="AS227" s="30"/>
      <c r="AT227" s="28"/>
      <c r="AU227" s="28"/>
      <c r="AV227" s="28"/>
      <c r="AW227" s="30"/>
      <c r="AX227" s="28"/>
      <c r="AY227" s="28"/>
      <c r="AZ227" s="28"/>
      <c r="BA227" s="28"/>
      <c r="BB227" s="28"/>
      <c r="BC227" s="28"/>
      <c r="BD227" s="28"/>
      <c r="BE227" s="28"/>
      <c r="BF227" s="28"/>
      <c r="BG227" s="30"/>
      <c r="BH227" s="28"/>
      <c r="BI227" s="28"/>
      <c r="BJ227" s="28"/>
      <c r="BK227" s="28"/>
      <c r="BL227" s="28"/>
      <c r="BM227" s="28"/>
      <c r="BN227" s="28"/>
      <c r="BO227" s="28"/>
      <c r="BP227" s="28"/>
      <c r="BQ227" s="28"/>
      <c r="BR227" s="29"/>
      <c r="BS227" s="29"/>
      <c r="BT227" s="29"/>
      <c r="BU227" s="28"/>
      <c r="BV227" s="29"/>
      <c r="BW227" s="28"/>
      <c r="BX227" s="28"/>
      <c r="BY227" s="28"/>
      <c r="BZ227" s="28"/>
    </row>
    <row r="228" s="27" customFormat="1" spans="1:78">
      <c r="A228" s="28"/>
      <c r="B228" s="28"/>
      <c r="C228" s="29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30"/>
      <c r="AQ228" s="30"/>
      <c r="AR228" s="30"/>
      <c r="AS228" s="30"/>
      <c r="AT228" s="28"/>
      <c r="AU228" s="28"/>
      <c r="AV228" s="28"/>
      <c r="AW228" s="30"/>
      <c r="AX228" s="28"/>
      <c r="AY228" s="28"/>
      <c r="AZ228" s="28"/>
      <c r="BA228" s="28"/>
      <c r="BB228" s="28"/>
      <c r="BC228" s="28"/>
      <c r="BD228" s="28"/>
      <c r="BE228" s="28"/>
      <c r="BF228" s="28"/>
      <c r="BG228" s="30"/>
      <c r="BH228" s="28"/>
      <c r="BI228" s="28"/>
      <c r="BJ228" s="28"/>
      <c r="BK228" s="28"/>
      <c r="BL228" s="28"/>
      <c r="BM228" s="28"/>
      <c r="BN228" s="28"/>
      <c r="BO228" s="28"/>
      <c r="BP228" s="28"/>
      <c r="BQ228" s="28"/>
      <c r="BR228" s="29"/>
      <c r="BS228" s="29"/>
      <c r="BT228" s="29"/>
      <c r="BU228" s="29"/>
      <c r="BV228" s="29"/>
      <c r="BW228" s="28"/>
      <c r="BX228" s="28"/>
      <c r="BY228" s="28"/>
      <c r="BZ228" s="28"/>
    </row>
    <row r="229" s="27" customFormat="1" spans="1:78">
      <c r="A229" s="28"/>
      <c r="B229" s="28"/>
      <c r="C229" s="29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30"/>
      <c r="AQ229" s="30"/>
      <c r="AR229" s="30"/>
      <c r="AS229" s="30"/>
      <c r="AT229" s="28"/>
      <c r="AU229" s="28"/>
      <c r="AV229" s="28"/>
      <c r="AW229" s="30"/>
      <c r="AX229" s="28"/>
      <c r="AY229" s="28"/>
      <c r="AZ229" s="28"/>
      <c r="BA229" s="28"/>
      <c r="BB229" s="28"/>
      <c r="BC229" s="28"/>
      <c r="BD229" s="28"/>
      <c r="BE229" s="28"/>
      <c r="BF229" s="28"/>
      <c r="BG229" s="30"/>
      <c r="BH229" s="28"/>
      <c r="BI229" s="28"/>
      <c r="BJ229" s="28"/>
      <c r="BK229" s="28"/>
      <c r="BL229" s="28"/>
      <c r="BM229" s="28"/>
      <c r="BN229" s="28"/>
      <c r="BO229" s="28"/>
      <c r="BP229" s="28"/>
      <c r="BQ229" s="28"/>
      <c r="BR229" s="29"/>
      <c r="BS229" s="29"/>
      <c r="BT229" s="29"/>
      <c r="BU229" s="29"/>
      <c r="BV229" s="29"/>
      <c r="BW229" s="29"/>
      <c r="BX229" s="28"/>
      <c r="BY229" s="28"/>
      <c r="BZ229" s="28"/>
    </row>
    <row r="230" s="27" customFormat="1" spans="1:78">
      <c r="A230" s="28"/>
      <c r="B230" s="28"/>
      <c r="C230" s="29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30"/>
      <c r="AQ230" s="30"/>
      <c r="AR230" s="30"/>
      <c r="AS230" s="30"/>
      <c r="AT230" s="28"/>
      <c r="AU230" s="28"/>
      <c r="AV230" s="28"/>
      <c r="AW230" s="30"/>
      <c r="AX230" s="28"/>
      <c r="AY230" s="28"/>
      <c r="AZ230" s="28"/>
      <c r="BA230" s="28"/>
      <c r="BB230" s="28"/>
      <c r="BC230" s="28"/>
      <c r="BD230" s="28"/>
      <c r="BE230" s="28"/>
      <c r="BF230" s="28"/>
      <c r="BG230" s="30"/>
      <c r="BH230" s="28"/>
      <c r="BI230" s="28"/>
      <c r="BJ230" s="28"/>
      <c r="BK230" s="28"/>
      <c r="BL230" s="28"/>
      <c r="BM230" s="28"/>
      <c r="BN230" s="28"/>
      <c r="BO230" s="28"/>
      <c r="BP230" s="28"/>
      <c r="BQ230" s="28"/>
      <c r="BR230" s="29"/>
      <c r="BS230" s="29"/>
      <c r="BT230" s="29"/>
      <c r="BU230" s="28"/>
      <c r="BV230" s="29"/>
      <c r="BW230" s="28"/>
      <c r="BX230" s="28"/>
      <c r="BY230" s="28"/>
      <c r="BZ230" s="28"/>
    </row>
    <row r="231" s="27" customFormat="1" spans="1:78">
      <c r="A231" s="28"/>
      <c r="B231" s="28"/>
      <c r="C231" s="29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30"/>
      <c r="AQ231" s="30"/>
      <c r="AR231" s="30"/>
      <c r="AS231" s="30"/>
      <c r="AT231" s="28"/>
      <c r="AU231" s="28"/>
      <c r="AV231" s="28"/>
      <c r="AW231" s="30"/>
      <c r="AX231" s="28"/>
      <c r="AY231" s="28"/>
      <c r="AZ231" s="28"/>
      <c r="BA231" s="28"/>
      <c r="BB231" s="28"/>
      <c r="BC231" s="28"/>
      <c r="BD231" s="28"/>
      <c r="BE231" s="28"/>
      <c r="BF231" s="28"/>
      <c r="BG231" s="30"/>
      <c r="BH231" s="28"/>
      <c r="BI231" s="28"/>
      <c r="BJ231" s="28"/>
      <c r="BK231" s="28"/>
      <c r="BL231" s="28"/>
      <c r="BM231" s="28"/>
      <c r="BN231" s="28"/>
      <c r="BO231" s="28"/>
      <c r="BP231" s="28"/>
      <c r="BQ231" s="28"/>
      <c r="BR231" s="29"/>
      <c r="BS231" s="29"/>
      <c r="BT231" s="29"/>
      <c r="BU231" s="29"/>
      <c r="BV231" s="29"/>
      <c r="BW231" s="28"/>
      <c r="BX231" s="28"/>
      <c r="BY231" s="28"/>
      <c r="BZ231" s="28"/>
    </row>
    <row r="232" s="27" customFormat="1" spans="1:78">
      <c r="A232" s="28"/>
      <c r="B232" s="28"/>
      <c r="C232" s="29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30"/>
      <c r="AQ232" s="30"/>
      <c r="AR232" s="30"/>
      <c r="AS232" s="30"/>
      <c r="AT232" s="28"/>
      <c r="AU232" s="28"/>
      <c r="AV232" s="28"/>
      <c r="AW232" s="30"/>
      <c r="AX232" s="28"/>
      <c r="AY232" s="28"/>
      <c r="AZ232" s="28"/>
      <c r="BA232" s="28"/>
      <c r="BB232" s="28"/>
      <c r="BC232" s="28"/>
      <c r="BD232" s="28"/>
      <c r="BE232" s="28"/>
      <c r="BF232" s="28"/>
      <c r="BG232" s="30"/>
      <c r="BH232" s="28"/>
      <c r="BI232" s="28"/>
      <c r="BJ232" s="28"/>
      <c r="BK232" s="28"/>
      <c r="BL232" s="28"/>
      <c r="BM232" s="28"/>
      <c r="BN232" s="28"/>
      <c r="BO232" s="28"/>
      <c r="BP232" s="28"/>
      <c r="BQ232" s="28"/>
      <c r="BR232" s="29"/>
      <c r="BS232" s="28"/>
      <c r="BT232" s="28"/>
      <c r="BU232" s="28"/>
      <c r="BV232" s="29"/>
      <c r="BW232" s="28"/>
      <c r="BX232" s="28"/>
      <c r="BY232" s="28"/>
      <c r="BZ232" s="28"/>
    </row>
    <row r="233" s="27" customFormat="1" spans="1:78">
      <c r="A233" s="28"/>
      <c r="B233" s="28"/>
      <c r="C233" s="29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30"/>
      <c r="AQ233" s="30"/>
      <c r="AR233" s="30"/>
      <c r="AS233" s="30"/>
      <c r="AT233" s="28"/>
      <c r="AU233" s="28"/>
      <c r="AV233" s="28"/>
      <c r="AW233" s="30"/>
      <c r="AX233" s="28"/>
      <c r="AY233" s="28"/>
      <c r="AZ233" s="28"/>
      <c r="BA233" s="28"/>
      <c r="BB233" s="28"/>
      <c r="BC233" s="28"/>
      <c r="BD233" s="28"/>
      <c r="BE233" s="28"/>
      <c r="BF233" s="28"/>
      <c r="BG233" s="30"/>
      <c r="BH233" s="28"/>
      <c r="BI233" s="28"/>
      <c r="BJ233" s="28"/>
      <c r="BK233" s="28"/>
      <c r="BL233" s="28"/>
      <c r="BM233" s="28"/>
      <c r="BN233" s="28"/>
      <c r="BO233" s="28"/>
      <c r="BP233" s="28"/>
      <c r="BQ233" s="28"/>
      <c r="BR233" s="29"/>
      <c r="BS233" s="29"/>
      <c r="BT233" s="29"/>
      <c r="BU233" s="29"/>
      <c r="BV233" s="29"/>
      <c r="BW233" s="29"/>
      <c r="BX233" s="28"/>
      <c r="BY233" s="28"/>
      <c r="BZ233" s="28"/>
    </row>
    <row r="234" s="27" customFormat="1" spans="1:78">
      <c r="A234" s="28"/>
      <c r="B234" s="28"/>
      <c r="C234" s="29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30"/>
      <c r="AQ234" s="30"/>
      <c r="AR234" s="30"/>
      <c r="AS234" s="30"/>
      <c r="AT234" s="28"/>
      <c r="AU234" s="28"/>
      <c r="AV234" s="28"/>
      <c r="AW234" s="30"/>
      <c r="AX234" s="28"/>
      <c r="AY234" s="28"/>
      <c r="AZ234" s="28"/>
      <c r="BA234" s="28"/>
      <c r="BB234" s="28"/>
      <c r="BC234" s="28"/>
      <c r="BD234" s="28"/>
      <c r="BE234" s="28"/>
      <c r="BF234" s="28"/>
      <c r="BG234" s="30"/>
      <c r="BH234" s="28"/>
      <c r="BI234" s="28"/>
      <c r="BJ234" s="28"/>
      <c r="BK234" s="28"/>
      <c r="BL234" s="28"/>
      <c r="BM234" s="28"/>
      <c r="BN234" s="28"/>
      <c r="BO234" s="28"/>
      <c r="BP234" s="28"/>
      <c r="BQ234" s="28"/>
      <c r="BR234" s="29"/>
      <c r="BS234" s="29"/>
      <c r="BT234" s="29"/>
      <c r="BU234" s="29"/>
      <c r="BV234" s="29"/>
      <c r="BW234" s="28"/>
      <c r="BX234" s="28"/>
      <c r="BY234" s="28"/>
      <c r="BZ234" s="28"/>
    </row>
    <row r="235" s="27" customFormat="1" spans="1:78">
      <c r="A235" s="28"/>
      <c r="B235" s="28"/>
      <c r="C235" s="29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30"/>
      <c r="AQ235" s="30"/>
      <c r="AR235" s="30"/>
      <c r="AS235" s="30"/>
      <c r="AT235" s="28"/>
      <c r="AU235" s="28"/>
      <c r="AV235" s="28"/>
      <c r="AW235" s="30"/>
      <c r="AX235" s="28"/>
      <c r="AY235" s="28"/>
      <c r="AZ235" s="28"/>
      <c r="BA235" s="28"/>
      <c r="BB235" s="28"/>
      <c r="BC235" s="28"/>
      <c r="BD235" s="28"/>
      <c r="BE235" s="28"/>
      <c r="BF235" s="28"/>
      <c r="BG235" s="30"/>
      <c r="BH235" s="28"/>
      <c r="BI235" s="28"/>
      <c r="BJ235" s="28"/>
      <c r="BK235" s="28"/>
      <c r="BL235" s="28"/>
      <c r="BM235" s="28"/>
      <c r="BN235" s="28"/>
      <c r="BO235" s="28"/>
      <c r="BP235" s="28"/>
      <c r="BQ235" s="28"/>
      <c r="BR235" s="29"/>
      <c r="BS235" s="29"/>
      <c r="BT235" s="29"/>
      <c r="BU235" s="28"/>
      <c r="BV235" s="29"/>
      <c r="BW235" s="28"/>
      <c r="BX235" s="28"/>
      <c r="BY235" s="28"/>
      <c r="BZ235" s="28"/>
    </row>
    <row r="236" s="27" customFormat="1" spans="1:78">
      <c r="A236" s="28"/>
      <c r="B236" s="28"/>
      <c r="C236" s="29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30"/>
      <c r="AQ236" s="30"/>
      <c r="AR236" s="30"/>
      <c r="AS236" s="30"/>
      <c r="AT236" s="28"/>
      <c r="AU236" s="28"/>
      <c r="AV236" s="28"/>
      <c r="AW236" s="30"/>
      <c r="AX236" s="28"/>
      <c r="AY236" s="28"/>
      <c r="AZ236" s="28"/>
      <c r="BA236" s="28"/>
      <c r="BB236" s="28"/>
      <c r="BC236" s="28"/>
      <c r="BD236" s="28"/>
      <c r="BE236" s="28"/>
      <c r="BF236" s="28"/>
      <c r="BG236" s="30"/>
      <c r="BH236" s="28"/>
      <c r="BI236" s="28"/>
      <c r="BJ236" s="28"/>
      <c r="BK236" s="28"/>
      <c r="BL236" s="28"/>
      <c r="BM236" s="28"/>
      <c r="BN236" s="28"/>
      <c r="BO236" s="28"/>
      <c r="BP236" s="28"/>
      <c r="BQ236" s="28"/>
      <c r="BR236" s="29"/>
      <c r="BS236" s="29"/>
      <c r="BT236" s="29"/>
      <c r="BU236" s="28"/>
      <c r="BV236" s="29"/>
      <c r="BW236" s="28"/>
      <c r="BX236" s="28"/>
      <c r="BY236" s="28"/>
      <c r="BZ236" s="28"/>
    </row>
    <row r="237" s="27" customFormat="1" spans="1:78">
      <c r="A237" s="28"/>
      <c r="B237" s="28"/>
      <c r="C237" s="29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30"/>
      <c r="AQ237" s="30"/>
      <c r="AR237" s="30"/>
      <c r="AS237" s="30"/>
      <c r="AT237" s="28"/>
      <c r="AU237" s="28"/>
      <c r="AV237" s="28"/>
      <c r="AW237" s="30"/>
      <c r="AX237" s="28"/>
      <c r="AY237" s="28"/>
      <c r="AZ237" s="28"/>
      <c r="BA237" s="28"/>
      <c r="BB237" s="28"/>
      <c r="BC237" s="28"/>
      <c r="BD237" s="28"/>
      <c r="BE237" s="28"/>
      <c r="BF237" s="28"/>
      <c r="BG237" s="30"/>
      <c r="BH237" s="28"/>
      <c r="BI237" s="28"/>
      <c r="BJ237" s="28"/>
      <c r="BK237" s="28"/>
      <c r="BL237" s="28"/>
      <c r="BM237" s="28"/>
      <c r="BN237" s="28"/>
      <c r="BO237" s="28"/>
      <c r="BP237" s="28"/>
      <c r="BQ237" s="28"/>
      <c r="BR237" s="29"/>
      <c r="BS237" s="29"/>
      <c r="BT237" s="29"/>
      <c r="BU237" s="29"/>
      <c r="BV237" s="29"/>
      <c r="BW237" s="29"/>
      <c r="BX237" s="28"/>
      <c r="BY237" s="28"/>
      <c r="BZ237" s="28"/>
    </row>
    <row r="238" s="27" customFormat="1" spans="1:78">
      <c r="A238" s="28"/>
      <c r="B238" s="28"/>
      <c r="C238" s="29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30"/>
      <c r="AQ238" s="30"/>
      <c r="AR238" s="30"/>
      <c r="AS238" s="30"/>
      <c r="AT238" s="28"/>
      <c r="AU238" s="28"/>
      <c r="AV238" s="28"/>
      <c r="AW238" s="30"/>
      <c r="AX238" s="28"/>
      <c r="AY238" s="28"/>
      <c r="AZ238" s="28"/>
      <c r="BA238" s="28"/>
      <c r="BB238" s="28"/>
      <c r="BC238" s="28"/>
      <c r="BD238" s="28"/>
      <c r="BE238" s="28"/>
      <c r="BF238" s="28"/>
      <c r="BG238" s="30"/>
      <c r="BH238" s="28"/>
      <c r="BI238" s="28"/>
      <c r="BJ238" s="28"/>
      <c r="BK238" s="28"/>
      <c r="BL238" s="28"/>
      <c r="BM238" s="28"/>
      <c r="BN238" s="28"/>
      <c r="BO238" s="28"/>
      <c r="BP238" s="28"/>
      <c r="BQ238" s="28"/>
      <c r="BR238" s="29"/>
      <c r="BS238" s="29"/>
      <c r="BT238" s="29"/>
      <c r="BU238" s="28"/>
      <c r="BV238" s="29"/>
      <c r="BW238" s="28"/>
      <c r="BX238" s="28"/>
      <c r="BY238" s="28"/>
      <c r="BZ238" s="28"/>
    </row>
    <row r="239" s="27" customFormat="1" spans="1:78">
      <c r="A239" s="28"/>
      <c r="B239" s="28"/>
      <c r="C239" s="29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30"/>
      <c r="AQ239" s="30"/>
      <c r="AR239" s="30"/>
      <c r="AS239" s="30"/>
      <c r="AT239" s="28"/>
      <c r="AU239" s="28"/>
      <c r="AV239" s="28"/>
      <c r="AW239" s="30"/>
      <c r="AX239" s="28"/>
      <c r="AY239" s="28"/>
      <c r="AZ239" s="28"/>
      <c r="BA239" s="28"/>
      <c r="BB239" s="28"/>
      <c r="BC239" s="28"/>
      <c r="BD239" s="28"/>
      <c r="BE239" s="28"/>
      <c r="BF239" s="28"/>
      <c r="BG239" s="30"/>
      <c r="BH239" s="28"/>
      <c r="BI239" s="28"/>
      <c r="BJ239" s="28"/>
      <c r="BK239" s="28"/>
      <c r="BL239" s="28"/>
      <c r="BM239" s="28"/>
      <c r="BN239" s="28"/>
      <c r="BO239" s="28"/>
      <c r="BP239" s="28"/>
      <c r="BQ239" s="28"/>
      <c r="BR239" s="29"/>
      <c r="BS239" s="29"/>
      <c r="BT239" s="29"/>
      <c r="BU239" s="29"/>
      <c r="BV239" s="29"/>
      <c r="BW239" s="29"/>
      <c r="BX239" s="28"/>
      <c r="BY239" s="28"/>
      <c r="BZ239" s="28"/>
    </row>
    <row r="240" s="27" customFormat="1" spans="1:78">
      <c r="A240" s="28"/>
      <c r="B240" s="28"/>
      <c r="C240" s="29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30"/>
      <c r="AQ240" s="30"/>
      <c r="AR240" s="30"/>
      <c r="AS240" s="30"/>
      <c r="AT240" s="28"/>
      <c r="AU240" s="28"/>
      <c r="AV240" s="28"/>
      <c r="AW240" s="30"/>
      <c r="AX240" s="28"/>
      <c r="AY240" s="28"/>
      <c r="AZ240" s="28"/>
      <c r="BA240" s="28"/>
      <c r="BB240" s="28"/>
      <c r="BC240" s="28"/>
      <c r="BD240" s="28"/>
      <c r="BE240" s="28"/>
      <c r="BF240" s="28"/>
      <c r="BG240" s="30"/>
      <c r="BH240" s="28"/>
      <c r="BI240" s="28"/>
      <c r="BJ240" s="28"/>
      <c r="BK240" s="28"/>
      <c r="BL240" s="28"/>
      <c r="BM240" s="28"/>
      <c r="BN240" s="28"/>
      <c r="BO240" s="28"/>
      <c r="BP240" s="28"/>
      <c r="BQ240" s="28"/>
      <c r="BR240" s="29"/>
      <c r="BS240" s="29"/>
      <c r="BT240" s="29"/>
      <c r="BU240" s="29"/>
      <c r="BV240" s="29"/>
      <c r="BW240" s="29"/>
      <c r="BX240" s="28"/>
      <c r="BY240" s="28"/>
      <c r="BZ240" s="28"/>
    </row>
    <row r="241" s="27" customFormat="1" spans="1:78">
      <c r="A241" s="28"/>
      <c r="B241" s="28"/>
      <c r="C241" s="29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30"/>
      <c r="AQ241" s="30"/>
      <c r="AR241" s="30"/>
      <c r="AS241" s="30"/>
      <c r="AT241" s="28"/>
      <c r="AU241" s="28"/>
      <c r="AV241" s="28"/>
      <c r="AW241" s="30"/>
      <c r="AX241" s="28"/>
      <c r="AY241" s="28"/>
      <c r="AZ241" s="28"/>
      <c r="BA241" s="28"/>
      <c r="BB241" s="28"/>
      <c r="BC241" s="28"/>
      <c r="BD241" s="28"/>
      <c r="BE241" s="28"/>
      <c r="BF241" s="28"/>
      <c r="BG241" s="30"/>
      <c r="BH241" s="28"/>
      <c r="BI241" s="28"/>
      <c r="BJ241" s="28"/>
      <c r="BK241" s="28"/>
      <c r="BL241" s="28"/>
      <c r="BM241" s="28"/>
      <c r="BN241" s="28"/>
      <c r="BO241" s="28"/>
      <c r="BP241" s="28"/>
      <c r="BQ241" s="28"/>
      <c r="BR241" s="29"/>
      <c r="BS241" s="29"/>
      <c r="BT241" s="29"/>
      <c r="BU241" s="29"/>
      <c r="BV241" s="29"/>
      <c r="BW241" s="29"/>
      <c r="BX241" s="28"/>
      <c r="BY241" s="28"/>
      <c r="BZ241" s="28"/>
    </row>
    <row r="242" s="27" customFormat="1" spans="1:78">
      <c r="A242" s="28"/>
      <c r="B242" s="28"/>
      <c r="C242" s="29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30"/>
      <c r="AQ242" s="30"/>
      <c r="AR242" s="30"/>
      <c r="AS242" s="30"/>
      <c r="AT242" s="28"/>
      <c r="AU242" s="28"/>
      <c r="AV242" s="28"/>
      <c r="AW242" s="30"/>
      <c r="AX242" s="28"/>
      <c r="AY242" s="28"/>
      <c r="AZ242" s="28"/>
      <c r="BA242" s="28"/>
      <c r="BB242" s="28"/>
      <c r="BC242" s="28"/>
      <c r="BD242" s="28"/>
      <c r="BE242" s="28"/>
      <c r="BF242" s="28"/>
      <c r="BG242" s="30"/>
      <c r="BH242" s="28"/>
      <c r="BI242" s="28"/>
      <c r="BJ242" s="28"/>
      <c r="BK242" s="28"/>
      <c r="BL242" s="28"/>
      <c r="BM242" s="28"/>
      <c r="BN242" s="28"/>
      <c r="BO242" s="28"/>
      <c r="BP242" s="28"/>
      <c r="BQ242" s="28"/>
      <c r="BR242" s="29"/>
      <c r="BS242" s="29"/>
      <c r="BT242" s="29"/>
      <c r="BU242" s="29"/>
      <c r="BV242" s="29"/>
      <c r="BW242" s="29"/>
      <c r="BX242" s="28"/>
      <c r="BY242" s="28"/>
      <c r="BZ242" s="28"/>
    </row>
    <row r="243" s="27" customFormat="1" spans="1:78">
      <c r="A243" s="28"/>
      <c r="B243" s="28"/>
      <c r="C243" s="29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30"/>
      <c r="AQ243" s="30"/>
      <c r="AR243" s="30"/>
      <c r="AS243" s="30"/>
      <c r="AT243" s="28"/>
      <c r="AU243" s="28"/>
      <c r="AV243" s="28"/>
      <c r="AW243" s="30"/>
      <c r="AX243" s="28"/>
      <c r="AY243" s="28"/>
      <c r="AZ243" s="28"/>
      <c r="BA243" s="28"/>
      <c r="BB243" s="28"/>
      <c r="BC243" s="28"/>
      <c r="BD243" s="28"/>
      <c r="BE243" s="28"/>
      <c r="BF243" s="28"/>
      <c r="BG243" s="30"/>
      <c r="BH243" s="28"/>
      <c r="BI243" s="28"/>
      <c r="BJ243" s="28"/>
      <c r="BK243" s="28"/>
      <c r="BL243" s="28"/>
      <c r="BM243" s="28"/>
      <c r="BN243" s="28"/>
      <c r="BO243" s="28"/>
      <c r="BP243" s="28"/>
      <c r="BQ243" s="28"/>
      <c r="BR243" s="29"/>
      <c r="BS243" s="29"/>
      <c r="BT243" s="28"/>
      <c r="BU243" s="28"/>
      <c r="BV243" s="29"/>
      <c r="BW243" s="28"/>
      <c r="BX243" s="28"/>
      <c r="BY243" s="28"/>
      <c r="BZ243" s="28"/>
    </row>
    <row r="244" s="27" customFormat="1" spans="1:78">
      <c r="A244" s="28"/>
      <c r="B244" s="28"/>
      <c r="C244" s="29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30"/>
      <c r="AQ244" s="30"/>
      <c r="AR244" s="30"/>
      <c r="AS244" s="30"/>
      <c r="AT244" s="28"/>
      <c r="AU244" s="28"/>
      <c r="AV244" s="28"/>
      <c r="AW244" s="30"/>
      <c r="AX244" s="28"/>
      <c r="AY244" s="28"/>
      <c r="AZ244" s="28"/>
      <c r="BA244" s="28"/>
      <c r="BB244" s="28"/>
      <c r="BC244" s="28"/>
      <c r="BD244" s="28"/>
      <c r="BE244" s="28"/>
      <c r="BF244" s="28"/>
      <c r="BG244" s="30"/>
      <c r="BH244" s="28"/>
      <c r="BI244" s="28"/>
      <c r="BJ244" s="28"/>
      <c r="BK244" s="28"/>
      <c r="BL244" s="28"/>
      <c r="BM244" s="28"/>
      <c r="BN244" s="28"/>
      <c r="BO244" s="28"/>
      <c r="BP244" s="28"/>
      <c r="BQ244" s="28"/>
      <c r="BR244" s="29"/>
      <c r="BS244" s="29"/>
      <c r="BT244" s="29"/>
      <c r="BU244" s="28"/>
      <c r="BV244" s="29"/>
      <c r="BW244" s="28"/>
      <c r="BX244" s="28"/>
      <c r="BY244" s="28"/>
      <c r="BZ244" s="28"/>
    </row>
    <row r="245" s="27" customFormat="1" spans="1:78">
      <c r="A245" s="28"/>
      <c r="B245" s="28"/>
      <c r="C245" s="29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30"/>
      <c r="AQ245" s="30"/>
      <c r="AR245" s="30"/>
      <c r="AS245" s="30"/>
      <c r="AT245" s="28"/>
      <c r="AU245" s="28"/>
      <c r="AV245" s="28"/>
      <c r="AW245" s="30"/>
      <c r="AX245" s="28"/>
      <c r="AY245" s="28"/>
      <c r="AZ245" s="28"/>
      <c r="BA245" s="28"/>
      <c r="BB245" s="28"/>
      <c r="BC245" s="28"/>
      <c r="BD245" s="28"/>
      <c r="BE245" s="28"/>
      <c r="BF245" s="28"/>
      <c r="BG245" s="30"/>
      <c r="BH245" s="28"/>
      <c r="BI245" s="28"/>
      <c r="BJ245" s="28"/>
      <c r="BK245" s="28"/>
      <c r="BL245" s="28"/>
      <c r="BM245" s="28"/>
      <c r="BN245" s="28"/>
      <c r="BO245" s="28"/>
      <c r="BP245" s="28"/>
      <c r="BQ245" s="28"/>
      <c r="BR245" s="29"/>
      <c r="BS245" s="29"/>
      <c r="BT245" s="29"/>
      <c r="BU245" s="28"/>
      <c r="BV245" s="29"/>
      <c r="BW245" s="28"/>
      <c r="BX245" s="28"/>
      <c r="BY245" s="28"/>
      <c r="BZ245" s="28"/>
    </row>
    <row r="246" s="27" customFormat="1" spans="1:78">
      <c r="A246" s="28"/>
      <c r="B246" s="28"/>
      <c r="C246" s="29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30"/>
      <c r="AQ246" s="30"/>
      <c r="AR246" s="30"/>
      <c r="AS246" s="30"/>
      <c r="AT246" s="28"/>
      <c r="AU246" s="28"/>
      <c r="AV246" s="28"/>
      <c r="AW246" s="30"/>
      <c r="AX246" s="28"/>
      <c r="AY246" s="28"/>
      <c r="AZ246" s="28"/>
      <c r="BA246" s="28"/>
      <c r="BB246" s="28"/>
      <c r="BC246" s="28"/>
      <c r="BD246" s="28"/>
      <c r="BE246" s="28"/>
      <c r="BF246" s="28"/>
      <c r="BG246" s="30"/>
      <c r="BH246" s="28"/>
      <c r="BI246" s="28"/>
      <c r="BJ246" s="28"/>
      <c r="BK246" s="28"/>
      <c r="BL246" s="28"/>
      <c r="BM246" s="28"/>
      <c r="BN246" s="28"/>
      <c r="BO246" s="28"/>
      <c r="BP246" s="28"/>
      <c r="BQ246" s="28"/>
      <c r="BR246" s="29"/>
      <c r="BS246" s="29"/>
      <c r="BT246" s="29"/>
      <c r="BU246" s="28"/>
      <c r="BV246" s="29"/>
      <c r="BW246" s="28"/>
      <c r="BX246" s="28"/>
      <c r="BY246" s="28"/>
      <c r="BZ246" s="28"/>
    </row>
    <row r="247" s="27" customFormat="1" spans="1:78">
      <c r="A247" s="28"/>
      <c r="B247" s="28"/>
      <c r="C247" s="29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30"/>
      <c r="AQ247" s="30"/>
      <c r="AR247" s="30"/>
      <c r="AS247" s="30"/>
      <c r="AT247" s="28"/>
      <c r="AU247" s="28"/>
      <c r="AV247" s="28"/>
      <c r="AW247" s="30"/>
      <c r="AX247" s="28"/>
      <c r="AY247" s="28"/>
      <c r="AZ247" s="28"/>
      <c r="BA247" s="28"/>
      <c r="BB247" s="28"/>
      <c r="BC247" s="28"/>
      <c r="BD247" s="28"/>
      <c r="BE247" s="28"/>
      <c r="BF247" s="28"/>
      <c r="BG247" s="30"/>
      <c r="BH247" s="28"/>
      <c r="BI247" s="28"/>
      <c r="BJ247" s="28"/>
      <c r="BK247" s="28"/>
      <c r="BL247" s="28"/>
      <c r="BM247" s="28"/>
      <c r="BN247" s="28"/>
      <c r="BO247" s="28"/>
      <c r="BP247" s="28"/>
      <c r="BQ247" s="28"/>
      <c r="BR247" s="29"/>
      <c r="BS247" s="29"/>
      <c r="BT247" s="29"/>
      <c r="BU247" s="29"/>
      <c r="BV247" s="29"/>
      <c r="BW247" s="29"/>
      <c r="BX247" s="28"/>
      <c r="BY247" s="28"/>
      <c r="BZ247" s="28"/>
    </row>
    <row r="248" s="27" customFormat="1" spans="1:78">
      <c r="A248" s="28"/>
      <c r="B248" s="28"/>
      <c r="C248" s="29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30"/>
      <c r="AQ248" s="30"/>
      <c r="AR248" s="30"/>
      <c r="AS248" s="30"/>
      <c r="AT248" s="28"/>
      <c r="AU248" s="28"/>
      <c r="AV248" s="28"/>
      <c r="AW248" s="30"/>
      <c r="AX248" s="28"/>
      <c r="AY248" s="28"/>
      <c r="AZ248" s="28"/>
      <c r="BA248" s="28"/>
      <c r="BB248" s="28"/>
      <c r="BC248" s="28"/>
      <c r="BD248" s="28"/>
      <c r="BE248" s="28"/>
      <c r="BF248" s="28"/>
      <c r="BG248" s="30"/>
      <c r="BH248" s="28"/>
      <c r="BI248" s="28"/>
      <c r="BJ248" s="28"/>
      <c r="BK248" s="28"/>
      <c r="BL248" s="28"/>
      <c r="BM248" s="28"/>
      <c r="BN248" s="28"/>
      <c r="BO248" s="28"/>
      <c r="BP248" s="28"/>
      <c r="BQ248" s="28"/>
      <c r="BR248" s="29"/>
      <c r="BS248" s="29"/>
      <c r="BT248" s="29"/>
      <c r="BU248" s="29"/>
      <c r="BV248" s="29"/>
      <c r="BW248" s="28"/>
      <c r="BX248" s="28"/>
      <c r="BY248" s="28"/>
      <c r="BZ248" s="28"/>
    </row>
    <row r="249" s="27" customFormat="1" spans="1:78">
      <c r="A249" s="28"/>
      <c r="B249" s="28"/>
      <c r="C249" s="29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30"/>
      <c r="AQ249" s="30"/>
      <c r="AR249" s="30"/>
      <c r="AS249" s="30"/>
      <c r="AT249" s="28"/>
      <c r="AU249" s="28"/>
      <c r="AV249" s="28"/>
      <c r="AW249" s="30"/>
      <c r="AX249" s="28"/>
      <c r="AY249" s="28"/>
      <c r="AZ249" s="28"/>
      <c r="BA249" s="28"/>
      <c r="BB249" s="28"/>
      <c r="BC249" s="28"/>
      <c r="BD249" s="28"/>
      <c r="BE249" s="28"/>
      <c r="BF249" s="28"/>
      <c r="BG249" s="30"/>
      <c r="BH249" s="28"/>
      <c r="BI249" s="28"/>
      <c r="BJ249" s="28"/>
      <c r="BK249" s="28"/>
      <c r="BL249" s="28"/>
      <c r="BM249" s="28"/>
      <c r="BN249" s="28"/>
      <c r="BO249" s="28"/>
      <c r="BP249" s="28"/>
      <c r="BQ249" s="28"/>
      <c r="BR249" s="29"/>
      <c r="BS249" s="29"/>
      <c r="BT249" s="29"/>
      <c r="BU249" s="29"/>
      <c r="BV249" s="29"/>
      <c r="BW249" s="29"/>
      <c r="BX249" s="28"/>
      <c r="BY249" s="28"/>
      <c r="BZ249" s="28"/>
    </row>
    <row r="250" s="27" customFormat="1" spans="1:78">
      <c r="A250" s="28"/>
      <c r="B250" s="28"/>
      <c r="C250" s="29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30"/>
      <c r="AQ250" s="30"/>
      <c r="AR250" s="30"/>
      <c r="AS250" s="30"/>
      <c r="AT250" s="28"/>
      <c r="AU250" s="28"/>
      <c r="AV250" s="28"/>
      <c r="AW250" s="30"/>
      <c r="AX250" s="28"/>
      <c r="AY250" s="28"/>
      <c r="AZ250" s="28"/>
      <c r="BA250" s="28"/>
      <c r="BB250" s="28"/>
      <c r="BC250" s="28"/>
      <c r="BD250" s="28"/>
      <c r="BE250" s="28"/>
      <c r="BF250" s="28"/>
      <c r="BG250" s="30"/>
      <c r="BH250" s="28"/>
      <c r="BI250" s="28"/>
      <c r="BJ250" s="28"/>
      <c r="BK250" s="28"/>
      <c r="BL250" s="28"/>
      <c r="BM250" s="28"/>
      <c r="BN250" s="28"/>
      <c r="BO250" s="28"/>
      <c r="BP250" s="28"/>
      <c r="BQ250" s="28"/>
      <c r="BR250" s="29"/>
      <c r="BS250" s="29"/>
      <c r="BT250" s="29"/>
      <c r="BU250" s="29"/>
      <c r="BV250" s="29"/>
      <c r="BW250" s="28"/>
      <c r="BX250" s="28"/>
      <c r="BY250" s="28"/>
      <c r="BZ250" s="28"/>
    </row>
    <row r="251" s="27" customFormat="1" spans="1:78">
      <c r="A251" s="28"/>
      <c r="B251" s="28"/>
      <c r="C251" s="29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30"/>
      <c r="AQ251" s="30"/>
      <c r="AR251" s="30"/>
      <c r="AS251" s="30"/>
      <c r="AT251" s="28"/>
      <c r="AU251" s="28"/>
      <c r="AV251" s="28"/>
      <c r="AW251" s="30"/>
      <c r="AX251" s="28"/>
      <c r="AY251" s="28"/>
      <c r="AZ251" s="28"/>
      <c r="BA251" s="28"/>
      <c r="BB251" s="28"/>
      <c r="BC251" s="28"/>
      <c r="BD251" s="28"/>
      <c r="BE251" s="28"/>
      <c r="BF251" s="28"/>
      <c r="BG251" s="30"/>
      <c r="BH251" s="28"/>
      <c r="BI251" s="28"/>
      <c r="BJ251" s="28"/>
      <c r="BK251" s="28"/>
      <c r="BL251" s="28"/>
      <c r="BM251" s="28"/>
      <c r="BN251" s="28"/>
      <c r="BO251" s="28"/>
      <c r="BP251" s="28"/>
      <c r="BQ251" s="28"/>
      <c r="BR251" s="29"/>
      <c r="BS251" s="28"/>
      <c r="BT251" s="28"/>
      <c r="BU251" s="28"/>
      <c r="BV251" s="29"/>
      <c r="BW251" s="28"/>
      <c r="BX251" s="28"/>
      <c r="BY251" s="28"/>
      <c r="BZ251" s="28"/>
    </row>
    <row r="252" s="27" customFormat="1" spans="1:78">
      <c r="A252" s="28"/>
      <c r="B252" s="28"/>
      <c r="C252" s="29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30"/>
      <c r="AQ252" s="30"/>
      <c r="AR252" s="30"/>
      <c r="AS252" s="30"/>
      <c r="AT252" s="28"/>
      <c r="AU252" s="28"/>
      <c r="AV252" s="28"/>
      <c r="AW252" s="30"/>
      <c r="AX252" s="28"/>
      <c r="AY252" s="28"/>
      <c r="AZ252" s="28"/>
      <c r="BA252" s="28"/>
      <c r="BB252" s="28"/>
      <c r="BC252" s="28"/>
      <c r="BD252" s="28"/>
      <c r="BE252" s="28"/>
      <c r="BF252" s="28"/>
      <c r="BG252" s="30"/>
      <c r="BH252" s="28"/>
      <c r="BI252" s="28"/>
      <c r="BJ252" s="28"/>
      <c r="BK252" s="28"/>
      <c r="BL252" s="28"/>
      <c r="BM252" s="28"/>
      <c r="BN252" s="28"/>
      <c r="BO252" s="28"/>
      <c r="BP252" s="28"/>
      <c r="BQ252" s="28"/>
      <c r="BR252" s="29"/>
      <c r="BS252" s="29"/>
      <c r="BT252" s="29"/>
      <c r="BU252" s="28"/>
      <c r="BV252" s="29"/>
      <c r="BW252" s="28"/>
      <c r="BX252" s="28"/>
      <c r="BY252" s="28"/>
      <c r="BZ252" s="28"/>
    </row>
    <row r="253" s="27" customFormat="1" spans="1:78">
      <c r="A253" s="28"/>
      <c r="B253" s="28"/>
      <c r="C253" s="29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30"/>
      <c r="AQ253" s="30"/>
      <c r="AR253" s="30"/>
      <c r="AS253" s="30"/>
      <c r="AT253" s="28"/>
      <c r="AU253" s="28"/>
      <c r="AV253" s="28"/>
      <c r="AW253" s="30"/>
      <c r="AX253" s="28"/>
      <c r="AY253" s="28"/>
      <c r="AZ253" s="28"/>
      <c r="BA253" s="28"/>
      <c r="BB253" s="28"/>
      <c r="BC253" s="28"/>
      <c r="BD253" s="28"/>
      <c r="BE253" s="28"/>
      <c r="BF253" s="28"/>
      <c r="BG253" s="30"/>
      <c r="BH253" s="28"/>
      <c r="BI253" s="28"/>
      <c r="BJ253" s="28"/>
      <c r="BK253" s="28"/>
      <c r="BL253" s="28"/>
      <c r="BM253" s="28"/>
      <c r="BN253" s="28"/>
      <c r="BO253" s="28"/>
      <c r="BP253" s="28"/>
      <c r="BQ253" s="28"/>
      <c r="BR253" s="29"/>
      <c r="BS253" s="29"/>
      <c r="BT253" s="29"/>
      <c r="BU253" s="28"/>
      <c r="BV253" s="29"/>
      <c r="BW253" s="28"/>
      <c r="BX253" s="28"/>
      <c r="BY253" s="28"/>
      <c r="BZ253" s="28"/>
    </row>
    <row r="254" s="27" customFormat="1" spans="1:78">
      <c r="A254" s="28"/>
      <c r="B254" s="28"/>
      <c r="C254" s="29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30"/>
      <c r="AQ254" s="30"/>
      <c r="AR254" s="30"/>
      <c r="AS254" s="30"/>
      <c r="AT254" s="28"/>
      <c r="AU254" s="28"/>
      <c r="AV254" s="28"/>
      <c r="AW254" s="30"/>
      <c r="AX254" s="28"/>
      <c r="AY254" s="28"/>
      <c r="AZ254" s="28"/>
      <c r="BA254" s="28"/>
      <c r="BB254" s="28"/>
      <c r="BC254" s="28"/>
      <c r="BD254" s="28"/>
      <c r="BE254" s="28"/>
      <c r="BF254" s="28"/>
      <c r="BG254" s="30"/>
      <c r="BH254" s="28"/>
      <c r="BI254" s="28"/>
      <c r="BJ254" s="28"/>
      <c r="BK254" s="28"/>
      <c r="BL254" s="28"/>
      <c r="BM254" s="28"/>
      <c r="BN254" s="28"/>
      <c r="BO254" s="28"/>
      <c r="BP254" s="28"/>
      <c r="BQ254" s="28"/>
      <c r="BR254" s="29"/>
      <c r="BS254" s="29"/>
      <c r="BT254" s="29"/>
      <c r="BU254" s="29"/>
      <c r="BV254" s="29"/>
      <c r="BW254" s="29"/>
      <c r="BX254" s="28"/>
      <c r="BY254" s="28"/>
      <c r="BZ254" s="28"/>
    </row>
    <row r="255" s="27" customFormat="1" spans="1:78">
      <c r="A255" s="28"/>
      <c r="B255" s="28"/>
      <c r="C255" s="29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30"/>
      <c r="AQ255" s="30"/>
      <c r="AR255" s="30"/>
      <c r="AS255" s="30"/>
      <c r="AT255" s="28"/>
      <c r="AU255" s="28"/>
      <c r="AV255" s="28"/>
      <c r="AW255" s="30"/>
      <c r="AX255" s="28"/>
      <c r="AY255" s="28"/>
      <c r="AZ255" s="28"/>
      <c r="BA255" s="28"/>
      <c r="BB255" s="28"/>
      <c r="BC255" s="28"/>
      <c r="BD255" s="28"/>
      <c r="BE255" s="28"/>
      <c r="BF255" s="28"/>
      <c r="BG255" s="30"/>
      <c r="BH255" s="28"/>
      <c r="BI255" s="28"/>
      <c r="BJ255" s="28"/>
      <c r="BK255" s="28"/>
      <c r="BL255" s="28"/>
      <c r="BM255" s="28"/>
      <c r="BN255" s="28"/>
      <c r="BO255" s="28"/>
      <c r="BP255" s="28"/>
      <c r="BQ255" s="28"/>
      <c r="BR255" s="29"/>
      <c r="BS255" s="29"/>
      <c r="BT255" s="29"/>
      <c r="BU255" s="28"/>
      <c r="BV255" s="29"/>
      <c r="BW255" s="28"/>
      <c r="BX255" s="28"/>
      <c r="BY255" s="28"/>
      <c r="BZ255" s="28"/>
    </row>
    <row r="256" s="27" customFormat="1" spans="1:78">
      <c r="A256" s="28"/>
      <c r="B256" s="28"/>
      <c r="C256" s="29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30"/>
      <c r="AQ256" s="30"/>
      <c r="AR256" s="30"/>
      <c r="AS256" s="30"/>
      <c r="AT256" s="28"/>
      <c r="AU256" s="28"/>
      <c r="AV256" s="28"/>
      <c r="AW256" s="30"/>
      <c r="AX256" s="28"/>
      <c r="AY256" s="28"/>
      <c r="AZ256" s="28"/>
      <c r="BA256" s="28"/>
      <c r="BB256" s="28"/>
      <c r="BC256" s="28"/>
      <c r="BD256" s="28"/>
      <c r="BE256" s="28"/>
      <c r="BF256" s="28"/>
      <c r="BG256" s="30"/>
      <c r="BH256" s="28"/>
      <c r="BI256" s="28"/>
      <c r="BJ256" s="28"/>
      <c r="BK256" s="28"/>
      <c r="BL256" s="28"/>
      <c r="BM256" s="28"/>
      <c r="BN256" s="28"/>
      <c r="BO256" s="28"/>
      <c r="BP256" s="28"/>
      <c r="BQ256" s="28"/>
      <c r="BR256" s="29"/>
      <c r="BS256" s="29"/>
      <c r="BT256" s="29"/>
      <c r="BU256" s="29"/>
      <c r="BV256" s="29"/>
      <c r="BW256" s="29"/>
      <c r="BX256" s="28"/>
      <c r="BY256" s="28"/>
      <c r="BZ256" s="28"/>
    </row>
    <row r="257" s="27" customFormat="1" spans="1:78">
      <c r="A257" s="28"/>
      <c r="B257" s="28"/>
      <c r="C257" s="29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30"/>
      <c r="AQ257" s="30"/>
      <c r="AR257" s="30"/>
      <c r="AS257" s="30"/>
      <c r="AT257" s="28"/>
      <c r="AU257" s="28"/>
      <c r="AV257" s="28"/>
      <c r="AW257" s="30"/>
      <c r="AX257" s="28"/>
      <c r="AY257" s="28"/>
      <c r="AZ257" s="28"/>
      <c r="BA257" s="28"/>
      <c r="BB257" s="28"/>
      <c r="BC257" s="28"/>
      <c r="BD257" s="28"/>
      <c r="BE257" s="28"/>
      <c r="BF257" s="28"/>
      <c r="BG257" s="30"/>
      <c r="BH257" s="28"/>
      <c r="BI257" s="28"/>
      <c r="BJ257" s="28"/>
      <c r="BK257" s="28"/>
      <c r="BL257" s="28"/>
      <c r="BM257" s="28"/>
      <c r="BN257" s="28"/>
      <c r="BO257" s="28"/>
      <c r="BP257" s="28"/>
      <c r="BQ257" s="28"/>
      <c r="BR257" s="29"/>
      <c r="BS257" s="28"/>
      <c r="BT257" s="28"/>
      <c r="BU257" s="28"/>
      <c r="BV257" s="29"/>
      <c r="BW257" s="28"/>
      <c r="BX257" s="28"/>
      <c r="BY257" s="28"/>
      <c r="BZ257" s="28"/>
    </row>
    <row r="258" s="27" customFormat="1" spans="1:78">
      <c r="A258" s="28"/>
      <c r="B258" s="28"/>
      <c r="C258" s="29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30"/>
      <c r="AQ258" s="30"/>
      <c r="AR258" s="30"/>
      <c r="AS258" s="30"/>
      <c r="AT258" s="28"/>
      <c r="AU258" s="28"/>
      <c r="AV258" s="28"/>
      <c r="AW258" s="30"/>
      <c r="AX258" s="28"/>
      <c r="AY258" s="28"/>
      <c r="AZ258" s="28"/>
      <c r="BA258" s="28"/>
      <c r="BB258" s="28"/>
      <c r="BC258" s="28"/>
      <c r="BD258" s="28"/>
      <c r="BE258" s="28"/>
      <c r="BF258" s="28"/>
      <c r="BG258" s="30"/>
      <c r="BH258" s="28"/>
      <c r="BI258" s="28"/>
      <c r="BJ258" s="28"/>
      <c r="BK258" s="28"/>
      <c r="BL258" s="28"/>
      <c r="BM258" s="28"/>
      <c r="BN258" s="28"/>
      <c r="BO258" s="28"/>
      <c r="BP258" s="28"/>
      <c r="BQ258" s="28"/>
      <c r="BR258" s="29"/>
      <c r="BS258" s="29"/>
      <c r="BT258" s="29"/>
      <c r="BU258" s="29"/>
      <c r="BV258" s="29"/>
      <c r="BW258" s="28"/>
      <c r="BX258" s="28"/>
      <c r="BY258" s="28"/>
      <c r="BZ258" s="28"/>
    </row>
    <row r="259" s="27" customFormat="1" spans="1:78">
      <c r="A259" s="28"/>
      <c r="B259" s="28"/>
      <c r="C259" s="29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30"/>
      <c r="AQ259" s="30"/>
      <c r="AR259" s="30"/>
      <c r="AS259" s="30"/>
      <c r="AT259" s="28"/>
      <c r="AU259" s="28"/>
      <c r="AV259" s="28"/>
      <c r="AW259" s="30"/>
      <c r="AX259" s="28"/>
      <c r="AY259" s="28"/>
      <c r="AZ259" s="28"/>
      <c r="BA259" s="28"/>
      <c r="BB259" s="28"/>
      <c r="BC259" s="28"/>
      <c r="BD259" s="28"/>
      <c r="BE259" s="28"/>
      <c r="BF259" s="28"/>
      <c r="BG259" s="30"/>
      <c r="BH259" s="28"/>
      <c r="BI259" s="28"/>
      <c r="BJ259" s="28"/>
      <c r="BK259" s="28"/>
      <c r="BL259" s="28"/>
      <c r="BM259" s="28"/>
      <c r="BN259" s="28"/>
      <c r="BO259" s="28"/>
      <c r="BP259" s="28"/>
      <c r="BQ259" s="28"/>
      <c r="BR259" s="29"/>
      <c r="BS259" s="29"/>
      <c r="BT259" s="29"/>
      <c r="BU259" s="28"/>
      <c r="BV259" s="29"/>
      <c r="BW259" s="28"/>
      <c r="BX259" s="28"/>
      <c r="BY259" s="28"/>
      <c r="BZ259" s="28"/>
    </row>
    <row r="260" s="27" customFormat="1" spans="1:78">
      <c r="A260" s="28"/>
      <c r="B260" s="28"/>
      <c r="C260" s="29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30"/>
      <c r="AQ260" s="30"/>
      <c r="AR260" s="30"/>
      <c r="AS260" s="30"/>
      <c r="AT260" s="28"/>
      <c r="AU260" s="28"/>
      <c r="AV260" s="28"/>
      <c r="AW260" s="30"/>
      <c r="AX260" s="28"/>
      <c r="AY260" s="28"/>
      <c r="AZ260" s="28"/>
      <c r="BA260" s="28"/>
      <c r="BB260" s="28"/>
      <c r="BC260" s="28"/>
      <c r="BD260" s="28"/>
      <c r="BE260" s="28"/>
      <c r="BF260" s="28"/>
      <c r="BG260" s="30"/>
      <c r="BH260" s="28"/>
      <c r="BI260" s="28"/>
      <c r="BJ260" s="28"/>
      <c r="BK260" s="28"/>
      <c r="BL260" s="28"/>
      <c r="BM260" s="28"/>
      <c r="BN260" s="28"/>
      <c r="BO260" s="28"/>
      <c r="BP260" s="28"/>
      <c r="BQ260" s="28"/>
      <c r="BR260" s="29"/>
      <c r="BS260" s="29"/>
      <c r="BT260" s="29"/>
      <c r="BU260" s="29"/>
      <c r="BV260" s="29"/>
      <c r="BW260" s="29"/>
      <c r="BX260" s="28"/>
      <c r="BY260" s="28"/>
      <c r="BZ260" s="28"/>
    </row>
    <row r="261" s="27" customFormat="1" spans="1:78">
      <c r="A261" s="28"/>
      <c r="B261" s="28"/>
      <c r="C261" s="29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30"/>
      <c r="AQ261" s="30"/>
      <c r="AR261" s="30"/>
      <c r="AS261" s="30"/>
      <c r="AT261" s="28"/>
      <c r="AU261" s="28"/>
      <c r="AV261" s="28"/>
      <c r="AW261" s="30"/>
      <c r="AX261" s="28"/>
      <c r="AY261" s="28"/>
      <c r="AZ261" s="28"/>
      <c r="BA261" s="28"/>
      <c r="BB261" s="28"/>
      <c r="BC261" s="28"/>
      <c r="BD261" s="28"/>
      <c r="BE261" s="28"/>
      <c r="BF261" s="28"/>
      <c r="BG261" s="30"/>
      <c r="BH261" s="28"/>
      <c r="BI261" s="28"/>
      <c r="BJ261" s="28"/>
      <c r="BK261" s="28"/>
      <c r="BL261" s="28"/>
      <c r="BM261" s="28"/>
      <c r="BN261" s="28"/>
      <c r="BO261" s="28"/>
      <c r="BP261" s="28"/>
      <c r="BQ261" s="28"/>
      <c r="BR261" s="29"/>
      <c r="BS261" s="29"/>
      <c r="BT261" s="29"/>
      <c r="BU261" s="28"/>
      <c r="BV261" s="29"/>
      <c r="BW261" s="28"/>
      <c r="BX261" s="28"/>
      <c r="BY261" s="28"/>
      <c r="BZ261" s="28"/>
    </row>
    <row r="262" s="27" customFormat="1" spans="1:78">
      <c r="A262" s="28"/>
      <c r="B262" s="28"/>
      <c r="C262" s="29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30"/>
      <c r="AQ262" s="30"/>
      <c r="AR262" s="30"/>
      <c r="AS262" s="30"/>
      <c r="AT262" s="28"/>
      <c r="AU262" s="28"/>
      <c r="AV262" s="28"/>
      <c r="AW262" s="30"/>
      <c r="AX262" s="28"/>
      <c r="AY262" s="28"/>
      <c r="AZ262" s="28"/>
      <c r="BA262" s="28"/>
      <c r="BB262" s="28"/>
      <c r="BC262" s="28"/>
      <c r="BD262" s="28"/>
      <c r="BE262" s="28"/>
      <c r="BF262" s="28"/>
      <c r="BG262" s="30"/>
      <c r="BH262" s="28"/>
      <c r="BI262" s="28"/>
      <c r="BJ262" s="28"/>
      <c r="BK262" s="28"/>
      <c r="BL262" s="28"/>
      <c r="BM262" s="28"/>
      <c r="BN262" s="28"/>
      <c r="BO262" s="28"/>
      <c r="BP262" s="28"/>
      <c r="BQ262" s="28"/>
      <c r="BR262" s="29"/>
      <c r="BS262" s="29"/>
      <c r="BT262" s="29"/>
      <c r="BU262" s="28"/>
      <c r="BV262" s="29"/>
      <c r="BW262" s="28"/>
      <c r="BX262" s="28"/>
      <c r="BY262" s="28"/>
      <c r="BZ262" s="28"/>
    </row>
    <row r="263" s="27" customFormat="1" spans="1:78">
      <c r="A263" s="28"/>
      <c r="B263" s="28"/>
      <c r="C263" s="29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30"/>
      <c r="AQ263" s="30"/>
      <c r="AR263" s="30"/>
      <c r="AS263" s="30"/>
      <c r="AT263" s="28"/>
      <c r="AU263" s="28"/>
      <c r="AV263" s="28"/>
      <c r="AW263" s="30"/>
      <c r="AX263" s="28"/>
      <c r="AY263" s="28"/>
      <c r="AZ263" s="28"/>
      <c r="BA263" s="28"/>
      <c r="BB263" s="28"/>
      <c r="BC263" s="28"/>
      <c r="BD263" s="28"/>
      <c r="BE263" s="28"/>
      <c r="BF263" s="28"/>
      <c r="BG263" s="30"/>
      <c r="BH263" s="28"/>
      <c r="BI263" s="28"/>
      <c r="BJ263" s="28"/>
      <c r="BK263" s="28"/>
      <c r="BL263" s="28"/>
      <c r="BM263" s="28"/>
      <c r="BN263" s="28"/>
      <c r="BO263" s="28"/>
      <c r="BP263" s="28"/>
      <c r="BQ263" s="28"/>
      <c r="BR263" s="29"/>
      <c r="BS263" s="28"/>
      <c r="BT263" s="28"/>
      <c r="BU263" s="28"/>
      <c r="BV263" s="29"/>
      <c r="BW263" s="28"/>
      <c r="BX263" s="28"/>
      <c r="BY263" s="28"/>
      <c r="BZ263" s="28"/>
    </row>
    <row r="264" s="27" customFormat="1" spans="1:78">
      <c r="A264" s="28"/>
      <c r="B264" s="28"/>
      <c r="C264" s="29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30"/>
      <c r="AQ264" s="30"/>
      <c r="AR264" s="30"/>
      <c r="AS264" s="30"/>
      <c r="AT264" s="28"/>
      <c r="AU264" s="28"/>
      <c r="AV264" s="28"/>
      <c r="AW264" s="30"/>
      <c r="AX264" s="28"/>
      <c r="AY264" s="28"/>
      <c r="AZ264" s="28"/>
      <c r="BA264" s="28"/>
      <c r="BB264" s="28"/>
      <c r="BC264" s="28"/>
      <c r="BD264" s="28"/>
      <c r="BE264" s="28"/>
      <c r="BF264" s="28"/>
      <c r="BG264" s="30"/>
      <c r="BH264" s="28"/>
      <c r="BI264" s="28"/>
      <c r="BJ264" s="28"/>
      <c r="BK264" s="28"/>
      <c r="BL264" s="28"/>
      <c r="BM264" s="28"/>
      <c r="BN264" s="28"/>
      <c r="BO264" s="28"/>
      <c r="BP264" s="28"/>
      <c r="BQ264" s="28"/>
      <c r="BR264" s="29"/>
      <c r="BS264" s="28"/>
      <c r="BT264" s="28"/>
      <c r="BU264" s="28"/>
      <c r="BV264" s="29"/>
      <c r="BW264" s="28"/>
      <c r="BX264" s="28"/>
      <c r="BY264" s="28"/>
      <c r="BZ264" s="28"/>
    </row>
    <row r="265" s="27" customFormat="1" spans="1:78">
      <c r="A265" s="28"/>
      <c r="B265" s="28"/>
      <c r="C265" s="29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30"/>
      <c r="AQ265" s="30"/>
      <c r="AR265" s="30"/>
      <c r="AS265" s="30"/>
      <c r="AT265" s="28"/>
      <c r="AU265" s="28"/>
      <c r="AV265" s="28"/>
      <c r="AW265" s="30"/>
      <c r="AX265" s="28"/>
      <c r="AY265" s="28"/>
      <c r="AZ265" s="28"/>
      <c r="BA265" s="28"/>
      <c r="BB265" s="28"/>
      <c r="BC265" s="28"/>
      <c r="BD265" s="28"/>
      <c r="BE265" s="28"/>
      <c r="BF265" s="28"/>
      <c r="BG265" s="30"/>
      <c r="BH265" s="28"/>
      <c r="BI265" s="28"/>
      <c r="BJ265" s="28"/>
      <c r="BK265" s="28"/>
      <c r="BL265" s="28"/>
      <c r="BM265" s="28"/>
      <c r="BN265" s="28"/>
      <c r="BO265" s="28"/>
      <c r="BP265" s="28"/>
      <c r="BQ265" s="28"/>
      <c r="BR265" s="29"/>
      <c r="BS265" s="28"/>
      <c r="BT265" s="28"/>
      <c r="BU265" s="28"/>
      <c r="BV265" s="29"/>
      <c r="BW265" s="28"/>
      <c r="BX265" s="28"/>
      <c r="BY265" s="28"/>
      <c r="BZ265" s="28"/>
    </row>
    <row r="266" s="27" customFormat="1" spans="1:78">
      <c r="A266" s="28"/>
      <c r="B266" s="28"/>
      <c r="C266" s="29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30"/>
      <c r="AQ266" s="30"/>
      <c r="AR266" s="30"/>
      <c r="AS266" s="30"/>
      <c r="AT266" s="28"/>
      <c r="AU266" s="28"/>
      <c r="AV266" s="28"/>
      <c r="AW266" s="30"/>
      <c r="AX266" s="28"/>
      <c r="AY266" s="28"/>
      <c r="AZ266" s="28"/>
      <c r="BA266" s="28"/>
      <c r="BB266" s="28"/>
      <c r="BC266" s="28"/>
      <c r="BD266" s="28"/>
      <c r="BE266" s="28"/>
      <c r="BF266" s="28"/>
      <c r="BG266" s="30"/>
      <c r="BH266" s="28"/>
      <c r="BI266" s="28"/>
      <c r="BJ266" s="28"/>
      <c r="BK266" s="28"/>
      <c r="BL266" s="28"/>
      <c r="BM266" s="28"/>
      <c r="BN266" s="28"/>
      <c r="BO266" s="28"/>
      <c r="BP266" s="28"/>
      <c r="BQ266" s="28"/>
      <c r="BR266" s="29"/>
      <c r="BS266" s="29"/>
      <c r="BT266" s="29"/>
      <c r="BU266" s="29"/>
      <c r="BV266" s="29"/>
      <c r="BW266" s="28"/>
      <c r="BX266" s="28"/>
      <c r="BY266" s="28"/>
      <c r="BZ266" s="28"/>
    </row>
    <row r="267" s="27" customFormat="1" spans="1:78">
      <c r="A267" s="28"/>
      <c r="B267" s="28"/>
      <c r="C267" s="29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30"/>
      <c r="AQ267" s="30"/>
      <c r="AR267" s="30"/>
      <c r="AS267" s="30"/>
      <c r="AT267" s="28"/>
      <c r="AU267" s="28"/>
      <c r="AV267" s="28"/>
      <c r="AW267" s="30"/>
      <c r="AX267" s="28"/>
      <c r="AY267" s="28"/>
      <c r="AZ267" s="28"/>
      <c r="BA267" s="28"/>
      <c r="BB267" s="28"/>
      <c r="BC267" s="28"/>
      <c r="BD267" s="28"/>
      <c r="BE267" s="28"/>
      <c r="BF267" s="28"/>
      <c r="BG267" s="30"/>
      <c r="BH267" s="28"/>
      <c r="BI267" s="28"/>
      <c r="BJ267" s="28"/>
      <c r="BK267" s="28"/>
      <c r="BL267" s="28"/>
      <c r="BM267" s="28"/>
      <c r="BN267" s="28"/>
      <c r="BO267" s="28"/>
      <c r="BP267" s="28"/>
      <c r="BQ267" s="28"/>
      <c r="BR267" s="29"/>
      <c r="BS267" s="29"/>
      <c r="BT267" s="29"/>
      <c r="BU267" s="29"/>
      <c r="BV267" s="29"/>
      <c r="BW267" s="28"/>
      <c r="BX267" s="28"/>
      <c r="BY267" s="28"/>
      <c r="BZ267" s="28"/>
    </row>
    <row r="268" s="27" customFormat="1" spans="1:78">
      <c r="A268" s="28"/>
      <c r="B268" s="28"/>
      <c r="C268" s="29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30"/>
      <c r="AQ268" s="30"/>
      <c r="AR268" s="30"/>
      <c r="AS268" s="30"/>
      <c r="AT268" s="28"/>
      <c r="AU268" s="28"/>
      <c r="AV268" s="28"/>
      <c r="AW268" s="30"/>
      <c r="AX268" s="28"/>
      <c r="AY268" s="28"/>
      <c r="AZ268" s="28"/>
      <c r="BA268" s="28"/>
      <c r="BB268" s="28"/>
      <c r="BC268" s="28"/>
      <c r="BD268" s="28"/>
      <c r="BE268" s="28"/>
      <c r="BF268" s="28"/>
      <c r="BG268" s="30"/>
      <c r="BH268" s="28"/>
      <c r="BI268" s="28"/>
      <c r="BJ268" s="28"/>
      <c r="BK268" s="28"/>
      <c r="BL268" s="28"/>
      <c r="BM268" s="28"/>
      <c r="BN268" s="28"/>
      <c r="BO268" s="28"/>
      <c r="BP268" s="28"/>
      <c r="BQ268" s="28"/>
      <c r="BR268" s="29"/>
      <c r="BS268" s="29"/>
      <c r="BT268" s="28"/>
      <c r="BU268" s="28"/>
      <c r="BV268" s="29"/>
      <c r="BW268" s="28"/>
      <c r="BX268" s="28"/>
      <c r="BY268" s="28"/>
      <c r="BZ268" s="28"/>
    </row>
    <row r="269" s="27" customFormat="1" spans="1:78">
      <c r="A269" s="28"/>
      <c r="B269" s="28"/>
      <c r="C269" s="29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30"/>
      <c r="AQ269" s="30"/>
      <c r="AR269" s="30"/>
      <c r="AS269" s="30"/>
      <c r="AT269" s="28"/>
      <c r="AU269" s="28"/>
      <c r="AV269" s="28"/>
      <c r="AW269" s="30"/>
      <c r="AX269" s="28"/>
      <c r="AY269" s="28"/>
      <c r="AZ269" s="28"/>
      <c r="BA269" s="28"/>
      <c r="BB269" s="28"/>
      <c r="BC269" s="28"/>
      <c r="BD269" s="28"/>
      <c r="BE269" s="28"/>
      <c r="BF269" s="28"/>
      <c r="BG269" s="30"/>
      <c r="BH269" s="28"/>
      <c r="BI269" s="28"/>
      <c r="BJ269" s="28"/>
      <c r="BK269" s="28"/>
      <c r="BL269" s="28"/>
      <c r="BM269" s="28"/>
      <c r="BN269" s="28"/>
      <c r="BO269" s="28"/>
      <c r="BP269" s="28"/>
      <c r="BQ269" s="28"/>
      <c r="BR269" s="29"/>
      <c r="BS269" s="29"/>
      <c r="BT269" s="29"/>
      <c r="BU269" s="29"/>
      <c r="BV269" s="29"/>
      <c r="BW269" s="29"/>
      <c r="BX269" s="28"/>
      <c r="BY269" s="28"/>
      <c r="BZ269" s="28"/>
    </row>
    <row r="270" s="27" customFormat="1" spans="1:78">
      <c r="A270" s="28"/>
      <c r="B270" s="28"/>
      <c r="C270" s="29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30"/>
      <c r="AQ270" s="30"/>
      <c r="AR270" s="30"/>
      <c r="AS270" s="30"/>
      <c r="AT270" s="28"/>
      <c r="AU270" s="28"/>
      <c r="AV270" s="28"/>
      <c r="AW270" s="30"/>
      <c r="AX270" s="28"/>
      <c r="AY270" s="28"/>
      <c r="AZ270" s="28"/>
      <c r="BA270" s="28"/>
      <c r="BB270" s="28"/>
      <c r="BC270" s="28"/>
      <c r="BD270" s="28"/>
      <c r="BE270" s="28"/>
      <c r="BF270" s="28"/>
      <c r="BG270" s="30"/>
      <c r="BH270" s="28"/>
      <c r="BI270" s="28"/>
      <c r="BJ270" s="28"/>
      <c r="BK270" s="28"/>
      <c r="BL270" s="28"/>
      <c r="BM270" s="28"/>
      <c r="BN270" s="28"/>
      <c r="BO270" s="28"/>
      <c r="BP270" s="28"/>
      <c r="BQ270" s="28"/>
      <c r="BR270" s="29"/>
      <c r="BS270" s="29"/>
      <c r="BT270" s="29"/>
      <c r="BU270" s="29"/>
      <c r="BV270" s="29"/>
      <c r="BW270" s="29"/>
      <c r="BX270" s="28"/>
      <c r="BY270" s="28"/>
      <c r="BZ270" s="28"/>
    </row>
    <row r="271" s="27" customFormat="1" spans="1:78">
      <c r="A271" s="28"/>
      <c r="B271" s="28"/>
      <c r="C271" s="29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30"/>
      <c r="AQ271" s="30"/>
      <c r="AR271" s="30"/>
      <c r="AS271" s="30"/>
      <c r="AT271" s="28"/>
      <c r="AU271" s="28"/>
      <c r="AV271" s="28"/>
      <c r="AW271" s="30"/>
      <c r="AX271" s="28"/>
      <c r="AY271" s="28"/>
      <c r="AZ271" s="28"/>
      <c r="BA271" s="28"/>
      <c r="BB271" s="28"/>
      <c r="BC271" s="28"/>
      <c r="BD271" s="28"/>
      <c r="BE271" s="28"/>
      <c r="BF271" s="28"/>
      <c r="BG271" s="30"/>
      <c r="BH271" s="28"/>
      <c r="BI271" s="28"/>
      <c r="BJ271" s="28"/>
      <c r="BK271" s="28"/>
      <c r="BL271" s="28"/>
      <c r="BM271" s="28"/>
      <c r="BN271" s="28"/>
      <c r="BO271" s="28"/>
      <c r="BP271" s="28"/>
      <c r="BQ271" s="28"/>
      <c r="BR271" s="29"/>
      <c r="BS271" s="29"/>
      <c r="BT271" s="29"/>
      <c r="BU271" s="28"/>
      <c r="BV271" s="29"/>
      <c r="BW271" s="28"/>
      <c r="BX271" s="28"/>
      <c r="BY271" s="28"/>
      <c r="BZ271" s="28"/>
    </row>
    <row r="272" s="27" customFormat="1" spans="1:78">
      <c r="A272" s="28"/>
      <c r="B272" s="28"/>
      <c r="C272" s="29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30"/>
      <c r="AQ272" s="30"/>
      <c r="AR272" s="30"/>
      <c r="AS272" s="30"/>
      <c r="AT272" s="28"/>
      <c r="AU272" s="28"/>
      <c r="AV272" s="28"/>
      <c r="AW272" s="30"/>
      <c r="AX272" s="28"/>
      <c r="AY272" s="28"/>
      <c r="AZ272" s="28"/>
      <c r="BA272" s="28"/>
      <c r="BB272" s="28"/>
      <c r="BC272" s="28"/>
      <c r="BD272" s="28"/>
      <c r="BE272" s="28"/>
      <c r="BF272" s="28"/>
      <c r="BG272" s="30"/>
      <c r="BH272" s="28"/>
      <c r="BI272" s="28"/>
      <c r="BJ272" s="28"/>
      <c r="BK272" s="28"/>
      <c r="BL272" s="28"/>
      <c r="BM272" s="28"/>
      <c r="BN272" s="28"/>
      <c r="BO272" s="28"/>
      <c r="BP272" s="28"/>
      <c r="BQ272" s="28"/>
      <c r="BR272" s="29"/>
      <c r="BS272" s="28"/>
      <c r="BT272" s="28"/>
      <c r="BU272" s="28"/>
      <c r="BV272" s="29"/>
      <c r="BW272" s="28"/>
      <c r="BX272" s="28"/>
      <c r="BY272" s="28"/>
      <c r="BZ272" s="28"/>
    </row>
    <row r="273" s="27" customFormat="1" spans="1:78">
      <c r="A273" s="28"/>
      <c r="B273" s="28"/>
      <c r="C273" s="29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30"/>
      <c r="AQ273" s="30"/>
      <c r="AR273" s="30"/>
      <c r="AS273" s="30"/>
      <c r="AT273" s="28"/>
      <c r="AU273" s="28"/>
      <c r="AV273" s="28"/>
      <c r="AW273" s="30"/>
      <c r="AX273" s="28"/>
      <c r="AY273" s="28"/>
      <c r="AZ273" s="28"/>
      <c r="BA273" s="28"/>
      <c r="BB273" s="28"/>
      <c r="BC273" s="28"/>
      <c r="BD273" s="28"/>
      <c r="BE273" s="28"/>
      <c r="BF273" s="28"/>
      <c r="BG273" s="30"/>
      <c r="BH273" s="28"/>
      <c r="BI273" s="28"/>
      <c r="BJ273" s="28"/>
      <c r="BK273" s="28"/>
      <c r="BL273" s="28"/>
      <c r="BM273" s="28"/>
      <c r="BN273" s="28"/>
      <c r="BO273" s="28"/>
      <c r="BP273" s="28"/>
      <c r="BQ273" s="28"/>
      <c r="BR273" s="29"/>
      <c r="BS273" s="28"/>
      <c r="BT273" s="28"/>
      <c r="BU273" s="28"/>
      <c r="BV273" s="29"/>
      <c r="BW273" s="28"/>
      <c r="BX273" s="28"/>
      <c r="BY273" s="28"/>
      <c r="BZ273" s="28"/>
    </row>
    <row r="274" s="27" customFormat="1" spans="1:78">
      <c r="A274" s="28"/>
      <c r="B274" s="28"/>
      <c r="C274" s="29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30"/>
      <c r="AQ274" s="30"/>
      <c r="AR274" s="30"/>
      <c r="AS274" s="30"/>
      <c r="AT274" s="28"/>
      <c r="AU274" s="28"/>
      <c r="AV274" s="28"/>
      <c r="AW274" s="30"/>
      <c r="AX274" s="28"/>
      <c r="AY274" s="28"/>
      <c r="AZ274" s="28"/>
      <c r="BA274" s="28"/>
      <c r="BB274" s="28"/>
      <c r="BC274" s="28"/>
      <c r="BD274" s="28"/>
      <c r="BE274" s="28"/>
      <c r="BF274" s="28"/>
      <c r="BG274" s="30"/>
      <c r="BH274" s="28"/>
      <c r="BI274" s="28"/>
      <c r="BJ274" s="28"/>
      <c r="BK274" s="28"/>
      <c r="BL274" s="28"/>
      <c r="BM274" s="28"/>
      <c r="BN274" s="28"/>
      <c r="BO274" s="28"/>
      <c r="BP274" s="28"/>
      <c r="BQ274" s="28"/>
      <c r="BR274" s="29"/>
      <c r="BS274" s="28"/>
      <c r="BT274" s="28"/>
      <c r="BU274" s="28"/>
      <c r="BV274" s="29"/>
      <c r="BW274" s="28"/>
      <c r="BX274" s="28"/>
      <c r="BY274" s="28"/>
      <c r="BZ274" s="28"/>
    </row>
    <row r="275" s="27" customFormat="1" spans="1:78">
      <c r="A275" s="28"/>
      <c r="B275" s="28"/>
      <c r="C275" s="29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30"/>
      <c r="AQ275" s="30"/>
      <c r="AR275" s="30"/>
      <c r="AS275" s="30"/>
      <c r="AT275" s="28"/>
      <c r="AU275" s="29"/>
      <c r="AV275" s="30"/>
      <c r="AW275" s="30"/>
      <c r="AX275" s="28"/>
      <c r="AY275" s="28"/>
      <c r="AZ275" s="28"/>
      <c r="BA275" s="28"/>
      <c r="BB275" s="28"/>
      <c r="BC275" s="28"/>
      <c r="BD275" s="28"/>
      <c r="BE275" s="28"/>
      <c r="BF275" s="28"/>
      <c r="BG275" s="30"/>
      <c r="BH275" s="28"/>
      <c r="BI275" s="28"/>
      <c r="BJ275" s="28"/>
      <c r="BK275" s="28"/>
      <c r="BL275" s="28"/>
      <c r="BM275" s="28"/>
      <c r="BN275" s="28"/>
      <c r="BO275" s="28"/>
      <c r="BP275" s="28"/>
      <c r="BQ275" s="28"/>
      <c r="BR275" s="29"/>
      <c r="BS275" s="29"/>
      <c r="BT275" s="29"/>
      <c r="BU275" s="29"/>
      <c r="BV275" s="29"/>
      <c r="BW275" s="29"/>
      <c r="BX275" s="28"/>
      <c r="BY275" s="28"/>
      <c r="BZ275" s="28"/>
    </row>
    <row r="276" s="27" customFormat="1" spans="1:78">
      <c r="A276" s="28"/>
      <c r="B276" s="28"/>
      <c r="C276" s="29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30"/>
      <c r="AQ276" s="30"/>
      <c r="AR276" s="30"/>
      <c r="AS276" s="30"/>
      <c r="AT276" s="28"/>
      <c r="AU276" s="28"/>
      <c r="AV276" s="28"/>
      <c r="AW276" s="30"/>
      <c r="AX276" s="28"/>
      <c r="AY276" s="28"/>
      <c r="AZ276" s="28"/>
      <c r="BA276" s="28"/>
      <c r="BB276" s="28"/>
      <c r="BC276" s="28"/>
      <c r="BD276" s="28"/>
      <c r="BE276" s="28"/>
      <c r="BF276" s="28"/>
      <c r="BG276" s="30"/>
      <c r="BH276" s="28"/>
      <c r="BI276" s="28"/>
      <c r="BJ276" s="28"/>
      <c r="BK276" s="28"/>
      <c r="BL276" s="28"/>
      <c r="BM276" s="28"/>
      <c r="BN276" s="28"/>
      <c r="BO276" s="28"/>
      <c r="BP276" s="28"/>
      <c r="BQ276" s="28"/>
      <c r="BR276" s="29"/>
      <c r="BS276" s="29"/>
      <c r="BT276" s="29"/>
      <c r="BU276" s="29"/>
      <c r="BV276" s="29"/>
      <c r="BW276" s="29"/>
      <c r="BX276" s="28"/>
      <c r="BY276" s="28"/>
      <c r="BZ276" s="28"/>
    </row>
    <row r="277" s="27" customFormat="1" spans="1:78">
      <c r="A277" s="28"/>
      <c r="B277" s="28"/>
      <c r="C277" s="29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30"/>
      <c r="AQ277" s="30"/>
      <c r="AR277" s="30"/>
      <c r="AS277" s="30"/>
      <c r="AT277" s="28"/>
      <c r="AU277" s="28"/>
      <c r="AV277" s="28"/>
      <c r="AW277" s="30"/>
      <c r="AX277" s="28"/>
      <c r="AY277" s="28"/>
      <c r="AZ277" s="28"/>
      <c r="BA277" s="28"/>
      <c r="BB277" s="28"/>
      <c r="BC277" s="28"/>
      <c r="BD277" s="28"/>
      <c r="BE277" s="28"/>
      <c r="BF277" s="28"/>
      <c r="BG277" s="30"/>
      <c r="BH277" s="28"/>
      <c r="BI277" s="28"/>
      <c r="BJ277" s="28"/>
      <c r="BK277" s="28"/>
      <c r="BL277" s="28"/>
      <c r="BM277" s="28"/>
      <c r="BN277" s="28"/>
      <c r="BO277" s="28"/>
      <c r="BP277" s="28"/>
      <c r="BQ277" s="28"/>
      <c r="BR277" s="29"/>
      <c r="BS277" s="29"/>
      <c r="BT277" s="29"/>
      <c r="BU277" s="29"/>
      <c r="BV277" s="29"/>
      <c r="BW277" s="29"/>
      <c r="BX277" s="28"/>
      <c r="BY277" s="28"/>
      <c r="BZ277" s="28"/>
    </row>
    <row r="278" s="27" customFormat="1" spans="1:78">
      <c r="A278" s="28"/>
      <c r="B278" s="28"/>
      <c r="C278" s="29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30"/>
      <c r="AQ278" s="30"/>
      <c r="AR278" s="30"/>
      <c r="AS278" s="30"/>
      <c r="AT278" s="28"/>
      <c r="AU278" s="28"/>
      <c r="AV278" s="28"/>
      <c r="AW278" s="30"/>
      <c r="AX278" s="28"/>
      <c r="AY278" s="28"/>
      <c r="AZ278" s="28"/>
      <c r="BA278" s="28"/>
      <c r="BB278" s="28"/>
      <c r="BC278" s="28"/>
      <c r="BD278" s="28"/>
      <c r="BE278" s="28"/>
      <c r="BF278" s="28"/>
      <c r="BG278" s="30"/>
      <c r="BH278" s="28"/>
      <c r="BI278" s="28"/>
      <c r="BJ278" s="28"/>
      <c r="BK278" s="28"/>
      <c r="BL278" s="28"/>
      <c r="BM278" s="28"/>
      <c r="BN278" s="28"/>
      <c r="BO278" s="28"/>
      <c r="BP278" s="28"/>
      <c r="BQ278" s="28"/>
      <c r="BR278" s="29"/>
      <c r="BS278" s="29"/>
      <c r="BT278" s="29"/>
      <c r="BU278" s="29"/>
      <c r="BV278" s="29"/>
      <c r="BW278" s="29"/>
      <c r="BX278" s="28"/>
      <c r="BY278" s="28"/>
      <c r="BZ278" s="28"/>
    </row>
    <row r="279" s="27" customFormat="1" spans="1:78">
      <c r="A279" s="28"/>
      <c r="B279" s="28"/>
      <c r="C279" s="29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30"/>
      <c r="AQ279" s="30"/>
      <c r="AR279" s="30"/>
      <c r="AS279" s="30"/>
      <c r="AT279" s="28"/>
      <c r="AU279" s="28"/>
      <c r="AV279" s="28"/>
      <c r="AW279" s="30"/>
      <c r="AX279" s="28"/>
      <c r="AY279" s="28"/>
      <c r="AZ279" s="28"/>
      <c r="BA279" s="28"/>
      <c r="BB279" s="28"/>
      <c r="BC279" s="28"/>
      <c r="BD279" s="28"/>
      <c r="BE279" s="28"/>
      <c r="BF279" s="28"/>
      <c r="BG279" s="30"/>
      <c r="BH279" s="28"/>
      <c r="BI279" s="28"/>
      <c r="BJ279" s="28"/>
      <c r="BK279" s="28"/>
      <c r="BL279" s="28"/>
      <c r="BM279" s="28"/>
      <c r="BN279" s="28"/>
      <c r="BO279" s="28"/>
      <c r="BP279" s="28"/>
      <c r="BQ279" s="28"/>
      <c r="BR279" s="29"/>
      <c r="BS279" s="29"/>
      <c r="BT279" s="29"/>
      <c r="BU279" s="29"/>
      <c r="BV279" s="29"/>
      <c r="BW279" s="29"/>
      <c r="BX279" s="28"/>
      <c r="BY279" s="28"/>
      <c r="BZ279" s="28"/>
    </row>
    <row r="280" s="27" customFormat="1" spans="1:78">
      <c r="A280" s="28"/>
      <c r="B280" s="28"/>
      <c r="C280" s="29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30"/>
      <c r="AQ280" s="30"/>
      <c r="AR280" s="30"/>
      <c r="AS280" s="30"/>
      <c r="AT280" s="28"/>
      <c r="AU280" s="28"/>
      <c r="AV280" s="28"/>
      <c r="AW280" s="30"/>
      <c r="AX280" s="28"/>
      <c r="AY280" s="28"/>
      <c r="AZ280" s="28"/>
      <c r="BA280" s="28"/>
      <c r="BB280" s="28"/>
      <c r="BC280" s="28"/>
      <c r="BD280" s="28"/>
      <c r="BE280" s="28"/>
      <c r="BF280" s="28"/>
      <c r="BG280" s="30"/>
      <c r="BH280" s="28"/>
      <c r="BI280" s="28"/>
      <c r="BJ280" s="28"/>
      <c r="BK280" s="28"/>
      <c r="BL280" s="28"/>
      <c r="BM280" s="28"/>
      <c r="BN280" s="28"/>
      <c r="BO280" s="28"/>
      <c r="BP280" s="28"/>
      <c r="BQ280" s="28"/>
      <c r="BR280" s="29"/>
      <c r="BS280" s="29"/>
      <c r="BT280" s="29"/>
      <c r="BU280" s="29"/>
      <c r="BV280" s="29"/>
      <c r="BW280" s="29"/>
      <c r="BX280" s="28"/>
      <c r="BY280" s="28"/>
      <c r="BZ280" s="28"/>
    </row>
    <row r="281" s="27" customFormat="1" spans="1:78">
      <c r="A281" s="28"/>
      <c r="B281" s="28"/>
      <c r="C281" s="29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30"/>
      <c r="AQ281" s="30"/>
      <c r="AR281" s="30"/>
      <c r="AS281" s="30"/>
      <c r="AT281" s="28"/>
      <c r="AU281" s="28"/>
      <c r="AV281" s="28"/>
      <c r="AW281" s="30"/>
      <c r="AX281" s="28"/>
      <c r="AY281" s="28"/>
      <c r="AZ281" s="28"/>
      <c r="BA281" s="28"/>
      <c r="BB281" s="28"/>
      <c r="BC281" s="28"/>
      <c r="BD281" s="28"/>
      <c r="BE281" s="28"/>
      <c r="BF281" s="28"/>
      <c r="BG281" s="30"/>
      <c r="BH281" s="28"/>
      <c r="BI281" s="28"/>
      <c r="BJ281" s="28"/>
      <c r="BK281" s="28"/>
      <c r="BL281" s="28"/>
      <c r="BM281" s="28"/>
      <c r="BN281" s="28"/>
      <c r="BO281" s="28"/>
      <c r="BP281" s="28"/>
      <c r="BQ281" s="28"/>
      <c r="BR281" s="29"/>
      <c r="BS281" s="29"/>
      <c r="BT281" s="29"/>
      <c r="BU281" s="29"/>
      <c r="BV281" s="29"/>
      <c r="BW281" s="29"/>
      <c r="BX281" s="28"/>
      <c r="BY281" s="28"/>
      <c r="BZ281" s="28"/>
    </row>
    <row r="282" s="27" customFormat="1" spans="1:78">
      <c r="A282" s="28"/>
      <c r="B282" s="28"/>
      <c r="C282" s="29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30"/>
      <c r="AQ282" s="30"/>
      <c r="AR282" s="30"/>
      <c r="AS282" s="30"/>
      <c r="AT282" s="28"/>
      <c r="AU282" s="28"/>
      <c r="AV282" s="28"/>
      <c r="AW282" s="30"/>
      <c r="AX282" s="28"/>
      <c r="AY282" s="28"/>
      <c r="AZ282" s="28"/>
      <c r="BA282" s="28"/>
      <c r="BB282" s="28"/>
      <c r="BC282" s="28"/>
      <c r="BD282" s="28"/>
      <c r="BE282" s="28"/>
      <c r="BF282" s="28"/>
      <c r="BG282" s="30"/>
      <c r="BH282" s="28"/>
      <c r="BI282" s="28"/>
      <c r="BJ282" s="28"/>
      <c r="BK282" s="28"/>
      <c r="BL282" s="28"/>
      <c r="BM282" s="28"/>
      <c r="BN282" s="28"/>
      <c r="BO282" s="28"/>
      <c r="BP282" s="28"/>
      <c r="BQ282" s="28"/>
      <c r="BR282" s="29"/>
      <c r="BS282" s="29"/>
      <c r="BT282" s="29"/>
      <c r="BU282" s="29"/>
      <c r="BV282" s="29"/>
      <c r="BW282" s="29"/>
      <c r="BX282" s="28"/>
      <c r="BY282" s="28"/>
      <c r="BZ282" s="28"/>
    </row>
    <row r="283" s="27" customFormat="1" spans="1:78">
      <c r="A283" s="28"/>
      <c r="B283" s="28"/>
      <c r="C283" s="29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30"/>
      <c r="AQ283" s="30"/>
      <c r="AR283" s="30"/>
      <c r="AS283" s="30"/>
      <c r="AT283" s="28"/>
      <c r="AU283" s="28"/>
      <c r="AV283" s="28"/>
      <c r="AW283" s="30"/>
      <c r="AX283" s="28"/>
      <c r="AY283" s="28"/>
      <c r="AZ283" s="28"/>
      <c r="BA283" s="28"/>
      <c r="BB283" s="28"/>
      <c r="BC283" s="28"/>
      <c r="BD283" s="28"/>
      <c r="BE283" s="28"/>
      <c r="BF283" s="28"/>
      <c r="BG283" s="30"/>
      <c r="BH283" s="28"/>
      <c r="BI283" s="28"/>
      <c r="BJ283" s="28"/>
      <c r="BK283" s="28"/>
      <c r="BL283" s="28"/>
      <c r="BM283" s="28"/>
      <c r="BN283" s="28"/>
      <c r="BO283" s="28"/>
      <c r="BP283" s="28"/>
      <c r="BQ283" s="28"/>
      <c r="BR283" s="29"/>
      <c r="BS283" s="29"/>
      <c r="BT283" s="29"/>
      <c r="BU283" s="29"/>
      <c r="BV283" s="29"/>
      <c r="BW283" s="29"/>
      <c r="BX283" s="28"/>
      <c r="BY283" s="28"/>
      <c r="BZ283" s="28"/>
    </row>
    <row r="284" s="27" customFormat="1" spans="1:78">
      <c r="A284" s="28"/>
      <c r="B284" s="28"/>
      <c r="C284" s="29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30"/>
      <c r="AQ284" s="30"/>
      <c r="AR284" s="30"/>
      <c r="AS284" s="30"/>
      <c r="AT284" s="28"/>
      <c r="AU284" s="29"/>
      <c r="AV284" s="30"/>
      <c r="AW284" s="30"/>
      <c r="AX284" s="28"/>
      <c r="AY284" s="28"/>
      <c r="AZ284" s="28"/>
      <c r="BA284" s="28"/>
      <c r="BB284" s="28"/>
      <c r="BC284" s="28"/>
      <c r="BD284" s="28"/>
      <c r="BE284" s="28"/>
      <c r="BF284" s="28"/>
      <c r="BG284" s="30"/>
      <c r="BH284" s="28"/>
      <c r="BI284" s="28"/>
      <c r="BJ284" s="28"/>
      <c r="BK284" s="28"/>
      <c r="BL284" s="28"/>
      <c r="BM284" s="28"/>
      <c r="BN284" s="28"/>
      <c r="BO284" s="28"/>
      <c r="BP284" s="28"/>
      <c r="BQ284" s="28"/>
      <c r="BR284" s="29"/>
      <c r="BS284" s="29"/>
      <c r="BT284" s="29"/>
      <c r="BU284" s="29"/>
      <c r="BV284" s="29"/>
      <c r="BW284" s="29"/>
      <c r="BX284" s="28"/>
      <c r="BY284" s="28"/>
      <c r="BZ284" s="28"/>
    </row>
    <row r="285" s="27" customFormat="1" spans="1:78">
      <c r="A285" s="28"/>
      <c r="B285" s="28"/>
      <c r="C285" s="29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30"/>
      <c r="AQ285" s="30"/>
      <c r="AR285" s="30"/>
      <c r="AS285" s="30"/>
      <c r="AT285" s="28"/>
      <c r="AU285" s="28"/>
      <c r="AV285" s="28"/>
      <c r="AW285" s="30"/>
      <c r="AX285" s="28"/>
      <c r="AY285" s="28"/>
      <c r="AZ285" s="28"/>
      <c r="BA285" s="28"/>
      <c r="BB285" s="28"/>
      <c r="BC285" s="28"/>
      <c r="BD285" s="28"/>
      <c r="BE285" s="28"/>
      <c r="BF285" s="28"/>
      <c r="BG285" s="30"/>
      <c r="BH285" s="28"/>
      <c r="BI285" s="28"/>
      <c r="BJ285" s="28"/>
      <c r="BK285" s="28"/>
      <c r="BL285" s="28"/>
      <c r="BM285" s="28"/>
      <c r="BN285" s="28"/>
      <c r="BO285" s="28"/>
      <c r="BP285" s="28"/>
      <c r="BQ285" s="28"/>
      <c r="BR285" s="29"/>
      <c r="BS285" s="29"/>
      <c r="BT285" s="29"/>
      <c r="BU285" s="29"/>
      <c r="BV285" s="29"/>
      <c r="BW285" s="29"/>
      <c r="BX285" s="28"/>
      <c r="BY285" s="28"/>
      <c r="BZ285" s="28"/>
    </row>
    <row r="286" s="27" customFormat="1" spans="1:78">
      <c r="A286" s="28"/>
      <c r="B286" s="28"/>
      <c r="C286" s="29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30"/>
      <c r="AQ286" s="30"/>
      <c r="AR286" s="30"/>
      <c r="AS286" s="30"/>
      <c r="AT286" s="28"/>
      <c r="AU286" s="28"/>
      <c r="AV286" s="28"/>
      <c r="AW286" s="30"/>
      <c r="AX286" s="28"/>
      <c r="AY286" s="28"/>
      <c r="AZ286" s="28"/>
      <c r="BA286" s="28"/>
      <c r="BB286" s="28"/>
      <c r="BC286" s="28"/>
      <c r="BD286" s="28"/>
      <c r="BE286" s="28"/>
      <c r="BF286" s="28"/>
      <c r="BG286" s="30"/>
      <c r="BH286" s="28"/>
      <c r="BI286" s="28"/>
      <c r="BJ286" s="28"/>
      <c r="BK286" s="28"/>
      <c r="BL286" s="28"/>
      <c r="BM286" s="28"/>
      <c r="BN286" s="28"/>
      <c r="BO286" s="28"/>
      <c r="BP286" s="28"/>
      <c r="BQ286" s="28"/>
      <c r="BR286" s="29"/>
      <c r="BS286" s="29"/>
      <c r="BT286" s="28"/>
      <c r="BU286" s="28"/>
      <c r="BV286" s="29"/>
      <c r="BW286" s="28"/>
      <c r="BX286" s="28"/>
      <c r="BY286" s="28"/>
      <c r="BZ286" s="28"/>
    </row>
    <row r="287" s="27" customFormat="1" spans="1:78">
      <c r="A287" s="28"/>
      <c r="B287" s="28"/>
      <c r="C287" s="29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30"/>
      <c r="AQ287" s="30"/>
      <c r="AR287" s="30"/>
      <c r="AS287" s="30"/>
      <c r="AT287" s="28"/>
      <c r="AU287" s="28"/>
      <c r="AV287" s="28"/>
      <c r="AW287" s="30"/>
      <c r="AX287" s="28"/>
      <c r="AY287" s="28"/>
      <c r="AZ287" s="28"/>
      <c r="BA287" s="28"/>
      <c r="BB287" s="28"/>
      <c r="BC287" s="28"/>
      <c r="BD287" s="28"/>
      <c r="BE287" s="28"/>
      <c r="BF287" s="28"/>
      <c r="BG287" s="30"/>
      <c r="BH287" s="28"/>
      <c r="BI287" s="28"/>
      <c r="BJ287" s="28"/>
      <c r="BK287" s="28"/>
      <c r="BL287" s="28"/>
      <c r="BM287" s="28"/>
      <c r="BN287" s="28"/>
      <c r="BO287" s="28"/>
      <c r="BP287" s="28"/>
      <c r="BQ287" s="28"/>
      <c r="BR287" s="29"/>
      <c r="BS287" s="28"/>
      <c r="BT287" s="28"/>
      <c r="BU287" s="28"/>
      <c r="BV287" s="29"/>
      <c r="BW287" s="28"/>
      <c r="BX287" s="28"/>
      <c r="BY287" s="28"/>
      <c r="BZ287" s="28"/>
    </row>
    <row r="288" s="27" customFormat="1" spans="1:78">
      <c r="A288" s="28"/>
      <c r="B288" s="28"/>
      <c r="C288" s="29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30"/>
      <c r="AQ288" s="30"/>
      <c r="AR288" s="30"/>
      <c r="AS288" s="30"/>
      <c r="AT288" s="28"/>
      <c r="AU288" s="28"/>
      <c r="AV288" s="28"/>
      <c r="AW288" s="30"/>
      <c r="AX288" s="28"/>
      <c r="AY288" s="28"/>
      <c r="AZ288" s="28"/>
      <c r="BA288" s="28"/>
      <c r="BB288" s="28"/>
      <c r="BC288" s="28"/>
      <c r="BD288" s="28"/>
      <c r="BE288" s="28"/>
      <c r="BF288" s="28"/>
      <c r="BG288" s="30"/>
      <c r="BH288" s="28"/>
      <c r="BI288" s="28"/>
      <c r="BJ288" s="28"/>
      <c r="BK288" s="28"/>
      <c r="BL288" s="28"/>
      <c r="BM288" s="28"/>
      <c r="BN288" s="28"/>
      <c r="BO288" s="28"/>
      <c r="BP288" s="28"/>
      <c r="BQ288" s="28"/>
      <c r="BR288" s="29"/>
      <c r="BS288" s="28"/>
      <c r="BT288" s="28"/>
      <c r="BU288" s="28"/>
      <c r="BV288" s="29"/>
      <c r="BW288" s="28"/>
      <c r="BX288" s="28"/>
      <c r="BY288" s="28"/>
      <c r="BZ288" s="28"/>
    </row>
    <row r="289" s="27" customFormat="1" spans="1:78">
      <c r="A289" s="28"/>
      <c r="B289" s="28"/>
      <c r="C289" s="29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30"/>
      <c r="AQ289" s="30"/>
      <c r="AR289" s="30"/>
      <c r="AS289" s="30"/>
      <c r="AT289" s="28"/>
      <c r="AU289" s="28"/>
      <c r="AV289" s="28"/>
      <c r="AW289" s="30"/>
      <c r="AX289" s="28"/>
      <c r="AY289" s="28"/>
      <c r="AZ289" s="28"/>
      <c r="BA289" s="28"/>
      <c r="BB289" s="28"/>
      <c r="BC289" s="28"/>
      <c r="BD289" s="28"/>
      <c r="BE289" s="28"/>
      <c r="BF289" s="28"/>
      <c r="BG289" s="30"/>
      <c r="BH289" s="28"/>
      <c r="BI289" s="28"/>
      <c r="BJ289" s="28"/>
      <c r="BK289" s="28"/>
      <c r="BL289" s="28"/>
      <c r="BM289" s="28"/>
      <c r="BN289" s="28"/>
      <c r="BO289" s="28"/>
      <c r="BP289" s="28"/>
      <c r="BQ289" s="28"/>
      <c r="BR289" s="29"/>
      <c r="BS289" s="29"/>
      <c r="BT289" s="29"/>
      <c r="BU289" s="29"/>
      <c r="BV289" s="29"/>
      <c r="BW289" s="28"/>
      <c r="BX289" s="28"/>
      <c r="BY289" s="28"/>
      <c r="BZ289" s="28"/>
    </row>
    <row r="290" s="27" customFormat="1" spans="1:78">
      <c r="A290" s="28"/>
      <c r="B290" s="28"/>
      <c r="C290" s="29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30"/>
      <c r="AQ290" s="30"/>
      <c r="AR290" s="30"/>
      <c r="AS290" s="30"/>
      <c r="AT290" s="28"/>
      <c r="AU290" s="28"/>
      <c r="AV290" s="28"/>
      <c r="AW290" s="30"/>
      <c r="AX290" s="28"/>
      <c r="AY290" s="28"/>
      <c r="AZ290" s="28"/>
      <c r="BA290" s="28"/>
      <c r="BB290" s="28"/>
      <c r="BC290" s="28"/>
      <c r="BD290" s="28"/>
      <c r="BE290" s="28"/>
      <c r="BF290" s="28"/>
      <c r="BG290" s="30"/>
      <c r="BH290" s="28"/>
      <c r="BI290" s="28"/>
      <c r="BJ290" s="28"/>
      <c r="BK290" s="28"/>
      <c r="BL290" s="28"/>
      <c r="BM290" s="28"/>
      <c r="BN290" s="28"/>
      <c r="BO290" s="28"/>
      <c r="BP290" s="28"/>
      <c r="BQ290" s="28"/>
      <c r="BR290" s="29"/>
      <c r="BS290" s="29"/>
      <c r="BT290" s="29"/>
      <c r="BU290" s="28"/>
      <c r="BV290" s="29"/>
      <c r="BW290" s="28"/>
      <c r="BX290" s="28"/>
      <c r="BY290" s="28"/>
      <c r="BZ290" s="28"/>
    </row>
    <row r="291" s="27" customFormat="1" spans="1:78">
      <c r="A291" s="28"/>
      <c r="B291" s="28"/>
      <c r="C291" s="29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30"/>
      <c r="AQ291" s="30"/>
      <c r="AR291" s="30"/>
      <c r="AS291" s="30"/>
      <c r="AT291" s="28"/>
      <c r="AU291" s="28"/>
      <c r="AV291" s="28"/>
      <c r="AW291" s="30"/>
      <c r="AX291" s="28"/>
      <c r="AY291" s="28"/>
      <c r="AZ291" s="28"/>
      <c r="BA291" s="28"/>
      <c r="BB291" s="28"/>
      <c r="BC291" s="28"/>
      <c r="BD291" s="28"/>
      <c r="BE291" s="28"/>
      <c r="BF291" s="28"/>
      <c r="BG291" s="30"/>
      <c r="BH291" s="28"/>
      <c r="BI291" s="28"/>
      <c r="BJ291" s="28"/>
      <c r="BK291" s="28"/>
      <c r="BL291" s="28"/>
      <c r="BM291" s="28"/>
      <c r="BN291" s="28"/>
      <c r="BO291" s="28"/>
      <c r="BP291" s="28"/>
      <c r="BQ291" s="28"/>
      <c r="BR291" s="29"/>
      <c r="BS291" s="29"/>
      <c r="BT291" s="29"/>
      <c r="BU291" s="29"/>
      <c r="BV291" s="29"/>
      <c r="BW291" s="28"/>
      <c r="BX291" s="28"/>
      <c r="BY291" s="28"/>
      <c r="BZ291" s="28"/>
    </row>
    <row r="292" s="27" customFormat="1" spans="1:78">
      <c r="A292" s="28"/>
      <c r="B292" s="28"/>
      <c r="C292" s="29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30"/>
      <c r="AQ292" s="30"/>
      <c r="AR292" s="30"/>
      <c r="AS292" s="30"/>
      <c r="AT292" s="28"/>
      <c r="AU292" s="28"/>
      <c r="AV292" s="28"/>
      <c r="AW292" s="30"/>
      <c r="AX292" s="28"/>
      <c r="AY292" s="28"/>
      <c r="AZ292" s="28"/>
      <c r="BA292" s="28"/>
      <c r="BB292" s="28"/>
      <c r="BC292" s="28"/>
      <c r="BD292" s="28"/>
      <c r="BE292" s="28"/>
      <c r="BF292" s="28"/>
      <c r="BG292" s="30"/>
      <c r="BH292" s="28"/>
      <c r="BI292" s="28"/>
      <c r="BJ292" s="28"/>
      <c r="BK292" s="28"/>
      <c r="BL292" s="28"/>
      <c r="BM292" s="28"/>
      <c r="BN292" s="28"/>
      <c r="BO292" s="28"/>
      <c r="BP292" s="28"/>
      <c r="BQ292" s="28"/>
      <c r="BR292" s="29"/>
      <c r="BS292" s="29"/>
      <c r="BT292" s="29"/>
      <c r="BU292" s="29"/>
      <c r="BV292" s="29"/>
      <c r="BW292" s="29"/>
      <c r="BX292" s="28"/>
      <c r="BY292" s="28"/>
      <c r="BZ292" s="28"/>
    </row>
    <row r="293" s="27" customFormat="1" spans="1:78">
      <c r="A293" s="28"/>
      <c r="B293" s="28"/>
      <c r="C293" s="29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30"/>
      <c r="AQ293" s="30"/>
      <c r="AR293" s="30"/>
      <c r="AS293" s="30"/>
      <c r="AT293" s="28"/>
      <c r="AU293" s="28"/>
      <c r="AV293" s="28"/>
      <c r="AW293" s="30"/>
      <c r="AX293" s="28"/>
      <c r="AY293" s="28"/>
      <c r="AZ293" s="28"/>
      <c r="BA293" s="28"/>
      <c r="BB293" s="28"/>
      <c r="BC293" s="28"/>
      <c r="BD293" s="28"/>
      <c r="BE293" s="28"/>
      <c r="BF293" s="28"/>
      <c r="BG293" s="30"/>
      <c r="BH293" s="28"/>
      <c r="BI293" s="28"/>
      <c r="BJ293" s="28"/>
      <c r="BK293" s="28"/>
      <c r="BL293" s="28"/>
      <c r="BM293" s="28"/>
      <c r="BN293" s="28"/>
      <c r="BO293" s="28"/>
      <c r="BP293" s="28"/>
      <c r="BQ293" s="28"/>
      <c r="BR293" s="29"/>
      <c r="BS293" s="29"/>
      <c r="BT293" s="29"/>
      <c r="BU293" s="29"/>
      <c r="BV293" s="29"/>
      <c r="BW293" s="29"/>
      <c r="BX293" s="28"/>
      <c r="BY293" s="28"/>
      <c r="BZ293" s="28"/>
    </row>
    <row r="294" s="27" customFormat="1" spans="1:78">
      <c r="A294" s="28"/>
      <c r="B294" s="28"/>
      <c r="C294" s="29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30"/>
      <c r="AQ294" s="30"/>
      <c r="AR294" s="30"/>
      <c r="AS294" s="30"/>
      <c r="AT294" s="28"/>
      <c r="AU294" s="28"/>
      <c r="AV294" s="28"/>
      <c r="AW294" s="30"/>
      <c r="AX294" s="28"/>
      <c r="AY294" s="28"/>
      <c r="AZ294" s="28"/>
      <c r="BA294" s="28"/>
      <c r="BB294" s="28"/>
      <c r="BC294" s="28"/>
      <c r="BD294" s="28"/>
      <c r="BE294" s="28"/>
      <c r="BF294" s="28"/>
      <c r="BG294" s="30"/>
      <c r="BH294" s="28"/>
      <c r="BI294" s="28"/>
      <c r="BJ294" s="28"/>
      <c r="BK294" s="28"/>
      <c r="BL294" s="28"/>
      <c r="BM294" s="28"/>
      <c r="BN294" s="28"/>
      <c r="BO294" s="28"/>
      <c r="BP294" s="28"/>
      <c r="BQ294" s="28"/>
      <c r="BR294" s="29"/>
      <c r="BS294" s="29"/>
      <c r="BT294" s="29"/>
      <c r="BU294" s="29"/>
      <c r="BV294" s="29"/>
      <c r="BW294" s="29"/>
      <c r="BX294" s="28"/>
      <c r="BY294" s="28"/>
      <c r="BZ294" s="28"/>
    </row>
    <row r="295" s="27" customFormat="1" spans="1:78">
      <c r="A295" s="28"/>
      <c r="B295" s="28"/>
      <c r="C295" s="29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30"/>
      <c r="AQ295" s="30"/>
      <c r="AR295" s="30"/>
      <c r="AS295" s="30"/>
      <c r="AT295" s="28"/>
      <c r="AU295" s="28"/>
      <c r="AV295" s="28"/>
      <c r="AW295" s="30"/>
      <c r="AX295" s="28"/>
      <c r="AY295" s="28"/>
      <c r="AZ295" s="28"/>
      <c r="BA295" s="28"/>
      <c r="BB295" s="28"/>
      <c r="BC295" s="28"/>
      <c r="BD295" s="28"/>
      <c r="BE295" s="28"/>
      <c r="BF295" s="28"/>
      <c r="BG295" s="30"/>
      <c r="BH295" s="28"/>
      <c r="BI295" s="28"/>
      <c r="BJ295" s="28"/>
      <c r="BK295" s="28"/>
      <c r="BL295" s="28"/>
      <c r="BM295" s="28"/>
      <c r="BN295" s="28"/>
      <c r="BO295" s="28"/>
      <c r="BP295" s="28"/>
      <c r="BQ295" s="28"/>
      <c r="BR295" s="29"/>
      <c r="BS295" s="29"/>
      <c r="BT295" s="29"/>
      <c r="BU295" s="29"/>
      <c r="BV295" s="29"/>
      <c r="BW295" s="28"/>
      <c r="BX295" s="28"/>
      <c r="BY295" s="28"/>
      <c r="BZ295" s="28"/>
    </row>
    <row r="296" s="27" customFormat="1" spans="1:78">
      <c r="A296" s="28"/>
      <c r="B296" s="28"/>
      <c r="C296" s="29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30"/>
      <c r="AQ296" s="30"/>
      <c r="AR296" s="30"/>
      <c r="AS296" s="30"/>
      <c r="AT296" s="28"/>
      <c r="AU296" s="28"/>
      <c r="AV296" s="28"/>
      <c r="AW296" s="28"/>
      <c r="AX296" s="28"/>
      <c r="AY296" s="28"/>
      <c r="AZ296" s="28"/>
      <c r="BA296" s="28"/>
      <c r="BB296" s="28"/>
      <c r="BC296" s="28"/>
      <c r="BD296" s="28"/>
      <c r="BE296" s="28"/>
      <c r="BF296" s="28"/>
      <c r="BG296" s="30"/>
      <c r="BH296" s="28"/>
      <c r="BI296" s="28"/>
      <c r="BJ296" s="28"/>
      <c r="BK296" s="28"/>
      <c r="BL296" s="28"/>
      <c r="BM296" s="28"/>
      <c r="BN296" s="28"/>
      <c r="BO296" s="28"/>
      <c r="BP296" s="28"/>
      <c r="BQ296" s="28"/>
      <c r="BR296" s="28"/>
      <c r="BS296" s="28"/>
      <c r="BT296" s="28"/>
      <c r="BU296" s="28"/>
      <c r="BV296" s="29"/>
      <c r="BW296" s="28"/>
      <c r="BX296" s="28"/>
      <c r="BY296" s="28"/>
      <c r="BZ296" s="28"/>
    </row>
    <row r="297" s="27" customFormat="1" spans="1:78">
      <c r="A297" s="28"/>
      <c r="B297" s="28"/>
      <c r="C297" s="29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30"/>
      <c r="AQ297" s="30"/>
      <c r="AR297" s="30"/>
      <c r="AS297" s="30"/>
      <c r="AT297" s="28"/>
      <c r="AU297" s="28"/>
      <c r="AV297" s="28"/>
      <c r="AW297" s="30"/>
      <c r="AX297" s="28"/>
      <c r="AY297" s="28"/>
      <c r="AZ297" s="28"/>
      <c r="BA297" s="28"/>
      <c r="BB297" s="28"/>
      <c r="BC297" s="28"/>
      <c r="BD297" s="28"/>
      <c r="BE297" s="28"/>
      <c r="BF297" s="28"/>
      <c r="BG297" s="30"/>
      <c r="BH297" s="28"/>
      <c r="BI297" s="28"/>
      <c r="BJ297" s="28"/>
      <c r="BK297" s="28"/>
      <c r="BL297" s="28"/>
      <c r="BM297" s="28"/>
      <c r="BN297" s="28"/>
      <c r="BO297" s="28"/>
      <c r="BP297" s="28"/>
      <c r="BQ297" s="28"/>
      <c r="BR297" s="29"/>
      <c r="BS297" s="29"/>
      <c r="BT297" s="29"/>
      <c r="BU297" s="29"/>
      <c r="BV297" s="29"/>
      <c r="BW297" s="29"/>
      <c r="BX297" s="28"/>
      <c r="BY297" s="28"/>
      <c r="BZ297" s="28"/>
    </row>
    <row r="298" s="27" customFormat="1" spans="1:78">
      <c r="A298" s="28"/>
      <c r="B298" s="28"/>
      <c r="C298" s="29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30"/>
      <c r="AQ298" s="30"/>
      <c r="AR298" s="30"/>
      <c r="AS298" s="30"/>
      <c r="AT298" s="28"/>
      <c r="AU298" s="28"/>
      <c r="AV298" s="28"/>
      <c r="AW298" s="30"/>
      <c r="AX298" s="28"/>
      <c r="AY298" s="28"/>
      <c r="AZ298" s="28"/>
      <c r="BA298" s="28"/>
      <c r="BB298" s="28"/>
      <c r="BC298" s="28"/>
      <c r="BD298" s="28"/>
      <c r="BE298" s="28"/>
      <c r="BF298" s="28"/>
      <c r="BG298" s="30"/>
      <c r="BH298" s="28"/>
      <c r="BI298" s="28"/>
      <c r="BJ298" s="28"/>
      <c r="BK298" s="28"/>
      <c r="BL298" s="28"/>
      <c r="BM298" s="28"/>
      <c r="BN298" s="28"/>
      <c r="BO298" s="28"/>
      <c r="BP298" s="28"/>
      <c r="BQ298" s="28"/>
      <c r="BR298" s="29"/>
      <c r="BS298" s="29"/>
      <c r="BT298" s="29"/>
      <c r="BU298" s="29"/>
      <c r="BV298" s="29"/>
      <c r="BW298" s="29"/>
      <c r="BX298" s="28"/>
      <c r="BY298" s="28"/>
      <c r="BZ298" s="28"/>
    </row>
    <row r="299" s="27" customFormat="1" spans="1:78">
      <c r="A299" s="28"/>
      <c r="B299" s="28"/>
      <c r="C299" s="29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30"/>
      <c r="AQ299" s="30"/>
      <c r="AR299" s="30"/>
      <c r="AS299" s="30"/>
      <c r="AT299" s="28"/>
      <c r="AU299" s="28"/>
      <c r="AV299" s="28"/>
      <c r="AW299" s="30"/>
      <c r="AX299" s="28"/>
      <c r="AY299" s="28"/>
      <c r="AZ299" s="28"/>
      <c r="BA299" s="28"/>
      <c r="BB299" s="28"/>
      <c r="BC299" s="28"/>
      <c r="BD299" s="28"/>
      <c r="BE299" s="28"/>
      <c r="BF299" s="28"/>
      <c r="BG299" s="30"/>
      <c r="BH299" s="28"/>
      <c r="BI299" s="28"/>
      <c r="BJ299" s="28"/>
      <c r="BK299" s="28"/>
      <c r="BL299" s="28"/>
      <c r="BM299" s="28"/>
      <c r="BN299" s="28"/>
      <c r="BO299" s="28"/>
      <c r="BP299" s="28"/>
      <c r="BQ299" s="28"/>
      <c r="BR299" s="29"/>
      <c r="BS299" s="29"/>
      <c r="BT299" s="29"/>
      <c r="BU299" s="28"/>
      <c r="BV299" s="29"/>
      <c r="BW299" s="28"/>
      <c r="BX299" s="28"/>
      <c r="BY299" s="28"/>
      <c r="BZ299" s="28"/>
    </row>
    <row r="300" s="27" customFormat="1" spans="1:78">
      <c r="A300" s="28"/>
      <c r="B300" s="28"/>
      <c r="C300" s="29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30"/>
      <c r="AQ300" s="30"/>
      <c r="AR300" s="30"/>
      <c r="AS300" s="30"/>
      <c r="AT300" s="28"/>
      <c r="AU300" s="28"/>
      <c r="AV300" s="28"/>
      <c r="AW300" s="30"/>
      <c r="AX300" s="28"/>
      <c r="AY300" s="28"/>
      <c r="AZ300" s="28"/>
      <c r="BA300" s="28"/>
      <c r="BB300" s="28"/>
      <c r="BC300" s="28"/>
      <c r="BD300" s="28"/>
      <c r="BE300" s="28"/>
      <c r="BF300" s="28"/>
      <c r="BG300" s="30"/>
      <c r="BH300" s="28"/>
      <c r="BI300" s="28"/>
      <c r="BJ300" s="28"/>
      <c r="BK300" s="28"/>
      <c r="BL300" s="28"/>
      <c r="BM300" s="28"/>
      <c r="BN300" s="28"/>
      <c r="BO300" s="28"/>
      <c r="BP300" s="28"/>
      <c r="BQ300" s="28"/>
      <c r="BR300" s="29"/>
      <c r="BS300" s="29"/>
      <c r="BT300" s="29"/>
      <c r="BU300" s="28"/>
      <c r="BV300" s="29"/>
      <c r="BW300" s="28"/>
      <c r="BX300" s="28"/>
      <c r="BY300" s="28"/>
      <c r="BZ300" s="28"/>
    </row>
    <row r="301" s="27" customFormat="1" spans="1:78">
      <c r="A301" s="28"/>
      <c r="B301" s="28"/>
      <c r="C301" s="29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30"/>
      <c r="AQ301" s="30"/>
      <c r="AR301" s="30"/>
      <c r="AS301" s="30"/>
      <c r="AT301" s="28"/>
      <c r="AU301" s="28"/>
      <c r="AV301" s="28"/>
      <c r="AW301" s="30"/>
      <c r="AX301" s="28"/>
      <c r="AY301" s="28"/>
      <c r="AZ301" s="28"/>
      <c r="BA301" s="28"/>
      <c r="BB301" s="28"/>
      <c r="BC301" s="28"/>
      <c r="BD301" s="28"/>
      <c r="BE301" s="28"/>
      <c r="BF301" s="28"/>
      <c r="BG301" s="30"/>
      <c r="BH301" s="28"/>
      <c r="BI301" s="28"/>
      <c r="BJ301" s="28"/>
      <c r="BK301" s="28"/>
      <c r="BL301" s="28"/>
      <c r="BM301" s="28"/>
      <c r="BN301" s="28"/>
      <c r="BO301" s="28"/>
      <c r="BP301" s="28"/>
      <c r="BQ301" s="28"/>
      <c r="BR301" s="29"/>
      <c r="BS301" s="29"/>
      <c r="BT301" s="29"/>
      <c r="BU301" s="29"/>
      <c r="BV301" s="29"/>
      <c r="BW301" s="29"/>
      <c r="BX301" s="28"/>
      <c r="BY301" s="28"/>
      <c r="BZ301" s="28"/>
    </row>
    <row r="302" s="27" customFormat="1" spans="1:78">
      <c r="A302" s="28"/>
      <c r="B302" s="28"/>
      <c r="C302" s="29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30"/>
      <c r="AQ302" s="30"/>
      <c r="AR302" s="30"/>
      <c r="AS302" s="30"/>
      <c r="AT302" s="28"/>
      <c r="AU302" s="29"/>
      <c r="AV302" s="30"/>
      <c r="AW302" s="30"/>
      <c r="AX302" s="28"/>
      <c r="AY302" s="28"/>
      <c r="AZ302" s="28"/>
      <c r="BA302" s="28"/>
      <c r="BB302" s="28"/>
      <c r="BC302" s="28"/>
      <c r="BD302" s="28"/>
      <c r="BE302" s="28"/>
      <c r="BF302" s="28"/>
      <c r="BG302" s="30"/>
      <c r="BH302" s="28"/>
      <c r="BI302" s="28"/>
      <c r="BJ302" s="28"/>
      <c r="BK302" s="28"/>
      <c r="BL302" s="28"/>
      <c r="BM302" s="28"/>
      <c r="BN302" s="28"/>
      <c r="BO302" s="28"/>
      <c r="BP302" s="28"/>
      <c r="BQ302" s="28"/>
      <c r="BR302" s="29"/>
      <c r="BS302" s="29"/>
      <c r="BT302" s="29"/>
      <c r="BU302" s="29"/>
      <c r="BV302" s="29"/>
      <c r="BW302" s="29"/>
      <c r="BX302" s="28"/>
      <c r="BY302" s="28"/>
      <c r="BZ302" s="28"/>
    </row>
    <row r="303" s="27" customFormat="1" spans="1:78">
      <c r="A303" s="28"/>
      <c r="B303" s="28"/>
      <c r="C303" s="29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30"/>
      <c r="AQ303" s="30"/>
      <c r="AR303" s="30"/>
      <c r="AS303" s="30"/>
      <c r="AT303" s="28"/>
      <c r="AU303" s="28"/>
      <c r="AV303" s="28"/>
      <c r="AW303" s="30"/>
      <c r="AX303" s="28"/>
      <c r="AY303" s="28"/>
      <c r="AZ303" s="28"/>
      <c r="BA303" s="28"/>
      <c r="BB303" s="28"/>
      <c r="BC303" s="28"/>
      <c r="BD303" s="28"/>
      <c r="BE303" s="28"/>
      <c r="BF303" s="28"/>
      <c r="BG303" s="30"/>
      <c r="BH303" s="28"/>
      <c r="BI303" s="28"/>
      <c r="BJ303" s="28"/>
      <c r="BK303" s="28"/>
      <c r="BL303" s="28"/>
      <c r="BM303" s="28"/>
      <c r="BN303" s="28"/>
      <c r="BO303" s="28"/>
      <c r="BP303" s="28"/>
      <c r="BQ303" s="28"/>
      <c r="BR303" s="29"/>
      <c r="BS303" s="29"/>
      <c r="BT303" s="29"/>
      <c r="BU303" s="28"/>
      <c r="BV303" s="29"/>
      <c r="BW303" s="28"/>
      <c r="BX303" s="28"/>
      <c r="BY303" s="28"/>
      <c r="BZ303" s="28"/>
    </row>
    <row r="304" s="27" customFormat="1" spans="1:78">
      <c r="A304" s="28"/>
      <c r="B304" s="28"/>
      <c r="C304" s="29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30"/>
      <c r="AQ304" s="30"/>
      <c r="AR304" s="30"/>
      <c r="AS304" s="30"/>
      <c r="AT304" s="28"/>
      <c r="AU304" s="28"/>
      <c r="AV304" s="28"/>
      <c r="AW304" s="30"/>
      <c r="AX304" s="28"/>
      <c r="AY304" s="28"/>
      <c r="AZ304" s="28"/>
      <c r="BA304" s="28"/>
      <c r="BB304" s="28"/>
      <c r="BC304" s="28"/>
      <c r="BD304" s="28"/>
      <c r="BE304" s="28"/>
      <c r="BF304" s="28"/>
      <c r="BG304" s="30"/>
      <c r="BH304" s="28"/>
      <c r="BI304" s="28"/>
      <c r="BJ304" s="28"/>
      <c r="BK304" s="28"/>
      <c r="BL304" s="28"/>
      <c r="BM304" s="28"/>
      <c r="BN304" s="28"/>
      <c r="BO304" s="28"/>
      <c r="BP304" s="28"/>
      <c r="BQ304" s="28"/>
      <c r="BR304" s="29"/>
      <c r="BS304" s="29"/>
      <c r="BT304" s="29"/>
      <c r="BU304" s="28"/>
      <c r="BV304" s="29"/>
      <c r="BW304" s="28"/>
      <c r="BX304" s="28"/>
      <c r="BY304" s="28"/>
      <c r="BZ304" s="28"/>
    </row>
    <row r="305" s="27" customFormat="1" spans="1:78">
      <c r="A305" s="28"/>
      <c r="B305" s="28"/>
      <c r="C305" s="29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30"/>
      <c r="AQ305" s="30"/>
      <c r="AR305" s="30"/>
      <c r="AS305" s="30"/>
      <c r="AT305" s="28"/>
      <c r="AU305" s="28"/>
      <c r="AV305" s="28"/>
      <c r="AW305" s="30"/>
      <c r="AX305" s="28"/>
      <c r="AY305" s="28"/>
      <c r="AZ305" s="28"/>
      <c r="BA305" s="28"/>
      <c r="BB305" s="28"/>
      <c r="BC305" s="28"/>
      <c r="BD305" s="28"/>
      <c r="BE305" s="28"/>
      <c r="BF305" s="28"/>
      <c r="BG305" s="30"/>
      <c r="BH305" s="28"/>
      <c r="BI305" s="28"/>
      <c r="BJ305" s="28"/>
      <c r="BK305" s="28"/>
      <c r="BL305" s="28"/>
      <c r="BM305" s="28"/>
      <c r="BN305" s="28"/>
      <c r="BO305" s="28"/>
      <c r="BP305" s="28"/>
      <c r="BQ305" s="28"/>
      <c r="BR305" s="29"/>
      <c r="BS305" s="29"/>
      <c r="BT305" s="29"/>
      <c r="BU305" s="29"/>
      <c r="BV305" s="29"/>
      <c r="BW305" s="29"/>
      <c r="BX305" s="28"/>
      <c r="BY305" s="28"/>
      <c r="BZ305" s="28"/>
    </row>
    <row r="306" s="27" customFormat="1" spans="1:78">
      <c r="A306" s="28"/>
      <c r="B306" s="28"/>
      <c r="C306" s="29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30"/>
      <c r="AQ306" s="30"/>
      <c r="AR306" s="30"/>
      <c r="AS306" s="30"/>
      <c r="AT306" s="28"/>
      <c r="AU306" s="28"/>
      <c r="AV306" s="28"/>
      <c r="AW306" s="30"/>
      <c r="AX306" s="28"/>
      <c r="AY306" s="28"/>
      <c r="AZ306" s="28"/>
      <c r="BA306" s="28"/>
      <c r="BB306" s="28"/>
      <c r="BC306" s="28"/>
      <c r="BD306" s="28"/>
      <c r="BE306" s="28"/>
      <c r="BF306" s="28"/>
      <c r="BG306" s="30"/>
      <c r="BH306" s="28"/>
      <c r="BI306" s="28"/>
      <c r="BJ306" s="28"/>
      <c r="BK306" s="28"/>
      <c r="BL306" s="28"/>
      <c r="BM306" s="28"/>
      <c r="BN306" s="28"/>
      <c r="BO306" s="28"/>
      <c r="BP306" s="28"/>
      <c r="BQ306" s="28"/>
      <c r="BR306" s="29"/>
      <c r="BS306" s="29"/>
      <c r="BT306" s="29"/>
      <c r="BU306" s="29"/>
      <c r="BV306" s="29"/>
      <c r="BW306" s="29"/>
      <c r="BX306" s="28"/>
      <c r="BY306" s="28"/>
      <c r="BZ306" s="28"/>
    </row>
    <row r="307" s="27" customFormat="1" spans="1:78">
      <c r="A307" s="28"/>
      <c r="B307" s="28"/>
      <c r="C307" s="29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30"/>
      <c r="AQ307" s="30"/>
      <c r="AR307" s="30"/>
      <c r="AS307" s="30"/>
      <c r="AT307" s="28"/>
      <c r="AU307" s="28"/>
      <c r="AV307" s="28"/>
      <c r="AW307" s="30"/>
      <c r="AX307" s="28"/>
      <c r="AY307" s="28"/>
      <c r="AZ307" s="28"/>
      <c r="BA307" s="28"/>
      <c r="BB307" s="28"/>
      <c r="BC307" s="28"/>
      <c r="BD307" s="28"/>
      <c r="BE307" s="28"/>
      <c r="BF307" s="28"/>
      <c r="BG307" s="30"/>
      <c r="BH307" s="28"/>
      <c r="BI307" s="28"/>
      <c r="BJ307" s="28"/>
      <c r="BK307" s="28"/>
      <c r="BL307" s="28"/>
      <c r="BM307" s="28"/>
      <c r="BN307" s="28"/>
      <c r="BO307" s="28"/>
      <c r="BP307" s="28"/>
      <c r="BQ307" s="28"/>
      <c r="BR307" s="29"/>
      <c r="BS307" s="29"/>
      <c r="BT307" s="29"/>
      <c r="BU307" s="29"/>
      <c r="BV307" s="29"/>
      <c r="BW307" s="28"/>
      <c r="BX307" s="28"/>
      <c r="BY307" s="28"/>
      <c r="BZ307" s="28"/>
    </row>
    <row r="308" s="27" customFormat="1" spans="1:78">
      <c r="A308" s="28"/>
      <c r="B308" s="28"/>
      <c r="C308" s="29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30"/>
      <c r="AQ308" s="30"/>
      <c r="AR308" s="30"/>
      <c r="AS308" s="30"/>
      <c r="AT308" s="28"/>
      <c r="AU308" s="28"/>
      <c r="AV308" s="28"/>
      <c r="AW308" s="30"/>
      <c r="AX308" s="28"/>
      <c r="AY308" s="28"/>
      <c r="AZ308" s="28"/>
      <c r="BA308" s="28"/>
      <c r="BB308" s="28"/>
      <c r="BC308" s="28"/>
      <c r="BD308" s="28"/>
      <c r="BE308" s="28"/>
      <c r="BF308" s="28"/>
      <c r="BG308" s="30"/>
      <c r="BH308" s="28"/>
      <c r="BI308" s="28"/>
      <c r="BJ308" s="28"/>
      <c r="BK308" s="28"/>
      <c r="BL308" s="28"/>
      <c r="BM308" s="28"/>
      <c r="BN308" s="28"/>
      <c r="BO308" s="28"/>
      <c r="BP308" s="28"/>
      <c r="BQ308" s="28"/>
      <c r="BR308" s="29"/>
      <c r="BS308" s="29"/>
      <c r="BT308" s="29"/>
      <c r="BU308" s="28"/>
      <c r="BV308" s="29"/>
      <c r="BW308" s="28"/>
      <c r="BX308" s="28"/>
      <c r="BY308" s="28"/>
      <c r="BZ308" s="28"/>
    </row>
    <row r="309" s="27" customFormat="1" spans="1:78">
      <c r="A309" s="28"/>
      <c r="B309" s="28"/>
      <c r="C309" s="29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30"/>
      <c r="AQ309" s="30"/>
      <c r="AR309" s="30"/>
      <c r="AS309" s="30"/>
      <c r="AT309" s="28"/>
      <c r="AU309" s="28"/>
      <c r="AV309" s="28"/>
      <c r="AW309" s="30"/>
      <c r="AX309" s="28"/>
      <c r="AY309" s="28"/>
      <c r="AZ309" s="28"/>
      <c r="BA309" s="28"/>
      <c r="BB309" s="28"/>
      <c r="BC309" s="28"/>
      <c r="BD309" s="28"/>
      <c r="BE309" s="28"/>
      <c r="BF309" s="28"/>
      <c r="BG309" s="30"/>
      <c r="BH309" s="28"/>
      <c r="BI309" s="28"/>
      <c r="BJ309" s="28"/>
      <c r="BK309" s="28"/>
      <c r="BL309" s="28"/>
      <c r="BM309" s="28"/>
      <c r="BN309" s="28"/>
      <c r="BO309" s="28"/>
      <c r="BP309" s="28"/>
      <c r="BQ309" s="28"/>
      <c r="BR309" s="29"/>
      <c r="BS309" s="29"/>
      <c r="BT309" s="29"/>
      <c r="BU309" s="29"/>
      <c r="BV309" s="29"/>
      <c r="BW309" s="28"/>
      <c r="BX309" s="28"/>
      <c r="BY309" s="28"/>
      <c r="BZ309" s="28"/>
    </row>
    <row r="310" s="27" customFormat="1" spans="1:78">
      <c r="A310" s="28"/>
      <c r="B310" s="28"/>
      <c r="C310" s="29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30"/>
      <c r="AQ310" s="30"/>
      <c r="AR310" s="30"/>
      <c r="AS310" s="30"/>
      <c r="AT310" s="28"/>
      <c r="AU310" s="28"/>
      <c r="AV310" s="28"/>
      <c r="AW310" s="30"/>
      <c r="AX310" s="28"/>
      <c r="AY310" s="28"/>
      <c r="AZ310" s="28"/>
      <c r="BA310" s="28"/>
      <c r="BB310" s="28"/>
      <c r="BC310" s="28"/>
      <c r="BD310" s="28"/>
      <c r="BE310" s="28"/>
      <c r="BF310" s="28"/>
      <c r="BG310" s="30"/>
      <c r="BH310" s="28"/>
      <c r="BI310" s="28"/>
      <c r="BJ310" s="28"/>
      <c r="BK310" s="28"/>
      <c r="BL310" s="28"/>
      <c r="BM310" s="28"/>
      <c r="BN310" s="28"/>
      <c r="BO310" s="28"/>
      <c r="BP310" s="28"/>
      <c r="BQ310" s="28"/>
      <c r="BR310" s="29"/>
      <c r="BS310" s="29"/>
      <c r="BT310" s="29"/>
      <c r="BU310" s="29"/>
      <c r="BV310" s="29"/>
      <c r="BW310" s="29"/>
      <c r="BX310" s="28"/>
      <c r="BY310" s="28"/>
      <c r="BZ310" s="28"/>
    </row>
    <row r="311" s="27" customFormat="1" spans="1:78">
      <c r="A311" s="28"/>
      <c r="B311" s="28"/>
      <c r="C311" s="29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30"/>
      <c r="AQ311" s="30"/>
      <c r="AR311" s="30"/>
      <c r="AS311" s="30"/>
      <c r="AT311" s="28"/>
      <c r="AU311" s="28"/>
      <c r="AV311" s="28"/>
      <c r="AW311" s="30"/>
      <c r="AX311" s="28"/>
      <c r="AY311" s="28"/>
      <c r="AZ311" s="28"/>
      <c r="BA311" s="28"/>
      <c r="BB311" s="28"/>
      <c r="BC311" s="28"/>
      <c r="BD311" s="28"/>
      <c r="BE311" s="28"/>
      <c r="BF311" s="28"/>
      <c r="BG311" s="30"/>
      <c r="BH311" s="28"/>
      <c r="BI311" s="28"/>
      <c r="BJ311" s="28"/>
      <c r="BK311" s="28"/>
      <c r="BL311" s="28"/>
      <c r="BM311" s="28"/>
      <c r="BN311" s="28"/>
      <c r="BO311" s="28"/>
      <c r="BP311" s="28"/>
      <c r="BQ311" s="28"/>
      <c r="BR311" s="29"/>
      <c r="BS311" s="29"/>
      <c r="BT311" s="29"/>
      <c r="BU311" s="29"/>
      <c r="BV311" s="29"/>
      <c r="BW311" s="29"/>
      <c r="BX311" s="28"/>
      <c r="BY311" s="28"/>
      <c r="BZ311" s="28"/>
    </row>
    <row r="312" s="27" customFormat="1" spans="1:78">
      <c r="A312" s="28"/>
      <c r="B312" s="28"/>
      <c r="C312" s="29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30"/>
      <c r="AQ312" s="30"/>
      <c r="AR312" s="30"/>
      <c r="AS312" s="30"/>
      <c r="AT312" s="28"/>
      <c r="AU312" s="28"/>
      <c r="AV312" s="28"/>
      <c r="AW312" s="30"/>
      <c r="AX312" s="28"/>
      <c r="AY312" s="28"/>
      <c r="AZ312" s="28"/>
      <c r="BA312" s="28"/>
      <c r="BB312" s="28"/>
      <c r="BC312" s="28"/>
      <c r="BD312" s="28"/>
      <c r="BE312" s="28"/>
      <c r="BF312" s="28"/>
      <c r="BG312" s="30"/>
      <c r="BH312" s="28"/>
      <c r="BI312" s="28"/>
      <c r="BJ312" s="28"/>
      <c r="BK312" s="28"/>
      <c r="BL312" s="28"/>
      <c r="BM312" s="28"/>
      <c r="BN312" s="28"/>
      <c r="BO312" s="28"/>
      <c r="BP312" s="28"/>
      <c r="BQ312" s="28"/>
      <c r="BR312" s="29"/>
      <c r="BS312" s="29"/>
      <c r="BT312" s="29"/>
      <c r="BU312" s="29"/>
      <c r="BV312" s="29"/>
      <c r="BW312" s="29"/>
      <c r="BX312" s="28"/>
      <c r="BY312" s="28"/>
      <c r="BZ312" s="28"/>
    </row>
    <row r="313" s="27" customFormat="1" spans="1:78">
      <c r="A313" s="28"/>
      <c r="B313" s="28"/>
      <c r="C313" s="29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30"/>
      <c r="AQ313" s="30"/>
      <c r="AR313" s="30"/>
      <c r="AS313" s="30"/>
      <c r="AT313" s="28"/>
      <c r="AU313" s="28"/>
      <c r="AV313" s="28"/>
      <c r="AW313" s="30"/>
      <c r="AX313" s="28"/>
      <c r="AY313" s="28"/>
      <c r="AZ313" s="28"/>
      <c r="BA313" s="28"/>
      <c r="BB313" s="28"/>
      <c r="BC313" s="28"/>
      <c r="BD313" s="28"/>
      <c r="BE313" s="28"/>
      <c r="BF313" s="28"/>
      <c r="BG313" s="30"/>
      <c r="BH313" s="28"/>
      <c r="BI313" s="28"/>
      <c r="BJ313" s="28"/>
      <c r="BK313" s="28"/>
      <c r="BL313" s="28"/>
      <c r="BM313" s="28"/>
      <c r="BN313" s="28"/>
      <c r="BO313" s="28"/>
      <c r="BP313" s="28"/>
      <c r="BQ313" s="28"/>
      <c r="BR313" s="29"/>
      <c r="BS313" s="29"/>
      <c r="BT313" s="29"/>
      <c r="BU313" s="29"/>
      <c r="BV313" s="29"/>
      <c r="BW313" s="28"/>
      <c r="BX313" s="28"/>
      <c r="BY313" s="28"/>
      <c r="BZ313" s="28"/>
    </row>
    <row r="314" s="27" customFormat="1" spans="1:78">
      <c r="A314" s="28"/>
      <c r="B314" s="28"/>
      <c r="C314" s="29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30"/>
      <c r="AQ314" s="30"/>
      <c r="AR314" s="30"/>
      <c r="AS314" s="30"/>
      <c r="AT314" s="28"/>
      <c r="AU314" s="28"/>
      <c r="AV314" s="28"/>
      <c r="AW314" s="30"/>
      <c r="AX314" s="28"/>
      <c r="AY314" s="28"/>
      <c r="AZ314" s="28"/>
      <c r="BA314" s="28"/>
      <c r="BB314" s="28"/>
      <c r="BC314" s="28"/>
      <c r="BD314" s="28"/>
      <c r="BE314" s="28"/>
      <c r="BF314" s="28"/>
      <c r="BG314" s="30"/>
      <c r="BH314" s="28"/>
      <c r="BI314" s="28"/>
      <c r="BJ314" s="28"/>
      <c r="BK314" s="28"/>
      <c r="BL314" s="28"/>
      <c r="BM314" s="28"/>
      <c r="BN314" s="28"/>
      <c r="BO314" s="28"/>
      <c r="BP314" s="28"/>
      <c r="BQ314" s="28"/>
      <c r="BR314" s="29"/>
      <c r="BS314" s="29"/>
      <c r="BT314" s="29"/>
      <c r="BU314" s="29"/>
      <c r="BV314" s="29"/>
      <c r="BW314" s="29"/>
      <c r="BX314" s="28"/>
      <c r="BY314" s="28"/>
      <c r="BZ314" s="28"/>
    </row>
    <row r="315" s="27" customFormat="1" spans="1:78">
      <c r="A315" s="28"/>
      <c r="B315" s="28"/>
      <c r="C315" s="29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30"/>
      <c r="AQ315" s="30"/>
      <c r="AR315" s="30"/>
      <c r="AS315" s="30"/>
      <c r="AT315" s="28"/>
      <c r="AU315" s="28"/>
      <c r="AV315" s="28"/>
      <c r="AW315" s="30"/>
      <c r="AX315" s="28"/>
      <c r="AY315" s="28"/>
      <c r="AZ315" s="28"/>
      <c r="BA315" s="28"/>
      <c r="BB315" s="28"/>
      <c r="BC315" s="28"/>
      <c r="BD315" s="28"/>
      <c r="BE315" s="28"/>
      <c r="BF315" s="28"/>
      <c r="BG315" s="30"/>
      <c r="BH315" s="28"/>
      <c r="BI315" s="28"/>
      <c r="BJ315" s="28"/>
      <c r="BK315" s="28"/>
      <c r="BL315" s="28"/>
      <c r="BM315" s="28"/>
      <c r="BN315" s="28"/>
      <c r="BO315" s="28"/>
      <c r="BP315" s="28"/>
      <c r="BQ315" s="28"/>
      <c r="BR315" s="29"/>
      <c r="BS315" s="29"/>
      <c r="BT315" s="29"/>
      <c r="BU315" s="29"/>
      <c r="BV315" s="29"/>
      <c r="BW315" s="29"/>
      <c r="BX315" s="28"/>
      <c r="BY315" s="28"/>
      <c r="BZ315" s="28"/>
    </row>
    <row r="316" s="27" customFormat="1" spans="1:78">
      <c r="A316" s="28"/>
      <c r="B316" s="28"/>
      <c r="C316" s="29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30"/>
      <c r="AQ316" s="30"/>
      <c r="AR316" s="30"/>
      <c r="AS316" s="30"/>
      <c r="AT316" s="28"/>
      <c r="AU316" s="28"/>
      <c r="AV316" s="28"/>
      <c r="AW316" s="30"/>
      <c r="AX316" s="28"/>
      <c r="AY316" s="28"/>
      <c r="AZ316" s="28"/>
      <c r="BA316" s="28"/>
      <c r="BB316" s="28"/>
      <c r="BC316" s="28"/>
      <c r="BD316" s="28"/>
      <c r="BE316" s="28"/>
      <c r="BF316" s="28"/>
      <c r="BG316" s="30"/>
      <c r="BH316" s="28"/>
      <c r="BI316" s="28"/>
      <c r="BJ316" s="28"/>
      <c r="BK316" s="28"/>
      <c r="BL316" s="28"/>
      <c r="BM316" s="28"/>
      <c r="BN316" s="28"/>
      <c r="BO316" s="28"/>
      <c r="BP316" s="28"/>
      <c r="BQ316" s="28"/>
      <c r="BR316" s="29"/>
      <c r="BS316" s="28"/>
      <c r="BT316" s="28"/>
      <c r="BU316" s="28"/>
      <c r="BV316" s="29"/>
      <c r="BW316" s="28"/>
      <c r="BX316" s="28"/>
      <c r="BY316" s="28"/>
      <c r="BZ316" s="28"/>
    </row>
    <row r="317" s="27" customFormat="1" spans="1:78">
      <c r="A317" s="28"/>
      <c r="B317" s="28"/>
      <c r="C317" s="29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30"/>
      <c r="AQ317" s="30"/>
      <c r="AR317" s="30"/>
      <c r="AS317" s="30"/>
      <c r="AT317" s="28"/>
      <c r="AU317" s="28"/>
      <c r="AV317" s="28"/>
      <c r="AW317" s="30"/>
      <c r="AX317" s="28"/>
      <c r="AY317" s="28"/>
      <c r="AZ317" s="28"/>
      <c r="BA317" s="28"/>
      <c r="BB317" s="28"/>
      <c r="BC317" s="28"/>
      <c r="BD317" s="28"/>
      <c r="BE317" s="28"/>
      <c r="BF317" s="28"/>
      <c r="BG317" s="30"/>
      <c r="BH317" s="28"/>
      <c r="BI317" s="28"/>
      <c r="BJ317" s="28"/>
      <c r="BK317" s="28"/>
      <c r="BL317" s="28"/>
      <c r="BM317" s="28"/>
      <c r="BN317" s="28"/>
      <c r="BO317" s="28"/>
      <c r="BP317" s="28"/>
      <c r="BQ317" s="28"/>
      <c r="BR317" s="29"/>
      <c r="BS317" s="28"/>
      <c r="BT317" s="28"/>
      <c r="BU317" s="28"/>
      <c r="BV317" s="29"/>
      <c r="BW317" s="28"/>
      <c r="BX317" s="28"/>
      <c r="BY317" s="28"/>
      <c r="BZ317" s="28"/>
    </row>
    <row r="318" s="27" customFormat="1" spans="1:78">
      <c r="A318" s="28"/>
      <c r="B318" s="28"/>
      <c r="C318" s="29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30"/>
      <c r="AQ318" s="30"/>
      <c r="AR318" s="30"/>
      <c r="AS318" s="30"/>
      <c r="AT318" s="28"/>
      <c r="AU318" s="28"/>
      <c r="AV318" s="28"/>
      <c r="AW318" s="30"/>
      <c r="AX318" s="28"/>
      <c r="AY318" s="28"/>
      <c r="AZ318" s="28"/>
      <c r="BA318" s="28"/>
      <c r="BB318" s="28"/>
      <c r="BC318" s="28"/>
      <c r="BD318" s="28"/>
      <c r="BE318" s="28"/>
      <c r="BF318" s="28"/>
      <c r="BG318" s="30"/>
      <c r="BH318" s="28"/>
      <c r="BI318" s="28"/>
      <c r="BJ318" s="28"/>
      <c r="BK318" s="28"/>
      <c r="BL318" s="28"/>
      <c r="BM318" s="28"/>
      <c r="BN318" s="28"/>
      <c r="BO318" s="28"/>
      <c r="BP318" s="28"/>
      <c r="BQ318" s="28"/>
      <c r="BR318" s="29"/>
      <c r="BS318" s="29"/>
      <c r="BT318" s="29"/>
      <c r="BU318" s="29"/>
      <c r="BV318" s="29"/>
      <c r="BW318" s="28"/>
      <c r="BX318" s="28"/>
      <c r="BY318" s="28"/>
      <c r="BZ318" s="28"/>
    </row>
    <row r="319" s="27" customFormat="1" spans="1:78">
      <c r="A319" s="28"/>
      <c r="B319" s="28"/>
      <c r="C319" s="29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30"/>
      <c r="AQ319" s="30"/>
      <c r="AR319" s="30"/>
      <c r="AS319" s="30"/>
      <c r="AT319" s="28"/>
      <c r="AU319" s="28"/>
      <c r="AV319" s="28"/>
      <c r="AW319" s="30"/>
      <c r="AX319" s="28"/>
      <c r="AY319" s="28"/>
      <c r="AZ319" s="28"/>
      <c r="BA319" s="28"/>
      <c r="BB319" s="28"/>
      <c r="BC319" s="28"/>
      <c r="BD319" s="28"/>
      <c r="BE319" s="28"/>
      <c r="BF319" s="28"/>
      <c r="BG319" s="30"/>
      <c r="BH319" s="28"/>
      <c r="BI319" s="28"/>
      <c r="BJ319" s="28"/>
      <c r="BK319" s="28"/>
      <c r="BL319" s="28"/>
      <c r="BM319" s="28"/>
      <c r="BN319" s="28"/>
      <c r="BO319" s="28"/>
      <c r="BP319" s="28"/>
      <c r="BQ319" s="28"/>
      <c r="BR319" s="29"/>
      <c r="BS319" s="29"/>
      <c r="BT319" s="29"/>
      <c r="BU319" s="29"/>
      <c r="BV319" s="29"/>
      <c r="BW319" s="29"/>
      <c r="BX319" s="28"/>
      <c r="BY319" s="28"/>
      <c r="BZ319" s="28"/>
    </row>
    <row r="320" s="27" customFormat="1" spans="1:78">
      <c r="A320" s="28"/>
      <c r="B320" s="28"/>
      <c r="C320" s="29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30"/>
      <c r="AQ320" s="30"/>
      <c r="AR320" s="30"/>
      <c r="AS320" s="30"/>
      <c r="AT320" s="28"/>
      <c r="AU320" s="28"/>
      <c r="AV320" s="28"/>
      <c r="AW320" s="30"/>
      <c r="AX320" s="28"/>
      <c r="AY320" s="28"/>
      <c r="AZ320" s="28"/>
      <c r="BA320" s="28"/>
      <c r="BB320" s="28"/>
      <c r="BC320" s="28"/>
      <c r="BD320" s="28"/>
      <c r="BE320" s="28"/>
      <c r="BF320" s="28"/>
      <c r="BG320" s="30"/>
      <c r="BH320" s="28"/>
      <c r="BI320" s="28"/>
      <c r="BJ320" s="28"/>
      <c r="BK320" s="28"/>
      <c r="BL320" s="28"/>
      <c r="BM320" s="28"/>
      <c r="BN320" s="28"/>
      <c r="BO320" s="28"/>
      <c r="BP320" s="28"/>
      <c r="BQ320" s="28"/>
      <c r="BR320" s="29"/>
      <c r="BS320" s="29"/>
      <c r="BT320" s="29"/>
      <c r="BU320" s="28"/>
      <c r="BV320" s="29"/>
      <c r="BW320" s="28"/>
      <c r="BX320" s="28"/>
      <c r="BY320" s="28"/>
      <c r="BZ320" s="28"/>
    </row>
    <row r="321" s="27" customFormat="1" spans="1:78">
      <c r="A321" s="28"/>
      <c r="B321" s="28"/>
      <c r="C321" s="29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30"/>
      <c r="AQ321" s="30"/>
      <c r="AR321" s="30"/>
      <c r="AS321" s="30"/>
      <c r="AT321" s="28"/>
      <c r="AU321" s="28"/>
      <c r="AV321" s="28"/>
      <c r="AW321" s="30"/>
      <c r="AX321" s="28"/>
      <c r="AY321" s="28"/>
      <c r="AZ321" s="28"/>
      <c r="BA321" s="28"/>
      <c r="BB321" s="28"/>
      <c r="BC321" s="28"/>
      <c r="BD321" s="28"/>
      <c r="BE321" s="28"/>
      <c r="BF321" s="28"/>
      <c r="BG321" s="30"/>
      <c r="BH321" s="28"/>
      <c r="BI321" s="28"/>
      <c r="BJ321" s="28"/>
      <c r="BK321" s="28"/>
      <c r="BL321" s="28"/>
      <c r="BM321" s="28"/>
      <c r="BN321" s="28"/>
      <c r="BO321" s="28"/>
      <c r="BP321" s="28"/>
      <c r="BQ321" s="28"/>
      <c r="BR321" s="29"/>
      <c r="BS321" s="29"/>
      <c r="BT321" s="29"/>
      <c r="BU321" s="29"/>
      <c r="BV321" s="29"/>
      <c r="BW321" s="29"/>
      <c r="BX321" s="28"/>
      <c r="BY321" s="28"/>
      <c r="BZ321" s="28"/>
    </row>
    <row r="322" s="27" customFormat="1" spans="1:78">
      <c r="A322" s="28"/>
      <c r="B322" s="28"/>
      <c r="C322" s="29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30"/>
      <c r="AQ322" s="30"/>
      <c r="AR322" s="30"/>
      <c r="AS322" s="30"/>
      <c r="AT322" s="28"/>
      <c r="AU322" s="28"/>
      <c r="AV322" s="28"/>
      <c r="AW322" s="30"/>
      <c r="AX322" s="28"/>
      <c r="AY322" s="28"/>
      <c r="AZ322" s="28"/>
      <c r="BA322" s="28"/>
      <c r="BB322" s="28"/>
      <c r="BC322" s="28"/>
      <c r="BD322" s="28"/>
      <c r="BE322" s="28"/>
      <c r="BF322" s="28"/>
      <c r="BG322" s="30"/>
      <c r="BH322" s="28"/>
      <c r="BI322" s="28"/>
      <c r="BJ322" s="28"/>
      <c r="BK322" s="28"/>
      <c r="BL322" s="28"/>
      <c r="BM322" s="28"/>
      <c r="BN322" s="28"/>
      <c r="BO322" s="28"/>
      <c r="BP322" s="28"/>
      <c r="BQ322" s="28"/>
      <c r="BR322" s="29"/>
      <c r="BS322" s="29"/>
      <c r="BT322" s="29"/>
      <c r="BU322" s="29"/>
      <c r="BV322" s="29"/>
      <c r="BW322" s="29"/>
      <c r="BX322" s="28"/>
      <c r="BY322" s="28"/>
      <c r="BZ322" s="28"/>
    </row>
    <row r="323" s="27" customFormat="1" spans="1:78">
      <c r="A323" s="28"/>
      <c r="B323" s="28"/>
      <c r="C323" s="29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30"/>
      <c r="AQ323" s="30"/>
      <c r="AR323" s="30"/>
      <c r="AS323" s="30"/>
      <c r="AT323" s="28"/>
      <c r="AU323" s="28"/>
      <c r="AV323" s="28"/>
      <c r="AW323" s="30"/>
      <c r="AX323" s="28"/>
      <c r="AY323" s="28"/>
      <c r="AZ323" s="28"/>
      <c r="BA323" s="28"/>
      <c r="BB323" s="28"/>
      <c r="BC323" s="28"/>
      <c r="BD323" s="28"/>
      <c r="BE323" s="28"/>
      <c r="BF323" s="28"/>
      <c r="BG323" s="30"/>
      <c r="BH323" s="28"/>
      <c r="BI323" s="28"/>
      <c r="BJ323" s="28"/>
      <c r="BK323" s="28"/>
      <c r="BL323" s="28"/>
      <c r="BM323" s="28"/>
      <c r="BN323" s="28"/>
      <c r="BO323" s="28"/>
      <c r="BP323" s="28"/>
      <c r="BQ323" s="28"/>
      <c r="BR323" s="29"/>
      <c r="BS323" s="28"/>
      <c r="BT323" s="28"/>
      <c r="BU323" s="28"/>
      <c r="BV323" s="29"/>
      <c r="BW323" s="28"/>
      <c r="BX323" s="28"/>
      <c r="BY323" s="28"/>
      <c r="BZ323" s="28"/>
    </row>
    <row r="324" s="27" customFormat="1" spans="1:78">
      <c r="A324" s="28"/>
      <c r="B324" s="28"/>
      <c r="C324" s="29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30"/>
      <c r="AQ324" s="30"/>
      <c r="AR324" s="30"/>
      <c r="AS324" s="30"/>
      <c r="AT324" s="28"/>
      <c r="AU324" s="28"/>
      <c r="AV324" s="28"/>
      <c r="AW324" s="30"/>
      <c r="AX324" s="28"/>
      <c r="AY324" s="28"/>
      <c r="AZ324" s="28"/>
      <c r="BA324" s="28"/>
      <c r="BB324" s="28"/>
      <c r="BC324" s="28"/>
      <c r="BD324" s="28"/>
      <c r="BE324" s="28"/>
      <c r="BF324" s="28"/>
      <c r="BG324" s="30"/>
      <c r="BH324" s="28"/>
      <c r="BI324" s="28"/>
      <c r="BJ324" s="28"/>
      <c r="BK324" s="28"/>
      <c r="BL324" s="28"/>
      <c r="BM324" s="28"/>
      <c r="BN324" s="28"/>
      <c r="BO324" s="28"/>
      <c r="BP324" s="28"/>
      <c r="BQ324" s="28"/>
      <c r="BR324" s="29"/>
      <c r="BS324" s="29"/>
      <c r="BT324" s="29"/>
      <c r="BU324" s="29"/>
      <c r="BV324" s="29"/>
      <c r="BW324" s="28"/>
      <c r="BX324" s="28"/>
      <c r="BY324" s="28"/>
      <c r="BZ324" s="28"/>
    </row>
    <row r="325" s="27" customFormat="1" spans="1:78">
      <c r="A325" s="28"/>
      <c r="B325" s="28"/>
      <c r="C325" s="29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30"/>
      <c r="AQ325" s="30"/>
      <c r="AR325" s="30"/>
      <c r="AS325" s="30"/>
      <c r="AT325" s="28"/>
      <c r="AU325" s="28"/>
      <c r="AV325" s="28"/>
      <c r="AW325" s="30"/>
      <c r="AX325" s="28"/>
      <c r="AY325" s="28"/>
      <c r="AZ325" s="28"/>
      <c r="BA325" s="28"/>
      <c r="BB325" s="28"/>
      <c r="BC325" s="28"/>
      <c r="BD325" s="28"/>
      <c r="BE325" s="28"/>
      <c r="BF325" s="28"/>
      <c r="BG325" s="30"/>
      <c r="BH325" s="28"/>
      <c r="BI325" s="28"/>
      <c r="BJ325" s="28"/>
      <c r="BK325" s="28"/>
      <c r="BL325" s="28"/>
      <c r="BM325" s="28"/>
      <c r="BN325" s="28"/>
      <c r="BO325" s="28"/>
      <c r="BP325" s="28"/>
      <c r="BQ325" s="28"/>
      <c r="BR325" s="29"/>
      <c r="BS325" s="29"/>
      <c r="BT325" s="29"/>
      <c r="BU325" s="29"/>
      <c r="BV325" s="29"/>
      <c r="BW325" s="28"/>
      <c r="BX325" s="28"/>
      <c r="BY325" s="28"/>
      <c r="BZ325" s="28"/>
    </row>
    <row r="326" s="27" customFormat="1" spans="1:78">
      <c r="A326" s="28"/>
      <c r="B326" s="28"/>
      <c r="C326" s="29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30"/>
      <c r="AQ326" s="30"/>
      <c r="AR326" s="30"/>
      <c r="AS326" s="30"/>
      <c r="AT326" s="28"/>
      <c r="AU326" s="28"/>
      <c r="AV326" s="28"/>
      <c r="AW326" s="30"/>
      <c r="AX326" s="28"/>
      <c r="AY326" s="28"/>
      <c r="AZ326" s="28"/>
      <c r="BA326" s="28"/>
      <c r="BB326" s="28"/>
      <c r="BC326" s="28"/>
      <c r="BD326" s="28"/>
      <c r="BE326" s="28"/>
      <c r="BF326" s="28"/>
      <c r="BG326" s="30"/>
      <c r="BH326" s="28"/>
      <c r="BI326" s="28"/>
      <c r="BJ326" s="28"/>
      <c r="BK326" s="28"/>
      <c r="BL326" s="28"/>
      <c r="BM326" s="28"/>
      <c r="BN326" s="28"/>
      <c r="BO326" s="28"/>
      <c r="BP326" s="28"/>
      <c r="BQ326" s="28"/>
      <c r="BR326" s="29"/>
      <c r="BS326" s="29"/>
      <c r="BT326" s="29"/>
      <c r="BU326" s="28"/>
      <c r="BV326" s="29"/>
      <c r="BW326" s="28"/>
      <c r="BX326" s="28"/>
      <c r="BY326" s="28"/>
      <c r="BZ326" s="28"/>
    </row>
    <row r="327" s="27" customFormat="1" spans="1:78">
      <c r="A327" s="28"/>
      <c r="B327" s="28"/>
      <c r="C327" s="29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30"/>
      <c r="AQ327" s="30"/>
      <c r="AR327" s="30"/>
      <c r="AS327" s="30"/>
      <c r="AT327" s="28"/>
      <c r="AU327" s="28"/>
      <c r="AV327" s="28"/>
      <c r="AW327" s="30"/>
      <c r="AX327" s="28"/>
      <c r="AY327" s="28"/>
      <c r="AZ327" s="28"/>
      <c r="BA327" s="28"/>
      <c r="BB327" s="28"/>
      <c r="BC327" s="28"/>
      <c r="BD327" s="28"/>
      <c r="BE327" s="28"/>
      <c r="BF327" s="28"/>
      <c r="BG327" s="30"/>
      <c r="BH327" s="28"/>
      <c r="BI327" s="28"/>
      <c r="BJ327" s="28"/>
      <c r="BK327" s="28"/>
      <c r="BL327" s="28"/>
      <c r="BM327" s="28"/>
      <c r="BN327" s="28"/>
      <c r="BO327" s="28"/>
      <c r="BP327" s="28"/>
      <c r="BQ327" s="28"/>
      <c r="BR327" s="29"/>
      <c r="BS327" s="29"/>
      <c r="BT327" s="29"/>
      <c r="BU327" s="29"/>
      <c r="BV327" s="29"/>
      <c r="BW327" s="28"/>
      <c r="BX327" s="28"/>
      <c r="BY327" s="28"/>
      <c r="BZ327" s="28"/>
    </row>
    <row r="328" s="27" customFormat="1" spans="1:78">
      <c r="A328" s="28"/>
      <c r="B328" s="28"/>
      <c r="C328" s="29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30"/>
      <c r="AQ328" s="30"/>
      <c r="AR328" s="30"/>
      <c r="AS328" s="30"/>
      <c r="AT328" s="28"/>
      <c r="AU328" s="28"/>
      <c r="AV328" s="28"/>
      <c r="AW328" s="30"/>
      <c r="AX328" s="28"/>
      <c r="AY328" s="28"/>
      <c r="AZ328" s="28"/>
      <c r="BA328" s="28"/>
      <c r="BB328" s="28"/>
      <c r="BC328" s="28"/>
      <c r="BD328" s="28"/>
      <c r="BE328" s="28"/>
      <c r="BF328" s="28"/>
      <c r="BG328" s="30"/>
      <c r="BH328" s="28"/>
      <c r="BI328" s="28"/>
      <c r="BJ328" s="28"/>
      <c r="BK328" s="28"/>
      <c r="BL328" s="28"/>
      <c r="BM328" s="28"/>
      <c r="BN328" s="28"/>
      <c r="BO328" s="28"/>
      <c r="BP328" s="28"/>
      <c r="BQ328" s="28"/>
      <c r="BR328" s="29"/>
      <c r="BS328" s="29"/>
      <c r="BT328" s="29"/>
      <c r="BU328" s="28"/>
      <c r="BV328" s="29"/>
      <c r="BW328" s="28"/>
      <c r="BX328" s="28"/>
      <c r="BY328" s="28"/>
      <c r="BZ328" s="28"/>
    </row>
    <row r="329" s="27" customFormat="1" spans="1:78">
      <c r="A329" s="28"/>
      <c r="B329" s="28"/>
      <c r="C329" s="29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30"/>
      <c r="AQ329" s="30"/>
      <c r="AR329" s="30"/>
      <c r="AS329" s="30"/>
      <c r="AT329" s="28"/>
      <c r="AU329" s="28"/>
      <c r="AV329" s="28"/>
      <c r="AW329" s="30"/>
      <c r="AX329" s="28"/>
      <c r="AY329" s="28"/>
      <c r="AZ329" s="28"/>
      <c r="BA329" s="28"/>
      <c r="BB329" s="28"/>
      <c r="BC329" s="28"/>
      <c r="BD329" s="28"/>
      <c r="BE329" s="28"/>
      <c r="BF329" s="28"/>
      <c r="BG329" s="30"/>
      <c r="BH329" s="28"/>
      <c r="BI329" s="28"/>
      <c r="BJ329" s="28"/>
      <c r="BK329" s="28"/>
      <c r="BL329" s="28"/>
      <c r="BM329" s="28"/>
      <c r="BN329" s="28"/>
      <c r="BO329" s="28"/>
      <c r="BP329" s="28"/>
      <c r="BQ329" s="28"/>
      <c r="BR329" s="29"/>
      <c r="BS329" s="29"/>
      <c r="BT329" s="28"/>
      <c r="BU329" s="28"/>
      <c r="BV329" s="29"/>
      <c r="BW329" s="28"/>
      <c r="BX329" s="28"/>
      <c r="BY329" s="28"/>
      <c r="BZ329" s="28"/>
    </row>
    <row r="330" s="27" customFormat="1" spans="1:78">
      <c r="A330" s="28"/>
      <c r="B330" s="28"/>
      <c r="C330" s="29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30"/>
      <c r="AQ330" s="30"/>
      <c r="AR330" s="30"/>
      <c r="AS330" s="30"/>
      <c r="AT330" s="28"/>
      <c r="AU330" s="28"/>
      <c r="AV330" s="28"/>
      <c r="AW330" s="30"/>
      <c r="AX330" s="28"/>
      <c r="AY330" s="28"/>
      <c r="AZ330" s="28"/>
      <c r="BA330" s="28"/>
      <c r="BB330" s="28"/>
      <c r="BC330" s="28"/>
      <c r="BD330" s="28"/>
      <c r="BE330" s="28"/>
      <c r="BF330" s="28"/>
      <c r="BG330" s="30"/>
      <c r="BH330" s="28"/>
      <c r="BI330" s="28"/>
      <c r="BJ330" s="28"/>
      <c r="BK330" s="28"/>
      <c r="BL330" s="28"/>
      <c r="BM330" s="28"/>
      <c r="BN330" s="28"/>
      <c r="BO330" s="28"/>
      <c r="BP330" s="28"/>
      <c r="BQ330" s="28"/>
      <c r="BR330" s="29"/>
      <c r="BS330" s="29"/>
      <c r="BT330" s="29"/>
      <c r="BU330" s="29"/>
      <c r="BV330" s="29"/>
      <c r="BW330" s="29"/>
      <c r="BX330" s="28"/>
      <c r="BY330" s="28"/>
      <c r="BZ330" s="28"/>
    </row>
    <row r="331" s="27" customFormat="1" spans="1:78">
      <c r="A331" s="28"/>
      <c r="B331" s="28"/>
      <c r="C331" s="29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30"/>
      <c r="AQ331" s="30"/>
      <c r="AR331" s="30"/>
      <c r="AS331" s="30"/>
      <c r="AT331" s="28"/>
      <c r="AU331" s="28"/>
      <c r="AV331" s="28"/>
      <c r="AW331" s="30"/>
      <c r="AX331" s="28"/>
      <c r="AY331" s="28"/>
      <c r="AZ331" s="28"/>
      <c r="BA331" s="28"/>
      <c r="BB331" s="28"/>
      <c r="BC331" s="28"/>
      <c r="BD331" s="28"/>
      <c r="BE331" s="28"/>
      <c r="BF331" s="28"/>
      <c r="BG331" s="30"/>
      <c r="BH331" s="28"/>
      <c r="BI331" s="28"/>
      <c r="BJ331" s="28"/>
      <c r="BK331" s="28"/>
      <c r="BL331" s="28"/>
      <c r="BM331" s="28"/>
      <c r="BN331" s="28"/>
      <c r="BO331" s="28"/>
      <c r="BP331" s="28"/>
      <c r="BQ331" s="28"/>
      <c r="BR331" s="29"/>
      <c r="BS331" s="29"/>
      <c r="BT331" s="29"/>
      <c r="BU331" s="28"/>
      <c r="BV331" s="29"/>
      <c r="BW331" s="28"/>
      <c r="BX331" s="28"/>
      <c r="BY331" s="28"/>
      <c r="BZ331" s="28"/>
    </row>
    <row r="332" s="27" customFormat="1" spans="1:78">
      <c r="A332" s="28"/>
      <c r="B332" s="28"/>
      <c r="C332" s="29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30"/>
      <c r="AQ332" s="30"/>
      <c r="AR332" s="30"/>
      <c r="AS332" s="30"/>
      <c r="AT332" s="28"/>
      <c r="AU332" s="28"/>
      <c r="AV332" s="28"/>
      <c r="AW332" s="30"/>
      <c r="AX332" s="28"/>
      <c r="AY332" s="28"/>
      <c r="AZ332" s="28"/>
      <c r="BA332" s="28"/>
      <c r="BB332" s="28"/>
      <c r="BC332" s="28"/>
      <c r="BD332" s="28"/>
      <c r="BE332" s="28"/>
      <c r="BF332" s="28"/>
      <c r="BG332" s="30"/>
      <c r="BH332" s="28"/>
      <c r="BI332" s="28"/>
      <c r="BJ332" s="28"/>
      <c r="BK332" s="28"/>
      <c r="BL332" s="28"/>
      <c r="BM332" s="28"/>
      <c r="BN332" s="28"/>
      <c r="BO332" s="28"/>
      <c r="BP332" s="28"/>
      <c r="BQ332" s="28"/>
      <c r="BR332" s="29"/>
      <c r="BS332" s="29"/>
      <c r="BT332" s="29"/>
      <c r="BU332" s="29"/>
      <c r="BV332" s="29"/>
      <c r="BW332" s="29"/>
      <c r="BX332" s="28"/>
      <c r="BY332" s="28"/>
      <c r="BZ332" s="28"/>
    </row>
    <row r="333" s="27" customFormat="1" spans="1:78">
      <c r="A333" s="28"/>
      <c r="B333" s="28"/>
      <c r="C333" s="29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30"/>
      <c r="AQ333" s="30"/>
      <c r="AR333" s="30"/>
      <c r="AS333" s="30"/>
      <c r="AT333" s="28"/>
      <c r="AU333" s="29"/>
      <c r="AV333" s="30"/>
      <c r="AW333" s="30"/>
      <c r="AX333" s="28"/>
      <c r="AY333" s="28"/>
      <c r="AZ333" s="28"/>
      <c r="BA333" s="28"/>
      <c r="BB333" s="28"/>
      <c r="BC333" s="28"/>
      <c r="BD333" s="28"/>
      <c r="BE333" s="28"/>
      <c r="BF333" s="28"/>
      <c r="BG333" s="30"/>
      <c r="BH333" s="28"/>
      <c r="BI333" s="28"/>
      <c r="BJ333" s="28"/>
      <c r="BK333" s="28"/>
      <c r="BL333" s="28"/>
      <c r="BM333" s="28"/>
      <c r="BN333" s="28"/>
      <c r="BO333" s="28"/>
      <c r="BP333" s="28"/>
      <c r="BQ333" s="28"/>
      <c r="BR333" s="29"/>
      <c r="BS333" s="29"/>
      <c r="BT333" s="29"/>
      <c r="BU333" s="28"/>
      <c r="BV333" s="29"/>
      <c r="BW333" s="28"/>
      <c r="BX333" s="28"/>
      <c r="BY333" s="28"/>
      <c r="BZ333" s="28"/>
    </row>
    <row r="334" s="27" customFormat="1" spans="1:78">
      <c r="A334" s="28"/>
      <c r="B334" s="28"/>
      <c r="C334" s="29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30"/>
      <c r="AQ334" s="30"/>
      <c r="AR334" s="30"/>
      <c r="AS334" s="30"/>
      <c r="AT334" s="28"/>
      <c r="AU334" s="28"/>
      <c r="AV334" s="28"/>
      <c r="AW334" s="30"/>
      <c r="AX334" s="28"/>
      <c r="AY334" s="28"/>
      <c r="AZ334" s="28"/>
      <c r="BA334" s="28"/>
      <c r="BB334" s="28"/>
      <c r="BC334" s="28"/>
      <c r="BD334" s="28"/>
      <c r="BE334" s="28"/>
      <c r="BF334" s="28"/>
      <c r="BG334" s="30"/>
      <c r="BH334" s="28"/>
      <c r="BI334" s="28"/>
      <c r="BJ334" s="28"/>
      <c r="BK334" s="28"/>
      <c r="BL334" s="28"/>
      <c r="BM334" s="28"/>
      <c r="BN334" s="28"/>
      <c r="BO334" s="28"/>
      <c r="BP334" s="28"/>
      <c r="BQ334" s="28"/>
      <c r="BR334" s="29"/>
      <c r="BS334" s="29"/>
      <c r="BT334" s="29"/>
      <c r="BU334" s="29"/>
      <c r="BV334" s="29"/>
      <c r="BW334" s="29"/>
      <c r="BX334" s="28"/>
      <c r="BY334" s="28"/>
      <c r="BZ334" s="28"/>
    </row>
    <row r="335" s="27" customFormat="1" spans="1:78">
      <c r="A335" s="28"/>
      <c r="B335" s="28"/>
      <c r="C335" s="29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30"/>
      <c r="AQ335" s="30"/>
      <c r="AR335" s="30"/>
      <c r="AS335" s="30"/>
      <c r="AT335" s="28"/>
      <c r="AU335" s="28"/>
      <c r="AV335" s="28"/>
      <c r="AW335" s="30"/>
      <c r="AX335" s="28"/>
      <c r="AY335" s="28"/>
      <c r="AZ335" s="28"/>
      <c r="BA335" s="28"/>
      <c r="BB335" s="28"/>
      <c r="BC335" s="28"/>
      <c r="BD335" s="28"/>
      <c r="BE335" s="28"/>
      <c r="BF335" s="28"/>
      <c r="BG335" s="30"/>
      <c r="BH335" s="28"/>
      <c r="BI335" s="28"/>
      <c r="BJ335" s="28"/>
      <c r="BK335" s="28"/>
      <c r="BL335" s="28"/>
      <c r="BM335" s="28"/>
      <c r="BN335" s="28"/>
      <c r="BO335" s="28"/>
      <c r="BP335" s="28"/>
      <c r="BQ335" s="28"/>
      <c r="BR335" s="29"/>
      <c r="BS335" s="29"/>
      <c r="BT335" s="29"/>
      <c r="BU335" s="28"/>
      <c r="BV335" s="29"/>
      <c r="BW335" s="28"/>
      <c r="BX335" s="28"/>
      <c r="BY335" s="28"/>
      <c r="BZ335" s="28"/>
    </row>
    <row r="336" s="27" customFormat="1" spans="1:78">
      <c r="A336" s="28"/>
      <c r="B336" s="28"/>
      <c r="C336" s="29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30"/>
      <c r="AQ336" s="30"/>
      <c r="AR336" s="30"/>
      <c r="AS336" s="30"/>
      <c r="AT336" s="28"/>
      <c r="AU336" s="28"/>
      <c r="AV336" s="28"/>
      <c r="AW336" s="30"/>
      <c r="AX336" s="28"/>
      <c r="AY336" s="28"/>
      <c r="AZ336" s="28"/>
      <c r="BA336" s="28"/>
      <c r="BB336" s="28"/>
      <c r="BC336" s="28"/>
      <c r="BD336" s="28"/>
      <c r="BE336" s="28"/>
      <c r="BF336" s="28"/>
      <c r="BG336" s="30"/>
      <c r="BH336" s="28"/>
      <c r="BI336" s="28"/>
      <c r="BJ336" s="28"/>
      <c r="BK336" s="28"/>
      <c r="BL336" s="28"/>
      <c r="BM336" s="28"/>
      <c r="BN336" s="28"/>
      <c r="BO336" s="28"/>
      <c r="BP336" s="28"/>
      <c r="BQ336" s="28"/>
      <c r="BR336" s="29"/>
      <c r="BS336" s="29"/>
      <c r="BT336" s="29"/>
      <c r="BU336" s="29"/>
      <c r="BV336" s="29"/>
      <c r="BW336" s="29"/>
      <c r="BX336" s="28"/>
      <c r="BY336" s="28"/>
      <c r="BZ336" s="28"/>
    </row>
    <row r="337" s="27" customFormat="1" spans="1:78">
      <c r="A337" s="28"/>
      <c r="B337" s="28"/>
      <c r="C337" s="29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30"/>
      <c r="AQ337" s="30"/>
      <c r="AR337" s="30"/>
      <c r="AS337" s="30"/>
      <c r="AT337" s="28"/>
      <c r="AU337" s="28"/>
      <c r="AV337" s="28"/>
      <c r="AW337" s="30"/>
      <c r="AX337" s="28"/>
      <c r="AY337" s="28"/>
      <c r="AZ337" s="28"/>
      <c r="BA337" s="28"/>
      <c r="BB337" s="28"/>
      <c r="BC337" s="28"/>
      <c r="BD337" s="28"/>
      <c r="BE337" s="28"/>
      <c r="BF337" s="28"/>
      <c r="BG337" s="30"/>
      <c r="BH337" s="28"/>
      <c r="BI337" s="28"/>
      <c r="BJ337" s="28"/>
      <c r="BK337" s="28"/>
      <c r="BL337" s="28"/>
      <c r="BM337" s="28"/>
      <c r="BN337" s="28"/>
      <c r="BO337" s="28"/>
      <c r="BP337" s="28"/>
      <c r="BQ337" s="28"/>
      <c r="BR337" s="29"/>
      <c r="BS337" s="29"/>
      <c r="BT337" s="29"/>
      <c r="BU337" s="29"/>
      <c r="BV337" s="29"/>
      <c r="BW337" s="28"/>
      <c r="BX337" s="28"/>
      <c r="BY337" s="28"/>
      <c r="BZ337" s="28"/>
    </row>
    <row r="338" s="27" customFormat="1" spans="1:78">
      <c r="A338" s="28"/>
      <c r="B338" s="28"/>
      <c r="C338" s="29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30"/>
      <c r="AQ338" s="30"/>
      <c r="AR338" s="30"/>
      <c r="AS338" s="30"/>
      <c r="AT338" s="28"/>
      <c r="AU338" s="28"/>
      <c r="AV338" s="28"/>
      <c r="AW338" s="30"/>
      <c r="AX338" s="28"/>
      <c r="AY338" s="28"/>
      <c r="AZ338" s="28"/>
      <c r="BA338" s="28"/>
      <c r="BB338" s="28"/>
      <c r="BC338" s="28"/>
      <c r="BD338" s="28"/>
      <c r="BE338" s="28"/>
      <c r="BF338" s="28"/>
      <c r="BG338" s="30"/>
      <c r="BH338" s="28"/>
      <c r="BI338" s="28"/>
      <c r="BJ338" s="28"/>
      <c r="BK338" s="28"/>
      <c r="BL338" s="28"/>
      <c r="BM338" s="28"/>
      <c r="BN338" s="28"/>
      <c r="BO338" s="28"/>
      <c r="BP338" s="28"/>
      <c r="BQ338" s="28"/>
      <c r="BR338" s="29"/>
      <c r="BS338" s="29"/>
      <c r="BT338" s="29"/>
      <c r="BU338" s="28"/>
      <c r="BV338" s="29"/>
      <c r="BW338" s="28"/>
      <c r="BX338" s="28"/>
      <c r="BY338" s="28"/>
      <c r="BZ338" s="28"/>
    </row>
    <row r="339" s="27" customFormat="1" spans="1:78">
      <c r="A339" s="28"/>
      <c r="B339" s="28"/>
      <c r="C339" s="29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30"/>
      <c r="AQ339" s="30"/>
      <c r="AR339" s="30"/>
      <c r="AS339" s="30"/>
      <c r="AT339" s="28"/>
      <c r="AU339" s="29"/>
      <c r="AV339" s="30"/>
      <c r="AW339" s="30"/>
      <c r="AX339" s="28"/>
      <c r="AY339" s="28"/>
      <c r="AZ339" s="28"/>
      <c r="BA339" s="28"/>
      <c r="BB339" s="28"/>
      <c r="BC339" s="28"/>
      <c r="BD339" s="28"/>
      <c r="BE339" s="28"/>
      <c r="BF339" s="28"/>
      <c r="BG339" s="30"/>
      <c r="BH339" s="28"/>
      <c r="BI339" s="28"/>
      <c r="BJ339" s="28"/>
      <c r="BK339" s="28"/>
      <c r="BL339" s="28"/>
      <c r="BM339" s="28"/>
      <c r="BN339" s="28"/>
      <c r="BO339" s="28"/>
      <c r="BP339" s="28"/>
      <c r="BQ339" s="28"/>
      <c r="BR339" s="29"/>
      <c r="BS339" s="29"/>
      <c r="BT339" s="29"/>
      <c r="BU339" s="29"/>
      <c r="BV339" s="29"/>
      <c r="BW339" s="29"/>
      <c r="BX339" s="28"/>
      <c r="BY339" s="28"/>
      <c r="BZ339" s="28"/>
    </row>
    <row r="340" s="27" customFormat="1" spans="1:78">
      <c r="A340" s="28"/>
      <c r="B340" s="28"/>
      <c r="C340" s="29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30"/>
      <c r="AQ340" s="30"/>
      <c r="AR340" s="30"/>
      <c r="AS340" s="30"/>
      <c r="AT340" s="28"/>
      <c r="AU340" s="28"/>
      <c r="AV340" s="28"/>
      <c r="AW340" s="30"/>
      <c r="AX340" s="28"/>
      <c r="AY340" s="28"/>
      <c r="AZ340" s="28"/>
      <c r="BA340" s="28"/>
      <c r="BB340" s="28"/>
      <c r="BC340" s="28"/>
      <c r="BD340" s="28"/>
      <c r="BE340" s="28"/>
      <c r="BF340" s="28"/>
      <c r="BG340" s="30"/>
      <c r="BH340" s="28"/>
      <c r="BI340" s="28"/>
      <c r="BJ340" s="28"/>
      <c r="BK340" s="28"/>
      <c r="BL340" s="28"/>
      <c r="BM340" s="28"/>
      <c r="BN340" s="28"/>
      <c r="BO340" s="28"/>
      <c r="BP340" s="28"/>
      <c r="BQ340" s="28"/>
      <c r="BR340" s="29"/>
      <c r="BS340" s="29"/>
      <c r="BT340" s="28"/>
      <c r="BU340" s="28"/>
      <c r="BV340" s="29"/>
      <c r="BW340" s="28"/>
      <c r="BX340" s="28"/>
      <c r="BY340" s="28"/>
      <c r="BZ340" s="28"/>
    </row>
    <row r="341" s="27" customFormat="1" spans="1:78">
      <c r="A341" s="28"/>
      <c r="B341" s="28"/>
      <c r="C341" s="29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30"/>
      <c r="AQ341" s="30"/>
      <c r="AR341" s="30"/>
      <c r="AS341" s="30"/>
      <c r="AT341" s="28"/>
      <c r="AU341" s="28"/>
      <c r="AV341" s="28"/>
      <c r="AW341" s="30"/>
      <c r="AX341" s="28"/>
      <c r="AY341" s="28"/>
      <c r="AZ341" s="28"/>
      <c r="BA341" s="28"/>
      <c r="BB341" s="28"/>
      <c r="BC341" s="28"/>
      <c r="BD341" s="28"/>
      <c r="BE341" s="28"/>
      <c r="BF341" s="28"/>
      <c r="BG341" s="30"/>
      <c r="BH341" s="28"/>
      <c r="BI341" s="28"/>
      <c r="BJ341" s="28"/>
      <c r="BK341" s="28"/>
      <c r="BL341" s="28"/>
      <c r="BM341" s="28"/>
      <c r="BN341" s="28"/>
      <c r="BO341" s="28"/>
      <c r="BP341" s="28"/>
      <c r="BQ341" s="28"/>
      <c r="BR341" s="29"/>
      <c r="BS341" s="29"/>
      <c r="BT341" s="29"/>
      <c r="BU341" s="29"/>
      <c r="BV341" s="29"/>
      <c r="BW341" s="29"/>
      <c r="BX341" s="28"/>
      <c r="BY341" s="28"/>
      <c r="BZ341" s="28"/>
    </row>
    <row r="342" s="27" customFormat="1" spans="1:78">
      <c r="A342" s="28"/>
      <c r="B342" s="28"/>
      <c r="C342" s="29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30"/>
      <c r="AQ342" s="30"/>
      <c r="AR342" s="30"/>
      <c r="AS342" s="30"/>
      <c r="AT342" s="28"/>
      <c r="AU342" s="28"/>
      <c r="AV342" s="28"/>
      <c r="AW342" s="30"/>
      <c r="AX342" s="28"/>
      <c r="AY342" s="28"/>
      <c r="AZ342" s="28"/>
      <c r="BA342" s="28"/>
      <c r="BB342" s="28"/>
      <c r="BC342" s="28"/>
      <c r="BD342" s="28"/>
      <c r="BE342" s="28"/>
      <c r="BF342" s="28"/>
      <c r="BG342" s="30"/>
      <c r="BH342" s="28"/>
      <c r="BI342" s="28"/>
      <c r="BJ342" s="28"/>
      <c r="BK342" s="28"/>
      <c r="BL342" s="28"/>
      <c r="BM342" s="28"/>
      <c r="BN342" s="28"/>
      <c r="BO342" s="28"/>
      <c r="BP342" s="28"/>
      <c r="BQ342" s="28"/>
      <c r="BR342" s="29"/>
      <c r="BS342" s="29"/>
      <c r="BT342" s="29"/>
      <c r="BU342" s="28"/>
      <c r="BV342" s="29"/>
      <c r="BW342" s="28"/>
      <c r="BX342" s="28"/>
      <c r="BY342" s="28"/>
      <c r="BZ342" s="28"/>
    </row>
    <row r="343" s="27" customFormat="1" spans="1:78">
      <c r="A343" s="28"/>
      <c r="B343" s="28"/>
      <c r="C343" s="29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30"/>
      <c r="AQ343" s="30"/>
      <c r="AR343" s="30"/>
      <c r="AS343" s="30"/>
      <c r="AT343" s="28"/>
      <c r="AU343" s="28"/>
      <c r="AV343" s="28"/>
      <c r="AW343" s="30"/>
      <c r="AX343" s="28"/>
      <c r="AY343" s="28"/>
      <c r="AZ343" s="28"/>
      <c r="BA343" s="28"/>
      <c r="BB343" s="28"/>
      <c r="BC343" s="28"/>
      <c r="BD343" s="28"/>
      <c r="BE343" s="28"/>
      <c r="BF343" s="28"/>
      <c r="BG343" s="30"/>
      <c r="BH343" s="28"/>
      <c r="BI343" s="28"/>
      <c r="BJ343" s="28"/>
      <c r="BK343" s="28"/>
      <c r="BL343" s="28"/>
      <c r="BM343" s="28"/>
      <c r="BN343" s="28"/>
      <c r="BO343" s="28"/>
      <c r="BP343" s="28"/>
      <c r="BQ343" s="28"/>
      <c r="BR343" s="29"/>
      <c r="BS343" s="29"/>
      <c r="BT343" s="29"/>
      <c r="BU343" s="28"/>
      <c r="BV343" s="29"/>
      <c r="BW343" s="28"/>
      <c r="BX343" s="28"/>
      <c r="BY343" s="28"/>
      <c r="BZ343" s="28"/>
    </row>
    <row r="344" s="27" customFormat="1" spans="1:78">
      <c r="A344" s="28"/>
      <c r="B344" s="28"/>
      <c r="C344" s="29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30"/>
      <c r="AQ344" s="30"/>
      <c r="AR344" s="30"/>
      <c r="AS344" s="30"/>
      <c r="AT344" s="28"/>
      <c r="AU344" s="28"/>
      <c r="AV344" s="28"/>
      <c r="AW344" s="30"/>
      <c r="AX344" s="28"/>
      <c r="AY344" s="28"/>
      <c r="AZ344" s="28"/>
      <c r="BA344" s="28"/>
      <c r="BB344" s="28"/>
      <c r="BC344" s="28"/>
      <c r="BD344" s="28"/>
      <c r="BE344" s="28"/>
      <c r="BF344" s="28"/>
      <c r="BG344" s="30"/>
      <c r="BH344" s="28"/>
      <c r="BI344" s="28"/>
      <c r="BJ344" s="28"/>
      <c r="BK344" s="28"/>
      <c r="BL344" s="28"/>
      <c r="BM344" s="28"/>
      <c r="BN344" s="28"/>
      <c r="BO344" s="28"/>
      <c r="BP344" s="28"/>
      <c r="BQ344" s="28"/>
      <c r="BR344" s="29"/>
      <c r="BS344" s="29"/>
      <c r="BT344" s="29"/>
      <c r="BU344" s="29"/>
      <c r="BV344" s="29"/>
      <c r="BW344" s="29"/>
      <c r="BX344" s="28"/>
      <c r="BY344" s="28"/>
      <c r="BZ344" s="28"/>
    </row>
    <row r="345" s="27" customFormat="1" spans="1:78">
      <c r="A345" s="28"/>
      <c r="B345" s="28"/>
      <c r="C345" s="29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30"/>
      <c r="AQ345" s="30"/>
      <c r="AR345" s="30"/>
      <c r="AS345" s="30"/>
      <c r="AT345" s="28"/>
      <c r="AU345" s="28"/>
      <c r="AV345" s="28"/>
      <c r="AW345" s="30"/>
      <c r="AX345" s="28"/>
      <c r="AY345" s="28"/>
      <c r="AZ345" s="28"/>
      <c r="BA345" s="28"/>
      <c r="BB345" s="28"/>
      <c r="BC345" s="28"/>
      <c r="BD345" s="28"/>
      <c r="BE345" s="28"/>
      <c r="BF345" s="28"/>
      <c r="BG345" s="30"/>
      <c r="BH345" s="28"/>
      <c r="BI345" s="28"/>
      <c r="BJ345" s="28"/>
      <c r="BK345" s="28"/>
      <c r="BL345" s="28"/>
      <c r="BM345" s="28"/>
      <c r="BN345" s="28"/>
      <c r="BO345" s="28"/>
      <c r="BP345" s="28"/>
      <c r="BQ345" s="28"/>
      <c r="BR345" s="29"/>
      <c r="BS345" s="29"/>
      <c r="BT345" s="29"/>
      <c r="BU345" s="29"/>
      <c r="BV345" s="29"/>
      <c r="BW345" s="29"/>
      <c r="BX345" s="28"/>
      <c r="BY345" s="28"/>
      <c r="BZ345" s="28"/>
    </row>
    <row r="346" s="27" customFormat="1" spans="1:78">
      <c r="A346" s="28"/>
      <c r="B346" s="28"/>
      <c r="C346" s="29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30"/>
      <c r="AQ346" s="30"/>
      <c r="AR346" s="30"/>
      <c r="AS346" s="30"/>
      <c r="AT346" s="28"/>
      <c r="AU346" s="28"/>
      <c r="AV346" s="28"/>
      <c r="AW346" s="30"/>
      <c r="AX346" s="28"/>
      <c r="AY346" s="28"/>
      <c r="AZ346" s="28"/>
      <c r="BA346" s="28"/>
      <c r="BB346" s="28"/>
      <c r="BC346" s="28"/>
      <c r="BD346" s="28"/>
      <c r="BE346" s="28"/>
      <c r="BF346" s="28"/>
      <c r="BG346" s="30"/>
      <c r="BH346" s="28"/>
      <c r="BI346" s="28"/>
      <c r="BJ346" s="28"/>
      <c r="BK346" s="28"/>
      <c r="BL346" s="28"/>
      <c r="BM346" s="28"/>
      <c r="BN346" s="28"/>
      <c r="BO346" s="28"/>
      <c r="BP346" s="28"/>
      <c r="BQ346" s="28"/>
      <c r="BR346" s="29"/>
      <c r="BS346" s="29"/>
      <c r="BT346" s="29"/>
      <c r="BU346" s="29"/>
      <c r="BV346" s="29"/>
      <c r="BW346" s="29"/>
      <c r="BX346" s="28"/>
      <c r="BY346" s="28"/>
      <c r="BZ346" s="28"/>
    </row>
    <row r="347" s="27" customFormat="1" spans="1:78">
      <c r="A347" s="28"/>
      <c r="B347" s="28"/>
      <c r="C347" s="29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30"/>
      <c r="AQ347" s="30"/>
      <c r="AR347" s="30"/>
      <c r="AS347" s="30"/>
      <c r="AT347" s="28"/>
      <c r="AU347" s="28"/>
      <c r="AV347" s="28"/>
      <c r="AW347" s="30"/>
      <c r="AX347" s="28"/>
      <c r="AY347" s="28"/>
      <c r="AZ347" s="28"/>
      <c r="BA347" s="28"/>
      <c r="BB347" s="28"/>
      <c r="BC347" s="28"/>
      <c r="BD347" s="28"/>
      <c r="BE347" s="28"/>
      <c r="BF347" s="28"/>
      <c r="BG347" s="30"/>
      <c r="BH347" s="28"/>
      <c r="BI347" s="28"/>
      <c r="BJ347" s="28"/>
      <c r="BK347" s="28"/>
      <c r="BL347" s="28"/>
      <c r="BM347" s="28"/>
      <c r="BN347" s="28"/>
      <c r="BO347" s="28"/>
      <c r="BP347" s="28"/>
      <c r="BQ347" s="28"/>
      <c r="BR347" s="29"/>
      <c r="BS347" s="29"/>
      <c r="BT347" s="29"/>
      <c r="BU347" s="29"/>
      <c r="BV347" s="29"/>
      <c r="BW347" s="29"/>
      <c r="BX347" s="28"/>
      <c r="BY347" s="28"/>
      <c r="BZ347" s="28"/>
    </row>
    <row r="348" s="27" customFormat="1" spans="1:78">
      <c r="A348" s="28"/>
      <c r="B348" s="28"/>
      <c r="C348" s="29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30"/>
      <c r="AQ348" s="30"/>
      <c r="AR348" s="30"/>
      <c r="AS348" s="30"/>
      <c r="AT348" s="28"/>
      <c r="AU348" s="28"/>
      <c r="AV348" s="28"/>
      <c r="AW348" s="30"/>
      <c r="AX348" s="28"/>
      <c r="AY348" s="28"/>
      <c r="AZ348" s="28"/>
      <c r="BA348" s="28"/>
      <c r="BB348" s="28"/>
      <c r="BC348" s="28"/>
      <c r="BD348" s="28"/>
      <c r="BE348" s="28"/>
      <c r="BF348" s="28"/>
      <c r="BG348" s="30"/>
      <c r="BH348" s="28"/>
      <c r="BI348" s="28"/>
      <c r="BJ348" s="28"/>
      <c r="BK348" s="28"/>
      <c r="BL348" s="28"/>
      <c r="BM348" s="28"/>
      <c r="BN348" s="28"/>
      <c r="BO348" s="28"/>
      <c r="BP348" s="28"/>
      <c r="BQ348" s="28"/>
      <c r="BR348" s="29"/>
      <c r="BS348" s="29"/>
      <c r="BT348" s="29"/>
      <c r="BU348" s="29"/>
      <c r="BV348" s="29"/>
      <c r="BW348" s="29"/>
      <c r="BX348" s="28"/>
      <c r="BY348" s="28"/>
      <c r="BZ348" s="28"/>
    </row>
    <row r="349" s="27" customFormat="1" spans="1:78">
      <c r="A349" s="28"/>
      <c r="B349" s="28"/>
      <c r="C349" s="29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30"/>
      <c r="AQ349" s="30"/>
      <c r="AR349" s="30"/>
      <c r="AS349" s="30"/>
      <c r="AT349" s="28"/>
      <c r="AU349" s="28"/>
      <c r="AV349" s="28"/>
      <c r="AW349" s="30"/>
      <c r="AX349" s="28"/>
      <c r="AY349" s="28"/>
      <c r="AZ349" s="28"/>
      <c r="BA349" s="28"/>
      <c r="BB349" s="28"/>
      <c r="BC349" s="28"/>
      <c r="BD349" s="28"/>
      <c r="BE349" s="28"/>
      <c r="BF349" s="28"/>
      <c r="BG349" s="30"/>
      <c r="BH349" s="28"/>
      <c r="BI349" s="28"/>
      <c r="BJ349" s="28"/>
      <c r="BK349" s="28"/>
      <c r="BL349" s="28"/>
      <c r="BM349" s="28"/>
      <c r="BN349" s="28"/>
      <c r="BO349" s="28"/>
      <c r="BP349" s="28"/>
      <c r="BQ349" s="28"/>
      <c r="BR349" s="29"/>
      <c r="BS349" s="29"/>
      <c r="BT349" s="29"/>
      <c r="BU349" s="28"/>
      <c r="BV349" s="29"/>
      <c r="BW349" s="28"/>
      <c r="BX349" s="28"/>
      <c r="BY349" s="28"/>
      <c r="BZ349" s="28"/>
    </row>
    <row r="350" s="27" customFormat="1" spans="1:78">
      <c r="A350" s="28"/>
      <c r="B350" s="28"/>
      <c r="C350" s="29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30"/>
      <c r="AQ350" s="30"/>
      <c r="AR350" s="30"/>
      <c r="AS350" s="30"/>
      <c r="AT350" s="28"/>
      <c r="AU350" s="28"/>
      <c r="AV350" s="28"/>
      <c r="AW350" s="30"/>
      <c r="AX350" s="28"/>
      <c r="AY350" s="28"/>
      <c r="AZ350" s="28"/>
      <c r="BA350" s="28"/>
      <c r="BB350" s="28"/>
      <c r="BC350" s="28"/>
      <c r="BD350" s="28"/>
      <c r="BE350" s="28"/>
      <c r="BF350" s="28"/>
      <c r="BG350" s="30"/>
      <c r="BH350" s="28"/>
      <c r="BI350" s="28"/>
      <c r="BJ350" s="28"/>
      <c r="BK350" s="28"/>
      <c r="BL350" s="28"/>
      <c r="BM350" s="28"/>
      <c r="BN350" s="28"/>
      <c r="BO350" s="28"/>
      <c r="BP350" s="28"/>
      <c r="BQ350" s="28"/>
      <c r="BR350" s="29"/>
      <c r="BS350" s="29"/>
      <c r="BT350" s="29"/>
      <c r="BU350" s="28"/>
      <c r="BV350" s="29"/>
      <c r="BW350" s="28"/>
      <c r="BX350" s="28"/>
      <c r="BY350" s="28"/>
      <c r="BZ350" s="28"/>
    </row>
    <row r="351" s="27" customFormat="1" spans="1:78">
      <c r="A351" s="28"/>
      <c r="B351" s="28"/>
      <c r="C351" s="29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30"/>
      <c r="AQ351" s="30"/>
      <c r="AR351" s="30"/>
      <c r="AS351" s="30"/>
      <c r="AT351" s="28"/>
      <c r="AU351" s="28"/>
      <c r="AV351" s="28"/>
      <c r="AW351" s="30"/>
      <c r="AX351" s="28"/>
      <c r="AY351" s="28"/>
      <c r="AZ351" s="28"/>
      <c r="BA351" s="28"/>
      <c r="BB351" s="28"/>
      <c r="BC351" s="28"/>
      <c r="BD351" s="28"/>
      <c r="BE351" s="28"/>
      <c r="BF351" s="28"/>
      <c r="BG351" s="30"/>
      <c r="BH351" s="28"/>
      <c r="BI351" s="28"/>
      <c r="BJ351" s="28"/>
      <c r="BK351" s="28"/>
      <c r="BL351" s="28"/>
      <c r="BM351" s="28"/>
      <c r="BN351" s="28"/>
      <c r="BO351" s="28"/>
      <c r="BP351" s="28"/>
      <c r="BQ351" s="28"/>
      <c r="BR351" s="29"/>
      <c r="BS351" s="29"/>
      <c r="BT351" s="29"/>
      <c r="BU351" s="29"/>
      <c r="BV351" s="29"/>
      <c r="BW351" s="28"/>
      <c r="BX351" s="28"/>
      <c r="BY351" s="28"/>
      <c r="BZ351" s="28"/>
    </row>
    <row r="352" s="27" customFormat="1" spans="1:78">
      <c r="A352" s="28"/>
      <c r="B352" s="28"/>
      <c r="C352" s="29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30"/>
      <c r="AQ352" s="30"/>
      <c r="AR352" s="30"/>
      <c r="AS352" s="30"/>
      <c r="AT352" s="28"/>
      <c r="AU352" s="28"/>
      <c r="AV352" s="28"/>
      <c r="AW352" s="30"/>
      <c r="AX352" s="28"/>
      <c r="AY352" s="28"/>
      <c r="AZ352" s="28"/>
      <c r="BA352" s="28"/>
      <c r="BB352" s="28"/>
      <c r="BC352" s="28"/>
      <c r="BD352" s="28"/>
      <c r="BE352" s="28"/>
      <c r="BF352" s="28"/>
      <c r="BG352" s="30"/>
      <c r="BH352" s="28"/>
      <c r="BI352" s="28"/>
      <c r="BJ352" s="28"/>
      <c r="BK352" s="28"/>
      <c r="BL352" s="28"/>
      <c r="BM352" s="28"/>
      <c r="BN352" s="28"/>
      <c r="BO352" s="28"/>
      <c r="BP352" s="28"/>
      <c r="BQ352" s="28"/>
      <c r="BR352" s="29"/>
      <c r="BS352" s="29"/>
      <c r="BT352" s="29"/>
      <c r="BU352" s="29"/>
      <c r="BV352" s="29"/>
      <c r="BW352" s="29"/>
      <c r="BX352" s="28"/>
      <c r="BY352" s="28"/>
      <c r="BZ352" s="28"/>
    </row>
    <row r="353" s="27" customFormat="1" spans="1:78">
      <c r="A353" s="28"/>
      <c r="B353" s="28"/>
      <c r="C353" s="29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30"/>
      <c r="AQ353" s="30"/>
      <c r="AR353" s="30"/>
      <c r="AS353" s="30"/>
      <c r="AT353" s="28"/>
      <c r="AU353" s="28"/>
      <c r="AV353" s="28"/>
      <c r="AW353" s="30"/>
      <c r="AX353" s="28"/>
      <c r="AY353" s="28"/>
      <c r="AZ353" s="28"/>
      <c r="BA353" s="28"/>
      <c r="BB353" s="28"/>
      <c r="BC353" s="28"/>
      <c r="BD353" s="28"/>
      <c r="BE353" s="28"/>
      <c r="BF353" s="28"/>
      <c r="BG353" s="30"/>
      <c r="BH353" s="28"/>
      <c r="BI353" s="28"/>
      <c r="BJ353" s="28"/>
      <c r="BK353" s="28"/>
      <c r="BL353" s="28"/>
      <c r="BM353" s="28"/>
      <c r="BN353" s="28"/>
      <c r="BO353" s="28"/>
      <c r="BP353" s="28"/>
      <c r="BQ353" s="28"/>
      <c r="BR353" s="29"/>
      <c r="BS353" s="29"/>
      <c r="BT353" s="28"/>
      <c r="BU353" s="28"/>
      <c r="BV353" s="29"/>
      <c r="BW353" s="28"/>
      <c r="BX353" s="28"/>
      <c r="BY353" s="28"/>
      <c r="BZ353" s="28"/>
    </row>
    <row r="354" s="27" customFormat="1" spans="1:78">
      <c r="A354" s="28"/>
      <c r="B354" s="28"/>
      <c r="C354" s="29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30"/>
      <c r="AQ354" s="30"/>
      <c r="AR354" s="30"/>
      <c r="AS354" s="30"/>
      <c r="AT354" s="28"/>
      <c r="AU354" s="28"/>
      <c r="AV354" s="28"/>
      <c r="AW354" s="30"/>
      <c r="AX354" s="28"/>
      <c r="AY354" s="28"/>
      <c r="AZ354" s="28"/>
      <c r="BA354" s="28"/>
      <c r="BB354" s="28"/>
      <c r="BC354" s="28"/>
      <c r="BD354" s="28"/>
      <c r="BE354" s="28"/>
      <c r="BF354" s="28"/>
      <c r="BG354" s="30"/>
      <c r="BH354" s="28"/>
      <c r="BI354" s="28"/>
      <c r="BJ354" s="28"/>
      <c r="BK354" s="28"/>
      <c r="BL354" s="28"/>
      <c r="BM354" s="28"/>
      <c r="BN354" s="28"/>
      <c r="BO354" s="28"/>
      <c r="BP354" s="28"/>
      <c r="BQ354" s="28"/>
      <c r="BR354" s="29"/>
      <c r="BS354" s="29"/>
      <c r="BT354" s="28"/>
      <c r="BU354" s="28"/>
      <c r="BV354" s="29"/>
      <c r="BW354" s="28"/>
      <c r="BX354" s="28"/>
      <c r="BY354" s="28"/>
      <c r="BZ354" s="28"/>
    </row>
    <row r="355" s="27" customFormat="1" spans="1:78">
      <c r="A355" s="28"/>
      <c r="B355" s="28"/>
      <c r="C355" s="29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30"/>
      <c r="AQ355" s="30"/>
      <c r="AR355" s="30"/>
      <c r="AS355" s="30"/>
      <c r="AT355" s="28"/>
      <c r="AU355" s="28"/>
      <c r="AV355" s="28"/>
      <c r="AW355" s="30"/>
      <c r="AX355" s="28"/>
      <c r="AY355" s="28"/>
      <c r="AZ355" s="28"/>
      <c r="BA355" s="28"/>
      <c r="BB355" s="28"/>
      <c r="BC355" s="28"/>
      <c r="BD355" s="28"/>
      <c r="BE355" s="28"/>
      <c r="BF355" s="28"/>
      <c r="BG355" s="30"/>
      <c r="BH355" s="28"/>
      <c r="BI355" s="28"/>
      <c r="BJ355" s="28"/>
      <c r="BK355" s="28"/>
      <c r="BL355" s="28"/>
      <c r="BM355" s="28"/>
      <c r="BN355" s="28"/>
      <c r="BO355" s="28"/>
      <c r="BP355" s="28"/>
      <c r="BQ355" s="28"/>
      <c r="BR355" s="29"/>
      <c r="BS355" s="29"/>
      <c r="BT355" s="29"/>
      <c r="BU355" s="28"/>
      <c r="BV355" s="29"/>
      <c r="BW355" s="28"/>
      <c r="BX355" s="28"/>
      <c r="BY355" s="28"/>
      <c r="BZ355" s="28"/>
    </row>
    <row r="356" s="27" customFormat="1" spans="1:78">
      <c r="A356" s="28"/>
      <c r="B356" s="28"/>
      <c r="C356" s="29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30"/>
      <c r="AQ356" s="30"/>
      <c r="AR356" s="30"/>
      <c r="AS356" s="30"/>
      <c r="AT356" s="28"/>
      <c r="AU356" s="28"/>
      <c r="AV356" s="28"/>
      <c r="AW356" s="30"/>
      <c r="AX356" s="28"/>
      <c r="AY356" s="28"/>
      <c r="AZ356" s="28"/>
      <c r="BA356" s="28"/>
      <c r="BB356" s="28"/>
      <c r="BC356" s="28"/>
      <c r="BD356" s="28"/>
      <c r="BE356" s="28"/>
      <c r="BF356" s="28"/>
      <c r="BG356" s="30"/>
      <c r="BH356" s="28"/>
      <c r="BI356" s="28"/>
      <c r="BJ356" s="28"/>
      <c r="BK356" s="28"/>
      <c r="BL356" s="28"/>
      <c r="BM356" s="28"/>
      <c r="BN356" s="28"/>
      <c r="BO356" s="28"/>
      <c r="BP356" s="28"/>
      <c r="BQ356" s="28"/>
      <c r="BR356" s="29"/>
      <c r="BS356" s="29"/>
      <c r="BT356" s="29"/>
      <c r="BU356" s="28"/>
      <c r="BV356" s="29"/>
      <c r="BW356" s="28"/>
      <c r="BX356" s="28"/>
      <c r="BY356" s="28"/>
      <c r="BZ356" s="28"/>
    </row>
    <row r="357" s="27" customFormat="1" spans="1:78">
      <c r="A357" s="28"/>
      <c r="B357" s="28"/>
      <c r="C357" s="29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30"/>
      <c r="AQ357" s="30"/>
      <c r="AR357" s="30"/>
      <c r="AS357" s="30"/>
      <c r="AT357" s="28"/>
      <c r="AU357" s="28"/>
      <c r="AV357" s="28"/>
      <c r="AW357" s="30"/>
      <c r="AX357" s="28"/>
      <c r="AY357" s="28"/>
      <c r="AZ357" s="28"/>
      <c r="BA357" s="28"/>
      <c r="BB357" s="28"/>
      <c r="BC357" s="28"/>
      <c r="BD357" s="28"/>
      <c r="BE357" s="28"/>
      <c r="BF357" s="28"/>
      <c r="BG357" s="30"/>
      <c r="BH357" s="28"/>
      <c r="BI357" s="28"/>
      <c r="BJ357" s="28"/>
      <c r="BK357" s="28"/>
      <c r="BL357" s="28"/>
      <c r="BM357" s="28"/>
      <c r="BN357" s="28"/>
      <c r="BO357" s="28"/>
      <c r="BP357" s="28"/>
      <c r="BQ357" s="28"/>
      <c r="BR357" s="29"/>
      <c r="BS357" s="29"/>
      <c r="BT357" s="29"/>
      <c r="BU357" s="29"/>
      <c r="BV357" s="29"/>
      <c r="BW357" s="29"/>
      <c r="BX357" s="28"/>
      <c r="BY357" s="28"/>
      <c r="BZ357" s="28"/>
    </row>
    <row r="358" s="27" customFormat="1" spans="1:78">
      <c r="A358" s="28"/>
      <c r="B358" s="28"/>
      <c r="C358" s="29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30"/>
      <c r="AQ358" s="30"/>
      <c r="AR358" s="30"/>
      <c r="AS358" s="30"/>
      <c r="AT358" s="28"/>
      <c r="AU358" s="28"/>
      <c r="AV358" s="28"/>
      <c r="AW358" s="30"/>
      <c r="AX358" s="28"/>
      <c r="AY358" s="28"/>
      <c r="AZ358" s="28"/>
      <c r="BA358" s="28"/>
      <c r="BB358" s="28"/>
      <c r="BC358" s="28"/>
      <c r="BD358" s="28"/>
      <c r="BE358" s="28"/>
      <c r="BF358" s="28"/>
      <c r="BG358" s="30"/>
      <c r="BH358" s="28"/>
      <c r="BI358" s="28"/>
      <c r="BJ358" s="28"/>
      <c r="BK358" s="28"/>
      <c r="BL358" s="28"/>
      <c r="BM358" s="28"/>
      <c r="BN358" s="28"/>
      <c r="BO358" s="28"/>
      <c r="BP358" s="28"/>
      <c r="BQ358" s="28"/>
      <c r="BR358" s="29"/>
      <c r="BS358" s="29"/>
      <c r="BT358" s="29"/>
      <c r="BU358" s="29"/>
      <c r="BV358" s="29"/>
      <c r="BW358" s="29"/>
      <c r="BX358" s="28"/>
      <c r="BY358" s="28"/>
      <c r="BZ358" s="28"/>
    </row>
    <row r="359" s="27" customFormat="1" spans="1:78">
      <c r="A359" s="28"/>
      <c r="B359" s="28"/>
      <c r="C359" s="29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30"/>
      <c r="AQ359" s="30"/>
      <c r="AR359" s="30"/>
      <c r="AS359" s="30"/>
      <c r="AT359" s="28"/>
      <c r="AU359" s="28"/>
      <c r="AV359" s="28"/>
      <c r="AW359" s="30"/>
      <c r="AX359" s="28"/>
      <c r="AY359" s="28"/>
      <c r="AZ359" s="28"/>
      <c r="BA359" s="28"/>
      <c r="BB359" s="28"/>
      <c r="BC359" s="28"/>
      <c r="BD359" s="28"/>
      <c r="BE359" s="28"/>
      <c r="BF359" s="28"/>
      <c r="BG359" s="30"/>
      <c r="BH359" s="28"/>
      <c r="BI359" s="28"/>
      <c r="BJ359" s="28"/>
      <c r="BK359" s="28"/>
      <c r="BL359" s="28"/>
      <c r="BM359" s="28"/>
      <c r="BN359" s="28"/>
      <c r="BO359" s="28"/>
      <c r="BP359" s="28"/>
      <c r="BQ359" s="28"/>
      <c r="BR359" s="29"/>
      <c r="BS359" s="29"/>
      <c r="BT359" s="29"/>
      <c r="BU359" s="29"/>
      <c r="BV359" s="29"/>
      <c r="BW359" s="28"/>
      <c r="BX359" s="28"/>
      <c r="BY359" s="28"/>
      <c r="BZ359" s="28"/>
    </row>
    <row r="360" s="27" customFormat="1" spans="1:78">
      <c r="A360" s="28"/>
      <c r="B360" s="28"/>
      <c r="C360" s="29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30"/>
      <c r="AQ360" s="30"/>
      <c r="AR360" s="30"/>
      <c r="AS360" s="30"/>
      <c r="AT360" s="28"/>
      <c r="AU360" s="28"/>
      <c r="AV360" s="28"/>
      <c r="AW360" s="30"/>
      <c r="AX360" s="28"/>
      <c r="AY360" s="28"/>
      <c r="AZ360" s="28"/>
      <c r="BA360" s="28"/>
      <c r="BB360" s="28"/>
      <c r="BC360" s="28"/>
      <c r="BD360" s="28"/>
      <c r="BE360" s="28"/>
      <c r="BF360" s="28"/>
      <c r="BG360" s="30"/>
      <c r="BH360" s="28"/>
      <c r="BI360" s="28"/>
      <c r="BJ360" s="28"/>
      <c r="BK360" s="28"/>
      <c r="BL360" s="28"/>
      <c r="BM360" s="28"/>
      <c r="BN360" s="28"/>
      <c r="BO360" s="28"/>
      <c r="BP360" s="28"/>
      <c r="BQ360" s="28"/>
      <c r="BR360" s="29"/>
      <c r="BS360" s="29"/>
      <c r="BT360" s="28"/>
      <c r="BU360" s="28"/>
      <c r="BV360" s="29"/>
      <c r="BW360" s="28"/>
      <c r="BX360" s="28"/>
      <c r="BY360" s="28"/>
      <c r="BZ360" s="28"/>
    </row>
    <row r="361" s="27" customFormat="1" spans="1:78">
      <c r="A361" s="28"/>
      <c r="B361" s="28"/>
      <c r="C361" s="29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30"/>
      <c r="AQ361" s="30"/>
      <c r="AR361" s="30"/>
      <c r="AS361" s="30"/>
      <c r="AT361" s="28"/>
      <c r="AU361" s="28"/>
      <c r="AV361" s="28"/>
      <c r="AW361" s="30"/>
      <c r="AX361" s="28"/>
      <c r="AY361" s="28"/>
      <c r="AZ361" s="28"/>
      <c r="BA361" s="28"/>
      <c r="BB361" s="28"/>
      <c r="BC361" s="28"/>
      <c r="BD361" s="28"/>
      <c r="BE361" s="28"/>
      <c r="BF361" s="28"/>
      <c r="BG361" s="30"/>
      <c r="BH361" s="28"/>
      <c r="BI361" s="28"/>
      <c r="BJ361" s="28"/>
      <c r="BK361" s="28"/>
      <c r="BL361" s="28"/>
      <c r="BM361" s="28"/>
      <c r="BN361" s="28"/>
      <c r="BO361" s="28"/>
      <c r="BP361" s="28"/>
      <c r="BQ361" s="28"/>
      <c r="BR361" s="29"/>
      <c r="BS361" s="29"/>
      <c r="BT361" s="28"/>
      <c r="BU361" s="28"/>
      <c r="BV361" s="29"/>
      <c r="BW361" s="28"/>
      <c r="BX361" s="28"/>
      <c r="BY361" s="28"/>
      <c r="BZ361" s="28"/>
    </row>
    <row r="362" s="27" customFormat="1" spans="1:78">
      <c r="A362" s="28"/>
      <c r="B362" s="28"/>
      <c r="C362" s="29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30"/>
      <c r="AQ362" s="30"/>
      <c r="AR362" s="30"/>
      <c r="AS362" s="30"/>
      <c r="AT362" s="28"/>
      <c r="AU362" s="28"/>
      <c r="AV362" s="28"/>
      <c r="AW362" s="30"/>
      <c r="AX362" s="28"/>
      <c r="AY362" s="28"/>
      <c r="AZ362" s="28"/>
      <c r="BA362" s="28"/>
      <c r="BB362" s="28"/>
      <c r="BC362" s="28"/>
      <c r="BD362" s="28"/>
      <c r="BE362" s="28"/>
      <c r="BF362" s="28"/>
      <c r="BG362" s="30"/>
      <c r="BH362" s="28"/>
      <c r="BI362" s="28"/>
      <c r="BJ362" s="28"/>
      <c r="BK362" s="28"/>
      <c r="BL362" s="28"/>
      <c r="BM362" s="28"/>
      <c r="BN362" s="28"/>
      <c r="BO362" s="28"/>
      <c r="BP362" s="28"/>
      <c r="BQ362" s="28"/>
      <c r="BR362" s="29"/>
      <c r="BS362" s="29"/>
      <c r="BT362" s="29"/>
      <c r="BU362" s="29"/>
      <c r="BV362" s="29"/>
      <c r="BW362" s="29"/>
      <c r="BX362" s="28"/>
      <c r="BY362" s="28"/>
      <c r="BZ362" s="28"/>
    </row>
    <row r="363" s="27" customFormat="1" spans="1:78">
      <c r="A363" s="28"/>
      <c r="B363" s="28"/>
      <c r="C363" s="29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30"/>
      <c r="AQ363" s="30"/>
      <c r="AR363" s="30"/>
      <c r="AS363" s="30"/>
      <c r="AT363" s="28"/>
      <c r="AU363" s="28"/>
      <c r="AV363" s="28"/>
      <c r="AW363" s="30"/>
      <c r="AX363" s="28"/>
      <c r="AY363" s="28"/>
      <c r="AZ363" s="28"/>
      <c r="BA363" s="28"/>
      <c r="BB363" s="28"/>
      <c r="BC363" s="28"/>
      <c r="BD363" s="28"/>
      <c r="BE363" s="28"/>
      <c r="BF363" s="28"/>
      <c r="BG363" s="30"/>
      <c r="BH363" s="28"/>
      <c r="BI363" s="28"/>
      <c r="BJ363" s="28"/>
      <c r="BK363" s="28"/>
      <c r="BL363" s="28"/>
      <c r="BM363" s="28"/>
      <c r="BN363" s="28"/>
      <c r="BO363" s="28"/>
      <c r="BP363" s="28"/>
      <c r="BQ363" s="28"/>
      <c r="BR363" s="29"/>
      <c r="BS363" s="29"/>
      <c r="BT363" s="29"/>
      <c r="BU363" s="29"/>
      <c r="BV363" s="29"/>
      <c r="BW363" s="29"/>
      <c r="BX363" s="28"/>
      <c r="BY363" s="28"/>
      <c r="BZ363" s="28"/>
    </row>
    <row r="364" s="27" customFormat="1" spans="1:78">
      <c r="A364" s="28"/>
      <c r="B364" s="28"/>
      <c r="C364" s="29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30"/>
      <c r="AQ364" s="30"/>
      <c r="AR364" s="30"/>
      <c r="AS364" s="30"/>
      <c r="AT364" s="28"/>
      <c r="AU364" s="28"/>
      <c r="AV364" s="28"/>
      <c r="AW364" s="30"/>
      <c r="AX364" s="28"/>
      <c r="AY364" s="28"/>
      <c r="AZ364" s="28"/>
      <c r="BA364" s="28"/>
      <c r="BB364" s="28"/>
      <c r="BC364" s="28"/>
      <c r="BD364" s="28"/>
      <c r="BE364" s="28"/>
      <c r="BF364" s="28"/>
      <c r="BG364" s="30"/>
      <c r="BH364" s="28"/>
      <c r="BI364" s="28"/>
      <c r="BJ364" s="28"/>
      <c r="BK364" s="28"/>
      <c r="BL364" s="28"/>
      <c r="BM364" s="28"/>
      <c r="BN364" s="28"/>
      <c r="BO364" s="28"/>
      <c r="BP364" s="28"/>
      <c r="BQ364" s="28"/>
      <c r="BR364" s="29"/>
      <c r="BS364" s="29"/>
      <c r="BT364" s="28"/>
      <c r="BU364" s="28"/>
      <c r="BV364" s="29"/>
      <c r="BW364" s="28"/>
      <c r="BX364" s="28"/>
      <c r="BY364" s="28"/>
      <c r="BZ364" s="28"/>
    </row>
    <row r="365" s="27" customFormat="1" spans="1:78">
      <c r="A365" s="28"/>
      <c r="B365" s="28"/>
      <c r="C365" s="29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30"/>
      <c r="AQ365" s="30"/>
      <c r="AR365" s="30"/>
      <c r="AS365" s="30"/>
      <c r="AT365" s="28"/>
      <c r="AU365" s="28"/>
      <c r="AV365" s="28"/>
      <c r="AW365" s="30"/>
      <c r="AX365" s="28"/>
      <c r="AY365" s="28"/>
      <c r="AZ365" s="28"/>
      <c r="BA365" s="28"/>
      <c r="BB365" s="28"/>
      <c r="BC365" s="28"/>
      <c r="BD365" s="28"/>
      <c r="BE365" s="28"/>
      <c r="BF365" s="28"/>
      <c r="BG365" s="30"/>
      <c r="BH365" s="28"/>
      <c r="BI365" s="28"/>
      <c r="BJ365" s="28"/>
      <c r="BK365" s="28"/>
      <c r="BL365" s="28"/>
      <c r="BM365" s="28"/>
      <c r="BN365" s="28"/>
      <c r="BO365" s="28"/>
      <c r="BP365" s="28"/>
      <c r="BQ365" s="28"/>
      <c r="BR365" s="29"/>
      <c r="BS365" s="29"/>
      <c r="BT365" s="29"/>
      <c r="BU365" s="29"/>
      <c r="BV365" s="29"/>
      <c r="BW365" s="29"/>
      <c r="BX365" s="28"/>
      <c r="BY365" s="28"/>
      <c r="BZ365" s="28"/>
    </row>
    <row r="366" s="27" customFormat="1" spans="1:78">
      <c r="A366" s="28"/>
      <c r="B366" s="28"/>
      <c r="C366" s="29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30"/>
      <c r="AQ366" s="30"/>
      <c r="AR366" s="30"/>
      <c r="AS366" s="30"/>
      <c r="AT366" s="28"/>
      <c r="AU366" s="28"/>
      <c r="AV366" s="28"/>
      <c r="AW366" s="30"/>
      <c r="AX366" s="28"/>
      <c r="AY366" s="28"/>
      <c r="AZ366" s="28"/>
      <c r="BA366" s="28"/>
      <c r="BB366" s="28"/>
      <c r="BC366" s="28"/>
      <c r="BD366" s="28"/>
      <c r="BE366" s="28"/>
      <c r="BF366" s="28"/>
      <c r="BG366" s="30"/>
      <c r="BH366" s="28"/>
      <c r="BI366" s="28"/>
      <c r="BJ366" s="28"/>
      <c r="BK366" s="28"/>
      <c r="BL366" s="28"/>
      <c r="BM366" s="28"/>
      <c r="BN366" s="28"/>
      <c r="BO366" s="28"/>
      <c r="BP366" s="28"/>
      <c r="BQ366" s="28"/>
      <c r="BR366" s="29"/>
      <c r="BS366" s="29"/>
      <c r="BT366" s="29"/>
      <c r="BU366" s="29"/>
      <c r="BV366" s="29"/>
      <c r="BW366" s="29"/>
      <c r="BX366" s="28"/>
      <c r="BY366" s="28"/>
      <c r="BZ366" s="28"/>
    </row>
    <row r="367" s="27" customFormat="1" spans="1:78">
      <c r="A367" s="28"/>
      <c r="B367" s="28"/>
      <c r="C367" s="29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30"/>
      <c r="AQ367" s="30"/>
      <c r="AR367" s="30"/>
      <c r="AS367" s="30"/>
      <c r="AT367" s="28"/>
      <c r="AU367" s="28"/>
      <c r="AV367" s="28"/>
      <c r="AW367" s="30"/>
      <c r="AX367" s="28"/>
      <c r="AY367" s="28"/>
      <c r="AZ367" s="28"/>
      <c r="BA367" s="28"/>
      <c r="BB367" s="28"/>
      <c r="BC367" s="28"/>
      <c r="BD367" s="28"/>
      <c r="BE367" s="28"/>
      <c r="BF367" s="28"/>
      <c r="BG367" s="30"/>
      <c r="BH367" s="28"/>
      <c r="BI367" s="28"/>
      <c r="BJ367" s="28"/>
      <c r="BK367" s="28"/>
      <c r="BL367" s="28"/>
      <c r="BM367" s="28"/>
      <c r="BN367" s="28"/>
      <c r="BO367" s="28"/>
      <c r="BP367" s="28"/>
      <c r="BQ367" s="28"/>
      <c r="BR367" s="29"/>
      <c r="BS367" s="29"/>
      <c r="BT367" s="29"/>
      <c r="BU367" s="29"/>
      <c r="BV367" s="29"/>
      <c r="BW367" s="29"/>
      <c r="BX367" s="28"/>
      <c r="BY367" s="28"/>
      <c r="BZ367" s="28"/>
    </row>
    <row r="368" s="27" customFormat="1" spans="1:78">
      <c r="A368" s="28"/>
      <c r="B368" s="28"/>
      <c r="C368" s="29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30"/>
      <c r="AQ368" s="30"/>
      <c r="AR368" s="30"/>
      <c r="AS368" s="30"/>
      <c r="AT368" s="28"/>
      <c r="AU368" s="28"/>
      <c r="AV368" s="28"/>
      <c r="AW368" s="30"/>
      <c r="AX368" s="28"/>
      <c r="AY368" s="28"/>
      <c r="AZ368" s="28"/>
      <c r="BA368" s="28"/>
      <c r="BB368" s="28"/>
      <c r="BC368" s="28"/>
      <c r="BD368" s="28"/>
      <c r="BE368" s="28"/>
      <c r="BF368" s="28"/>
      <c r="BG368" s="30"/>
      <c r="BH368" s="28"/>
      <c r="BI368" s="28"/>
      <c r="BJ368" s="28"/>
      <c r="BK368" s="28"/>
      <c r="BL368" s="28"/>
      <c r="BM368" s="28"/>
      <c r="BN368" s="28"/>
      <c r="BO368" s="28"/>
      <c r="BP368" s="28"/>
      <c r="BQ368" s="28"/>
      <c r="BR368" s="29"/>
      <c r="BS368" s="29"/>
      <c r="BT368" s="29"/>
      <c r="BU368" s="29"/>
      <c r="BV368" s="29"/>
      <c r="BW368" s="28"/>
      <c r="BX368" s="28"/>
      <c r="BY368" s="28"/>
      <c r="BZ368" s="28"/>
    </row>
    <row r="369" s="27" customFormat="1" spans="1:78">
      <c r="A369" s="28"/>
      <c r="B369" s="28"/>
      <c r="C369" s="29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30"/>
      <c r="AQ369" s="30"/>
      <c r="AR369" s="30"/>
      <c r="AS369" s="30"/>
      <c r="AT369" s="28"/>
      <c r="AU369" s="28"/>
      <c r="AV369" s="28"/>
      <c r="AW369" s="30"/>
      <c r="AX369" s="28"/>
      <c r="AY369" s="28"/>
      <c r="AZ369" s="28"/>
      <c r="BA369" s="28"/>
      <c r="BB369" s="28"/>
      <c r="BC369" s="28"/>
      <c r="BD369" s="28"/>
      <c r="BE369" s="28"/>
      <c r="BF369" s="28"/>
      <c r="BG369" s="30"/>
      <c r="BH369" s="28"/>
      <c r="BI369" s="28"/>
      <c r="BJ369" s="28"/>
      <c r="BK369" s="28"/>
      <c r="BL369" s="28"/>
      <c r="BM369" s="28"/>
      <c r="BN369" s="28"/>
      <c r="BO369" s="28"/>
      <c r="BP369" s="28"/>
      <c r="BQ369" s="28"/>
      <c r="BR369" s="29"/>
      <c r="BS369" s="29"/>
      <c r="BT369" s="29"/>
      <c r="BU369" s="29"/>
      <c r="BV369" s="29"/>
      <c r="BW369" s="28"/>
      <c r="BX369" s="28"/>
      <c r="BY369" s="28"/>
      <c r="BZ369" s="28"/>
    </row>
    <row r="370" s="27" customFormat="1" spans="1:78">
      <c r="A370" s="28"/>
      <c r="B370" s="28"/>
      <c r="C370" s="29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30"/>
      <c r="AQ370" s="30"/>
      <c r="AR370" s="30"/>
      <c r="AS370" s="30"/>
      <c r="AT370" s="28"/>
      <c r="AU370" s="28"/>
      <c r="AV370" s="28"/>
      <c r="AW370" s="30"/>
      <c r="AX370" s="28"/>
      <c r="AY370" s="28"/>
      <c r="AZ370" s="28"/>
      <c r="BA370" s="28"/>
      <c r="BB370" s="28"/>
      <c r="BC370" s="28"/>
      <c r="BD370" s="28"/>
      <c r="BE370" s="28"/>
      <c r="BF370" s="28"/>
      <c r="BG370" s="30"/>
      <c r="BH370" s="28"/>
      <c r="BI370" s="28"/>
      <c r="BJ370" s="28"/>
      <c r="BK370" s="28"/>
      <c r="BL370" s="28"/>
      <c r="BM370" s="28"/>
      <c r="BN370" s="28"/>
      <c r="BO370" s="28"/>
      <c r="BP370" s="28"/>
      <c r="BQ370" s="28"/>
      <c r="BR370" s="29"/>
      <c r="BS370" s="28"/>
      <c r="BT370" s="28"/>
      <c r="BU370" s="28"/>
      <c r="BV370" s="29"/>
      <c r="BW370" s="28"/>
      <c r="BX370" s="28"/>
      <c r="BY370" s="28"/>
      <c r="BZ370" s="28"/>
    </row>
    <row r="371" s="27" customFormat="1" spans="1:78">
      <c r="A371" s="28"/>
      <c r="B371" s="28"/>
      <c r="C371" s="29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30"/>
      <c r="AQ371" s="30"/>
      <c r="AR371" s="30"/>
      <c r="AS371" s="30"/>
      <c r="AT371" s="28"/>
      <c r="AU371" s="28"/>
      <c r="AV371" s="28"/>
      <c r="AW371" s="30"/>
      <c r="AX371" s="28"/>
      <c r="AY371" s="28"/>
      <c r="AZ371" s="28"/>
      <c r="BA371" s="28"/>
      <c r="BB371" s="28"/>
      <c r="BC371" s="28"/>
      <c r="BD371" s="28"/>
      <c r="BE371" s="28"/>
      <c r="BF371" s="28"/>
      <c r="BG371" s="30"/>
      <c r="BH371" s="28"/>
      <c r="BI371" s="28"/>
      <c r="BJ371" s="28"/>
      <c r="BK371" s="28"/>
      <c r="BL371" s="28"/>
      <c r="BM371" s="28"/>
      <c r="BN371" s="28"/>
      <c r="BO371" s="28"/>
      <c r="BP371" s="28"/>
      <c r="BQ371" s="28"/>
      <c r="BR371" s="29"/>
      <c r="BS371" s="29"/>
      <c r="BT371" s="29"/>
      <c r="BU371" s="28"/>
      <c r="BV371" s="29"/>
      <c r="BW371" s="28"/>
      <c r="BX371" s="28"/>
      <c r="BY371" s="28"/>
      <c r="BZ371" s="28"/>
    </row>
    <row r="372" s="27" customFormat="1" spans="1:78">
      <c r="A372" s="28"/>
      <c r="B372" s="28"/>
      <c r="C372" s="29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30"/>
      <c r="AQ372" s="30"/>
      <c r="AR372" s="30"/>
      <c r="AS372" s="30"/>
      <c r="AT372" s="28"/>
      <c r="AU372" s="28"/>
      <c r="AV372" s="28"/>
      <c r="AW372" s="30"/>
      <c r="AX372" s="28"/>
      <c r="AY372" s="28"/>
      <c r="AZ372" s="28"/>
      <c r="BA372" s="28"/>
      <c r="BB372" s="28"/>
      <c r="BC372" s="28"/>
      <c r="BD372" s="28"/>
      <c r="BE372" s="28"/>
      <c r="BF372" s="28"/>
      <c r="BG372" s="30"/>
      <c r="BH372" s="28"/>
      <c r="BI372" s="28"/>
      <c r="BJ372" s="28"/>
      <c r="BK372" s="28"/>
      <c r="BL372" s="28"/>
      <c r="BM372" s="28"/>
      <c r="BN372" s="28"/>
      <c r="BO372" s="28"/>
      <c r="BP372" s="28"/>
      <c r="BQ372" s="28"/>
      <c r="BR372" s="29"/>
      <c r="BS372" s="29"/>
      <c r="BT372" s="29"/>
      <c r="BU372" s="29"/>
      <c r="BV372" s="29"/>
      <c r="BW372" s="29"/>
      <c r="BX372" s="28"/>
      <c r="BY372" s="28"/>
      <c r="BZ372" s="28"/>
    </row>
    <row r="373" s="27" customFormat="1" spans="1:78">
      <c r="A373" s="28"/>
      <c r="B373" s="28"/>
      <c r="C373" s="29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30"/>
      <c r="AQ373" s="30"/>
      <c r="AR373" s="30"/>
      <c r="AS373" s="30"/>
      <c r="AT373" s="28"/>
      <c r="AU373" s="28"/>
      <c r="AV373" s="28"/>
      <c r="AW373" s="30"/>
      <c r="AX373" s="28"/>
      <c r="AY373" s="28"/>
      <c r="AZ373" s="28"/>
      <c r="BA373" s="28"/>
      <c r="BB373" s="28"/>
      <c r="BC373" s="28"/>
      <c r="BD373" s="28"/>
      <c r="BE373" s="28"/>
      <c r="BF373" s="28"/>
      <c r="BG373" s="30"/>
      <c r="BH373" s="28"/>
      <c r="BI373" s="28"/>
      <c r="BJ373" s="28"/>
      <c r="BK373" s="28"/>
      <c r="BL373" s="28"/>
      <c r="BM373" s="28"/>
      <c r="BN373" s="28"/>
      <c r="BO373" s="28"/>
      <c r="BP373" s="28"/>
      <c r="BQ373" s="28"/>
      <c r="BR373" s="29"/>
      <c r="BS373" s="29"/>
      <c r="BT373" s="29"/>
      <c r="BU373" s="29"/>
      <c r="BV373" s="29"/>
      <c r="BW373" s="29"/>
      <c r="BX373" s="28"/>
      <c r="BY373" s="28"/>
      <c r="BZ373" s="28"/>
    </row>
    <row r="374" s="27" customFormat="1" spans="1:78">
      <c r="A374" s="28"/>
      <c r="B374" s="28"/>
      <c r="C374" s="29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30"/>
      <c r="AQ374" s="30"/>
      <c r="AR374" s="30"/>
      <c r="AS374" s="30"/>
      <c r="AT374" s="28"/>
      <c r="AU374" s="28"/>
      <c r="AV374" s="28"/>
      <c r="AW374" s="30"/>
      <c r="AX374" s="28"/>
      <c r="AY374" s="28"/>
      <c r="AZ374" s="28"/>
      <c r="BA374" s="28"/>
      <c r="BB374" s="28"/>
      <c r="BC374" s="28"/>
      <c r="BD374" s="28"/>
      <c r="BE374" s="28"/>
      <c r="BF374" s="28"/>
      <c r="BG374" s="30"/>
      <c r="BH374" s="28"/>
      <c r="BI374" s="28"/>
      <c r="BJ374" s="28"/>
      <c r="BK374" s="28"/>
      <c r="BL374" s="28"/>
      <c r="BM374" s="28"/>
      <c r="BN374" s="28"/>
      <c r="BO374" s="28"/>
      <c r="BP374" s="28"/>
      <c r="BQ374" s="28"/>
      <c r="BR374" s="29"/>
      <c r="BS374" s="29"/>
      <c r="BT374" s="29"/>
      <c r="BU374" s="29"/>
      <c r="BV374" s="29"/>
      <c r="BW374" s="28"/>
      <c r="BX374" s="28"/>
      <c r="BY374" s="28"/>
      <c r="BZ374" s="28"/>
    </row>
    <row r="375" s="27" customFormat="1" spans="1:78">
      <c r="A375" s="28"/>
      <c r="B375" s="28"/>
      <c r="C375" s="29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30"/>
      <c r="AQ375" s="30"/>
      <c r="AR375" s="30"/>
      <c r="AS375" s="30"/>
      <c r="AT375" s="28"/>
      <c r="AU375" s="28"/>
      <c r="AV375" s="28"/>
      <c r="AW375" s="30"/>
      <c r="AX375" s="28"/>
      <c r="AY375" s="28"/>
      <c r="AZ375" s="28"/>
      <c r="BA375" s="28"/>
      <c r="BB375" s="28"/>
      <c r="BC375" s="28"/>
      <c r="BD375" s="28"/>
      <c r="BE375" s="28"/>
      <c r="BF375" s="28"/>
      <c r="BG375" s="30"/>
      <c r="BH375" s="28"/>
      <c r="BI375" s="28"/>
      <c r="BJ375" s="28"/>
      <c r="BK375" s="28"/>
      <c r="BL375" s="28"/>
      <c r="BM375" s="28"/>
      <c r="BN375" s="28"/>
      <c r="BO375" s="28"/>
      <c r="BP375" s="28"/>
      <c r="BQ375" s="28"/>
      <c r="BR375" s="29"/>
      <c r="BS375" s="29"/>
      <c r="BT375" s="29"/>
      <c r="BU375" s="29"/>
      <c r="BV375" s="29"/>
      <c r="BW375" s="28"/>
      <c r="BX375" s="28"/>
      <c r="BY375" s="28"/>
      <c r="BZ375" s="28"/>
    </row>
    <row r="376" s="27" customFormat="1" spans="1:78">
      <c r="A376" s="28"/>
      <c r="B376" s="28"/>
      <c r="C376" s="29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30"/>
      <c r="AQ376" s="30"/>
      <c r="AR376" s="30"/>
      <c r="AS376" s="30"/>
      <c r="AT376" s="28"/>
      <c r="AU376" s="28"/>
      <c r="AV376" s="28"/>
      <c r="AW376" s="30"/>
      <c r="AX376" s="28"/>
      <c r="AY376" s="28"/>
      <c r="AZ376" s="28"/>
      <c r="BA376" s="28"/>
      <c r="BB376" s="28"/>
      <c r="BC376" s="28"/>
      <c r="BD376" s="28"/>
      <c r="BE376" s="28"/>
      <c r="BF376" s="28"/>
      <c r="BG376" s="30"/>
      <c r="BH376" s="28"/>
      <c r="BI376" s="28"/>
      <c r="BJ376" s="28"/>
      <c r="BK376" s="28"/>
      <c r="BL376" s="28"/>
      <c r="BM376" s="28"/>
      <c r="BN376" s="28"/>
      <c r="BO376" s="28"/>
      <c r="BP376" s="28"/>
      <c r="BQ376" s="28"/>
      <c r="BR376" s="29"/>
      <c r="BS376" s="29"/>
      <c r="BT376" s="29"/>
      <c r="BU376" s="29"/>
      <c r="BV376" s="29"/>
      <c r="BW376" s="29"/>
      <c r="BX376" s="28"/>
      <c r="BY376" s="28"/>
      <c r="BZ376" s="28"/>
    </row>
    <row r="377" s="27" customFormat="1" spans="1:78">
      <c r="A377" s="28"/>
      <c r="B377" s="28"/>
      <c r="C377" s="29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30"/>
      <c r="AQ377" s="30"/>
      <c r="AR377" s="30"/>
      <c r="AS377" s="30"/>
      <c r="AT377" s="28"/>
      <c r="AU377" s="28"/>
      <c r="AV377" s="28"/>
      <c r="AW377" s="30"/>
      <c r="AX377" s="28"/>
      <c r="AY377" s="28"/>
      <c r="AZ377" s="28"/>
      <c r="BA377" s="28"/>
      <c r="BB377" s="28"/>
      <c r="BC377" s="28"/>
      <c r="BD377" s="28"/>
      <c r="BE377" s="28"/>
      <c r="BF377" s="28"/>
      <c r="BG377" s="30"/>
      <c r="BH377" s="28"/>
      <c r="BI377" s="28"/>
      <c r="BJ377" s="28"/>
      <c r="BK377" s="28"/>
      <c r="BL377" s="28"/>
      <c r="BM377" s="28"/>
      <c r="BN377" s="28"/>
      <c r="BO377" s="28"/>
      <c r="BP377" s="28"/>
      <c r="BQ377" s="28"/>
      <c r="BR377" s="29"/>
      <c r="BS377" s="29"/>
      <c r="BT377" s="28"/>
      <c r="BU377" s="28"/>
      <c r="BV377" s="29"/>
      <c r="BW377" s="28"/>
      <c r="BX377" s="28"/>
      <c r="BY377" s="28"/>
      <c r="BZ377" s="28"/>
    </row>
    <row r="378" s="27" customFormat="1" spans="1:78">
      <c r="A378" s="28"/>
      <c r="B378" s="28"/>
      <c r="C378" s="29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30"/>
      <c r="AQ378" s="30"/>
      <c r="AR378" s="30"/>
      <c r="AS378" s="30"/>
      <c r="AT378" s="28"/>
      <c r="AU378" s="28"/>
      <c r="AV378" s="28"/>
      <c r="AW378" s="30"/>
      <c r="AX378" s="28"/>
      <c r="AY378" s="28"/>
      <c r="AZ378" s="28"/>
      <c r="BA378" s="28"/>
      <c r="BB378" s="28"/>
      <c r="BC378" s="28"/>
      <c r="BD378" s="28"/>
      <c r="BE378" s="28"/>
      <c r="BF378" s="28"/>
      <c r="BG378" s="30"/>
      <c r="BH378" s="28"/>
      <c r="BI378" s="28"/>
      <c r="BJ378" s="28"/>
      <c r="BK378" s="28"/>
      <c r="BL378" s="28"/>
      <c r="BM378" s="28"/>
      <c r="BN378" s="28"/>
      <c r="BO378" s="28"/>
      <c r="BP378" s="28"/>
      <c r="BQ378" s="28"/>
      <c r="BR378" s="29"/>
      <c r="BS378" s="29"/>
      <c r="BT378" s="29"/>
      <c r="BU378" s="29"/>
      <c r="BV378" s="29"/>
      <c r="BW378" s="29"/>
      <c r="BX378" s="28"/>
      <c r="BY378" s="28"/>
      <c r="BZ378" s="28"/>
    </row>
    <row r="379" s="27" customFormat="1" spans="1:78">
      <c r="A379" s="28"/>
      <c r="B379" s="28"/>
      <c r="C379" s="29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30"/>
      <c r="AQ379" s="30"/>
      <c r="AR379" s="30"/>
      <c r="AS379" s="30"/>
      <c r="AT379" s="28"/>
      <c r="AU379" s="28"/>
      <c r="AV379" s="28"/>
      <c r="AW379" s="30"/>
      <c r="AX379" s="28"/>
      <c r="AY379" s="28"/>
      <c r="AZ379" s="28"/>
      <c r="BA379" s="28"/>
      <c r="BB379" s="28"/>
      <c r="BC379" s="28"/>
      <c r="BD379" s="28"/>
      <c r="BE379" s="28"/>
      <c r="BF379" s="28"/>
      <c r="BG379" s="30"/>
      <c r="BH379" s="28"/>
      <c r="BI379" s="28"/>
      <c r="BJ379" s="28"/>
      <c r="BK379" s="28"/>
      <c r="BL379" s="28"/>
      <c r="BM379" s="28"/>
      <c r="BN379" s="28"/>
      <c r="BO379" s="28"/>
      <c r="BP379" s="28"/>
      <c r="BQ379" s="28"/>
      <c r="BR379" s="29"/>
      <c r="BS379" s="29"/>
      <c r="BT379" s="29"/>
      <c r="BU379" s="29"/>
      <c r="BV379" s="29"/>
      <c r="BW379" s="29"/>
      <c r="BX379" s="28"/>
      <c r="BY379" s="28"/>
      <c r="BZ379" s="28"/>
    </row>
    <row r="380" s="27" customFormat="1" spans="1:78">
      <c r="A380" s="28"/>
      <c r="B380" s="28"/>
      <c r="C380" s="29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30"/>
      <c r="AQ380" s="30"/>
      <c r="AR380" s="30"/>
      <c r="AS380" s="30"/>
      <c r="AT380" s="28"/>
      <c r="AU380" s="29"/>
      <c r="AV380" s="30"/>
      <c r="AW380" s="30"/>
      <c r="AX380" s="28"/>
      <c r="AY380" s="28"/>
      <c r="AZ380" s="28"/>
      <c r="BA380" s="28"/>
      <c r="BB380" s="28"/>
      <c r="BC380" s="28"/>
      <c r="BD380" s="28"/>
      <c r="BE380" s="28"/>
      <c r="BF380" s="28"/>
      <c r="BG380" s="30"/>
      <c r="BH380" s="28"/>
      <c r="BI380" s="28"/>
      <c r="BJ380" s="28"/>
      <c r="BK380" s="28"/>
      <c r="BL380" s="28"/>
      <c r="BM380" s="28"/>
      <c r="BN380" s="28"/>
      <c r="BO380" s="28"/>
      <c r="BP380" s="28"/>
      <c r="BQ380" s="28"/>
      <c r="BR380" s="29"/>
      <c r="BS380" s="29"/>
      <c r="BT380" s="29"/>
      <c r="BU380" s="29"/>
      <c r="BV380" s="29"/>
      <c r="BW380" s="29"/>
      <c r="BX380" s="28"/>
      <c r="BY380" s="28"/>
      <c r="BZ380" s="28"/>
    </row>
    <row r="381" s="27" customFormat="1" spans="1:78">
      <c r="A381" s="28"/>
      <c r="B381" s="28"/>
      <c r="C381" s="29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30"/>
      <c r="AQ381" s="30"/>
      <c r="AR381" s="30"/>
      <c r="AS381" s="30"/>
      <c r="AT381" s="28"/>
      <c r="AU381" s="28"/>
      <c r="AV381" s="28"/>
      <c r="AW381" s="30"/>
      <c r="AX381" s="28"/>
      <c r="AY381" s="28"/>
      <c r="AZ381" s="28"/>
      <c r="BA381" s="28"/>
      <c r="BB381" s="28"/>
      <c r="BC381" s="28"/>
      <c r="BD381" s="28"/>
      <c r="BE381" s="28"/>
      <c r="BF381" s="28"/>
      <c r="BG381" s="30"/>
      <c r="BH381" s="28"/>
      <c r="BI381" s="28"/>
      <c r="BJ381" s="28"/>
      <c r="BK381" s="28"/>
      <c r="BL381" s="28"/>
      <c r="BM381" s="28"/>
      <c r="BN381" s="28"/>
      <c r="BO381" s="28"/>
      <c r="BP381" s="28"/>
      <c r="BQ381" s="28"/>
      <c r="BR381" s="29"/>
      <c r="BS381" s="29"/>
      <c r="BT381" s="29"/>
      <c r="BU381" s="28"/>
      <c r="BV381" s="29"/>
      <c r="BW381" s="28"/>
      <c r="BX381" s="28"/>
      <c r="BY381" s="28"/>
      <c r="BZ381" s="28"/>
    </row>
    <row r="382" s="27" customFormat="1" spans="1:78">
      <c r="A382" s="28"/>
      <c r="B382" s="28"/>
      <c r="C382" s="29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30"/>
      <c r="AQ382" s="30"/>
      <c r="AR382" s="30"/>
      <c r="AS382" s="30"/>
      <c r="AT382" s="28"/>
      <c r="AU382" s="28"/>
      <c r="AV382" s="28"/>
      <c r="AW382" s="30"/>
      <c r="AX382" s="28"/>
      <c r="AY382" s="28"/>
      <c r="AZ382" s="28"/>
      <c r="BA382" s="28"/>
      <c r="BB382" s="28"/>
      <c r="BC382" s="28"/>
      <c r="BD382" s="28"/>
      <c r="BE382" s="28"/>
      <c r="BF382" s="28"/>
      <c r="BG382" s="30"/>
      <c r="BH382" s="28"/>
      <c r="BI382" s="28"/>
      <c r="BJ382" s="28"/>
      <c r="BK382" s="28"/>
      <c r="BL382" s="28"/>
      <c r="BM382" s="28"/>
      <c r="BN382" s="28"/>
      <c r="BO382" s="28"/>
      <c r="BP382" s="28"/>
      <c r="BQ382" s="28"/>
      <c r="BR382" s="29"/>
      <c r="BS382" s="29"/>
      <c r="BT382" s="29"/>
      <c r="BU382" s="28"/>
      <c r="BV382" s="29"/>
      <c r="BW382" s="28"/>
      <c r="BX382" s="28"/>
      <c r="BY382" s="28"/>
      <c r="BZ382" s="28"/>
    </row>
    <row r="383" s="27" customFormat="1" spans="1:78">
      <c r="A383" s="28"/>
      <c r="B383" s="28"/>
      <c r="C383" s="29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30"/>
      <c r="AQ383" s="30"/>
      <c r="AR383" s="30"/>
      <c r="AS383" s="30"/>
      <c r="AT383" s="28"/>
      <c r="AU383" s="28"/>
      <c r="AV383" s="28"/>
      <c r="AW383" s="30"/>
      <c r="AX383" s="28"/>
      <c r="AY383" s="28"/>
      <c r="AZ383" s="28"/>
      <c r="BA383" s="28"/>
      <c r="BB383" s="28"/>
      <c r="BC383" s="28"/>
      <c r="BD383" s="28"/>
      <c r="BE383" s="28"/>
      <c r="BF383" s="28"/>
      <c r="BG383" s="30"/>
      <c r="BH383" s="28"/>
      <c r="BI383" s="28"/>
      <c r="BJ383" s="28"/>
      <c r="BK383" s="28"/>
      <c r="BL383" s="28"/>
      <c r="BM383" s="28"/>
      <c r="BN383" s="28"/>
      <c r="BO383" s="28"/>
      <c r="BP383" s="28"/>
      <c r="BQ383" s="28"/>
      <c r="BR383" s="29"/>
      <c r="BS383" s="29"/>
      <c r="BT383" s="29"/>
      <c r="BU383" s="29"/>
      <c r="BV383" s="29"/>
      <c r="BW383" s="29"/>
      <c r="BX383" s="28"/>
      <c r="BY383" s="28"/>
      <c r="BZ383" s="28"/>
    </row>
    <row r="384" s="27" customFormat="1" spans="1:78">
      <c r="A384" s="28"/>
      <c r="B384" s="28"/>
      <c r="C384" s="29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30"/>
      <c r="AQ384" s="30"/>
      <c r="AR384" s="30"/>
      <c r="AS384" s="30"/>
      <c r="AT384" s="28"/>
      <c r="AU384" s="29"/>
      <c r="AV384" s="30"/>
      <c r="AW384" s="30"/>
      <c r="AX384" s="28"/>
      <c r="AY384" s="28"/>
      <c r="AZ384" s="28"/>
      <c r="BA384" s="28"/>
      <c r="BB384" s="28"/>
      <c r="BC384" s="28"/>
      <c r="BD384" s="28"/>
      <c r="BE384" s="28"/>
      <c r="BF384" s="28"/>
      <c r="BG384" s="30"/>
      <c r="BH384" s="28"/>
      <c r="BI384" s="28"/>
      <c r="BJ384" s="28"/>
      <c r="BK384" s="28"/>
      <c r="BL384" s="28"/>
      <c r="BM384" s="28"/>
      <c r="BN384" s="28"/>
      <c r="BO384" s="28"/>
      <c r="BP384" s="28"/>
      <c r="BQ384" s="28"/>
      <c r="BR384" s="29"/>
      <c r="BS384" s="29"/>
      <c r="BT384" s="29"/>
      <c r="BU384" s="29"/>
      <c r="BV384" s="29"/>
      <c r="BW384" s="29"/>
      <c r="BX384" s="28"/>
      <c r="BY384" s="28"/>
      <c r="BZ384" s="28"/>
    </row>
    <row r="385" s="27" customFormat="1" spans="1:78">
      <c r="A385" s="28"/>
      <c r="B385" s="28"/>
      <c r="C385" s="29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30"/>
      <c r="AQ385" s="30"/>
      <c r="AR385" s="30"/>
      <c r="AS385" s="30"/>
      <c r="AT385" s="28"/>
      <c r="AU385" s="28"/>
      <c r="AV385" s="28"/>
      <c r="AW385" s="30"/>
      <c r="AX385" s="28"/>
      <c r="AY385" s="28"/>
      <c r="AZ385" s="28"/>
      <c r="BA385" s="28"/>
      <c r="BB385" s="28"/>
      <c r="BC385" s="28"/>
      <c r="BD385" s="28"/>
      <c r="BE385" s="28"/>
      <c r="BF385" s="28"/>
      <c r="BG385" s="30"/>
      <c r="BH385" s="28"/>
      <c r="BI385" s="28"/>
      <c r="BJ385" s="28"/>
      <c r="BK385" s="28"/>
      <c r="BL385" s="28"/>
      <c r="BM385" s="28"/>
      <c r="BN385" s="28"/>
      <c r="BO385" s="28"/>
      <c r="BP385" s="28"/>
      <c r="BQ385" s="28"/>
      <c r="BR385" s="29"/>
      <c r="BS385" s="29"/>
      <c r="BT385" s="29"/>
      <c r="BU385" s="29"/>
      <c r="BV385" s="29"/>
      <c r="BW385" s="29"/>
      <c r="BX385" s="28"/>
      <c r="BY385" s="28"/>
      <c r="BZ385" s="28"/>
    </row>
    <row r="386" s="27" customFormat="1" spans="1:78">
      <c r="A386" s="28"/>
      <c r="B386" s="28"/>
      <c r="C386" s="29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30"/>
      <c r="AQ386" s="30"/>
      <c r="AR386" s="30"/>
      <c r="AS386" s="30"/>
      <c r="AT386" s="28"/>
      <c r="AU386" s="28"/>
      <c r="AV386" s="28"/>
      <c r="AW386" s="30"/>
      <c r="AX386" s="28"/>
      <c r="AY386" s="28"/>
      <c r="AZ386" s="28"/>
      <c r="BA386" s="28"/>
      <c r="BB386" s="28"/>
      <c r="BC386" s="28"/>
      <c r="BD386" s="28"/>
      <c r="BE386" s="28"/>
      <c r="BF386" s="28"/>
      <c r="BG386" s="30"/>
      <c r="BH386" s="28"/>
      <c r="BI386" s="28"/>
      <c r="BJ386" s="28"/>
      <c r="BK386" s="28"/>
      <c r="BL386" s="28"/>
      <c r="BM386" s="28"/>
      <c r="BN386" s="28"/>
      <c r="BO386" s="28"/>
      <c r="BP386" s="28"/>
      <c r="BQ386" s="28"/>
      <c r="BR386" s="29"/>
      <c r="BS386" s="29"/>
      <c r="BT386" s="29"/>
      <c r="BU386" s="29"/>
      <c r="BV386" s="29"/>
      <c r="BW386" s="29"/>
      <c r="BX386" s="28"/>
      <c r="BY386" s="28"/>
      <c r="BZ386" s="28"/>
    </row>
    <row r="387" s="27" customFormat="1" spans="1:78">
      <c r="A387" s="28"/>
      <c r="B387" s="28"/>
      <c r="C387" s="29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30"/>
      <c r="AQ387" s="30"/>
      <c r="AR387" s="30"/>
      <c r="AS387" s="30"/>
      <c r="AT387" s="28"/>
      <c r="AU387" s="28"/>
      <c r="AV387" s="28"/>
      <c r="AW387" s="30"/>
      <c r="AX387" s="28"/>
      <c r="AY387" s="28"/>
      <c r="AZ387" s="28"/>
      <c r="BA387" s="28"/>
      <c r="BB387" s="28"/>
      <c r="BC387" s="28"/>
      <c r="BD387" s="28"/>
      <c r="BE387" s="28"/>
      <c r="BF387" s="28"/>
      <c r="BG387" s="30"/>
      <c r="BH387" s="28"/>
      <c r="BI387" s="28"/>
      <c r="BJ387" s="28"/>
      <c r="BK387" s="28"/>
      <c r="BL387" s="28"/>
      <c r="BM387" s="28"/>
      <c r="BN387" s="28"/>
      <c r="BO387" s="28"/>
      <c r="BP387" s="28"/>
      <c r="BQ387" s="28"/>
      <c r="BR387" s="29"/>
      <c r="BS387" s="29"/>
      <c r="BT387" s="29"/>
      <c r="BU387" s="29"/>
      <c r="BV387" s="29"/>
      <c r="BW387" s="29"/>
      <c r="BX387" s="28"/>
      <c r="BY387" s="28"/>
      <c r="BZ387" s="28"/>
    </row>
    <row r="388" s="27" customFormat="1" spans="1:78">
      <c r="A388" s="28"/>
      <c r="B388" s="28"/>
      <c r="C388" s="29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30"/>
      <c r="AQ388" s="30"/>
      <c r="AR388" s="30"/>
      <c r="AS388" s="30"/>
      <c r="AT388" s="28"/>
      <c r="AU388" s="28"/>
      <c r="AV388" s="28"/>
      <c r="AW388" s="30"/>
      <c r="AX388" s="28"/>
      <c r="AY388" s="28"/>
      <c r="AZ388" s="28"/>
      <c r="BA388" s="28"/>
      <c r="BB388" s="28"/>
      <c r="BC388" s="28"/>
      <c r="BD388" s="28"/>
      <c r="BE388" s="28"/>
      <c r="BF388" s="28"/>
      <c r="BG388" s="30"/>
      <c r="BH388" s="28"/>
      <c r="BI388" s="28"/>
      <c r="BJ388" s="28"/>
      <c r="BK388" s="28"/>
      <c r="BL388" s="28"/>
      <c r="BM388" s="28"/>
      <c r="BN388" s="28"/>
      <c r="BO388" s="28"/>
      <c r="BP388" s="28"/>
      <c r="BQ388" s="28"/>
      <c r="BR388" s="29"/>
      <c r="BS388" s="29"/>
      <c r="BT388" s="29"/>
      <c r="BU388" s="29"/>
      <c r="BV388" s="29"/>
      <c r="BW388" s="29"/>
      <c r="BX388" s="28"/>
      <c r="BY388" s="28"/>
      <c r="BZ388" s="28"/>
    </row>
    <row r="389" s="27" customFormat="1" spans="1:78">
      <c r="A389" s="28"/>
      <c r="B389" s="28"/>
      <c r="C389" s="29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30"/>
      <c r="AQ389" s="30"/>
      <c r="AR389" s="30"/>
      <c r="AS389" s="30"/>
      <c r="AT389" s="28"/>
      <c r="AU389" s="29"/>
      <c r="AV389" s="30"/>
      <c r="AW389" s="30"/>
      <c r="AX389" s="28"/>
      <c r="AY389" s="28"/>
      <c r="AZ389" s="28"/>
      <c r="BA389" s="28"/>
      <c r="BB389" s="28"/>
      <c r="BC389" s="28"/>
      <c r="BD389" s="28"/>
      <c r="BE389" s="28"/>
      <c r="BF389" s="28"/>
      <c r="BG389" s="30"/>
      <c r="BH389" s="28"/>
      <c r="BI389" s="28"/>
      <c r="BJ389" s="28"/>
      <c r="BK389" s="28"/>
      <c r="BL389" s="28"/>
      <c r="BM389" s="28"/>
      <c r="BN389" s="28"/>
      <c r="BO389" s="28"/>
      <c r="BP389" s="28"/>
      <c r="BQ389" s="28"/>
      <c r="BR389" s="29"/>
      <c r="BS389" s="29"/>
      <c r="BT389" s="29"/>
      <c r="BU389" s="29"/>
      <c r="BV389" s="29"/>
      <c r="BW389" s="29"/>
      <c r="BX389" s="28"/>
      <c r="BY389" s="28"/>
      <c r="BZ389" s="28"/>
    </row>
    <row r="390" s="27" customFormat="1" spans="1:78">
      <c r="A390" s="28"/>
      <c r="B390" s="28"/>
      <c r="C390" s="29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30"/>
      <c r="AQ390" s="30"/>
      <c r="AR390" s="30"/>
      <c r="AS390" s="30"/>
      <c r="AT390" s="28"/>
      <c r="AU390" s="28"/>
      <c r="AV390" s="28"/>
      <c r="AW390" s="30"/>
      <c r="AX390" s="28"/>
      <c r="AY390" s="28"/>
      <c r="AZ390" s="28"/>
      <c r="BA390" s="28"/>
      <c r="BB390" s="28"/>
      <c r="BC390" s="28"/>
      <c r="BD390" s="28"/>
      <c r="BE390" s="28"/>
      <c r="BF390" s="28"/>
      <c r="BG390" s="30"/>
      <c r="BH390" s="28"/>
      <c r="BI390" s="28"/>
      <c r="BJ390" s="28"/>
      <c r="BK390" s="28"/>
      <c r="BL390" s="28"/>
      <c r="BM390" s="28"/>
      <c r="BN390" s="28"/>
      <c r="BO390" s="28"/>
      <c r="BP390" s="28"/>
      <c r="BQ390" s="28"/>
      <c r="BR390" s="29"/>
      <c r="BS390" s="29"/>
      <c r="BT390" s="29"/>
      <c r="BU390" s="29"/>
      <c r="BV390" s="29"/>
      <c r="BW390" s="29"/>
      <c r="BX390" s="28"/>
      <c r="BY390" s="28"/>
      <c r="BZ390" s="28"/>
    </row>
    <row r="391" s="27" customFormat="1" spans="1:78">
      <c r="A391" s="28"/>
      <c r="B391" s="28"/>
      <c r="C391" s="29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30"/>
      <c r="AQ391" s="30"/>
      <c r="AR391" s="30"/>
      <c r="AS391" s="30"/>
      <c r="AT391" s="28"/>
      <c r="AU391" s="28"/>
      <c r="AV391" s="28"/>
      <c r="AW391" s="30"/>
      <c r="AX391" s="28"/>
      <c r="AY391" s="28"/>
      <c r="AZ391" s="28"/>
      <c r="BA391" s="28"/>
      <c r="BB391" s="28"/>
      <c r="BC391" s="28"/>
      <c r="BD391" s="28"/>
      <c r="BE391" s="28"/>
      <c r="BF391" s="28"/>
      <c r="BG391" s="30"/>
      <c r="BH391" s="28"/>
      <c r="BI391" s="28"/>
      <c r="BJ391" s="28"/>
      <c r="BK391" s="28"/>
      <c r="BL391" s="28"/>
      <c r="BM391" s="28"/>
      <c r="BN391" s="28"/>
      <c r="BO391" s="28"/>
      <c r="BP391" s="28"/>
      <c r="BQ391" s="28"/>
      <c r="BR391" s="29"/>
      <c r="BS391" s="29"/>
      <c r="BT391" s="29"/>
      <c r="BU391" s="28"/>
      <c r="BV391" s="29"/>
      <c r="BW391" s="28"/>
      <c r="BX391" s="28"/>
      <c r="BY391" s="28"/>
      <c r="BZ391" s="28"/>
    </row>
    <row r="392" s="27" customFormat="1" spans="1:78">
      <c r="A392" s="28"/>
      <c r="B392" s="28"/>
      <c r="C392" s="29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30"/>
      <c r="AQ392" s="30"/>
      <c r="AR392" s="30"/>
      <c r="AS392" s="30"/>
      <c r="AT392" s="28"/>
      <c r="AU392" s="28"/>
      <c r="AV392" s="28"/>
      <c r="AW392" s="30"/>
      <c r="AX392" s="28"/>
      <c r="AY392" s="28"/>
      <c r="AZ392" s="28"/>
      <c r="BA392" s="28"/>
      <c r="BB392" s="28"/>
      <c r="BC392" s="28"/>
      <c r="BD392" s="28"/>
      <c r="BE392" s="28"/>
      <c r="BF392" s="28"/>
      <c r="BG392" s="30"/>
      <c r="BH392" s="28"/>
      <c r="BI392" s="28"/>
      <c r="BJ392" s="28"/>
      <c r="BK392" s="28"/>
      <c r="BL392" s="28"/>
      <c r="BM392" s="28"/>
      <c r="BN392" s="28"/>
      <c r="BO392" s="28"/>
      <c r="BP392" s="28"/>
      <c r="BQ392" s="28"/>
      <c r="BR392" s="29"/>
      <c r="BS392" s="29"/>
      <c r="BT392" s="29"/>
      <c r="BU392" s="29"/>
      <c r="BV392" s="29"/>
      <c r="BW392" s="29"/>
      <c r="BX392" s="28"/>
      <c r="BY392" s="28"/>
      <c r="BZ392" s="28"/>
    </row>
    <row r="393" s="27" customFormat="1" spans="1:78">
      <c r="A393" s="28"/>
      <c r="B393" s="28"/>
      <c r="C393" s="29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30"/>
      <c r="AQ393" s="30"/>
      <c r="AR393" s="30"/>
      <c r="AS393" s="30"/>
      <c r="AT393" s="28"/>
      <c r="AU393" s="29"/>
      <c r="AV393" s="30"/>
      <c r="AW393" s="30"/>
      <c r="AX393" s="28"/>
      <c r="AY393" s="28"/>
      <c r="AZ393" s="28"/>
      <c r="BA393" s="28"/>
      <c r="BB393" s="28"/>
      <c r="BC393" s="28"/>
      <c r="BD393" s="28"/>
      <c r="BE393" s="28"/>
      <c r="BF393" s="28"/>
      <c r="BG393" s="30"/>
      <c r="BH393" s="28"/>
      <c r="BI393" s="28"/>
      <c r="BJ393" s="28"/>
      <c r="BK393" s="28"/>
      <c r="BL393" s="28"/>
      <c r="BM393" s="28"/>
      <c r="BN393" s="28"/>
      <c r="BO393" s="28"/>
      <c r="BP393" s="28"/>
      <c r="BQ393" s="28"/>
      <c r="BR393" s="29"/>
      <c r="BS393" s="29"/>
      <c r="BT393" s="29"/>
      <c r="BU393" s="29"/>
      <c r="BV393" s="29"/>
      <c r="BW393" s="29"/>
      <c r="BX393" s="28"/>
      <c r="BY393" s="28"/>
      <c r="BZ393" s="28"/>
    </row>
    <row r="394" s="27" customFormat="1" spans="1:78">
      <c r="A394" s="28"/>
      <c r="B394" s="28"/>
      <c r="C394" s="29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30"/>
      <c r="AQ394" s="30"/>
      <c r="AR394" s="30"/>
      <c r="AS394" s="30"/>
      <c r="AT394" s="28"/>
      <c r="AU394" s="28"/>
      <c r="AV394" s="28"/>
      <c r="AW394" s="30"/>
      <c r="AX394" s="28"/>
      <c r="AY394" s="28"/>
      <c r="AZ394" s="28"/>
      <c r="BA394" s="28"/>
      <c r="BB394" s="28"/>
      <c r="BC394" s="28"/>
      <c r="BD394" s="28"/>
      <c r="BE394" s="28"/>
      <c r="BF394" s="28"/>
      <c r="BG394" s="30"/>
      <c r="BH394" s="28"/>
      <c r="BI394" s="28"/>
      <c r="BJ394" s="28"/>
      <c r="BK394" s="28"/>
      <c r="BL394" s="28"/>
      <c r="BM394" s="28"/>
      <c r="BN394" s="28"/>
      <c r="BO394" s="28"/>
      <c r="BP394" s="28"/>
      <c r="BQ394" s="28"/>
      <c r="BR394" s="29"/>
      <c r="BS394" s="29"/>
      <c r="BT394" s="29"/>
      <c r="BU394" s="29"/>
      <c r="BV394" s="29"/>
      <c r="BW394" s="29"/>
      <c r="BX394" s="28"/>
      <c r="BY394" s="28"/>
      <c r="BZ394" s="28"/>
    </row>
    <row r="395" s="27" customFormat="1" spans="1:78">
      <c r="A395" s="28"/>
      <c r="B395" s="28"/>
      <c r="C395" s="29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30"/>
      <c r="AQ395" s="30"/>
      <c r="AR395" s="30"/>
      <c r="AS395" s="30"/>
      <c r="AT395" s="28"/>
      <c r="AU395" s="28"/>
      <c r="AV395" s="28"/>
      <c r="AW395" s="30"/>
      <c r="AX395" s="28"/>
      <c r="AY395" s="28"/>
      <c r="AZ395" s="28"/>
      <c r="BA395" s="28"/>
      <c r="BB395" s="28"/>
      <c r="BC395" s="28"/>
      <c r="BD395" s="28"/>
      <c r="BE395" s="28"/>
      <c r="BF395" s="28"/>
      <c r="BG395" s="30"/>
      <c r="BH395" s="28"/>
      <c r="BI395" s="28"/>
      <c r="BJ395" s="28"/>
      <c r="BK395" s="28"/>
      <c r="BL395" s="28"/>
      <c r="BM395" s="28"/>
      <c r="BN395" s="28"/>
      <c r="BO395" s="28"/>
      <c r="BP395" s="28"/>
      <c r="BQ395" s="28"/>
      <c r="BR395" s="29"/>
      <c r="BS395" s="29"/>
      <c r="BT395" s="29"/>
      <c r="BU395" s="29"/>
      <c r="BV395" s="29"/>
      <c r="BW395" s="29"/>
      <c r="BX395" s="28"/>
      <c r="BY395" s="28"/>
      <c r="BZ395" s="28"/>
    </row>
    <row r="396" s="27" customFormat="1" spans="1:78">
      <c r="A396" s="28"/>
      <c r="B396" s="28"/>
      <c r="C396" s="29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30"/>
      <c r="AQ396" s="30"/>
      <c r="AR396" s="30"/>
      <c r="AS396" s="30"/>
      <c r="AT396" s="28"/>
      <c r="AU396" s="28"/>
      <c r="AV396" s="28"/>
      <c r="AW396" s="30"/>
      <c r="AX396" s="28"/>
      <c r="AY396" s="28"/>
      <c r="AZ396" s="28"/>
      <c r="BA396" s="28"/>
      <c r="BB396" s="28"/>
      <c r="BC396" s="28"/>
      <c r="BD396" s="28"/>
      <c r="BE396" s="28"/>
      <c r="BF396" s="28"/>
      <c r="BG396" s="30"/>
      <c r="BH396" s="28"/>
      <c r="BI396" s="28"/>
      <c r="BJ396" s="28"/>
      <c r="BK396" s="28"/>
      <c r="BL396" s="28"/>
      <c r="BM396" s="28"/>
      <c r="BN396" s="28"/>
      <c r="BO396" s="28"/>
      <c r="BP396" s="28"/>
      <c r="BQ396" s="28"/>
      <c r="BR396" s="29"/>
      <c r="BS396" s="29"/>
      <c r="BT396" s="29"/>
      <c r="BU396" s="29"/>
      <c r="BV396" s="29"/>
      <c r="BW396" s="28"/>
      <c r="BX396" s="28"/>
      <c r="BY396" s="28"/>
      <c r="BZ396" s="28"/>
    </row>
    <row r="397" s="27" customFormat="1" spans="1:78">
      <c r="A397" s="28"/>
      <c r="B397" s="28"/>
      <c r="C397" s="29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30"/>
      <c r="AQ397" s="30"/>
      <c r="AR397" s="30"/>
      <c r="AS397" s="30"/>
      <c r="AT397" s="28"/>
      <c r="AU397" s="28"/>
      <c r="AV397" s="28"/>
      <c r="AW397" s="30"/>
      <c r="AX397" s="28"/>
      <c r="AY397" s="28"/>
      <c r="AZ397" s="28"/>
      <c r="BA397" s="28"/>
      <c r="BB397" s="28"/>
      <c r="BC397" s="28"/>
      <c r="BD397" s="28"/>
      <c r="BE397" s="28"/>
      <c r="BF397" s="28"/>
      <c r="BG397" s="30"/>
      <c r="BH397" s="28"/>
      <c r="BI397" s="28"/>
      <c r="BJ397" s="28"/>
      <c r="BK397" s="28"/>
      <c r="BL397" s="28"/>
      <c r="BM397" s="28"/>
      <c r="BN397" s="28"/>
      <c r="BO397" s="28"/>
      <c r="BP397" s="28"/>
      <c r="BQ397" s="28"/>
      <c r="BR397" s="29"/>
      <c r="BS397" s="29"/>
      <c r="BT397" s="29"/>
      <c r="BU397" s="29"/>
      <c r="BV397" s="29"/>
      <c r="BW397" s="28"/>
      <c r="BX397" s="28"/>
      <c r="BY397" s="28"/>
      <c r="BZ397" s="28"/>
    </row>
    <row r="398" s="27" customFormat="1" spans="1:78">
      <c r="A398" s="28"/>
      <c r="B398" s="28"/>
      <c r="C398" s="29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30"/>
      <c r="AQ398" s="30"/>
      <c r="AR398" s="30"/>
      <c r="AS398" s="30"/>
      <c r="AT398" s="28"/>
      <c r="AU398" s="28"/>
      <c r="AV398" s="28"/>
      <c r="AW398" s="30"/>
      <c r="AX398" s="28"/>
      <c r="AY398" s="28"/>
      <c r="AZ398" s="28"/>
      <c r="BA398" s="28"/>
      <c r="BB398" s="28"/>
      <c r="BC398" s="28"/>
      <c r="BD398" s="28"/>
      <c r="BE398" s="28"/>
      <c r="BF398" s="28"/>
      <c r="BG398" s="30"/>
      <c r="BH398" s="28"/>
      <c r="BI398" s="28"/>
      <c r="BJ398" s="28"/>
      <c r="BK398" s="28"/>
      <c r="BL398" s="28"/>
      <c r="BM398" s="28"/>
      <c r="BN398" s="28"/>
      <c r="BO398" s="28"/>
      <c r="BP398" s="28"/>
      <c r="BQ398" s="28"/>
      <c r="BR398" s="29"/>
      <c r="BS398" s="29"/>
      <c r="BT398" s="28"/>
      <c r="BU398" s="28"/>
      <c r="BV398" s="29"/>
      <c r="BW398" s="28"/>
      <c r="BX398" s="28"/>
      <c r="BY398" s="28"/>
      <c r="BZ398" s="28"/>
    </row>
    <row r="399" s="27" customFormat="1" spans="1:78">
      <c r="A399" s="28"/>
      <c r="B399" s="28"/>
      <c r="C399" s="29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30"/>
      <c r="AQ399" s="30"/>
      <c r="AR399" s="30"/>
      <c r="AS399" s="30"/>
      <c r="AT399" s="28"/>
      <c r="AU399" s="28"/>
      <c r="AV399" s="28"/>
      <c r="AW399" s="30"/>
      <c r="AX399" s="28"/>
      <c r="AY399" s="28"/>
      <c r="AZ399" s="28"/>
      <c r="BA399" s="28"/>
      <c r="BB399" s="28"/>
      <c r="BC399" s="28"/>
      <c r="BD399" s="28"/>
      <c r="BE399" s="28"/>
      <c r="BF399" s="28"/>
      <c r="BG399" s="30"/>
      <c r="BH399" s="28"/>
      <c r="BI399" s="28"/>
      <c r="BJ399" s="28"/>
      <c r="BK399" s="28"/>
      <c r="BL399" s="28"/>
      <c r="BM399" s="28"/>
      <c r="BN399" s="28"/>
      <c r="BO399" s="28"/>
      <c r="BP399" s="28"/>
      <c r="BQ399" s="28"/>
      <c r="BR399" s="29"/>
      <c r="BS399" s="29"/>
      <c r="BT399" s="28"/>
      <c r="BU399" s="28"/>
      <c r="BV399" s="29"/>
      <c r="BW399" s="28"/>
      <c r="BX399" s="28"/>
      <c r="BY399" s="28"/>
      <c r="BZ399" s="28"/>
    </row>
    <row r="400" s="27" customFormat="1" spans="1:78">
      <c r="A400" s="28"/>
      <c r="B400" s="28"/>
      <c r="C400" s="29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30"/>
      <c r="AQ400" s="30"/>
      <c r="AR400" s="30"/>
      <c r="AS400" s="30"/>
      <c r="AT400" s="28"/>
      <c r="AU400" s="28"/>
      <c r="AV400" s="28"/>
      <c r="AW400" s="30"/>
      <c r="AX400" s="28"/>
      <c r="AY400" s="28"/>
      <c r="AZ400" s="28"/>
      <c r="BA400" s="28"/>
      <c r="BB400" s="28"/>
      <c r="BC400" s="28"/>
      <c r="BD400" s="28"/>
      <c r="BE400" s="28"/>
      <c r="BF400" s="28"/>
      <c r="BG400" s="30"/>
      <c r="BH400" s="28"/>
      <c r="BI400" s="28"/>
      <c r="BJ400" s="28"/>
      <c r="BK400" s="28"/>
      <c r="BL400" s="28"/>
      <c r="BM400" s="28"/>
      <c r="BN400" s="28"/>
      <c r="BO400" s="28"/>
      <c r="BP400" s="28"/>
      <c r="BQ400" s="28"/>
      <c r="BR400" s="29"/>
      <c r="BS400" s="29"/>
      <c r="BT400" s="28"/>
      <c r="BU400" s="28"/>
      <c r="BV400" s="29"/>
      <c r="BW400" s="28"/>
      <c r="BX400" s="28"/>
      <c r="BY400" s="28"/>
      <c r="BZ400" s="28"/>
    </row>
    <row r="401" s="27" customFormat="1" spans="1:78">
      <c r="A401" s="28"/>
      <c r="B401" s="28"/>
      <c r="C401" s="29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30"/>
      <c r="AQ401" s="30"/>
      <c r="AR401" s="30"/>
      <c r="AS401" s="30"/>
      <c r="AT401" s="28"/>
      <c r="AU401" s="28"/>
      <c r="AV401" s="28"/>
      <c r="AW401" s="30"/>
      <c r="AX401" s="28"/>
      <c r="AY401" s="28"/>
      <c r="AZ401" s="28"/>
      <c r="BA401" s="28"/>
      <c r="BB401" s="28"/>
      <c r="BC401" s="28"/>
      <c r="BD401" s="28"/>
      <c r="BE401" s="28"/>
      <c r="BF401" s="28"/>
      <c r="BG401" s="30"/>
      <c r="BH401" s="28"/>
      <c r="BI401" s="28"/>
      <c r="BJ401" s="28"/>
      <c r="BK401" s="28"/>
      <c r="BL401" s="28"/>
      <c r="BM401" s="28"/>
      <c r="BN401" s="28"/>
      <c r="BO401" s="28"/>
      <c r="BP401" s="28"/>
      <c r="BQ401" s="28"/>
      <c r="BR401" s="29"/>
      <c r="BS401" s="29"/>
      <c r="BT401" s="29"/>
      <c r="BU401" s="29"/>
      <c r="BV401" s="29"/>
      <c r="BW401" s="29"/>
      <c r="BX401" s="28"/>
      <c r="BY401" s="28"/>
      <c r="BZ401" s="28"/>
    </row>
    <row r="402" s="27" customFormat="1" spans="1:78">
      <c r="A402" s="28"/>
      <c r="B402" s="28"/>
      <c r="C402" s="29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30"/>
      <c r="AQ402" s="30"/>
      <c r="AR402" s="30"/>
      <c r="AS402" s="30"/>
      <c r="AT402" s="28"/>
      <c r="AU402" s="28"/>
      <c r="AV402" s="28"/>
      <c r="AW402" s="30"/>
      <c r="AX402" s="28"/>
      <c r="AY402" s="28"/>
      <c r="AZ402" s="28"/>
      <c r="BA402" s="28"/>
      <c r="BB402" s="28"/>
      <c r="BC402" s="28"/>
      <c r="BD402" s="28"/>
      <c r="BE402" s="28"/>
      <c r="BF402" s="28"/>
      <c r="BG402" s="30"/>
      <c r="BH402" s="28"/>
      <c r="BI402" s="28"/>
      <c r="BJ402" s="28"/>
      <c r="BK402" s="28"/>
      <c r="BL402" s="28"/>
      <c r="BM402" s="28"/>
      <c r="BN402" s="28"/>
      <c r="BO402" s="28"/>
      <c r="BP402" s="28"/>
      <c r="BQ402" s="28"/>
      <c r="BR402" s="29"/>
      <c r="BS402" s="29"/>
      <c r="BT402" s="29"/>
      <c r="BU402" s="29"/>
      <c r="BV402" s="29"/>
      <c r="BW402" s="29"/>
      <c r="BX402" s="28"/>
      <c r="BY402" s="28"/>
      <c r="BZ402" s="28"/>
    </row>
    <row r="403" s="27" customFormat="1" spans="1:78">
      <c r="A403" s="28"/>
      <c r="B403" s="28"/>
      <c r="C403" s="29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30"/>
      <c r="AQ403" s="30"/>
      <c r="AR403" s="30"/>
      <c r="AS403" s="30"/>
      <c r="AT403" s="28"/>
      <c r="AU403" s="28"/>
      <c r="AV403" s="28"/>
      <c r="AW403" s="30"/>
      <c r="AX403" s="28"/>
      <c r="AY403" s="28"/>
      <c r="AZ403" s="28"/>
      <c r="BA403" s="28"/>
      <c r="BB403" s="28"/>
      <c r="BC403" s="28"/>
      <c r="BD403" s="28"/>
      <c r="BE403" s="28"/>
      <c r="BF403" s="28"/>
      <c r="BG403" s="30"/>
      <c r="BH403" s="28"/>
      <c r="BI403" s="28"/>
      <c r="BJ403" s="28"/>
      <c r="BK403" s="28"/>
      <c r="BL403" s="28"/>
      <c r="BM403" s="28"/>
      <c r="BN403" s="28"/>
      <c r="BO403" s="28"/>
      <c r="BP403" s="28"/>
      <c r="BQ403" s="28"/>
      <c r="BR403" s="29"/>
      <c r="BS403" s="29"/>
      <c r="BT403" s="29"/>
      <c r="BU403" s="28"/>
      <c r="BV403" s="29"/>
      <c r="BW403" s="28"/>
      <c r="BX403" s="28"/>
      <c r="BY403" s="28"/>
      <c r="BZ403" s="28"/>
    </row>
    <row r="404" s="27" customFormat="1" spans="1:78">
      <c r="A404" s="28"/>
      <c r="B404" s="28"/>
      <c r="C404" s="29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30"/>
      <c r="AQ404" s="30"/>
      <c r="AR404" s="30"/>
      <c r="AS404" s="30"/>
      <c r="AT404" s="28"/>
      <c r="AU404" s="28"/>
      <c r="AV404" s="28"/>
      <c r="AW404" s="30"/>
      <c r="AX404" s="28"/>
      <c r="AY404" s="28"/>
      <c r="AZ404" s="28"/>
      <c r="BA404" s="28"/>
      <c r="BB404" s="28"/>
      <c r="BC404" s="28"/>
      <c r="BD404" s="28"/>
      <c r="BE404" s="28"/>
      <c r="BF404" s="28"/>
      <c r="BG404" s="30"/>
      <c r="BH404" s="28"/>
      <c r="BI404" s="28"/>
      <c r="BJ404" s="28"/>
      <c r="BK404" s="28"/>
      <c r="BL404" s="28"/>
      <c r="BM404" s="28"/>
      <c r="BN404" s="28"/>
      <c r="BO404" s="28"/>
      <c r="BP404" s="28"/>
      <c r="BQ404" s="28"/>
      <c r="BR404" s="29"/>
      <c r="BS404" s="29"/>
      <c r="BT404" s="29"/>
      <c r="BU404" s="28"/>
      <c r="BV404" s="29"/>
      <c r="BW404" s="28"/>
      <c r="BX404" s="28"/>
      <c r="BY404" s="28"/>
      <c r="BZ404" s="28"/>
    </row>
    <row r="405" s="27" customFormat="1" spans="1:78">
      <c r="A405" s="28"/>
      <c r="B405" s="28"/>
      <c r="C405" s="29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30"/>
      <c r="AQ405" s="30"/>
      <c r="AR405" s="30"/>
      <c r="AS405" s="30"/>
      <c r="AT405" s="28"/>
      <c r="AU405" s="28"/>
      <c r="AV405" s="28"/>
      <c r="AW405" s="30"/>
      <c r="AX405" s="28"/>
      <c r="AY405" s="28"/>
      <c r="AZ405" s="28"/>
      <c r="BA405" s="28"/>
      <c r="BB405" s="28"/>
      <c r="BC405" s="28"/>
      <c r="BD405" s="28"/>
      <c r="BE405" s="28"/>
      <c r="BF405" s="28"/>
      <c r="BG405" s="30"/>
      <c r="BH405" s="28"/>
      <c r="BI405" s="28"/>
      <c r="BJ405" s="28"/>
      <c r="BK405" s="28"/>
      <c r="BL405" s="28"/>
      <c r="BM405" s="28"/>
      <c r="BN405" s="28"/>
      <c r="BO405" s="28"/>
      <c r="BP405" s="28"/>
      <c r="BQ405" s="28"/>
      <c r="BR405" s="29"/>
      <c r="BS405" s="29"/>
      <c r="BT405" s="29"/>
      <c r="BU405" s="29"/>
      <c r="BV405" s="29"/>
      <c r="BW405" s="29"/>
      <c r="BX405" s="28"/>
      <c r="BY405" s="28"/>
      <c r="BZ405" s="28"/>
    </row>
    <row r="406" s="27" customFormat="1" spans="1:78">
      <c r="A406" s="28"/>
      <c r="B406" s="28"/>
      <c r="C406" s="29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30"/>
      <c r="AQ406" s="30"/>
      <c r="AR406" s="30"/>
      <c r="AS406" s="30"/>
      <c r="AT406" s="28"/>
      <c r="AU406" s="28"/>
      <c r="AV406" s="28"/>
      <c r="AW406" s="30"/>
      <c r="AX406" s="28"/>
      <c r="AY406" s="28"/>
      <c r="AZ406" s="28"/>
      <c r="BA406" s="28"/>
      <c r="BB406" s="28"/>
      <c r="BC406" s="28"/>
      <c r="BD406" s="28"/>
      <c r="BE406" s="28"/>
      <c r="BF406" s="28"/>
      <c r="BG406" s="30"/>
      <c r="BH406" s="28"/>
      <c r="BI406" s="28"/>
      <c r="BJ406" s="28"/>
      <c r="BK406" s="28"/>
      <c r="BL406" s="28"/>
      <c r="BM406" s="28"/>
      <c r="BN406" s="28"/>
      <c r="BO406" s="28"/>
      <c r="BP406" s="28"/>
      <c r="BQ406" s="28"/>
      <c r="BR406" s="29"/>
      <c r="BS406" s="29"/>
      <c r="BT406" s="28"/>
      <c r="BU406" s="28"/>
      <c r="BV406" s="29"/>
      <c r="BW406" s="28"/>
      <c r="BX406" s="28"/>
      <c r="BY406" s="28"/>
      <c r="BZ406" s="28"/>
    </row>
    <row r="407" s="27" customFormat="1" spans="1:78">
      <c r="A407" s="28"/>
      <c r="B407" s="28"/>
      <c r="C407" s="29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30"/>
      <c r="AQ407" s="30"/>
      <c r="AR407" s="30"/>
      <c r="AS407" s="30"/>
      <c r="AT407" s="28"/>
      <c r="AU407" s="28"/>
      <c r="AV407" s="28"/>
      <c r="AW407" s="30"/>
      <c r="AX407" s="28"/>
      <c r="AY407" s="28"/>
      <c r="AZ407" s="28"/>
      <c r="BA407" s="28"/>
      <c r="BB407" s="28"/>
      <c r="BC407" s="28"/>
      <c r="BD407" s="28"/>
      <c r="BE407" s="28"/>
      <c r="BF407" s="28"/>
      <c r="BG407" s="30"/>
      <c r="BH407" s="28"/>
      <c r="BI407" s="28"/>
      <c r="BJ407" s="28"/>
      <c r="BK407" s="28"/>
      <c r="BL407" s="28"/>
      <c r="BM407" s="28"/>
      <c r="BN407" s="28"/>
      <c r="BO407" s="28"/>
      <c r="BP407" s="28"/>
      <c r="BQ407" s="28"/>
      <c r="BR407" s="29"/>
      <c r="BS407" s="29"/>
      <c r="BT407" s="28"/>
      <c r="BU407" s="28"/>
      <c r="BV407" s="29"/>
      <c r="BW407" s="28"/>
      <c r="BX407" s="28"/>
      <c r="BY407" s="28"/>
      <c r="BZ407" s="28"/>
    </row>
    <row r="408" s="27" customFormat="1" spans="1:78">
      <c r="A408" s="28"/>
      <c r="B408" s="28"/>
      <c r="C408" s="29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30"/>
      <c r="AQ408" s="30"/>
      <c r="AR408" s="30"/>
      <c r="AS408" s="30"/>
      <c r="AT408" s="28"/>
      <c r="AU408" s="28"/>
      <c r="AV408" s="28"/>
      <c r="AW408" s="30"/>
      <c r="AX408" s="28"/>
      <c r="AY408" s="28"/>
      <c r="AZ408" s="28"/>
      <c r="BA408" s="28"/>
      <c r="BB408" s="28"/>
      <c r="BC408" s="28"/>
      <c r="BD408" s="28"/>
      <c r="BE408" s="28"/>
      <c r="BF408" s="28"/>
      <c r="BG408" s="30"/>
      <c r="BH408" s="28"/>
      <c r="BI408" s="28"/>
      <c r="BJ408" s="28"/>
      <c r="BK408" s="28"/>
      <c r="BL408" s="28"/>
      <c r="BM408" s="28"/>
      <c r="BN408" s="28"/>
      <c r="BO408" s="28"/>
      <c r="BP408" s="28"/>
      <c r="BQ408" s="28"/>
      <c r="BR408" s="29"/>
      <c r="BS408" s="29"/>
      <c r="BT408" s="29"/>
      <c r="BU408" s="29"/>
      <c r="BV408" s="29"/>
      <c r="BW408" s="29"/>
      <c r="BX408" s="28"/>
      <c r="BY408" s="28"/>
      <c r="BZ408" s="28"/>
    </row>
    <row r="409" s="27" customFormat="1" spans="1:78">
      <c r="A409" s="28"/>
      <c r="B409" s="28"/>
      <c r="C409" s="29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30"/>
      <c r="AQ409" s="30"/>
      <c r="AR409" s="30"/>
      <c r="AS409" s="30"/>
      <c r="AT409" s="28"/>
      <c r="AU409" s="28"/>
      <c r="AV409" s="28"/>
      <c r="AW409" s="30"/>
      <c r="AX409" s="28"/>
      <c r="AY409" s="28"/>
      <c r="AZ409" s="28"/>
      <c r="BA409" s="28"/>
      <c r="BB409" s="28"/>
      <c r="BC409" s="28"/>
      <c r="BD409" s="28"/>
      <c r="BE409" s="28"/>
      <c r="BF409" s="28"/>
      <c r="BG409" s="30"/>
      <c r="BH409" s="28"/>
      <c r="BI409" s="28"/>
      <c r="BJ409" s="28"/>
      <c r="BK409" s="28"/>
      <c r="BL409" s="28"/>
      <c r="BM409" s="28"/>
      <c r="BN409" s="28"/>
      <c r="BO409" s="28"/>
      <c r="BP409" s="28"/>
      <c r="BQ409" s="28"/>
      <c r="BR409" s="29"/>
      <c r="BS409" s="29"/>
      <c r="BT409" s="29"/>
      <c r="BU409" s="29"/>
      <c r="BV409" s="29"/>
      <c r="BW409" s="29"/>
      <c r="BX409" s="28"/>
      <c r="BY409" s="28"/>
      <c r="BZ409" s="28"/>
    </row>
    <row r="410" s="27" customFormat="1" spans="1:78">
      <c r="A410" s="28"/>
      <c r="B410" s="28"/>
      <c r="C410" s="29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30"/>
      <c r="AQ410" s="30"/>
      <c r="AR410" s="30"/>
      <c r="AS410" s="30"/>
      <c r="AT410" s="28"/>
      <c r="AU410" s="28"/>
      <c r="AV410" s="28"/>
      <c r="AW410" s="30"/>
      <c r="AX410" s="28"/>
      <c r="AY410" s="28"/>
      <c r="AZ410" s="28"/>
      <c r="BA410" s="28"/>
      <c r="BB410" s="28"/>
      <c r="BC410" s="28"/>
      <c r="BD410" s="28"/>
      <c r="BE410" s="28"/>
      <c r="BF410" s="28"/>
      <c r="BG410" s="30"/>
      <c r="BH410" s="28"/>
      <c r="BI410" s="28"/>
      <c r="BJ410" s="28"/>
      <c r="BK410" s="28"/>
      <c r="BL410" s="28"/>
      <c r="BM410" s="28"/>
      <c r="BN410" s="28"/>
      <c r="BO410" s="28"/>
      <c r="BP410" s="28"/>
      <c r="BQ410" s="28"/>
      <c r="BR410" s="29"/>
      <c r="BS410" s="29"/>
      <c r="BT410" s="29"/>
      <c r="BU410" s="29"/>
      <c r="BV410" s="29"/>
      <c r="BW410" s="28"/>
      <c r="BX410" s="28"/>
      <c r="BY410" s="28"/>
      <c r="BZ410" s="28"/>
    </row>
    <row r="411" s="27" customFormat="1" spans="1:78">
      <c r="A411" s="28"/>
      <c r="B411" s="28"/>
      <c r="C411" s="29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30"/>
      <c r="AQ411" s="30"/>
      <c r="AR411" s="30"/>
      <c r="AS411" s="30"/>
      <c r="AT411" s="28"/>
      <c r="AU411" s="28"/>
      <c r="AV411" s="28"/>
      <c r="AW411" s="30"/>
      <c r="AX411" s="28"/>
      <c r="AY411" s="28"/>
      <c r="AZ411" s="28"/>
      <c r="BA411" s="28"/>
      <c r="BB411" s="28"/>
      <c r="BC411" s="28"/>
      <c r="BD411" s="28"/>
      <c r="BE411" s="28"/>
      <c r="BF411" s="28"/>
      <c r="BG411" s="30"/>
      <c r="BH411" s="28"/>
      <c r="BI411" s="28"/>
      <c r="BJ411" s="28"/>
      <c r="BK411" s="28"/>
      <c r="BL411" s="28"/>
      <c r="BM411" s="28"/>
      <c r="BN411" s="28"/>
      <c r="BO411" s="28"/>
      <c r="BP411" s="28"/>
      <c r="BQ411" s="28"/>
      <c r="BR411" s="29"/>
      <c r="BS411" s="29"/>
      <c r="BT411" s="29"/>
      <c r="BU411" s="29"/>
      <c r="BV411" s="29"/>
      <c r="BW411" s="28"/>
      <c r="BX411" s="28"/>
      <c r="BY411" s="28"/>
      <c r="BZ411" s="28"/>
    </row>
    <row r="412" s="27" customFormat="1" spans="1:78">
      <c r="A412" s="28"/>
      <c r="B412" s="28"/>
      <c r="C412" s="29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30"/>
      <c r="AQ412" s="30"/>
      <c r="AR412" s="30"/>
      <c r="AS412" s="30"/>
      <c r="AT412" s="28"/>
      <c r="AU412" s="28"/>
      <c r="AV412" s="28"/>
      <c r="AW412" s="30"/>
      <c r="AX412" s="28"/>
      <c r="AY412" s="28"/>
      <c r="AZ412" s="28"/>
      <c r="BA412" s="28"/>
      <c r="BB412" s="28"/>
      <c r="BC412" s="28"/>
      <c r="BD412" s="28"/>
      <c r="BE412" s="28"/>
      <c r="BF412" s="28"/>
      <c r="BG412" s="30"/>
      <c r="BH412" s="28"/>
      <c r="BI412" s="28"/>
      <c r="BJ412" s="28"/>
      <c r="BK412" s="28"/>
      <c r="BL412" s="28"/>
      <c r="BM412" s="28"/>
      <c r="BN412" s="28"/>
      <c r="BO412" s="28"/>
      <c r="BP412" s="28"/>
      <c r="BQ412" s="28"/>
      <c r="BR412" s="29"/>
      <c r="BS412" s="29"/>
      <c r="BT412" s="29"/>
      <c r="BU412" s="29"/>
      <c r="BV412" s="29"/>
      <c r="BW412" s="29"/>
      <c r="BX412" s="28"/>
      <c r="BY412" s="28"/>
      <c r="BZ412" s="28"/>
    </row>
    <row r="413" s="27" customFormat="1" spans="1:78">
      <c r="A413" s="28"/>
      <c r="B413" s="28"/>
      <c r="C413" s="29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30"/>
      <c r="AQ413" s="30"/>
      <c r="AR413" s="30"/>
      <c r="AS413" s="30"/>
      <c r="AT413" s="28"/>
      <c r="AU413" s="28"/>
      <c r="AV413" s="28"/>
      <c r="AW413" s="30"/>
      <c r="AX413" s="28"/>
      <c r="AY413" s="28"/>
      <c r="AZ413" s="28"/>
      <c r="BA413" s="28"/>
      <c r="BB413" s="28"/>
      <c r="BC413" s="28"/>
      <c r="BD413" s="28"/>
      <c r="BE413" s="28"/>
      <c r="BF413" s="28"/>
      <c r="BG413" s="30"/>
      <c r="BH413" s="28"/>
      <c r="BI413" s="28"/>
      <c r="BJ413" s="28"/>
      <c r="BK413" s="28"/>
      <c r="BL413" s="28"/>
      <c r="BM413" s="28"/>
      <c r="BN413" s="28"/>
      <c r="BO413" s="28"/>
      <c r="BP413" s="28"/>
      <c r="BQ413" s="28"/>
      <c r="BR413" s="29"/>
      <c r="BS413" s="29"/>
      <c r="BT413" s="29"/>
      <c r="BU413" s="29"/>
      <c r="BV413" s="29"/>
      <c r="BW413" s="29"/>
      <c r="BX413" s="28"/>
      <c r="BY413" s="28"/>
      <c r="BZ413" s="28"/>
    </row>
    <row r="414" s="27" customFormat="1" spans="1:78">
      <c r="A414" s="28"/>
      <c r="B414" s="28"/>
      <c r="C414" s="29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30"/>
      <c r="AQ414" s="30"/>
      <c r="AR414" s="30"/>
      <c r="AS414" s="30"/>
      <c r="AT414" s="28"/>
      <c r="AU414" s="28"/>
      <c r="AV414" s="28"/>
      <c r="AW414" s="30"/>
      <c r="AX414" s="28"/>
      <c r="AY414" s="28"/>
      <c r="AZ414" s="28"/>
      <c r="BA414" s="28"/>
      <c r="BB414" s="28"/>
      <c r="BC414" s="28"/>
      <c r="BD414" s="28"/>
      <c r="BE414" s="28"/>
      <c r="BF414" s="28"/>
      <c r="BG414" s="30"/>
      <c r="BH414" s="28"/>
      <c r="BI414" s="28"/>
      <c r="BJ414" s="28"/>
      <c r="BK414" s="28"/>
      <c r="BL414" s="28"/>
      <c r="BM414" s="28"/>
      <c r="BN414" s="28"/>
      <c r="BO414" s="28"/>
      <c r="BP414" s="28"/>
      <c r="BQ414" s="28"/>
      <c r="BR414" s="29"/>
      <c r="BS414" s="29"/>
      <c r="BT414" s="29"/>
      <c r="BU414" s="29"/>
      <c r="BV414" s="29"/>
      <c r="BW414" s="29"/>
      <c r="BX414" s="28"/>
      <c r="BY414" s="28"/>
      <c r="BZ414" s="28"/>
    </row>
    <row r="415" s="27" customFormat="1" spans="1:78">
      <c r="A415" s="28"/>
      <c r="B415" s="28"/>
      <c r="C415" s="29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30"/>
      <c r="AQ415" s="30"/>
      <c r="AR415" s="30"/>
      <c r="AS415" s="30"/>
      <c r="AT415" s="28"/>
      <c r="AU415" s="28"/>
      <c r="AV415" s="28"/>
      <c r="AW415" s="30"/>
      <c r="AX415" s="28"/>
      <c r="AY415" s="28"/>
      <c r="AZ415" s="28"/>
      <c r="BA415" s="28"/>
      <c r="BB415" s="28"/>
      <c r="BC415" s="28"/>
      <c r="BD415" s="28"/>
      <c r="BE415" s="28"/>
      <c r="BF415" s="28"/>
      <c r="BG415" s="30"/>
      <c r="BH415" s="28"/>
      <c r="BI415" s="28"/>
      <c r="BJ415" s="28"/>
      <c r="BK415" s="28"/>
      <c r="BL415" s="28"/>
      <c r="BM415" s="28"/>
      <c r="BN415" s="28"/>
      <c r="BO415" s="28"/>
      <c r="BP415" s="28"/>
      <c r="BQ415" s="28"/>
      <c r="BR415" s="29"/>
      <c r="BS415" s="29"/>
      <c r="BT415" s="29"/>
      <c r="BU415" s="29"/>
      <c r="BV415" s="29"/>
      <c r="BW415" s="29"/>
      <c r="BX415" s="28"/>
      <c r="BY415" s="28"/>
      <c r="BZ415" s="28"/>
    </row>
    <row r="416" s="27" customFormat="1" spans="1:78">
      <c r="A416" s="28"/>
      <c r="B416" s="28"/>
      <c r="C416" s="29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30"/>
      <c r="AQ416" s="30"/>
      <c r="AR416" s="30"/>
      <c r="AS416" s="30"/>
      <c r="AT416" s="28"/>
      <c r="AU416" s="28"/>
      <c r="AV416" s="28"/>
      <c r="AW416" s="30"/>
      <c r="AX416" s="28"/>
      <c r="AY416" s="28"/>
      <c r="AZ416" s="28"/>
      <c r="BA416" s="28"/>
      <c r="BB416" s="28"/>
      <c r="BC416" s="28"/>
      <c r="BD416" s="28"/>
      <c r="BE416" s="28"/>
      <c r="BF416" s="28"/>
      <c r="BG416" s="30"/>
      <c r="BH416" s="28"/>
      <c r="BI416" s="28"/>
      <c r="BJ416" s="28"/>
      <c r="BK416" s="28"/>
      <c r="BL416" s="28"/>
      <c r="BM416" s="28"/>
      <c r="BN416" s="28"/>
      <c r="BO416" s="28"/>
      <c r="BP416" s="28"/>
      <c r="BQ416" s="28"/>
      <c r="BR416" s="29"/>
      <c r="BS416" s="29"/>
      <c r="BT416" s="29"/>
      <c r="BU416" s="29"/>
      <c r="BV416" s="29"/>
      <c r="BW416" s="29"/>
      <c r="BX416" s="28"/>
      <c r="BY416" s="28"/>
      <c r="BZ416" s="28"/>
    </row>
    <row r="417" s="27" customFormat="1" spans="1:78">
      <c r="A417" s="28"/>
      <c r="B417" s="28"/>
      <c r="C417" s="29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30"/>
      <c r="AQ417" s="30"/>
      <c r="AR417" s="30"/>
      <c r="AS417" s="30"/>
      <c r="AT417" s="28"/>
      <c r="AU417" s="28"/>
      <c r="AV417" s="28"/>
      <c r="AW417" s="30"/>
      <c r="AX417" s="28"/>
      <c r="AY417" s="28"/>
      <c r="AZ417" s="28"/>
      <c r="BA417" s="28"/>
      <c r="BB417" s="28"/>
      <c r="BC417" s="28"/>
      <c r="BD417" s="28"/>
      <c r="BE417" s="28"/>
      <c r="BF417" s="28"/>
      <c r="BG417" s="30"/>
      <c r="BH417" s="28"/>
      <c r="BI417" s="28"/>
      <c r="BJ417" s="28"/>
      <c r="BK417" s="28"/>
      <c r="BL417" s="28"/>
      <c r="BM417" s="28"/>
      <c r="BN417" s="28"/>
      <c r="BO417" s="28"/>
      <c r="BP417" s="28"/>
      <c r="BQ417" s="28"/>
      <c r="BR417" s="29"/>
      <c r="BS417" s="29"/>
      <c r="BT417" s="28"/>
      <c r="BU417" s="28"/>
      <c r="BV417" s="29"/>
      <c r="BW417" s="28"/>
      <c r="BX417" s="28"/>
      <c r="BY417" s="28"/>
      <c r="BZ417" s="28"/>
    </row>
    <row r="418" s="27" customFormat="1" spans="1:78">
      <c r="A418" s="28"/>
      <c r="B418" s="28"/>
      <c r="C418" s="29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30"/>
      <c r="AQ418" s="30"/>
      <c r="AR418" s="30"/>
      <c r="AS418" s="30"/>
      <c r="AT418" s="28"/>
      <c r="AU418" s="28"/>
      <c r="AV418" s="28"/>
      <c r="AW418" s="30"/>
      <c r="AX418" s="28"/>
      <c r="AY418" s="28"/>
      <c r="AZ418" s="28"/>
      <c r="BA418" s="28"/>
      <c r="BB418" s="28"/>
      <c r="BC418" s="28"/>
      <c r="BD418" s="28"/>
      <c r="BE418" s="28"/>
      <c r="BF418" s="28"/>
      <c r="BG418" s="30"/>
      <c r="BH418" s="28"/>
      <c r="BI418" s="28"/>
      <c r="BJ418" s="28"/>
      <c r="BK418" s="28"/>
      <c r="BL418" s="28"/>
      <c r="BM418" s="28"/>
      <c r="BN418" s="28"/>
      <c r="BO418" s="28"/>
      <c r="BP418" s="28"/>
      <c r="BQ418" s="28"/>
      <c r="BR418" s="29"/>
      <c r="BS418" s="29"/>
      <c r="BT418" s="28"/>
      <c r="BU418" s="28"/>
      <c r="BV418" s="29"/>
      <c r="BW418" s="28"/>
      <c r="BX418" s="28"/>
      <c r="BY418" s="28"/>
      <c r="BZ418" s="28"/>
    </row>
    <row r="419" s="27" customFormat="1" spans="1:78">
      <c r="A419" s="28"/>
      <c r="B419" s="28"/>
      <c r="C419" s="29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30"/>
      <c r="AQ419" s="30"/>
      <c r="AR419" s="30"/>
      <c r="AS419" s="30"/>
      <c r="AT419" s="28"/>
      <c r="AU419" s="28"/>
      <c r="AV419" s="28"/>
      <c r="AW419" s="30"/>
      <c r="AX419" s="28"/>
      <c r="AY419" s="28"/>
      <c r="AZ419" s="28"/>
      <c r="BA419" s="28"/>
      <c r="BB419" s="28"/>
      <c r="BC419" s="28"/>
      <c r="BD419" s="28"/>
      <c r="BE419" s="28"/>
      <c r="BF419" s="28"/>
      <c r="BG419" s="30"/>
      <c r="BH419" s="28"/>
      <c r="BI419" s="28"/>
      <c r="BJ419" s="28"/>
      <c r="BK419" s="28"/>
      <c r="BL419" s="28"/>
      <c r="BM419" s="28"/>
      <c r="BN419" s="28"/>
      <c r="BO419" s="28"/>
      <c r="BP419" s="28"/>
      <c r="BQ419" s="28"/>
      <c r="BR419" s="29"/>
      <c r="BS419" s="29"/>
      <c r="BT419" s="29"/>
      <c r="BU419" s="29"/>
      <c r="BV419" s="29"/>
      <c r="BW419" s="29"/>
      <c r="BX419" s="28"/>
      <c r="BY419" s="28"/>
      <c r="BZ419" s="28"/>
    </row>
    <row r="420" s="27" customFormat="1" spans="1:78">
      <c r="A420" s="28"/>
      <c r="B420" s="28"/>
      <c r="C420" s="29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30"/>
      <c r="AQ420" s="30"/>
      <c r="AR420" s="30"/>
      <c r="AS420" s="30"/>
      <c r="AT420" s="28"/>
      <c r="AU420" s="28"/>
      <c r="AV420" s="28"/>
      <c r="AW420" s="30"/>
      <c r="AX420" s="28"/>
      <c r="AY420" s="28"/>
      <c r="AZ420" s="28"/>
      <c r="BA420" s="28"/>
      <c r="BB420" s="28"/>
      <c r="BC420" s="28"/>
      <c r="BD420" s="28"/>
      <c r="BE420" s="28"/>
      <c r="BF420" s="28"/>
      <c r="BG420" s="30"/>
      <c r="BH420" s="28"/>
      <c r="BI420" s="28"/>
      <c r="BJ420" s="28"/>
      <c r="BK420" s="28"/>
      <c r="BL420" s="28"/>
      <c r="BM420" s="28"/>
      <c r="BN420" s="28"/>
      <c r="BO420" s="28"/>
      <c r="BP420" s="28"/>
      <c r="BQ420" s="28"/>
      <c r="BR420" s="29"/>
      <c r="BS420" s="29"/>
      <c r="BT420" s="29"/>
      <c r="BU420" s="28"/>
      <c r="BV420" s="29"/>
      <c r="BW420" s="28"/>
      <c r="BX420" s="28"/>
      <c r="BY420" s="28"/>
      <c r="BZ420" s="28"/>
    </row>
    <row r="421" s="27" customFormat="1" spans="1:78">
      <c r="A421" s="28"/>
      <c r="B421" s="28"/>
      <c r="C421" s="29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30"/>
      <c r="AQ421" s="30"/>
      <c r="AR421" s="30"/>
      <c r="AS421" s="30"/>
      <c r="AT421" s="28"/>
      <c r="AU421" s="28"/>
      <c r="AV421" s="28"/>
      <c r="AW421" s="30"/>
      <c r="AX421" s="28"/>
      <c r="AY421" s="28"/>
      <c r="AZ421" s="28"/>
      <c r="BA421" s="28"/>
      <c r="BB421" s="28"/>
      <c r="BC421" s="28"/>
      <c r="BD421" s="28"/>
      <c r="BE421" s="28"/>
      <c r="BF421" s="28"/>
      <c r="BG421" s="30"/>
      <c r="BH421" s="28"/>
      <c r="BI421" s="28"/>
      <c r="BJ421" s="28"/>
      <c r="BK421" s="28"/>
      <c r="BL421" s="28"/>
      <c r="BM421" s="28"/>
      <c r="BN421" s="28"/>
      <c r="BO421" s="28"/>
      <c r="BP421" s="28"/>
      <c r="BQ421" s="28"/>
      <c r="BR421" s="29"/>
      <c r="BS421" s="29"/>
      <c r="BT421" s="29"/>
      <c r="BU421" s="28"/>
      <c r="BV421" s="29"/>
      <c r="BW421" s="28"/>
      <c r="BX421" s="28"/>
      <c r="BY421" s="28"/>
      <c r="BZ421" s="28"/>
    </row>
    <row r="422" s="27" customFormat="1" spans="1:78">
      <c r="A422" s="28"/>
      <c r="B422" s="28"/>
      <c r="C422" s="29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30"/>
      <c r="AQ422" s="30"/>
      <c r="AR422" s="30"/>
      <c r="AS422" s="30"/>
      <c r="AT422" s="28"/>
      <c r="AU422" s="28"/>
      <c r="AV422" s="28"/>
      <c r="AW422" s="30"/>
      <c r="AX422" s="28"/>
      <c r="AY422" s="28"/>
      <c r="AZ422" s="28"/>
      <c r="BA422" s="28"/>
      <c r="BB422" s="28"/>
      <c r="BC422" s="28"/>
      <c r="BD422" s="28"/>
      <c r="BE422" s="28"/>
      <c r="BF422" s="28"/>
      <c r="BG422" s="30"/>
      <c r="BH422" s="28"/>
      <c r="BI422" s="28"/>
      <c r="BJ422" s="28"/>
      <c r="BK422" s="28"/>
      <c r="BL422" s="28"/>
      <c r="BM422" s="28"/>
      <c r="BN422" s="28"/>
      <c r="BO422" s="28"/>
      <c r="BP422" s="28"/>
      <c r="BQ422" s="28"/>
      <c r="BR422" s="29"/>
      <c r="BS422" s="29"/>
      <c r="BT422" s="29"/>
      <c r="BU422" s="29"/>
      <c r="BV422" s="29"/>
      <c r="BW422" s="29"/>
      <c r="BX422" s="28"/>
      <c r="BY422" s="28"/>
      <c r="BZ422" s="28"/>
    </row>
    <row r="423" s="27" customFormat="1" spans="1:78">
      <c r="A423" s="28"/>
      <c r="B423" s="28"/>
      <c r="C423" s="29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30"/>
      <c r="AQ423" s="30"/>
      <c r="AR423" s="30"/>
      <c r="AS423" s="30"/>
      <c r="AT423" s="28"/>
      <c r="AU423" s="28"/>
      <c r="AV423" s="28"/>
      <c r="AW423" s="30"/>
      <c r="AX423" s="28"/>
      <c r="AY423" s="28"/>
      <c r="AZ423" s="28"/>
      <c r="BA423" s="28"/>
      <c r="BB423" s="28"/>
      <c r="BC423" s="28"/>
      <c r="BD423" s="28"/>
      <c r="BE423" s="28"/>
      <c r="BF423" s="28"/>
      <c r="BG423" s="30"/>
      <c r="BH423" s="28"/>
      <c r="BI423" s="28"/>
      <c r="BJ423" s="28"/>
      <c r="BK423" s="28"/>
      <c r="BL423" s="28"/>
      <c r="BM423" s="28"/>
      <c r="BN423" s="28"/>
      <c r="BO423" s="28"/>
      <c r="BP423" s="28"/>
      <c r="BQ423" s="28"/>
      <c r="BR423" s="29"/>
      <c r="BS423" s="29"/>
      <c r="BT423" s="29"/>
      <c r="BU423" s="29"/>
      <c r="BV423" s="29"/>
      <c r="BW423" s="29"/>
      <c r="BX423" s="28"/>
      <c r="BY423" s="28"/>
      <c r="BZ423" s="28"/>
    </row>
    <row r="424" s="27" customFormat="1" spans="1:78">
      <c r="A424" s="28"/>
      <c r="B424" s="28"/>
      <c r="C424" s="29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30"/>
      <c r="AQ424" s="30"/>
      <c r="AR424" s="30"/>
      <c r="AS424" s="30"/>
      <c r="AT424" s="28"/>
      <c r="AU424" s="28"/>
      <c r="AV424" s="28"/>
      <c r="AW424" s="30"/>
      <c r="AX424" s="28"/>
      <c r="AY424" s="28"/>
      <c r="AZ424" s="28"/>
      <c r="BA424" s="28"/>
      <c r="BB424" s="28"/>
      <c r="BC424" s="28"/>
      <c r="BD424" s="28"/>
      <c r="BE424" s="28"/>
      <c r="BF424" s="28"/>
      <c r="BG424" s="30"/>
      <c r="BH424" s="28"/>
      <c r="BI424" s="28"/>
      <c r="BJ424" s="28"/>
      <c r="BK424" s="28"/>
      <c r="BL424" s="28"/>
      <c r="BM424" s="28"/>
      <c r="BN424" s="28"/>
      <c r="BO424" s="28"/>
      <c r="BP424" s="28"/>
      <c r="BQ424" s="28"/>
      <c r="BR424" s="29"/>
      <c r="BS424" s="29"/>
      <c r="BT424" s="28"/>
      <c r="BU424" s="28"/>
      <c r="BV424" s="29"/>
      <c r="BW424" s="28"/>
      <c r="BX424" s="28"/>
      <c r="BY424" s="28"/>
      <c r="BZ424" s="28"/>
    </row>
    <row r="425" s="27" customFormat="1" spans="1:78">
      <c r="A425" s="28"/>
      <c r="B425" s="28"/>
      <c r="C425" s="29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30"/>
      <c r="AQ425" s="30"/>
      <c r="AR425" s="30"/>
      <c r="AS425" s="30"/>
      <c r="AT425" s="28"/>
      <c r="AU425" s="28"/>
      <c r="AV425" s="28"/>
      <c r="AW425" s="30"/>
      <c r="AX425" s="28"/>
      <c r="AY425" s="28"/>
      <c r="AZ425" s="28"/>
      <c r="BA425" s="28"/>
      <c r="BB425" s="28"/>
      <c r="BC425" s="28"/>
      <c r="BD425" s="28"/>
      <c r="BE425" s="28"/>
      <c r="BF425" s="28"/>
      <c r="BG425" s="30"/>
      <c r="BH425" s="28"/>
      <c r="BI425" s="28"/>
      <c r="BJ425" s="28"/>
      <c r="BK425" s="28"/>
      <c r="BL425" s="28"/>
      <c r="BM425" s="28"/>
      <c r="BN425" s="28"/>
      <c r="BO425" s="28"/>
      <c r="BP425" s="28"/>
      <c r="BQ425" s="28"/>
      <c r="BR425" s="29"/>
      <c r="BS425" s="28"/>
      <c r="BT425" s="28"/>
      <c r="BU425" s="28"/>
      <c r="BV425" s="29"/>
      <c r="BW425" s="28"/>
      <c r="BX425" s="28"/>
      <c r="BY425" s="28"/>
      <c r="BZ425" s="28"/>
    </row>
    <row r="426" s="27" customFormat="1" spans="1:78">
      <c r="A426" s="28"/>
      <c r="B426" s="28"/>
      <c r="C426" s="29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30"/>
      <c r="AQ426" s="30"/>
      <c r="AR426" s="30"/>
      <c r="AS426" s="30"/>
      <c r="AT426" s="28"/>
      <c r="AU426" s="28"/>
      <c r="AV426" s="28"/>
      <c r="AW426" s="30"/>
      <c r="AX426" s="28"/>
      <c r="AY426" s="28"/>
      <c r="AZ426" s="28"/>
      <c r="BA426" s="28"/>
      <c r="BB426" s="28"/>
      <c r="BC426" s="28"/>
      <c r="BD426" s="28"/>
      <c r="BE426" s="28"/>
      <c r="BF426" s="28"/>
      <c r="BG426" s="30"/>
      <c r="BH426" s="28"/>
      <c r="BI426" s="28"/>
      <c r="BJ426" s="28"/>
      <c r="BK426" s="28"/>
      <c r="BL426" s="28"/>
      <c r="BM426" s="28"/>
      <c r="BN426" s="28"/>
      <c r="BO426" s="28"/>
      <c r="BP426" s="28"/>
      <c r="BQ426" s="28"/>
      <c r="BR426" s="29"/>
      <c r="BS426" s="29"/>
      <c r="BT426" s="29"/>
      <c r="BU426" s="29"/>
      <c r="BV426" s="29"/>
      <c r="BW426" s="29"/>
      <c r="BX426" s="28"/>
      <c r="BY426" s="28"/>
      <c r="BZ426" s="28"/>
    </row>
    <row r="427" s="27" customFormat="1" spans="1:78">
      <c r="A427" s="28"/>
      <c r="B427" s="28"/>
      <c r="C427" s="29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30"/>
      <c r="AQ427" s="30"/>
      <c r="AR427" s="30"/>
      <c r="AS427" s="30"/>
      <c r="AT427" s="28"/>
      <c r="AU427" s="28"/>
      <c r="AV427" s="28"/>
      <c r="AW427" s="30"/>
      <c r="AX427" s="28"/>
      <c r="AY427" s="28"/>
      <c r="AZ427" s="28"/>
      <c r="BA427" s="28"/>
      <c r="BB427" s="28"/>
      <c r="BC427" s="28"/>
      <c r="BD427" s="28"/>
      <c r="BE427" s="28"/>
      <c r="BF427" s="28"/>
      <c r="BG427" s="30"/>
      <c r="BH427" s="28"/>
      <c r="BI427" s="28"/>
      <c r="BJ427" s="28"/>
      <c r="BK427" s="28"/>
      <c r="BL427" s="28"/>
      <c r="BM427" s="28"/>
      <c r="BN427" s="28"/>
      <c r="BO427" s="28"/>
      <c r="BP427" s="28"/>
      <c r="BQ427" s="28"/>
      <c r="BR427" s="29"/>
      <c r="BS427" s="29"/>
      <c r="BT427" s="29"/>
      <c r="BU427" s="29"/>
      <c r="BV427" s="29"/>
      <c r="BW427" s="29"/>
      <c r="BX427" s="28"/>
      <c r="BY427" s="28"/>
      <c r="BZ427" s="28"/>
    </row>
    <row r="428" s="27" customFormat="1" spans="1:78">
      <c r="A428" s="28"/>
      <c r="B428" s="28"/>
      <c r="C428" s="29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30"/>
      <c r="AQ428" s="30"/>
      <c r="AR428" s="30"/>
      <c r="AS428" s="30"/>
      <c r="AT428" s="28"/>
      <c r="AU428" s="28"/>
      <c r="AV428" s="28"/>
      <c r="AW428" s="30"/>
      <c r="AX428" s="28"/>
      <c r="AY428" s="28"/>
      <c r="AZ428" s="28"/>
      <c r="BA428" s="28"/>
      <c r="BB428" s="28"/>
      <c r="BC428" s="28"/>
      <c r="BD428" s="28"/>
      <c r="BE428" s="28"/>
      <c r="BF428" s="28"/>
      <c r="BG428" s="30"/>
      <c r="BH428" s="28"/>
      <c r="BI428" s="28"/>
      <c r="BJ428" s="28"/>
      <c r="BK428" s="28"/>
      <c r="BL428" s="28"/>
      <c r="BM428" s="28"/>
      <c r="BN428" s="28"/>
      <c r="BO428" s="28"/>
      <c r="BP428" s="28"/>
      <c r="BQ428" s="28"/>
      <c r="BR428" s="29"/>
      <c r="BS428" s="29"/>
      <c r="BT428" s="29"/>
      <c r="BU428" s="29"/>
      <c r="BV428" s="29"/>
      <c r="BW428" s="29"/>
      <c r="BX428" s="28"/>
      <c r="BY428" s="28"/>
      <c r="BZ428" s="28"/>
    </row>
    <row r="429" s="27" customFormat="1" spans="1:78">
      <c r="A429" s="28"/>
      <c r="B429" s="28"/>
      <c r="C429" s="29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30"/>
      <c r="AQ429" s="30"/>
      <c r="AR429" s="30"/>
      <c r="AS429" s="30"/>
      <c r="AT429" s="28"/>
      <c r="AU429" s="28"/>
      <c r="AV429" s="28"/>
      <c r="AW429" s="30"/>
      <c r="AX429" s="28"/>
      <c r="AY429" s="28"/>
      <c r="AZ429" s="28"/>
      <c r="BA429" s="28"/>
      <c r="BB429" s="28"/>
      <c r="BC429" s="28"/>
      <c r="BD429" s="28"/>
      <c r="BE429" s="28"/>
      <c r="BF429" s="28"/>
      <c r="BG429" s="30"/>
      <c r="BH429" s="28"/>
      <c r="BI429" s="28"/>
      <c r="BJ429" s="28"/>
      <c r="BK429" s="28"/>
      <c r="BL429" s="28"/>
      <c r="BM429" s="28"/>
      <c r="BN429" s="28"/>
      <c r="BO429" s="28"/>
      <c r="BP429" s="28"/>
      <c r="BQ429" s="28"/>
      <c r="BR429" s="29"/>
      <c r="BS429" s="29"/>
      <c r="BT429" s="29"/>
      <c r="BU429" s="29"/>
      <c r="BV429" s="29"/>
      <c r="BW429" s="29"/>
      <c r="BX429" s="28"/>
      <c r="BY429" s="28"/>
      <c r="BZ429" s="28"/>
    </row>
    <row r="430" s="27" customFormat="1" spans="1:78">
      <c r="A430" s="28"/>
      <c r="B430" s="28"/>
      <c r="C430" s="29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30"/>
      <c r="AQ430" s="30"/>
      <c r="AR430" s="30"/>
      <c r="AS430" s="30"/>
      <c r="AT430" s="28"/>
      <c r="AU430" s="28"/>
      <c r="AV430" s="28"/>
      <c r="AW430" s="30"/>
      <c r="AX430" s="28"/>
      <c r="AY430" s="28"/>
      <c r="AZ430" s="28"/>
      <c r="BA430" s="28"/>
      <c r="BB430" s="28"/>
      <c r="BC430" s="28"/>
      <c r="BD430" s="28"/>
      <c r="BE430" s="28"/>
      <c r="BF430" s="28"/>
      <c r="BG430" s="30"/>
      <c r="BH430" s="28"/>
      <c r="BI430" s="28"/>
      <c r="BJ430" s="28"/>
      <c r="BK430" s="28"/>
      <c r="BL430" s="28"/>
      <c r="BM430" s="28"/>
      <c r="BN430" s="28"/>
      <c r="BO430" s="28"/>
      <c r="BP430" s="28"/>
      <c r="BQ430" s="28"/>
      <c r="BR430" s="29"/>
      <c r="BS430" s="29"/>
      <c r="BT430" s="29"/>
      <c r="BU430" s="29"/>
      <c r="BV430" s="29"/>
      <c r="BW430" s="29"/>
      <c r="BX430" s="28"/>
      <c r="BY430" s="28"/>
      <c r="BZ430" s="28"/>
    </row>
    <row r="431" s="27" customFormat="1" spans="1:78">
      <c r="A431" s="28"/>
      <c r="B431" s="28"/>
      <c r="C431" s="29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30"/>
      <c r="AQ431" s="30"/>
      <c r="AR431" s="30"/>
      <c r="AS431" s="30"/>
      <c r="AT431" s="28"/>
      <c r="AU431" s="28"/>
      <c r="AV431" s="28"/>
      <c r="AW431" s="30"/>
      <c r="AX431" s="28"/>
      <c r="AY431" s="28"/>
      <c r="AZ431" s="28"/>
      <c r="BA431" s="28"/>
      <c r="BB431" s="28"/>
      <c r="BC431" s="28"/>
      <c r="BD431" s="28"/>
      <c r="BE431" s="28"/>
      <c r="BF431" s="28"/>
      <c r="BG431" s="30"/>
      <c r="BH431" s="28"/>
      <c r="BI431" s="28"/>
      <c r="BJ431" s="28"/>
      <c r="BK431" s="28"/>
      <c r="BL431" s="28"/>
      <c r="BM431" s="28"/>
      <c r="BN431" s="28"/>
      <c r="BO431" s="28"/>
      <c r="BP431" s="28"/>
      <c r="BQ431" s="28"/>
      <c r="BR431" s="29"/>
      <c r="BS431" s="29"/>
      <c r="BT431" s="29"/>
      <c r="BU431" s="29"/>
      <c r="BV431" s="29"/>
      <c r="BW431" s="28"/>
      <c r="BX431" s="28"/>
      <c r="BY431" s="28"/>
      <c r="BZ431" s="28"/>
    </row>
    <row r="432" s="27" customFormat="1" spans="1:78">
      <c r="A432" s="28"/>
      <c r="B432" s="28"/>
      <c r="C432" s="29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30"/>
      <c r="AQ432" s="30"/>
      <c r="AR432" s="30"/>
      <c r="AS432" s="30"/>
      <c r="AT432" s="28"/>
      <c r="AU432" s="28"/>
      <c r="AV432" s="28"/>
      <c r="AW432" s="30"/>
      <c r="AX432" s="28"/>
      <c r="AY432" s="28"/>
      <c r="AZ432" s="28"/>
      <c r="BA432" s="28"/>
      <c r="BB432" s="28"/>
      <c r="BC432" s="28"/>
      <c r="BD432" s="28"/>
      <c r="BE432" s="28"/>
      <c r="BF432" s="28"/>
      <c r="BG432" s="30"/>
      <c r="BH432" s="28"/>
      <c r="BI432" s="28"/>
      <c r="BJ432" s="28"/>
      <c r="BK432" s="28"/>
      <c r="BL432" s="28"/>
      <c r="BM432" s="28"/>
      <c r="BN432" s="28"/>
      <c r="BO432" s="28"/>
      <c r="BP432" s="28"/>
      <c r="BQ432" s="28"/>
      <c r="BR432" s="29"/>
      <c r="BS432" s="29"/>
      <c r="BT432" s="29"/>
      <c r="BU432" s="28"/>
      <c r="BV432" s="29"/>
      <c r="BW432" s="28"/>
      <c r="BX432" s="28"/>
      <c r="BY432" s="28"/>
      <c r="BZ432" s="28"/>
    </row>
    <row r="433" s="27" customFormat="1" spans="1:78">
      <c r="A433" s="28"/>
      <c r="B433" s="28"/>
      <c r="C433" s="29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30"/>
      <c r="AQ433" s="30"/>
      <c r="AR433" s="30"/>
      <c r="AS433" s="30"/>
      <c r="AT433" s="28"/>
      <c r="AU433" s="29"/>
      <c r="AV433" s="30"/>
      <c r="AW433" s="30"/>
      <c r="AX433" s="28"/>
      <c r="AY433" s="28"/>
      <c r="AZ433" s="28"/>
      <c r="BA433" s="28"/>
      <c r="BB433" s="28"/>
      <c r="BC433" s="28"/>
      <c r="BD433" s="28"/>
      <c r="BE433" s="28"/>
      <c r="BF433" s="28"/>
      <c r="BG433" s="30"/>
      <c r="BH433" s="28"/>
      <c r="BI433" s="28"/>
      <c r="BJ433" s="28"/>
      <c r="BK433" s="28"/>
      <c r="BL433" s="28"/>
      <c r="BM433" s="28"/>
      <c r="BN433" s="28"/>
      <c r="BO433" s="28"/>
      <c r="BP433" s="28"/>
      <c r="BQ433" s="28"/>
      <c r="BR433" s="29"/>
      <c r="BS433" s="29"/>
      <c r="BT433" s="29"/>
      <c r="BU433" s="29"/>
      <c r="BV433" s="29"/>
      <c r="BW433" s="29"/>
      <c r="BX433" s="28"/>
      <c r="BY433" s="28"/>
      <c r="BZ433" s="28"/>
    </row>
    <row r="434" s="27" customFormat="1" spans="1:78">
      <c r="A434" s="28"/>
      <c r="B434" s="28"/>
      <c r="C434" s="29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30"/>
      <c r="AQ434" s="30"/>
      <c r="AR434" s="30"/>
      <c r="AS434" s="30"/>
      <c r="AT434" s="28"/>
      <c r="AU434" s="29"/>
      <c r="AV434" s="30"/>
      <c r="AW434" s="30"/>
      <c r="AX434" s="28"/>
      <c r="AY434" s="28"/>
      <c r="AZ434" s="28"/>
      <c r="BA434" s="28"/>
      <c r="BB434" s="28"/>
      <c r="BC434" s="28"/>
      <c r="BD434" s="28"/>
      <c r="BE434" s="28"/>
      <c r="BF434" s="28"/>
      <c r="BG434" s="30"/>
      <c r="BH434" s="28"/>
      <c r="BI434" s="28"/>
      <c r="BJ434" s="28"/>
      <c r="BK434" s="28"/>
      <c r="BL434" s="28"/>
      <c r="BM434" s="28"/>
      <c r="BN434" s="28"/>
      <c r="BO434" s="28"/>
      <c r="BP434" s="28"/>
      <c r="BQ434" s="28"/>
      <c r="BR434" s="29"/>
      <c r="BS434" s="29"/>
      <c r="BT434" s="29"/>
      <c r="BU434" s="29"/>
      <c r="BV434" s="29"/>
      <c r="BW434" s="29"/>
      <c r="BX434" s="28"/>
      <c r="BY434" s="28"/>
      <c r="BZ434" s="28"/>
    </row>
    <row r="435" s="27" customFormat="1" spans="1:78">
      <c r="A435" s="28"/>
      <c r="B435" s="28"/>
      <c r="C435" s="29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30"/>
      <c r="AQ435" s="30"/>
      <c r="AR435" s="30"/>
      <c r="AS435" s="30"/>
      <c r="AT435" s="28"/>
      <c r="AU435" s="28"/>
      <c r="AV435" s="28"/>
      <c r="AW435" s="30"/>
      <c r="AX435" s="28"/>
      <c r="AY435" s="28"/>
      <c r="AZ435" s="28"/>
      <c r="BA435" s="28"/>
      <c r="BB435" s="28"/>
      <c r="BC435" s="28"/>
      <c r="BD435" s="28"/>
      <c r="BE435" s="28"/>
      <c r="BF435" s="28"/>
      <c r="BG435" s="30"/>
      <c r="BH435" s="28"/>
      <c r="BI435" s="28"/>
      <c r="BJ435" s="28"/>
      <c r="BK435" s="28"/>
      <c r="BL435" s="28"/>
      <c r="BM435" s="28"/>
      <c r="BN435" s="28"/>
      <c r="BO435" s="28"/>
      <c r="BP435" s="28"/>
      <c r="BQ435" s="28"/>
      <c r="BR435" s="29"/>
      <c r="BS435" s="29"/>
      <c r="BT435" s="29"/>
      <c r="BU435" s="29"/>
      <c r="BV435" s="29"/>
      <c r="BW435" s="29"/>
      <c r="BX435" s="28"/>
      <c r="BY435" s="28"/>
      <c r="BZ435" s="28"/>
    </row>
    <row r="436" s="27" customFormat="1" spans="1:78">
      <c r="A436" s="28"/>
      <c r="B436" s="28"/>
      <c r="C436" s="29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30"/>
      <c r="AQ436" s="30"/>
      <c r="AR436" s="30"/>
      <c r="AS436" s="30"/>
      <c r="AT436" s="28"/>
      <c r="AU436" s="28"/>
      <c r="AV436" s="28"/>
      <c r="AW436" s="30"/>
      <c r="AX436" s="28"/>
      <c r="AY436" s="28"/>
      <c r="AZ436" s="28"/>
      <c r="BA436" s="28"/>
      <c r="BB436" s="28"/>
      <c r="BC436" s="28"/>
      <c r="BD436" s="28"/>
      <c r="BE436" s="28"/>
      <c r="BF436" s="28"/>
      <c r="BG436" s="30"/>
      <c r="BH436" s="28"/>
      <c r="BI436" s="28"/>
      <c r="BJ436" s="28"/>
      <c r="BK436" s="28"/>
      <c r="BL436" s="28"/>
      <c r="BM436" s="28"/>
      <c r="BN436" s="28"/>
      <c r="BO436" s="28"/>
      <c r="BP436" s="28"/>
      <c r="BQ436" s="28"/>
      <c r="BR436" s="29"/>
      <c r="BS436" s="29"/>
      <c r="BT436" s="29"/>
      <c r="BU436" s="29"/>
      <c r="BV436" s="29"/>
      <c r="BW436" s="29"/>
      <c r="BX436" s="28"/>
      <c r="BY436" s="28"/>
      <c r="BZ436" s="28"/>
    </row>
    <row r="437" s="27" customFormat="1" spans="1:78">
      <c r="A437" s="28"/>
      <c r="B437" s="28"/>
      <c r="C437" s="29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30"/>
      <c r="AQ437" s="30"/>
      <c r="AR437" s="30"/>
      <c r="AS437" s="30"/>
      <c r="AT437" s="28"/>
      <c r="AU437" s="28"/>
      <c r="AV437" s="28"/>
      <c r="AW437" s="30"/>
      <c r="AX437" s="28"/>
      <c r="AY437" s="28"/>
      <c r="AZ437" s="28"/>
      <c r="BA437" s="28"/>
      <c r="BB437" s="28"/>
      <c r="BC437" s="28"/>
      <c r="BD437" s="28"/>
      <c r="BE437" s="28"/>
      <c r="BF437" s="28"/>
      <c r="BG437" s="30"/>
      <c r="BH437" s="28"/>
      <c r="BI437" s="28"/>
      <c r="BJ437" s="28"/>
      <c r="BK437" s="28"/>
      <c r="BL437" s="28"/>
      <c r="BM437" s="28"/>
      <c r="BN437" s="28"/>
      <c r="BO437" s="28"/>
      <c r="BP437" s="28"/>
      <c r="BQ437" s="28"/>
      <c r="BR437" s="29"/>
      <c r="BS437" s="29"/>
      <c r="BT437" s="29"/>
      <c r="BU437" s="29"/>
      <c r="BV437" s="29"/>
      <c r="BW437" s="29"/>
      <c r="BX437" s="28"/>
      <c r="BY437" s="28"/>
      <c r="BZ437" s="28"/>
    </row>
    <row r="438" s="27" customFormat="1" spans="1:78">
      <c r="A438" s="28"/>
      <c r="B438" s="28"/>
      <c r="C438" s="29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30"/>
      <c r="AQ438" s="30"/>
      <c r="AR438" s="30"/>
      <c r="AS438" s="30"/>
      <c r="AT438" s="28"/>
      <c r="AU438" s="28"/>
      <c r="AV438" s="28"/>
      <c r="AW438" s="30"/>
      <c r="AX438" s="28"/>
      <c r="AY438" s="28"/>
      <c r="AZ438" s="28"/>
      <c r="BA438" s="28"/>
      <c r="BB438" s="28"/>
      <c r="BC438" s="28"/>
      <c r="BD438" s="28"/>
      <c r="BE438" s="28"/>
      <c r="BF438" s="28"/>
      <c r="BG438" s="30"/>
      <c r="BH438" s="28"/>
      <c r="BI438" s="28"/>
      <c r="BJ438" s="28"/>
      <c r="BK438" s="28"/>
      <c r="BL438" s="28"/>
      <c r="BM438" s="28"/>
      <c r="BN438" s="28"/>
      <c r="BO438" s="28"/>
      <c r="BP438" s="28"/>
      <c r="BQ438" s="28"/>
      <c r="BR438" s="29"/>
      <c r="BS438" s="29"/>
      <c r="BT438" s="29"/>
      <c r="BU438" s="29"/>
      <c r="BV438" s="29"/>
      <c r="BW438" s="29"/>
      <c r="BX438" s="28"/>
      <c r="BY438" s="28"/>
      <c r="BZ438" s="28"/>
    </row>
    <row r="439" s="27" customFormat="1" spans="1:78">
      <c r="A439" s="28"/>
      <c r="B439" s="28"/>
      <c r="C439" s="29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30"/>
      <c r="AQ439" s="30"/>
      <c r="AR439" s="30"/>
      <c r="AS439" s="30"/>
      <c r="AT439" s="28"/>
      <c r="AU439" s="28"/>
      <c r="AV439" s="28"/>
      <c r="AW439" s="30"/>
      <c r="AX439" s="28"/>
      <c r="AY439" s="28"/>
      <c r="AZ439" s="28"/>
      <c r="BA439" s="28"/>
      <c r="BB439" s="28"/>
      <c r="BC439" s="28"/>
      <c r="BD439" s="28"/>
      <c r="BE439" s="28"/>
      <c r="BF439" s="28"/>
      <c r="BG439" s="30"/>
      <c r="BH439" s="28"/>
      <c r="BI439" s="28"/>
      <c r="BJ439" s="28"/>
      <c r="BK439" s="28"/>
      <c r="BL439" s="28"/>
      <c r="BM439" s="28"/>
      <c r="BN439" s="28"/>
      <c r="BO439" s="28"/>
      <c r="BP439" s="28"/>
      <c r="BQ439" s="28"/>
      <c r="BR439" s="29"/>
      <c r="BS439" s="29"/>
      <c r="BT439" s="29"/>
      <c r="BU439" s="29"/>
      <c r="BV439" s="29"/>
      <c r="BW439" s="29"/>
      <c r="BX439" s="28"/>
      <c r="BY439" s="28"/>
      <c r="BZ439" s="28"/>
    </row>
    <row r="440" s="27" customFormat="1" spans="1:78">
      <c r="A440" s="28"/>
      <c r="B440" s="28"/>
      <c r="C440" s="29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30"/>
      <c r="AQ440" s="30"/>
      <c r="AR440" s="30"/>
      <c r="AS440" s="30"/>
      <c r="AT440" s="28"/>
      <c r="AU440" s="28"/>
      <c r="AV440" s="28"/>
      <c r="AW440" s="30"/>
      <c r="AX440" s="28"/>
      <c r="AY440" s="28"/>
      <c r="AZ440" s="28"/>
      <c r="BA440" s="28"/>
      <c r="BB440" s="28"/>
      <c r="BC440" s="28"/>
      <c r="BD440" s="28"/>
      <c r="BE440" s="28"/>
      <c r="BF440" s="28"/>
      <c r="BG440" s="30"/>
      <c r="BH440" s="28"/>
      <c r="BI440" s="28"/>
      <c r="BJ440" s="28"/>
      <c r="BK440" s="28"/>
      <c r="BL440" s="28"/>
      <c r="BM440" s="28"/>
      <c r="BN440" s="28"/>
      <c r="BO440" s="28"/>
      <c r="BP440" s="28"/>
      <c r="BQ440" s="28"/>
      <c r="BR440" s="29"/>
      <c r="BS440" s="29"/>
      <c r="BT440" s="29"/>
      <c r="BU440" s="29"/>
      <c r="BV440" s="29"/>
      <c r="BW440" s="29"/>
      <c r="BX440" s="28"/>
      <c r="BY440" s="28"/>
      <c r="BZ440" s="28"/>
    </row>
    <row r="441" s="27" customFormat="1" spans="1:78">
      <c r="A441" s="28"/>
      <c r="B441" s="28"/>
      <c r="C441" s="29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30"/>
      <c r="AQ441" s="30"/>
      <c r="AR441" s="30"/>
      <c r="AS441" s="30"/>
      <c r="AT441" s="28"/>
      <c r="AU441" s="28"/>
      <c r="AV441" s="28"/>
      <c r="AW441" s="30"/>
      <c r="AX441" s="28"/>
      <c r="AY441" s="28"/>
      <c r="AZ441" s="28"/>
      <c r="BA441" s="28"/>
      <c r="BB441" s="28"/>
      <c r="BC441" s="28"/>
      <c r="BD441" s="28"/>
      <c r="BE441" s="28"/>
      <c r="BF441" s="28"/>
      <c r="BG441" s="30"/>
      <c r="BH441" s="28"/>
      <c r="BI441" s="28"/>
      <c r="BJ441" s="28"/>
      <c r="BK441" s="28"/>
      <c r="BL441" s="28"/>
      <c r="BM441" s="28"/>
      <c r="BN441" s="28"/>
      <c r="BO441" s="28"/>
      <c r="BP441" s="28"/>
      <c r="BQ441" s="28"/>
      <c r="BR441" s="29"/>
      <c r="BS441" s="29"/>
      <c r="BT441" s="29"/>
      <c r="BU441" s="29"/>
      <c r="BV441" s="29"/>
      <c r="BW441" s="29"/>
      <c r="BX441" s="28"/>
      <c r="BY441" s="28"/>
      <c r="BZ441" s="28"/>
    </row>
    <row r="442" s="27" customFormat="1" spans="1:78">
      <c r="A442" s="28"/>
      <c r="B442" s="28"/>
      <c r="C442" s="29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30"/>
      <c r="AQ442" s="30"/>
      <c r="AR442" s="30"/>
      <c r="AS442" s="30"/>
      <c r="AT442" s="28"/>
      <c r="AU442" s="28"/>
      <c r="AV442" s="28"/>
      <c r="AW442" s="30"/>
      <c r="AX442" s="28"/>
      <c r="AY442" s="28"/>
      <c r="AZ442" s="28"/>
      <c r="BA442" s="28"/>
      <c r="BB442" s="28"/>
      <c r="BC442" s="28"/>
      <c r="BD442" s="28"/>
      <c r="BE442" s="28"/>
      <c r="BF442" s="28"/>
      <c r="BG442" s="30"/>
      <c r="BH442" s="28"/>
      <c r="BI442" s="28"/>
      <c r="BJ442" s="28"/>
      <c r="BK442" s="28"/>
      <c r="BL442" s="28"/>
      <c r="BM442" s="28"/>
      <c r="BN442" s="28"/>
      <c r="BO442" s="28"/>
      <c r="BP442" s="28"/>
      <c r="BQ442" s="28"/>
      <c r="BR442" s="29"/>
      <c r="BS442" s="29"/>
      <c r="BT442" s="29"/>
      <c r="BU442" s="29"/>
      <c r="BV442" s="29"/>
      <c r="BW442" s="29"/>
      <c r="BX442" s="28"/>
      <c r="BY442" s="28"/>
      <c r="BZ442" s="28"/>
    </row>
    <row r="443" s="27" customFormat="1" spans="1:78">
      <c r="A443" s="28"/>
      <c r="B443" s="28"/>
      <c r="C443" s="29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30"/>
      <c r="AQ443" s="30"/>
      <c r="AR443" s="30"/>
      <c r="AS443" s="30"/>
      <c r="AT443" s="28"/>
      <c r="AU443" s="28"/>
      <c r="AV443" s="28"/>
      <c r="AW443" s="30"/>
      <c r="AX443" s="28"/>
      <c r="AY443" s="28"/>
      <c r="AZ443" s="28"/>
      <c r="BA443" s="28"/>
      <c r="BB443" s="28"/>
      <c r="BC443" s="28"/>
      <c r="BD443" s="28"/>
      <c r="BE443" s="28"/>
      <c r="BF443" s="28"/>
      <c r="BG443" s="30"/>
      <c r="BH443" s="28"/>
      <c r="BI443" s="28"/>
      <c r="BJ443" s="28"/>
      <c r="BK443" s="28"/>
      <c r="BL443" s="28"/>
      <c r="BM443" s="28"/>
      <c r="BN443" s="28"/>
      <c r="BO443" s="28"/>
      <c r="BP443" s="28"/>
      <c r="BQ443" s="28"/>
      <c r="BR443" s="29"/>
      <c r="BS443" s="29"/>
      <c r="BT443" s="29"/>
      <c r="BU443" s="29"/>
      <c r="BV443" s="29"/>
      <c r="BW443" s="29"/>
      <c r="BX443" s="28"/>
      <c r="BY443" s="28"/>
      <c r="BZ443" s="28"/>
    </row>
    <row r="444" s="27" customFormat="1" spans="1:78">
      <c r="A444" s="28"/>
      <c r="B444" s="28"/>
      <c r="C444" s="29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30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30"/>
      <c r="AQ444" s="30"/>
      <c r="AR444" s="30"/>
      <c r="AS444" s="30"/>
      <c r="AT444" s="28"/>
      <c r="AU444" s="28"/>
      <c r="AV444" s="28"/>
      <c r="AW444" s="30"/>
      <c r="AX444" s="28"/>
      <c r="AY444" s="28"/>
      <c r="AZ444" s="28"/>
      <c r="BA444" s="28"/>
      <c r="BB444" s="28"/>
      <c r="BC444" s="28"/>
      <c r="BD444" s="28"/>
      <c r="BE444" s="28"/>
      <c r="BF444" s="28"/>
      <c r="BG444" s="30"/>
      <c r="BH444" s="28"/>
      <c r="BI444" s="28"/>
      <c r="BJ444" s="28"/>
      <c r="BK444" s="28"/>
      <c r="BL444" s="28"/>
      <c r="BM444" s="28"/>
      <c r="BN444" s="28"/>
      <c r="BO444" s="28"/>
      <c r="BP444" s="28"/>
      <c r="BQ444" s="28"/>
      <c r="BR444" s="29"/>
      <c r="BS444" s="29"/>
      <c r="BT444" s="29"/>
      <c r="BU444" s="29"/>
      <c r="BV444" s="29"/>
      <c r="BW444" s="29"/>
      <c r="BX444" s="28"/>
      <c r="BY444" s="28"/>
      <c r="BZ444" s="28"/>
    </row>
    <row r="445" s="27" customFormat="1" spans="1:78">
      <c r="A445" s="28"/>
      <c r="B445" s="28"/>
      <c r="C445" s="29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30"/>
      <c r="AQ445" s="30"/>
      <c r="AR445" s="30"/>
      <c r="AS445" s="30"/>
      <c r="AT445" s="28"/>
      <c r="AU445" s="28"/>
      <c r="AV445" s="28"/>
      <c r="AW445" s="30"/>
      <c r="AX445" s="28"/>
      <c r="AY445" s="28"/>
      <c r="AZ445" s="28"/>
      <c r="BA445" s="28"/>
      <c r="BB445" s="28"/>
      <c r="BC445" s="28"/>
      <c r="BD445" s="28"/>
      <c r="BE445" s="28"/>
      <c r="BF445" s="28"/>
      <c r="BG445" s="30"/>
      <c r="BH445" s="28"/>
      <c r="BI445" s="28"/>
      <c r="BJ445" s="28"/>
      <c r="BK445" s="28"/>
      <c r="BL445" s="28"/>
      <c r="BM445" s="28"/>
      <c r="BN445" s="28"/>
      <c r="BO445" s="28"/>
      <c r="BP445" s="28"/>
      <c r="BQ445" s="28"/>
      <c r="BR445" s="29"/>
      <c r="BS445" s="29"/>
      <c r="BT445" s="29"/>
      <c r="BU445" s="29"/>
      <c r="BV445" s="29"/>
      <c r="BW445" s="29"/>
      <c r="BX445" s="28"/>
      <c r="BY445" s="28"/>
      <c r="BZ445" s="28"/>
    </row>
    <row r="446" s="27" customFormat="1" spans="1:78">
      <c r="A446" s="28"/>
      <c r="B446" s="28"/>
      <c r="C446" s="29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30"/>
      <c r="AQ446" s="30"/>
      <c r="AR446" s="30"/>
      <c r="AS446" s="30"/>
      <c r="AT446" s="28"/>
      <c r="AU446" s="28"/>
      <c r="AV446" s="28"/>
      <c r="AW446" s="30"/>
      <c r="AX446" s="28"/>
      <c r="AY446" s="28"/>
      <c r="AZ446" s="28"/>
      <c r="BA446" s="28"/>
      <c r="BB446" s="28"/>
      <c r="BC446" s="28"/>
      <c r="BD446" s="28"/>
      <c r="BE446" s="28"/>
      <c r="BF446" s="28"/>
      <c r="BG446" s="30"/>
      <c r="BH446" s="28"/>
      <c r="BI446" s="28"/>
      <c r="BJ446" s="28"/>
      <c r="BK446" s="28"/>
      <c r="BL446" s="28"/>
      <c r="BM446" s="28"/>
      <c r="BN446" s="28"/>
      <c r="BO446" s="28"/>
      <c r="BP446" s="28"/>
      <c r="BQ446" s="28"/>
      <c r="BR446" s="29"/>
      <c r="BS446" s="29"/>
      <c r="BT446" s="29"/>
      <c r="BU446" s="29"/>
      <c r="BV446" s="29"/>
      <c r="BW446" s="29"/>
      <c r="BX446" s="28"/>
      <c r="BY446" s="28"/>
      <c r="BZ446" s="28"/>
    </row>
    <row r="447" s="27" customFormat="1" spans="1:78">
      <c r="A447" s="28"/>
      <c r="B447" s="28"/>
      <c r="C447" s="29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30"/>
      <c r="AQ447" s="30"/>
      <c r="AR447" s="30"/>
      <c r="AS447" s="30"/>
      <c r="AT447" s="28"/>
      <c r="AU447" s="28"/>
      <c r="AV447" s="28"/>
      <c r="AW447" s="30"/>
      <c r="AX447" s="28"/>
      <c r="AY447" s="28"/>
      <c r="AZ447" s="28"/>
      <c r="BA447" s="28"/>
      <c r="BB447" s="28"/>
      <c r="BC447" s="28"/>
      <c r="BD447" s="28"/>
      <c r="BE447" s="28"/>
      <c r="BF447" s="28"/>
      <c r="BG447" s="30"/>
      <c r="BH447" s="28"/>
      <c r="BI447" s="28"/>
      <c r="BJ447" s="28"/>
      <c r="BK447" s="28"/>
      <c r="BL447" s="28"/>
      <c r="BM447" s="28"/>
      <c r="BN447" s="28"/>
      <c r="BO447" s="28"/>
      <c r="BP447" s="28"/>
      <c r="BQ447" s="28"/>
      <c r="BR447" s="29"/>
      <c r="BS447" s="29"/>
      <c r="BT447" s="29"/>
      <c r="BU447" s="29"/>
      <c r="BV447" s="29"/>
      <c r="BW447" s="29"/>
      <c r="BX447" s="28"/>
      <c r="BY447" s="28"/>
      <c r="BZ447" s="28"/>
    </row>
    <row r="448" s="27" customFormat="1" spans="1:78">
      <c r="A448" s="28"/>
      <c r="B448" s="28"/>
      <c r="C448" s="29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30"/>
      <c r="AQ448" s="30"/>
      <c r="AR448" s="30"/>
      <c r="AS448" s="30"/>
      <c r="AT448" s="28"/>
      <c r="AU448" s="28"/>
      <c r="AV448" s="28"/>
      <c r="AW448" s="30"/>
      <c r="AX448" s="28"/>
      <c r="AY448" s="28"/>
      <c r="AZ448" s="28"/>
      <c r="BA448" s="28"/>
      <c r="BB448" s="28"/>
      <c r="BC448" s="28"/>
      <c r="BD448" s="28"/>
      <c r="BE448" s="28"/>
      <c r="BF448" s="28"/>
      <c r="BG448" s="30"/>
      <c r="BH448" s="28"/>
      <c r="BI448" s="28"/>
      <c r="BJ448" s="28"/>
      <c r="BK448" s="28"/>
      <c r="BL448" s="28"/>
      <c r="BM448" s="28"/>
      <c r="BN448" s="28"/>
      <c r="BO448" s="28"/>
      <c r="BP448" s="28"/>
      <c r="BQ448" s="28"/>
      <c r="BR448" s="29"/>
      <c r="BS448" s="29"/>
      <c r="BT448" s="29"/>
      <c r="BU448" s="29"/>
      <c r="BV448" s="29"/>
      <c r="BW448" s="29"/>
      <c r="BX448" s="28"/>
      <c r="BY448" s="28"/>
      <c r="BZ448" s="28"/>
    </row>
    <row r="449" s="27" customFormat="1" spans="1:78">
      <c r="A449" s="28"/>
      <c r="B449" s="28"/>
      <c r="C449" s="29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30"/>
      <c r="AQ449" s="30"/>
      <c r="AR449" s="30"/>
      <c r="AS449" s="30"/>
      <c r="AT449" s="28"/>
      <c r="AU449" s="29"/>
      <c r="AV449" s="30"/>
      <c r="AW449" s="30"/>
      <c r="AX449" s="28"/>
      <c r="AY449" s="28"/>
      <c r="AZ449" s="28"/>
      <c r="BA449" s="28"/>
      <c r="BB449" s="28"/>
      <c r="BC449" s="28"/>
      <c r="BD449" s="28"/>
      <c r="BE449" s="28"/>
      <c r="BF449" s="28"/>
      <c r="BG449" s="30"/>
      <c r="BH449" s="28"/>
      <c r="BI449" s="28"/>
      <c r="BJ449" s="28"/>
      <c r="BK449" s="28"/>
      <c r="BL449" s="28"/>
      <c r="BM449" s="28"/>
      <c r="BN449" s="28"/>
      <c r="BO449" s="28"/>
      <c r="BP449" s="28"/>
      <c r="BQ449" s="28"/>
      <c r="BR449" s="29"/>
      <c r="BS449" s="29"/>
      <c r="BT449" s="29"/>
      <c r="BU449" s="29"/>
      <c r="BV449" s="29"/>
      <c r="BW449" s="29"/>
      <c r="BX449" s="28"/>
      <c r="BY449" s="28"/>
      <c r="BZ449" s="28"/>
    </row>
    <row r="450" s="27" customFormat="1" spans="1:78">
      <c r="A450" s="28"/>
      <c r="B450" s="28"/>
      <c r="C450" s="29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30"/>
      <c r="AQ450" s="30"/>
      <c r="AR450" s="30"/>
      <c r="AS450" s="30"/>
      <c r="AT450" s="28"/>
      <c r="AU450" s="28"/>
      <c r="AV450" s="28"/>
      <c r="AW450" s="30"/>
      <c r="AX450" s="28"/>
      <c r="AY450" s="28"/>
      <c r="AZ450" s="28"/>
      <c r="BA450" s="28"/>
      <c r="BB450" s="28"/>
      <c r="BC450" s="28"/>
      <c r="BD450" s="28"/>
      <c r="BE450" s="28"/>
      <c r="BF450" s="28"/>
      <c r="BG450" s="30"/>
      <c r="BH450" s="28"/>
      <c r="BI450" s="28"/>
      <c r="BJ450" s="28"/>
      <c r="BK450" s="28"/>
      <c r="BL450" s="28"/>
      <c r="BM450" s="28"/>
      <c r="BN450" s="28"/>
      <c r="BO450" s="28"/>
      <c r="BP450" s="28"/>
      <c r="BQ450" s="28"/>
      <c r="BR450" s="29"/>
      <c r="BS450" s="29"/>
      <c r="BT450" s="29"/>
      <c r="BU450" s="29"/>
      <c r="BV450" s="29"/>
      <c r="BW450" s="29"/>
      <c r="BX450" s="28"/>
      <c r="BY450" s="28"/>
      <c r="BZ450" s="28"/>
    </row>
    <row r="451" s="27" customFormat="1" spans="1:78">
      <c r="A451" s="28"/>
      <c r="B451" s="28"/>
      <c r="C451" s="29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30"/>
      <c r="AQ451" s="30"/>
      <c r="AR451" s="30"/>
      <c r="AS451" s="30"/>
      <c r="AT451" s="28"/>
      <c r="AU451" s="28"/>
      <c r="AV451" s="28"/>
      <c r="AW451" s="30"/>
      <c r="AX451" s="28"/>
      <c r="AY451" s="28"/>
      <c r="AZ451" s="28"/>
      <c r="BA451" s="28"/>
      <c r="BB451" s="28"/>
      <c r="BC451" s="28"/>
      <c r="BD451" s="28"/>
      <c r="BE451" s="28"/>
      <c r="BF451" s="28"/>
      <c r="BG451" s="30"/>
      <c r="BH451" s="28"/>
      <c r="BI451" s="28"/>
      <c r="BJ451" s="28"/>
      <c r="BK451" s="28"/>
      <c r="BL451" s="28"/>
      <c r="BM451" s="28"/>
      <c r="BN451" s="28"/>
      <c r="BO451" s="28"/>
      <c r="BP451" s="28"/>
      <c r="BQ451" s="28"/>
      <c r="BR451" s="29"/>
      <c r="BS451" s="29"/>
      <c r="BT451" s="29"/>
      <c r="BU451" s="29"/>
      <c r="BV451" s="29"/>
      <c r="BW451" s="29"/>
      <c r="BX451" s="28"/>
      <c r="BY451" s="28"/>
      <c r="BZ451" s="28"/>
    </row>
    <row r="452" s="27" customFormat="1" spans="1:78">
      <c r="A452" s="28"/>
      <c r="B452" s="28"/>
      <c r="C452" s="29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30"/>
      <c r="AQ452" s="30"/>
      <c r="AR452" s="30"/>
      <c r="AS452" s="30"/>
      <c r="AT452" s="28"/>
      <c r="AU452" s="28"/>
      <c r="AV452" s="28"/>
      <c r="AW452" s="30"/>
      <c r="AX452" s="28"/>
      <c r="AY452" s="28"/>
      <c r="AZ452" s="28"/>
      <c r="BA452" s="28"/>
      <c r="BB452" s="28"/>
      <c r="BC452" s="28"/>
      <c r="BD452" s="28"/>
      <c r="BE452" s="28"/>
      <c r="BF452" s="28"/>
      <c r="BG452" s="30"/>
      <c r="BH452" s="28"/>
      <c r="BI452" s="28"/>
      <c r="BJ452" s="28"/>
      <c r="BK452" s="28"/>
      <c r="BL452" s="28"/>
      <c r="BM452" s="28"/>
      <c r="BN452" s="28"/>
      <c r="BO452" s="28"/>
      <c r="BP452" s="28"/>
      <c r="BQ452" s="28"/>
      <c r="BR452" s="29"/>
      <c r="BS452" s="29"/>
      <c r="BT452" s="29"/>
      <c r="BU452" s="29"/>
      <c r="BV452" s="29"/>
      <c r="BW452" s="29"/>
      <c r="BX452" s="28"/>
      <c r="BY452" s="28"/>
      <c r="BZ452" s="28"/>
    </row>
    <row r="453" s="27" customFormat="1" spans="1:78">
      <c r="A453" s="28"/>
      <c r="B453" s="28"/>
      <c r="C453" s="29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30"/>
      <c r="AQ453" s="30"/>
      <c r="AR453" s="30"/>
      <c r="AS453" s="30"/>
      <c r="AT453" s="28"/>
      <c r="AU453" s="28"/>
      <c r="AV453" s="28"/>
      <c r="AW453" s="30"/>
      <c r="AX453" s="28"/>
      <c r="AY453" s="28"/>
      <c r="AZ453" s="28"/>
      <c r="BA453" s="28"/>
      <c r="BB453" s="28"/>
      <c r="BC453" s="28"/>
      <c r="BD453" s="28"/>
      <c r="BE453" s="28"/>
      <c r="BF453" s="28"/>
      <c r="BG453" s="30"/>
      <c r="BH453" s="28"/>
      <c r="BI453" s="28"/>
      <c r="BJ453" s="28"/>
      <c r="BK453" s="28"/>
      <c r="BL453" s="28"/>
      <c r="BM453" s="28"/>
      <c r="BN453" s="28"/>
      <c r="BO453" s="28"/>
      <c r="BP453" s="28"/>
      <c r="BQ453" s="28"/>
      <c r="BR453" s="29"/>
      <c r="BS453" s="29"/>
      <c r="BT453" s="29"/>
      <c r="BU453" s="29"/>
      <c r="BV453" s="29"/>
      <c r="BW453" s="29"/>
      <c r="BX453" s="28"/>
      <c r="BY453" s="28"/>
      <c r="BZ453" s="28"/>
    </row>
    <row r="454" s="27" customFormat="1" spans="1:78">
      <c r="A454" s="28"/>
      <c r="B454" s="28"/>
      <c r="C454" s="29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30"/>
      <c r="AQ454" s="30"/>
      <c r="AR454" s="30"/>
      <c r="AS454" s="30"/>
      <c r="AT454" s="28"/>
      <c r="AU454" s="28"/>
      <c r="AV454" s="28"/>
      <c r="AW454" s="30"/>
      <c r="AX454" s="28"/>
      <c r="AY454" s="28"/>
      <c r="AZ454" s="28"/>
      <c r="BA454" s="28"/>
      <c r="BB454" s="28"/>
      <c r="BC454" s="28"/>
      <c r="BD454" s="28"/>
      <c r="BE454" s="28"/>
      <c r="BF454" s="28"/>
      <c r="BG454" s="30"/>
      <c r="BH454" s="28"/>
      <c r="BI454" s="28"/>
      <c r="BJ454" s="28"/>
      <c r="BK454" s="28"/>
      <c r="BL454" s="28"/>
      <c r="BM454" s="28"/>
      <c r="BN454" s="28"/>
      <c r="BO454" s="28"/>
      <c r="BP454" s="28"/>
      <c r="BQ454" s="28"/>
      <c r="BR454" s="29"/>
      <c r="BS454" s="29"/>
      <c r="BT454" s="28"/>
      <c r="BU454" s="28"/>
      <c r="BV454" s="29"/>
      <c r="BW454" s="28"/>
      <c r="BX454" s="28"/>
      <c r="BY454" s="28"/>
      <c r="BZ454" s="28"/>
    </row>
    <row r="455" s="27" customFormat="1" spans="1:78">
      <c r="A455" s="28"/>
      <c r="B455" s="28"/>
      <c r="C455" s="29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30"/>
      <c r="AQ455" s="30"/>
      <c r="AR455" s="30"/>
      <c r="AS455" s="30"/>
      <c r="AT455" s="28"/>
      <c r="AU455" s="28"/>
      <c r="AV455" s="28"/>
      <c r="AW455" s="30"/>
      <c r="AX455" s="28"/>
      <c r="AY455" s="28"/>
      <c r="AZ455" s="28"/>
      <c r="BA455" s="28"/>
      <c r="BB455" s="28"/>
      <c r="BC455" s="28"/>
      <c r="BD455" s="28"/>
      <c r="BE455" s="28"/>
      <c r="BF455" s="28"/>
      <c r="BG455" s="30"/>
      <c r="BH455" s="28"/>
      <c r="BI455" s="28"/>
      <c r="BJ455" s="28"/>
      <c r="BK455" s="28"/>
      <c r="BL455" s="28"/>
      <c r="BM455" s="28"/>
      <c r="BN455" s="28"/>
      <c r="BO455" s="28"/>
      <c r="BP455" s="28"/>
      <c r="BQ455" s="28"/>
      <c r="BR455" s="29"/>
      <c r="BS455" s="29"/>
      <c r="BT455" s="29"/>
      <c r="BU455" s="29"/>
      <c r="BV455" s="29"/>
      <c r="BW455" s="29"/>
      <c r="BX455" s="28"/>
      <c r="BY455" s="28"/>
      <c r="BZ455" s="28"/>
    </row>
    <row r="456" s="27" customFormat="1" spans="1:78">
      <c r="A456" s="28"/>
      <c r="B456" s="28"/>
      <c r="C456" s="29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30"/>
      <c r="AQ456" s="30"/>
      <c r="AR456" s="30"/>
      <c r="AS456" s="30"/>
      <c r="AT456" s="28"/>
      <c r="AU456" s="28"/>
      <c r="AV456" s="28"/>
      <c r="AW456" s="30"/>
      <c r="AX456" s="28"/>
      <c r="AY456" s="28"/>
      <c r="AZ456" s="28"/>
      <c r="BA456" s="28"/>
      <c r="BB456" s="28"/>
      <c r="BC456" s="28"/>
      <c r="BD456" s="28"/>
      <c r="BE456" s="28"/>
      <c r="BF456" s="28"/>
      <c r="BG456" s="30"/>
      <c r="BH456" s="28"/>
      <c r="BI456" s="28"/>
      <c r="BJ456" s="28"/>
      <c r="BK456" s="28"/>
      <c r="BL456" s="28"/>
      <c r="BM456" s="28"/>
      <c r="BN456" s="28"/>
      <c r="BO456" s="28"/>
      <c r="BP456" s="28"/>
      <c r="BQ456" s="28"/>
      <c r="BR456" s="29"/>
      <c r="BS456" s="29"/>
      <c r="BT456" s="29"/>
      <c r="BU456" s="28"/>
      <c r="BV456" s="29"/>
      <c r="BW456" s="28"/>
      <c r="BX456" s="28"/>
      <c r="BY456" s="28"/>
      <c r="BZ456" s="28"/>
    </row>
    <row r="457" s="27" customFormat="1" spans="1:78">
      <c r="A457" s="28"/>
      <c r="B457" s="28"/>
      <c r="C457" s="29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30"/>
      <c r="AQ457" s="30"/>
      <c r="AR457" s="30"/>
      <c r="AS457" s="30"/>
      <c r="AT457" s="28"/>
      <c r="AU457" s="28"/>
      <c r="AV457" s="28"/>
      <c r="AW457" s="30"/>
      <c r="AX457" s="28"/>
      <c r="AY457" s="28"/>
      <c r="AZ457" s="28"/>
      <c r="BA457" s="28"/>
      <c r="BB457" s="28"/>
      <c r="BC457" s="28"/>
      <c r="BD457" s="28"/>
      <c r="BE457" s="28"/>
      <c r="BF457" s="28"/>
      <c r="BG457" s="30"/>
      <c r="BH457" s="28"/>
      <c r="BI457" s="28"/>
      <c r="BJ457" s="28"/>
      <c r="BK457" s="28"/>
      <c r="BL457" s="28"/>
      <c r="BM457" s="28"/>
      <c r="BN457" s="28"/>
      <c r="BO457" s="28"/>
      <c r="BP457" s="28"/>
      <c r="BQ457" s="28"/>
      <c r="BR457" s="29"/>
      <c r="BS457" s="29"/>
      <c r="BT457" s="29"/>
      <c r="BU457" s="29"/>
      <c r="BV457" s="29"/>
      <c r="BW457" s="29"/>
      <c r="BX457" s="28"/>
      <c r="BY457" s="28"/>
      <c r="BZ457" s="28"/>
    </row>
    <row r="458" s="27" customFormat="1" spans="1:78">
      <c r="A458" s="28"/>
      <c r="B458" s="28"/>
      <c r="C458" s="29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30"/>
      <c r="AQ458" s="30"/>
      <c r="AR458" s="30"/>
      <c r="AS458" s="30"/>
      <c r="AT458" s="28"/>
      <c r="AU458" s="28"/>
      <c r="AV458" s="28"/>
      <c r="AW458" s="30"/>
      <c r="AX458" s="28"/>
      <c r="AY458" s="28"/>
      <c r="AZ458" s="28"/>
      <c r="BA458" s="28"/>
      <c r="BB458" s="28"/>
      <c r="BC458" s="28"/>
      <c r="BD458" s="28"/>
      <c r="BE458" s="28"/>
      <c r="BF458" s="28"/>
      <c r="BG458" s="30"/>
      <c r="BH458" s="28"/>
      <c r="BI458" s="28"/>
      <c r="BJ458" s="28"/>
      <c r="BK458" s="28"/>
      <c r="BL458" s="28"/>
      <c r="BM458" s="28"/>
      <c r="BN458" s="28"/>
      <c r="BO458" s="28"/>
      <c r="BP458" s="28"/>
      <c r="BQ458" s="28"/>
      <c r="BR458" s="29"/>
      <c r="BS458" s="29"/>
      <c r="BT458" s="29"/>
      <c r="BU458" s="29"/>
      <c r="BV458" s="29"/>
      <c r="BW458" s="29"/>
      <c r="BX458" s="28"/>
      <c r="BY458" s="28"/>
      <c r="BZ458" s="28"/>
    </row>
    <row r="459" s="27" customFormat="1" spans="1:78">
      <c r="A459" s="28"/>
      <c r="B459" s="28"/>
      <c r="C459" s="29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30"/>
      <c r="AQ459" s="30"/>
      <c r="AR459" s="30"/>
      <c r="AS459" s="30"/>
      <c r="AT459" s="28"/>
      <c r="AU459" s="28"/>
      <c r="AV459" s="28"/>
      <c r="AW459" s="30"/>
      <c r="AX459" s="28"/>
      <c r="AY459" s="28"/>
      <c r="AZ459" s="28"/>
      <c r="BA459" s="28"/>
      <c r="BB459" s="28"/>
      <c r="BC459" s="28"/>
      <c r="BD459" s="28"/>
      <c r="BE459" s="28"/>
      <c r="BF459" s="28"/>
      <c r="BG459" s="30"/>
      <c r="BH459" s="28"/>
      <c r="BI459" s="28"/>
      <c r="BJ459" s="28"/>
      <c r="BK459" s="28"/>
      <c r="BL459" s="28"/>
      <c r="BM459" s="28"/>
      <c r="BN459" s="28"/>
      <c r="BO459" s="28"/>
      <c r="BP459" s="28"/>
      <c r="BQ459" s="28"/>
      <c r="BR459" s="29"/>
      <c r="BS459" s="29"/>
      <c r="BT459" s="29"/>
      <c r="BU459" s="29"/>
      <c r="BV459" s="29"/>
      <c r="BW459" s="29"/>
      <c r="BX459" s="28"/>
      <c r="BY459" s="28"/>
      <c r="BZ459" s="28"/>
    </row>
    <row r="460" s="27" customFormat="1" spans="1:78">
      <c r="A460" s="28"/>
      <c r="B460" s="28"/>
      <c r="C460" s="29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30"/>
      <c r="AQ460" s="30"/>
      <c r="AR460" s="30"/>
      <c r="AS460" s="30"/>
      <c r="AT460" s="28"/>
      <c r="AU460" s="28"/>
      <c r="AV460" s="28"/>
      <c r="AW460" s="30"/>
      <c r="AX460" s="28"/>
      <c r="AY460" s="28"/>
      <c r="AZ460" s="28"/>
      <c r="BA460" s="28"/>
      <c r="BB460" s="28"/>
      <c r="BC460" s="28"/>
      <c r="BD460" s="28"/>
      <c r="BE460" s="28"/>
      <c r="BF460" s="28"/>
      <c r="BG460" s="30"/>
      <c r="BH460" s="28"/>
      <c r="BI460" s="28"/>
      <c r="BJ460" s="28"/>
      <c r="BK460" s="28"/>
      <c r="BL460" s="28"/>
      <c r="BM460" s="28"/>
      <c r="BN460" s="28"/>
      <c r="BO460" s="28"/>
      <c r="BP460" s="28"/>
      <c r="BQ460" s="28"/>
      <c r="BR460" s="29"/>
      <c r="BS460" s="29"/>
      <c r="BT460" s="29"/>
      <c r="BU460" s="29"/>
      <c r="BV460" s="29"/>
      <c r="BW460" s="29"/>
      <c r="BX460" s="28"/>
      <c r="BY460" s="28"/>
      <c r="BZ460" s="28"/>
    </row>
    <row r="461" s="27" customFormat="1" spans="1:78">
      <c r="A461" s="28"/>
      <c r="B461" s="28"/>
      <c r="C461" s="29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30"/>
      <c r="AQ461" s="30"/>
      <c r="AR461" s="30"/>
      <c r="AS461" s="30"/>
      <c r="AT461" s="28"/>
      <c r="AU461" s="28"/>
      <c r="AV461" s="28"/>
      <c r="AW461" s="30"/>
      <c r="AX461" s="28"/>
      <c r="AY461" s="28"/>
      <c r="AZ461" s="28"/>
      <c r="BA461" s="28"/>
      <c r="BB461" s="28"/>
      <c r="BC461" s="28"/>
      <c r="BD461" s="28"/>
      <c r="BE461" s="28"/>
      <c r="BF461" s="28"/>
      <c r="BG461" s="30"/>
      <c r="BH461" s="28"/>
      <c r="BI461" s="28"/>
      <c r="BJ461" s="28"/>
      <c r="BK461" s="28"/>
      <c r="BL461" s="28"/>
      <c r="BM461" s="28"/>
      <c r="BN461" s="28"/>
      <c r="BO461" s="28"/>
      <c r="BP461" s="28"/>
      <c r="BQ461" s="28"/>
      <c r="BR461" s="29"/>
      <c r="BS461" s="29"/>
      <c r="BT461" s="29"/>
      <c r="BU461" s="29"/>
      <c r="BV461" s="29"/>
      <c r="BW461" s="29"/>
      <c r="BX461" s="28"/>
      <c r="BY461" s="28"/>
      <c r="BZ461" s="28"/>
    </row>
    <row r="462" s="27" customFormat="1" spans="1:78">
      <c r="A462" s="28"/>
      <c r="B462" s="28"/>
      <c r="C462" s="29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30"/>
      <c r="AQ462" s="30"/>
      <c r="AR462" s="30"/>
      <c r="AS462" s="30"/>
      <c r="AT462" s="28"/>
      <c r="AU462" s="28"/>
      <c r="AV462" s="28"/>
      <c r="AW462" s="30"/>
      <c r="AX462" s="28"/>
      <c r="AY462" s="28"/>
      <c r="AZ462" s="28"/>
      <c r="BA462" s="28"/>
      <c r="BB462" s="28"/>
      <c r="BC462" s="28"/>
      <c r="BD462" s="28"/>
      <c r="BE462" s="28"/>
      <c r="BF462" s="28"/>
      <c r="BG462" s="30"/>
      <c r="BH462" s="28"/>
      <c r="BI462" s="28"/>
      <c r="BJ462" s="28"/>
      <c r="BK462" s="28"/>
      <c r="BL462" s="28"/>
      <c r="BM462" s="28"/>
      <c r="BN462" s="28"/>
      <c r="BO462" s="28"/>
      <c r="BP462" s="28"/>
      <c r="BQ462" s="28"/>
      <c r="BR462" s="29"/>
      <c r="BS462" s="29"/>
      <c r="BT462" s="29"/>
      <c r="BU462" s="29"/>
      <c r="BV462" s="29"/>
      <c r="BW462" s="29"/>
      <c r="BX462" s="28"/>
      <c r="BY462" s="28"/>
      <c r="BZ462" s="28"/>
    </row>
    <row r="463" s="27" customFormat="1" spans="1:78">
      <c r="A463" s="28"/>
      <c r="B463" s="28"/>
      <c r="C463" s="29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30"/>
      <c r="AQ463" s="30"/>
      <c r="AR463" s="30"/>
      <c r="AS463" s="30"/>
      <c r="AT463" s="28"/>
      <c r="AU463" s="28"/>
      <c r="AV463" s="28"/>
      <c r="AW463" s="30"/>
      <c r="AX463" s="28"/>
      <c r="AY463" s="28"/>
      <c r="AZ463" s="28"/>
      <c r="BA463" s="28"/>
      <c r="BB463" s="28"/>
      <c r="BC463" s="28"/>
      <c r="BD463" s="28"/>
      <c r="BE463" s="28"/>
      <c r="BF463" s="28"/>
      <c r="BG463" s="30"/>
      <c r="BH463" s="28"/>
      <c r="BI463" s="28"/>
      <c r="BJ463" s="28"/>
      <c r="BK463" s="28"/>
      <c r="BL463" s="28"/>
      <c r="BM463" s="28"/>
      <c r="BN463" s="28"/>
      <c r="BO463" s="28"/>
      <c r="BP463" s="28"/>
      <c r="BQ463" s="28"/>
      <c r="BR463" s="29"/>
      <c r="BS463" s="29"/>
      <c r="BT463" s="29"/>
      <c r="BU463" s="29"/>
      <c r="BV463" s="29"/>
      <c r="BW463" s="29"/>
      <c r="BX463" s="28"/>
      <c r="BY463" s="28"/>
      <c r="BZ463" s="28"/>
    </row>
    <row r="464" s="27" customFormat="1" spans="1:78">
      <c r="A464" s="28"/>
      <c r="B464" s="28"/>
      <c r="C464" s="29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30"/>
      <c r="AQ464" s="30"/>
      <c r="AR464" s="30"/>
      <c r="AS464" s="30"/>
      <c r="AT464" s="28"/>
      <c r="AU464" s="28"/>
      <c r="AV464" s="28"/>
      <c r="AW464" s="30"/>
      <c r="AX464" s="28"/>
      <c r="AY464" s="28"/>
      <c r="AZ464" s="28"/>
      <c r="BA464" s="28"/>
      <c r="BB464" s="28"/>
      <c r="BC464" s="28"/>
      <c r="BD464" s="28"/>
      <c r="BE464" s="28"/>
      <c r="BF464" s="28"/>
      <c r="BG464" s="30"/>
      <c r="BH464" s="28"/>
      <c r="BI464" s="28"/>
      <c r="BJ464" s="28"/>
      <c r="BK464" s="28"/>
      <c r="BL464" s="28"/>
      <c r="BM464" s="28"/>
      <c r="BN464" s="28"/>
      <c r="BO464" s="28"/>
      <c r="BP464" s="28"/>
      <c r="BQ464" s="28"/>
      <c r="BR464" s="29"/>
      <c r="BS464" s="29"/>
      <c r="BT464" s="29"/>
      <c r="BU464" s="29"/>
      <c r="BV464" s="29"/>
      <c r="BW464" s="29"/>
      <c r="BX464" s="28"/>
      <c r="BY464" s="28"/>
      <c r="BZ464" s="28"/>
    </row>
    <row r="465" s="27" customFormat="1" spans="1:78">
      <c r="A465" s="28"/>
      <c r="B465" s="28"/>
      <c r="C465" s="29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30"/>
      <c r="AQ465" s="30"/>
      <c r="AR465" s="30"/>
      <c r="AS465" s="30"/>
      <c r="AT465" s="28"/>
      <c r="AU465" s="28"/>
      <c r="AV465" s="28"/>
      <c r="AW465" s="30"/>
      <c r="AX465" s="28"/>
      <c r="AY465" s="28"/>
      <c r="AZ465" s="28"/>
      <c r="BA465" s="28"/>
      <c r="BB465" s="28"/>
      <c r="BC465" s="28"/>
      <c r="BD465" s="28"/>
      <c r="BE465" s="28"/>
      <c r="BF465" s="28"/>
      <c r="BG465" s="30"/>
      <c r="BH465" s="28"/>
      <c r="BI465" s="28"/>
      <c r="BJ465" s="28"/>
      <c r="BK465" s="28"/>
      <c r="BL465" s="28"/>
      <c r="BM465" s="28"/>
      <c r="BN465" s="28"/>
      <c r="BO465" s="28"/>
      <c r="BP465" s="28"/>
      <c r="BQ465" s="28"/>
      <c r="BR465" s="29"/>
      <c r="BS465" s="29"/>
      <c r="BT465" s="29"/>
      <c r="BU465" s="29"/>
      <c r="BV465" s="29"/>
      <c r="BW465" s="28"/>
      <c r="BX465" s="28"/>
      <c r="BY465" s="28"/>
      <c r="BZ465" s="28"/>
    </row>
    <row r="466" s="27" customFormat="1" spans="1:78">
      <c r="A466" s="28"/>
      <c r="B466" s="28"/>
      <c r="C466" s="29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30"/>
      <c r="AQ466" s="30"/>
      <c r="AR466" s="30"/>
      <c r="AS466" s="30"/>
      <c r="AT466" s="28"/>
      <c r="AU466" s="28"/>
      <c r="AV466" s="28"/>
      <c r="AW466" s="30"/>
      <c r="AX466" s="28"/>
      <c r="AY466" s="28"/>
      <c r="AZ466" s="28"/>
      <c r="BA466" s="28"/>
      <c r="BB466" s="28"/>
      <c r="BC466" s="28"/>
      <c r="BD466" s="28"/>
      <c r="BE466" s="28"/>
      <c r="BF466" s="28"/>
      <c r="BG466" s="30"/>
      <c r="BH466" s="28"/>
      <c r="BI466" s="28"/>
      <c r="BJ466" s="28"/>
      <c r="BK466" s="28"/>
      <c r="BL466" s="28"/>
      <c r="BM466" s="28"/>
      <c r="BN466" s="28"/>
      <c r="BO466" s="28"/>
      <c r="BP466" s="28"/>
      <c r="BQ466" s="28"/>
      <c r="BR466" s="29"/>
      <c r="BS466" s="29"/>
      <c r="BT466" s="29"/>
      <c r="BU466" s="29"/>
      <c r="BV466" s="29"/>
      <c r="BW466" s="29"/>
      <c r="BX466" s="28"/>
      <c r="BY466" s="28"/>
      <c r="BZ466" s="28"/>
    </row>
    <row r="467" s="27" customFormat="1" spans="1:78">
      <c r="A467" s="28"/>
      <c r="B467" s="28"/>
      <c r="C467" s="29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30"/>
      <c r="AQ467" s="30"/>
      <c r="AR467" s="30"/>
      <c r="AS467" s="30"/>
      <c r="AT467" s="28"/>
      <c r="AU467" s="28"/>
      <c r="AV467" s="28"/>
      <c r="AW467" s="30"/>
      <c r="AX467" s="28"/>
      <c r="AY467" s="28"/>
      <c r="AZ467" s="28"/>
      <c r="BA467" s="28"/>
      <c r="BB467" s="28"/>
      <c r="BC467" s="28"/>
      <c r="BD467" s="28"/>
      <c r="BE467" s="28"/>
      <c r="BF467" s="28"/>
      <c r="BG467" s="30"/>
      <c r="BH467" s="28"/>
      <c r="BI467" s="28"/>
      <c r="BJ467" s="28"/>
      <c r="BK467" s="28"/>
      <c r="BL467" s="28"/>
      <c r="BM467" s="28"/>
      <c r="BN467" s="28"/>
      <c r="BO467" s="28"/>
      <c r="BP467" s="28"/>
      <c r="BQ467" s="28"/>
      <c r="BR467" s="29"/>
      <c r="BS467" s="29"/>
      <c r="BT467" s="29"/>
      <c r="BU467" s="29"/>
      <c r="BV467" s="29"/>
      <c r="BW467" s="28"/>
      <c r="BX467" s="28"/>
      <c r="BY467" s="28"/>
      <c r="BZ467" s="28"/>
    </row>
    <row r="468" s="27" customFormat="1" spans="1:78">
      <c r="A468" s="28"/>
      <c r="B468" s="28"/>
      <c r="C468" s="29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30"/>
      <c r="AQ468" s="30"/>
      <c r="AR468" s="30"/>
      <c r="AS468" s="30"/>
      <c r="AT468" s="28"/>
      <c r="AU468" s="28"/>
      <c r="AV468" s="28"/>
      <c r="AW468" s="30"/>
      <c r="AX468" s="28"/>
      <c r="AY468" s="28"/>
      <c r="AZ468" s="28"/>
      <c r="BA468" s="28"/>
      <c r="BB468" s="28"/>
      <c r="BC468" s="28"/>
      <c r="BD468" s="28"/>
      <c r="BE468" s="28"/>
      <c r="BF468" s="28"/>
      <c r="BG468" s="30"/>
      <c r="BH468" s="28"/>
      <c r="BI468" s="28"/>
      <c r="BJ468" s="28"/>
      <c r="BK468" s="28"/>
      <c r="BL468" s="28"/>
      <c r="BM468" s="28"/>
      <c r="BN468" s="28"/>
      <c r="BO468" s="28"/>
      <c r="BP468" s="28"/>
      <c r="BQ468" s="28"/>
      <c r="BR468" s="29"/>
      <c r="BS468" s="29"/>
      <c r="BT468" s="29"/>
      <c r="BU468" s="29"/>
      <c r="BV468" s="29"/>
      <c r="BW468" s="29"/>
      <c r="BX468" s="28"/>
      <c r="BY468" s="28"/>
      <c r="BZ468" s="28"/>
    </row>
    <row r="469" s="27" customFormat="1" spans="1:78">
      <c r="A469" s="28"/>
      <c r="B469" s="28"/>
      <c r="C469" s="29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30"/>
      <c r="AQ469" s="30"/>
      <c r="AR469" s="30"/>
      <c r="AS469" s="30"/>
      <c r="AT469" s="28"/>
      <c r="AU469" s="28"/>
      <c r="AV469" s="28"/>
      <c r="AW469" s="30"/>
      <c r="AX469" s="28"/>
      <c r="AY469" s="28"/>
      <c r="AZ469" s="28"/>
      <c r="BA469" s="28"/>
      <c r="BB469" s="28"/>
      <c r="BC469" s="28"/>
      <c r="BD469" s="28"/>
      <c r="BE469" s="28"/>
      <c r="BF469" s="28"/>
      <c r="BG469" s="30"/>
      <c r="BH469" s="28"/>
      <c r="BI469" s="28"/>
      <c r="BJ469" s="28"/>
      <c r="BK469" s="28"/>
      <c r="BL469" s="28"/>
      <c r="BM469" s="28"/>
      <c r="BN469" s="28"/>
      <c r="BO469" s="28"/>
      <c r="BP469" s="28"/>
      <c r="BQ469" s="28"/>
      <c r="BR469" s="29"/>
      <c r="BS469" s="29"/>
      <c r="BT469" s="29"/>
      <c r="BU469" s="28"/>
      <c r="BV469" s="29"/>
      <c r="BW469" s="28"/>
      <c r="BX469" s="28"/>
      <c r="BY469" s="28"/>
      <c r="BZ469" s="28"/>
    </row>
    <row r="470" s="27" customFormat="1" spans="1:78">
      <c r="A470" s="28"/>
      <c r="B470" s="28"/>
      <c r="C470" s="29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30"/>
      <c r="AQ470" s="30"/>
      <c r="AR470" s="30"/>
      <c r="AS470" s="30"/>
      <c r="AT470" s="28"/>
      <c r="AU470" s="28"/>
      <c r="AV470" s="28"/>
      <c r="AW470" s="30"/>
      <c r="AX470" s="28"/>
      <c r="AY470" s="28"/>
      <c r="AZ470" s="28"/>
      <c r="BA470" s="28"/>
      <c r="BB470" s="28"/>
      <c r="BC470" s="28"/>
      <c r="BD470" s="28"/>
      <c r="BE470" s="28"/>
      <c r="BF470" s="28"/>
      <c r="BG470" s="30"/>
      <c r="BH470" s="28"/>
      <c r="BI470" s="28"/>
      <c r="BJ470" s="28"/>
      <c r="BK470" s="28"/>
      <c r="BL470" s="28"/>
      <c r="BM470" s="28"/>
      <c r="BN470" s="28"/>
      <c r="BO470" s="28"/>
      <c r="BP470" s="28"/>
      <c r="BQ470" s="28"/>
      <c r="BR470" s="29"/>
      <c r="BS470" s="29"/>
      <c r="BT470" s="28"/>
      <c r="BU470" s="28"/>
      <c r="BV470" s="29"/>
      <c r="BW470" s="28"/>
      <c r="BX470" s="28"/>
      <c r="BY470" s="28"/>
      <c r="BZ470" s="28"/>
    </row>
    <row r="471" s="27" customFormat="1" spans="1:78">
      <c r="A471" s="28"/>
      <c r="B471" s="28"/>
      <c r="C471" s="29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30"/>
      <c r="AQ471" s="30"/>
      <c r="AR471" s="30"/>
      <c r="AS471" s="30"/>
      <c r="AT471" s="28"/>
      <c r="AU471" s="28"/>
      <c r="AV471" s="28"/>
      <c r="AW471" s="30"/>
      <c r="AX471" s="28"/>
      <c r="AY471" s="28"/>
      <c r="AZ471" s="28"/>
      <c r="BA471" s="28"/>
      <c r="BB471" s="28"/>
      <c r="BC471" s="28"/>
      <c r="BD471" s="28"/>
      <c r="BE471" s="28"/>
      <c r="BF471" s="28"/>
      <c r="BG471" s="30"/>
      <c r="BH471" s="28"/>
      <c r="BI471" s="28"/>
      <c r="BJ471" s="28"/>
      <c r="BK471" s="28"/>
      <c r="BL471" s="28"/>
      <c r="BM471" s="28"/>
      <c r="BN471" s="28"/>
      <c r="BO471" s="28"/>
      <c r="BP471" s="28"/>
      <c r="BQ471" s="28"/>
      <c r="BR471" s="29"/>
      <c r="BS471" s="28"/>
      <c r="BT471" s="28"/>
      <c r="BU471" s="28"/>
      <c r="BV471" s="29"/>
      <c r="BW471" s="28"/>
      <c r="BX471" s="28"/>
      <c r="BY471" s="28"/>
      <c r="BZ471" s="28"/>
    </row>
    <row r="472" s="27" customFormat="1" spans="1:78">
      <c r="A472" s="28"/>
      <c r="B472" s="28"/>
      <c r="C472" s="29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30"/>
      <c r="AQ472" s="30"/>
      <c r="AR472" s="30"/>
      <c r="AS472" s="30"/>
      <c r="AT472" s="28"/>
      <c r="AU472" s="28"/>
      <c r="AV472" s="28"/>
      <c r="AW472" s="28"/>
      <c r="AX472" s="28"/>
      <c r="AY472" s="28"/>
      <c r="AZ472" s="28"/>
      <c r="BA472" s="28"/>
      <c r="BB472" s="28"/>
      <c r="BC472" s="28"/>
      <c r="BD472" s="28"/>
      <c r="BE472" s="28"/>
      <c r="BF472" s="28"/>
      <c r="BG472" s="30"/>
      <c r="BH472" s="28"/>
      <c r="BI472" s="28"/>
      <c r="BJ472" s="28"/>
      <c r="BK472" s="28"/>
      <c r="BL472" s="28"/>
      <c r="BM472" s="28"/>
      <c r="BN472" s="28"/>
      <c r="BO472" s="28"/>
      <c r="BP472" s="28"/>
      <c r="BQ472" s="28"/>
      <c r="BR472" s="28"/>
      <c r="BS472" s="28"/>
      <c r="BT472" s="28"/>
      <c r="BU472" s="28"/>
      <c r="BV472" s="29"/>
      <c r="BW472" s="28"/>
      <c r="BX472" s="28"/>
      <c r="BY472" s="28"/>
      <c r="BZ472" s="28"/>
    </row>
    <row r="473" s="27" customFormat="1" spans="1:78">
      <c r="A473" s="28"/>
      <c r="B473" s="28"/>
      <c r="C473" s="29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30"/>
      <c r="AQ473" s="30"/>
      <c r="AR473" s="30"/>
      <c r="AS473" s="30"/>
      <c r="AT473" s="28"/>
      <c r="AU473" s="28"/>
      <c r="AV473" s="28"/>
      <c r="AW473" s="30"/>
      <c r="AX473" s="28"/>
      <c r="AY473" s="28"/>
      <c r="AZ473" s="28"/>
      <c r="BA473" s="28"/>
      <c r="BB473" s="28"/>
      <c r="BC473" s="28"/>
      <c r="BD473" s="28"/>
      <c r="BE473" s="28"/>
      <c r="BF473" s="28"/>
      <c r="BG473" s="30"/>
      <c r="BH473" s="28"/>
      <c r="BI473" s="28"/>
      <c r="BJ473" s="28"/>
      <c r="BK473" s="28"/>
      <c r="BL473" s="28"/>
      <c r="BM473" s="28"/>
      <c r="BN473" s="28"/>
      <c r="BO473" s="28"/>
      <c r="BP473" s="28"/>
      <c r="BQ473" s="28"/>
      <c r="BR473" s="29"/>
      <c r="BS473" s="29"/>
      <c r="BT473" s="29"/>
      <c r="BU473" s="29"/>
      <c r="BV473" s="29"/>
      <c r="BW473" s="29"/>
      <c r="BX473" s="28"/>
      <c r="BY473" s="28"/>
      <c r="BZ473" s="28"/>
    </row>
    <row r="474" s="27" customFormat="1" spans="1:78">
      <c r="A474" s="28"/>
      <c r="B474" s="28"/>
      <c r="C474" s="29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30"/>
      <c r="AQ474" s="30"/>
      <c r="AR474" s="30"/>
      <c r="AS474" s="30"/>
      <c r="AT474" s="28"/>
      <c r="AU474" s="28"/>
      <c r="AV474" s="28"/>
      <c r="AW474" s="30"/>
      <c r="AX474" s="28"/>
      <c r="AY474" s="28"/>
      <c r="AZ474" s="28"/>
      <c r="BA474" s="28"/>
      <c r="BB474" s="28"/>
      <c r="BC474" s="28"/>
      <c r="BD474" s="28"/>
      <c r="BE474" s="28"/>
      <c r="BF474" s="28"/>
      <c r="BG474" s="30"/>
      <c r="BH474" s="28"/>
      <c r="BI474" s="28"/>
      <c r="BJ474" s="28"/>
      <c r="BK474" s="28"/>
      <c r="BL474" s="28"/>
      <c r="BM474" s="28"/>
      <c r="BN474" s="28"/>
      <c r="BO474" s="28"/>
      <c r="BP474" s="28"/>
      <c r="BQ474" s="28"/>
      <c r="BR474" s="29"/>
      <c r="BS474" s="28"/>
      <c r="BT474" s="28"/>
      <c r="BU474" s="28"/>
      <c r="BV474" s="29"/>
      <c r="BW474" s="28"/>
      <c r="BX474" s="28"/>
      <c r="BY474" s="28"/>
      <c r="BZ474" s="28"/>
    </row>
    <row r="475" s="27" customFormat="1" spans="1:78">
      <c r="A475" s="28"/>
      <c r="B475" s="28"/>
      <c r="C475" s="29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30"/>
      <c r="AQ475" s="30"/>
      <c r="AR475" s="30"/>
      <c r="AS475" s="30"/>
      <c r="AT475" s="28"/>
      <c r="AU475" s="28"/>
      <c r="AV475" s="28"/>
      <c r="AW475" s="30"/>
      <c r="AX475" s="28"/>
      <c r="AY475" s="28"/>
      <c r="AZ475" s="28"/>
      <c r="BA475" s="28"/>
      <c r="BB475" s="28"/>
      <c r="BC475" s="28"/>
      <c r="BD475" s="28"/>
      <c r="BE475" s="28"/>
      <c r="BF475" s="28"/>
      <c r="BG475" s="30"/>
      <c r="BH475" s="28"/>
      <c r="BI475" s="28"/>
      <c r="BJ475" s="28"/>
      <c r="BK475" s="28"/>
      <c r="BL475" s="28"/>
      <c r="BM475" s="28"/>
      <c r="BN475" s="28"/>
      <c r="BO475" s="28"/>
      <c r="BP475" s="28"/>
      <c r="BQ475" s="28"/>
      <c r="BR475" s="29"/>
      <c r="BS475" s="29"/>
      <c r="BT475" s="29"/>
      <c r="BU475" s="29"/>
      <c r="BV475" s="29"/>
      <c r="BW475" s="29"/>
      <c r="BX475" s="28"/>
      <c r="BY475" s="28"/>
      <c r="BZ475" s="28"/>
    </row>
    <row r="476" s="27" customFormat="1" spans="1:78">
      <c r="A476" s="28"/>
      <c r="B476" s="28"/>
      <c r="C476" s="29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30"/>
      <c r="AQ476" s="30"/>
      <c r="AR476" s="30"/>
      <c r="AS476" s="30"/>
      <c r="AT476" s="28"/>
      <c r="AU476" s="28"/>
      <c r="AV476" s="28"/>
      <c r="AW476" s="30"/>
      <c r="AX476" s="28"/>
      <c r="AY476" s="28"/>
      <c r="AZ476" s="28"/>
      <c r="BA476" s="28"/>
      <c r="BB476" s="28"/>
      <c r="BC476" s="28"/>
      <c r="BD476" s="28"/>
      <c r="BE476" s="28"/>
      <c r="BF476" s="28"/>
      <c r="BG476" s="30"/>
      <c r="BH476" s="28"/>
      <c r="BI476" s="28"/>
      <c r="BJ476" s="28"/>
      <c r="BK476" s="28"/>
      <c r="BL476" s="28"/>
      <c r="BM476" s="28"/>
      <c r="BN476" s="28"/>
      <c r="BO476" s="28"/>
      <c r="BP476" s="28"/>
      <c r="BQ476" s="28"/>
      <c r="BR476" s="29"/>
      <c r="BS476" s="29"/>
      <c r="BT476" s="29"/>
      <c r="BU476" s="29"/>
      <c r="BV476" s="29"/>
      <c r="BW476" s="28"/>
      <c r="BX476" s="28"/>
      <c r="BY476" s="28"/>
      <c r="BZ476" s="28"/>
    </row>
    <row r="477" s="27" customFormat="1" spans="1:78">
      <c r="A477" s="28"/>
      <c r="B477" s="28"/>
      <c r="C477" s="29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30"/>
      <c r="AQ477" s="30"/>
      <c r="AR477" s="30"/>
      <c r="AS477" s="30"/>
      <c r="AT477" s="28"/>
      <c r="AU477" s="28"/>
      <c r="AV477" s="28"/>
      <c r="AW477" s="30"/>
      <c r="AX477" s="28"/>
      <c r="AY477" s="28"/>
      <c r="AZ477" s="28"/>
      <c r="BA477" s="28"/>
      <c r="BB477" s="28"/>
      <c r="BC477" s="28"/>
      <c r="BD477" s="28"/>
      <c r="BE477" s="28"/>
      <c r="BF477" s="28"/>
      <c r="BG477" s="30"/>
      <c r="BH477" s="28"/>
      <c r="BI477" s="28"/>
      <c r="BJ477" s="28"/>
      <c r="BK477" s="28"/>
      <c r="BL477" s="28"/>
      <c r="BM477" s="28"/>
      <c r="BN477" s="28"/>
      <c r="BO477" s="28"/>
      <c r="BP477" s="28"/>
      <c r="BQ477" s="28"/>
      <c r="BR477" s="29"/>
      <c r="BS477" s="29"/>
      <c r="BT477" s="29"/>
      <c r="BU477" s="29"/>
      <c r="BV477" s="29"/>
      <c r="BW477" s="29"/>
      <c r="BX477" s="28"/>
      <c r="BY477" s="28"/>
      <c r="BZ477" s="28"/>
    </row>
    <row r="478" s="27" customFormat="1" spans="1:78">
      <c r="A478" s="28"/>
      <c r="B478" s="28"/>
      <c r="C478" s="29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30"/>
      <c r="AQ478" s="30"/>
      <c r="AR478" s="30"/>
      <c r="AS478" s="30"/>
      <c r="AT478" s="28"/>
      <c r="AU478" s="28"/>
      <c r="AV478" s="28"/>
      <c r="AW478" s="30"/>
      <c r="AX478" s="28"/>
      <c r="AY478" s="28"/>
      <c r="AZ478" s="28"/>
      <c r="BA478" s="28"/>
      <c r="BB478" s="28"/>
      <c r="BC478" s="28"/>
      <c r="BD478" s="28"/>
      <c r="BE478" s="28"/>
      <c r="BF478" s="28"/>
      <c r="BG478" s="30"/>
      <c r="BH478" s="28"/>
      <c r="BI478" s="28"/>
      <c r="BJ478" s="28"/>
      <c r="BK478" s="28"/>
      <c r="BL478" s="28"/>
      <c r="BM478" s="28"/>
      <c r="BN478" s="28"/>
      <c r="BO478" s="28"/>
      <c r="BP478" s="28"/>
      <c r="BQ478" s="28"/>
      <c r="BR478" s="29"/>
      <c r="BS478" s="29"/>
      <c r="BT478" s="28"/>
      <c r="BU478" s="28"/>
      <c r="BV478" s="29"/>
      <c r="BW478" s="28"/>
      <c r="BX478" s="28"/>
      <c r="BY478" s="28"/>
      <c r="BZ478" s="28"/>
    </row>
    <row r="479" s="27" customFormat="1" spans="1:78">
      <c r="A479" s="28"/>
      <c r="B479" s="28"/>
      <c r="C479" s="29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30"/>
      <c r="AQ479" s="30"/>
      <c r="AR479" s="30"/>
      <c r="AS479" s="30"/>
      <c r="AT479" s="28"/>
      <c r="AU479" s="28"/>
      <c r="AV479" s="28"/>
      <c r="AW479" s="30"/>
      <c r="AX479" s="28"/>
      <c r="AY479" s="28"/>
      <c r="AZ479" s="28"/>
      <c r="BA479" s="28"/>
      <c r="BB479" s="28"/>
      <c r="BC479" s="28"/>
      <c r="BD479" s="28"/>
      <c r="BE479" s="28"/>
      <c r="BF479" s="28"/>
      <c r="BG479" s="30"/>
      <c r="BH479" s="28"/>
      <c r="BI479" s="28"/>
      <c r="BJ479" s="28"/>
      <c r="BK479" s="28"/>
      <c r="BL479" s="28"/>
      <c r="BM479" s="28"/>
      <c r="BN479" s="28"/>
      <c r="BO479" s="28"/>
      <c r="BP479" s="28"/>
      <c r="BQ479" s="28"/>
      <c r="BR479" s="29"/>
      <c r="BS479" s="29"/>
      <c r="BT479" s="29"/>
      <c r="BU479" s="28"/>
      <c r="BV479" s="29"/>
      <c r="BW479" s="28"/>
      <c r="BX479" s="28"/>
      <c r="BY479" s="28"/>
      <c r="BZ479" s="28"/>
    </row>
    <row r="480" s="27" customFormat="1" spans="1:78">
      <c r="A480" s="28"/>
      <c r="B480" s="28"/>
      <c r="C480" s="29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30"/>
      <c r="AQ480" s="30"/>
      <c r="AR480" s="30"/>
      <c r="AS480" s="30"/>
      <c r="AT480" s="28"/>
      <c r="AU480" s="28"/>
      <c r="AV480" s="28"/>
      <c r="AW480" s="30"/>
      <c r="AX480" s="28"/>
      <c r="AY480" s="28"/>
      <c r="AZ480" s="28"/>
      <c r="BA480" s="28"/>
      <c r="BB480" s="28"/>
      <c r="BC480" s="28"/>
      <c r="BD480" s="28"/>
      <c r="BE480" s="28"/>
      <c r="BF480" s="28"/>
      <c r="BG480" s="30"/>
      <c r="BH480" s="28"/>
      <c r="BI480" s="28"/>
      <c r="BJ480" s="28"/>
      <c r="BK480" s="28"/>
      <c r="BL480" s="28"/>
      <c r="BM480" s="28"/>
      <c r="BN480" s="28"/>
      <c r="BO480" s="28"/>
      <c r="BP480" s="28"/>
      <c r="BQ480" s="28"/>
      <c r="BR480" s="29"/>
      <c r="BS480" s="29"/>
      <c r="BT480" s="29"/>
      <c r="BU480" s="28"/>
      <c r="BV480" s="29"/>
      <c r="BW480" s="28"/>
      <c r="BX480" s="28"/>
      <c r="BY480" s="28"/>
      <c r="BZ480" s="28"/>
    </row>
    <row r="481" s="27" customFormat="1" spans="1:78">
      <c r="A481" s="28"/>
      <c r="B481" s="28"/>
      <c r="C481" s="29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30"/>
      <c r="AQ481" s="30"/>
      <c r="AR481" s="30"/>
      <c r="AS481" s="30"/>
      <c r="AT481" s="28"/>
      <c r="AU481" s="28"/>
      <c r="AV481" s="28"/>
      <c r="AW481" s="30"/>
      <c r="AX481" s="28"/>
      <c r="AY481" s="28"/>
      <c r="AZ481" s="28"/>
      <c r="BA481" s="28"/>
      <c r="BB481" s="28"/>
      <c r="BC481" s="28"/>
      <c r="BD481" s="28"/>
      <c r="BE481" s="28"/>
      <c r="BF481" s="28"/>
      <c r="BG481" s="30"/>
      <c r="BH481" s="28"/>
      <c r="BI481" s="28"/>
      <c r="BJ481" s="28"/>
      <c r="BK481" s="28"/>
      <c r="BL481" s="28"/>
      <c r="BM481" s="28"/>
      <c r="BN481" s="28"/>
      <c r="BO481" s="28"/>
      <c r="BP481" s="28"/>
      <c r="BQ481" s="28"/>
      <c r="BR481" s="29"/>
      <c r="BS481" s="29"/>
      <c r="BT481" s="29"/>
      <c r="BU481" s="29"/>
      <c r="BV481" s="29"/>
      <c r="BW481" s="29"/>
      <c r="BX481" s="28"/>
      <c r="BY481" s="28"/>
      <c r="BZ481" s="28"/>
    </row>
    <row r="482" s="27" customFormat="1" spans="1:78">
      <c r="A482" s="28"/>
      <c r="B482" s="28"/>
      <c r="C482" s="29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30"/>
      <c r="AQ482" s="30"/>
      <c r="AR482" s="30"/>
      <c r="AS482" s="30"/>
      <c r="AT482" s="28"/>
      <c r="AU482" s="28"/>
      <c r="AV482" s="28"/>
      <c r="AW482" s="30"/>
      <c r="AX482" s="28"/>
      <c r="AY482" s="28"/>
      <c r="AZ482" s="28"/>
      <c r="BA482" s="28"/>
      <c r="BB482" s="28"/>
      <c r="BC482" s="28"/>
      <c r="BD482" s="28"/>
      <c r="BE482" s="28"/>
      <c r="BF482" s="28"/>
      <c r="BG482" s="30"/>
      <c r="BH482" s="28"/>
      <c r="BI482" s="28"/>
      <c r="BJ482" s="28"/>
      <c r="BK482" s="28"/>
      <c r="BL482" s="28"/>
      <c r="BM482" s="28"/>
      <c r="BN482" s="28"/>
      <c r="BO482" s="28"/>
      <c r="BP482" s="28"/>
      <c r="BQ482" s="28"/>
      <c r="BR482" s="29"/>
      <c r="BS482" s="29"/>
      <c r="BT482" s="29"/>
      <c r="BU482" s="29"/>
      <c r="BV482" s="29"/>
      <c r="BW482" s="29"/>
      <c r="BX482" s="28"/>
      <c r="BY482" s="28"/>
      <c r="BZ482" s="28"/>
    </row>
    <row r="483" s="27" customFormat="1" spans="1:78">
      <c r="A483" s="28"/>
      <c r="B483" s="28"/>
      <c r="C483" s="29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30"/>
      <c r="AQ483" s="30"/>
      <c r="AR483" s="30"/>
      <c r="AS483" s="30"/>
      <c r="AT483" s="28"/>
      <c r="AU483" s="28"/>
      <c r="AV483" s="28"/>
      <c r="AW483" s="30"/>
      <c r="AX483" s="28"/>
      <c r="AY483" s="28"/>
      <c r="AZ483" s="28"/>
      <c r="BA483" s="28"/>
      <c r="BB483" s="28"/>
      <c r="BC483" s="28"/>
      <c r="BD483" s="28"/>
      <c r="BE483" s="28"/>
      <c r="BF483" s="28"/>
      <c r="BG483" s="30"/>
      <c r="BH483" s="28"/>
      <c r="BI483" s="28"/>
      <c r="BJ483" s="28"/>
      <c r="BK483" s="28"/>
      <c r="BL483" s="28"/>
      <c r="BM483" s="28"/>
      <c r="BN483" s="28"/>
      <c r="BO483" s="28"/>
      <c r="BP483" s="28"/>
      <c r="BQ483" s="28"/>
      <c r="BR483" s="29"/>
      <c r="BS483" s="29"/>
      <c r="BT483" s="29"/>
      <c r="BU483" s="29"/>
      <c r="BV483" s="29"/>
      <c r="BW483" s="28"/>
      <c r="BX483" s="28"/>
      <c r="BY483" s="28"/>
      <c r="BZ483" s="28"/>
    </row>
    <row r="484" s="27" customFormat="1" spans="1:78">
      <c r="A484" s="28"/>
      <c r="B484" s="28"/>
      <c r="C484" s="29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30"/>
      <c r="AQ484" s="30"/>
      <c r="AR484" s="30"/>
      <c r="AS484" s="30"/>
      <c r="AT484" s="28"/>
      <c r="AU484" s="28"/>
      <c r="AV484" s="28"/>
      <c r="AW484" s="30"/>
      <c r="AX484" s="28"/>
      <c r="AY484" s="28"/>
      <c r="AZ484" s="28"/>
      <c r="BA484" s="28"/>
      <c r="BB484" s="28"/>
      <c r="BC484" s="28"/>
      <c r="BD484" s="28"/>
      <c r="BE484" s="28"/>
      <c r="BF484" s="28"/>
      <c r="BG484" s="30"/>
      <c r="BH484" s="28"/>
      <c r="BI484" s="28"/>
      <c r="BJ484" s="28"/>
      <c r="BK484" s="28"/>
      <c r="BL484" s="28"/>
      <c r="BM484" s="28"/>
      <c r="BN484" s="28"/>
      <c r="BO484" s="28"/>
      <c r="BP484" s="28"/>
      <c r="BQ484" s="28"/>
      <c r="BR484" s="29"/>
      <c r="BS484" s="29"/>
      <c r="BT484" s="29"/>
      <c r="BU484" s="28"/>
      <c r="BV484" s="29"/>
      <c r="BW484" s="28"/>
      <c r="BX484" s="28"/>
      <c r="BY484" s="28"/>
      <c r="BZ484" s="28"/>
    </row>
    <row r="485" s="27" customFormat="1" spans="1:78">
      <c r="A485" s="28"/>
      <c r="B485" s="28"/>
      <c r="C485" s="29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30"/>
      <c r="AQ485" s="30"/>
      <c r="AR485" s="30"/>
      <c r="AS485" s="30"/>
      <c r="AT485" s="28"/>
      <c r="AU485" s="28"/>
      <c r="AV485" s="28"/>
      <c r="AW485" s="30"/>
      <c r="AX485" s="28"/>
      <c r="AY485" s="28"/>
      <c r="AZ485" s="28"/>
      <c r="BA485" s="28"/>
      <c r="BB485" s="28"/>
      <c r="BC485" s="28"/>
      <c r="BD485" s="28"/>
      <c r="BE485" s="28"/>
      <c r="BF485" s="28"/>
      <c r="BG485" s="30"/>
      <c r="BH485" s="28"/>
      <c r="BI485" s="28"/>
      <c r="BJ485" s="28"/>
      <c r="BK485" s="28"/>
      <c r="BL485" s="28"/>
      <c r="BM485" s="28"/>
      <c r="BN485" s="28"/>
      <c r="BO485" s="28"/>
      <c r="BP485" s="28"/>
      <c r="BQ485" s="28"/>
      <c r="BR485" s="29"/>
      <c r="BS485" s="29"/>
      <c r="BT485" s="28"/>
      <c r="BU485" s="28"/>
      <c r="BV485" s="29"/>
      <c r="BW485" s="28"/>
      <c r="BX485" s="28"/>
      <c r="BY485" s="28"/>
      <c r="BZ485" s="28"/>
    </row>
    <row r="486" s="27" customFormat="1" spans="1:78">
      <c r="A486" s="28"/>
      <c r="B486" s="28"/>
      <c r="C486" s="29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30"/>
      <c r="AQ486" s="30"/>
      <c r="AR486" s="30"/>
      <c r="AS486" s="30"/>
      <c r="AT486" s="28"/>
      <c r="AU486" s="28"/>
      <c r="AV486" s="28"/>
      <c r="AW486" s="30"/>
      <c r="AX486" s="28"/>
      <c r="AY486" s="28"/>
      <c r="AZ486" s="28"/>
      <c r="BA486" s="28"/>
      <c r="BB486" s="28"/>
      <c r="BC486" s="28"/>
      <c r="BD486" s="28"/>
      <c r="BE486" s="28"/>
      <c r="BF486" s="28"/>
      <c r="BG486" s="30"/>
      <c r="BH486" s="28"/>
      <c r="BI486" s="28"/>
      <c r="BJ486" s="28"/>
      <c r="BK486" s="28"/>
      <c r="BL486" s="28"/>
      <c r="BM486" s="28"/>
      <c r="BN486" s="28"/>
      <c r="BO486" s="28"/>
      <c r="BP486" s="28"/>
      <c r="BQ486" s="28"/>
      <c r="BR486" s="29"/>
      <c r="BS486" s="29"/>
      <c r="BT486" s="29"/>
      <c r="BU486" s="29"/>
      <c r="BV486" s="29"/>
      <c r="BW486" s="29"/>
      <c r="BX486" s="28"/>
      <c r="BY486" s="28"/>
      <c r="BZ486" s="28"/>
    </row>
    <row r="487" s="27" customFormat="1" spans="1:78">
      <c r="A487" s="28"/>
      <c r="B487" s="28"/>
      <c r="C487" s="29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30"/>
      <c r="AQ487" s="30"/>
      <c r="AR487" s="30"/>
      <c r="AS487" s="30"/>
      <c r="AT487" s="28"/>
      <c r="AU487" s="28"/>
      <c r="AV487" s="28"/>
      <c r="AW487" s="30"/>
      <c r="AX487" s="28"/>
      <c r="AY487" s="28"/>
      <c r="AZ487" s="28"/>
      <c r="BA487" s="28"/>
      <c r="BB487" s="28"/>
      <c r="BC487" s="28"/>
      <c r="BD487" s="28"/>
      <c r="BE487" s="28"/>
      <c r="BF487" s="28"/>
      <c r="BG487" s="30"/>
      <c r="BH487" s="28"/>
      <c r="BI487" s="28"/>
      <c r="BJ487" s="28"/>
      <c r="BK487" s="28"/>
      <c r="BL487" s="28"/>
      <c r="BM487" s="28"/>
      <c r="BN487" s="28"/>
      <c r="BO487" s="28"/>
      <c r="BP487" s="28"/>
      <c r="BQ487" s="28"/>
      <c r="BR487" s="29"/>
      <c r="BS487" s="29"/>
      <c r="BT487" s="28"/>
      <c r="BU487" s="28"/>
      <c r="BV487" s="29"/>
      <c r="BW487" s="28"/>
      <c r="BX487" s="28"/>
      <c r="BY487" s="28"/>
      <c r="BZ487" s="28"/>
    </row>
    <row r="488" s="27" customFormat="1" spans="1:78">
      <c r="A488" s="28"/>
      <c r="B488" s="28"/>
      <c r="C488" s="29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30"/>
      <c r="AQ488" s="30"/>
      <c r="AR488" s="30"/>
      <c r="AS488" s="30"/>
      <c r="AT488" s="28"/>
      <c r="AU488" s="28"/>
      <c r="AV488" s="28"/>
      <c r="AW488" s="30"/>
      <c r="AX488" s="28"/>
      <c r="AY488" s="28"/>
      <c r="AZ488" s="28"/>
      <c r="BA488" s="28"/>
      <c r="BB488" s="28"/>
      <c r="BC488" s="28"/>
      <c r="BD488" s="28"/>
      <c r="BE488" s="28"/>
      <c r="BF488" s="28"/>
      <c r="BG488" s="30"/>
      <c r="BH488" s="28"/>
      <c r="BI488" s="28"/>
      <c r="BJ488" s="28"/>
      <c r="BK488" s="28"/>
      <c r="BL488" s="28"/>
      <c r="BM488" s="28"/>
      <c r="BN488" s="28"/>
      <c r="BO488" s="28"/>
      <c r="BP488" s="28"/>
      <c r="BQ488" s="28"/>
      <c r="BR488" s="29"/>
      <c r="BS488" s="29"/>
      <c r="BT488" s="29"/>
      <c r="BU488" s="29"/>
      <c r="BV488" s="29"/>
      <c r="BW488" s="29"/>
      <c r="BX488" s="28"/>
      <c r="BY488" s="28"/>
      <c r="BZ488" s="28"/>
    </row>
    <row r="489" s="27" customFormat="1" spans="1:78">
      <c r="A489" s="28"/>
      <c r="B489" s="28"/>
      <c r="C489" s="29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30"/>
      <c r="AQ489" s="30"/>
      <c r="AR489" s="30"/>
      <c r="AS489" s="30"/>
      <c r="AT489" s="28"/>
      <c r="AU489" s="28"/>
      <c r="AV489" s="28"/>
      <c r="AW489" s="30"/>
      <c r="AX489" s="28"/>
      <c r="AY489" s="28"/>
      <c r="AZ489" s="28"/>
      <c r="BA489" s="28"/>
      <c r="BB489" s="28"/>
      <c r="BC489" s="28"/>
      <c r="BD489" s="28"/>
      <c r="BE489" s="28"/>
      <c r="BF489" s="28"/>
      <c r="BG489" s="30"/>
      <c r="BH489" s="28"/>
      <c r="BI489" s="28"/>
      <c r="BJ489" s="28"/>
      <c r="BK489" s="28"/>
      <c r="BL489" s="28"/>
      <c r="BM489" s="28"/>
      <c r="BN489" s="28"/>
      <c r="BO489" s="28"/>
      <c r="BP489" s="28"/>
      <c r="BQ489" s="28"/>
      <c r="BR489" s="29"/>
      <c r="BS489" s="29"/>
      <c r="BT489" s="29"/>
      <c r="BU489" s="28"/>
      <c r="BV489" s="29"/>
      <c r="BW489" s="28"/>
      <c r="BX489" s="28"/>
      <c r="BY489" s="28"/>
      <c r="BZ489" s="28"/>
    </row>
    <row r="490" s="27" customFormat="1" spans="1:78">
      <c r="A490" s="28"/>
      <c r="B490" s="28"/>
      <c r="C490" s="29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30"/>
      <c r="AQ490" s="30"/>
      <c r="AR490" s="30"/>
      <c r="AS490" s="30"/>
      <c r="AT490" s="28"/>
      <c r="AU490" s="28"/>
      <c r="AV490" s="28"/>
      <c r="AW490" s="30"/>
      <c r="AX490" s="28"/>
      <c r="AY490" s="28"/>
      <c r="AZ490" s="28"/>
      <c r="BA490" s="28"/>
      <c r="BB490" s="28"/>
      <c r="BC490" s="28"/>
      <c r="BD490" s="28"/>
      <c r="BE490" s="28"/>
      <c r="BF490" s="28"/>
      <c r="BG490" s="30"/>
      <c r="BH490" s="28"/>
      <c r="BI490" s="28"/>
      <c r="BJ490" s="28"/>
      <c r="BK490" s="28"/>
      <c r="BL490" s="28"/>
      <c r="BM490" s="28"/>
      <c r="BN490" s="28"/>
      <c r="BO490" s="28"/>
      <c r="BP490" s="28"/>
      <c r="BQ490" s="28"/>
      <c r="BR490" s="29"/>
      <c r="BS490" s="29"/>
      <c r="BT490" s="28"/>
      <c r="BU490" s="28"/>
      <c r="BV490" s="29"/>
      <c r="BW490" s="28"/>
      <c r="BX490" s="28"/>
      <c r="BY490" s="28"/>
      <c r="BZ490" s="28"/>
    </row>
    <row r="491" s="27" customFormat="1" spans="1:78">
      <c r="A491" s="28"/>
      <c r="B491" s="28"/>
      <c r="C491" s="29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30"/>
      <c r="AQ491" s="30"/>
      <c r="AR491" s="30"/>
      <c r="AS491" s="30"/>
      <c r="AT491" s="28"/>
      <c r="AU491" s="28"/>
      <c r="AV491" s="28"/>
      <c r="AW491" s="30"/>
      <c r="AX491" s="28"/>
      <c r="AY491" s="28"/>
      <c r="AZ491" s="28"/>
      <c r="BA491" s="28"/>
      <c r="BB491" s="28"/>
      <c r="BC491" s="28"/>
      <c r="BD491" s="28"/>
      <c r="BE491" s="28"/>
      <c r="BF491" s="28"/>
      <c r="BG491" s="30"/>
      <c r="BH491" s="28"/>
      <c r="BI491" s="28"/>
      <c r="BJ491" s="28"/>
      <c r="BK491" s="28"/>
      <c r="BL491" s="28"/>
      <c r="BM491" s="28"/>
      <c r="BN491" s="28"/>
      <c r="BO491" s="28"/>
      <c r="BP491" s="28"/>
      <c r="BQ491" s="28"/>
      <c r="BR491" s="29"/>
      <c r="BS491" s="29"/>
      <c r="BT491" s="29"/>
      <c r="BU491" s="29"/>
      <c r="BV491" s="29"/>
      <c r="BW491" s="28"/>
      <c r="BX491" s="28"/>
      <c r="BY491" s="28"/>
      <c r="BZ491" s="28"/>
    </row>
    <row r="492" s="27" customFormat="1" spans="1:78">
      <c r="A492" s="28"/>
      <c r="B492" s="28"/>
      <c r="C492" s="29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30"/>
      <c r="AQ492" s="30"/>
      <c r="AR492" s="30"/>
      <c r="AS492" s="30"/>
      <c r="AT492" s="28"/>
      <c r="AU492" s="28"/>
      <c r="AV492" s="28"/>
      <c r="AW492" s="30"/>
      <c r="AX492" s="28"/>
      <c r="AY492" s="28"/>
      <c r="AZ492" s="28"/>
      <c r="BA492" s="28"/>
      <c r="BB492" s="28"/>
      <c r="BC492" s="28"/>
      <c r="BD492" s="28"/>
      <c r="BE492" s="28"/>
      <c r="BF492" s="28"/>
      <c r="BG492" s="30"/>
      <c r="BH492" s="28"/>
      <c r="BI492" s="28"/>
      <c r="BJ492" s="28"/>
      <c r="BK492" s="28"/>
      <c r="BL492" s="28"/>
      <c r="BM492" s="28"/>
      <c r="BN492" s="28"/>
      <c r="BO492" s="28"/>
      <c r="BP492" s="28"/>
      <c r="BQ492" s="28"/>
      <c r="BR492" s="29"/>
      <c r="BS492" s="29"/>
      <c r="BT492" s="29"/>
      <c r="BU492" s="29"/>
      <c r="BV492" s="29"/>
      <c r="BW492" s="29"/>
      <c r="BX492" s="28"/>
      <c r="BY492" s="28"/>
      <c r="BZ492" s="28"/>
    </row>
    <row r="493" s="27" customFormat="1" spans="1:78">
      <c r="A493" s="28"/>
      <c r="B493" s="28"/>
      <c r="C493" s="29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30"/>
      <c r="AQ493" s="30"/>
      <c r="AR493" s="30"/>
      <c r="AS493" s="30"/>
      <c r="AT493" s="28"/>
      <c r="AU493" s="28"/>
      <c r="AV493" s="28"/>
      <c r="AW493" s="30"/>
      <c r="AX493" s="28"/>
      <c r="AY493" s="28"/>
      <c r="AZ493" s="28"/>
      <c r="BA493" s="28"/>
      <c r="BB493" s="28"/>
      <c r="BC493" s="28"/>
      <c r="BD493" s="28"/>
      <c r="BE493" s="28"/>
      <c r="BF493" s="28"/>
      <c r="BG493" s="30"/>
      <c r="BH493" s="28"/>
      <c r="BI493" s="28"/>
      <c r="BJ493" s="28"/>
      <c r="BK493" s="28"/>
      <c r="BL493" s="28"/>
      <c r="BM493" s="28"/>
      <c r="BN493" s="28"/>
      <c r="BO493" s="28"/>
      <c r="BP493" s="28"/>
      <c r="BQ493" s="28"/>
      <c r="BR493" s="29"/>
      <c r="BS493" s="29"/>
      <c r="BT493" s="29"/>
      <c r="BU493" s="29"/>
      <c r="BV493" s="29"/>
      <c r="BW493" s="29"/>
      <c r="BX493" s="28"/>
      <c r="BY493" s="28"/>
      <c r="BZ493" s="28"/>
    </row>
    <row r="494" s="27" customFormat="1" spans="1:78">
      <c r="A494" s="28"/>
      <c r="B494" s="28"/>
      <c r="C494" s="29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30"/>
      <c r="AQ494" s="30"/>
      <c r="AR494" s="30"/>
      <c r="AS494" s="30"/>
      <c r="AT494" s="28"/>
      <c r="AU494" s="28"/>
      <c r="AV494" s="28"/>
      <c r="AW494" s="30"/>
      <c r="AX494" s="28"/>
      <c r="AY494" s="28"/>
      <c r="AZ494" s="28"/>
      <c r="BA494" s="28"/>
      <c r="BB494" s="28"/>
      <c r="BC494" s="28"/>
      <c r="BD494" s="28"/>
      <c r="BE494" s="28"/>
      <c r="BF494" s="28"/>
      <c r="BG494" s="30"/>
      <c r="BH494" s="28"/>
      <c r="BI494" s="28"/>
      <c r="BJ494" s="28"/>
      <c r="BK494" s="28"/>
      <c r="BL494" s="28"/>
      <c r="BM494" s="28"/>
      <c r="BN494" s="28"/>
      <c r="BO494" s="28"/>
      <c r="BP494" s="28"/>
      <c r="BQ494" s="28"/>
      <c r="BR494" s="29"/>
      <c r="BS494" s="29"/>
      <c r="BT494" s="29"/>
      <c r="BU494" s="29"/>
      <c r="BV494" s="29"/>
      <c r="BW494" s="29"/>
      <c r="BX494" s="28"/>
      <c r="BY494" s="28"/>
      <c r="BZ494" s="28"/>
    </row>
    <row r="495" s="27" customFormat="1" spans="1:78">
      <c r="A495" s="28"/>
      <c r="B495" s="28"/>
      <c r="C495" s="29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30"/>
      <c r="AQ495" s="30"/>
      <c r="AR495" s="30"/>
      <c r="AS495" s="30"/>
      <c r="AT495" s="28"/>
      <c r="AU495" s="28"/>
      <c r="AV495" s="28"/>
      <c r="AW495" s="30"/>
      <c r="AX495" s="28"/>
      <c r="AY495" s="28"/>
      <c r="AZ495" s="28"/>
      <c r="BA495" s="28"/>
      <c r="BB495" s="28"/>
      <c r="BC495" s="28"/>
      <c r="BD495" s="28"/>
      <c r="BE495" s="28"/>
      <c r="BF495" s="28"/>
      <c r="BG495" s="30"/>
      <c r="BH495" s="28"/>
      <c r="BI495" s="28"/>
      <c r="BJ495" s="28"/>
      <c r="BK495" s="28"/>
      <c r="BL495" s="28"/>
      <c r="BM495" s="28"/>
      <c r="BN495" s="28"/>
      <c r="BO495" s="28"/>
      <c r="BP495" s="28"/>
      <c r="BQ495" s="28"/>
      <c r="BR495" s="29"/>
      <c r="BS495" s="29"/>
      <c r="BT495" s="28"/>
      <c r="BU495" s="28"/>
      <c r="BV495" s="29"/>
      <c r="BW495" s="28"/>
      <c r="BX495" s="28"/>
      <c r="BY495" s="28"/>
      <c r="BZ495" s="28"/>
    </row>
    <row r="496" s="27" customFormat="1" spans="1:78">
      <c r="A496" s="28"/>
      <c r="B496" s="28"/>
      <c r="C496" s="29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30"/>
      <c r="AQ496" s="30"/>
      <c r="AR496" s="30"/>
      <c r="AS496" s="30"/>
      <c r="AT496" s="28"/>
      <c r="AU496" s="28"/>
      <c r="AV496" s="28"/>
      <c r="AW496" s="30"/>
      <c r="AX496" s="28"/>
      <c r="AY496" s="28"/>
      <c r="AZ496" s="28"/>
      <c r="BA496" s="28"/>
      <c r="BB496" s="28"/>
      <c r="BC496" s="28"/>
      <c r="BD496" s="28"/>
      <c r="BE496" s="28"/>
      <c r="BF496" s="28"/>
      <c r="BG496" s="30"/>
      <c r="BH496" s="28"/>
      <c r="BI496" s="28"/>
      <c r="BJ496" s="28"/>
      <c r="BK496" s="28"/>
      <c r="BL496" s="28"/>
      <c r="BM496" s="28"/>
      <c r="BN496" s="28"/>
      <c r="BO496" s="28"/>
      <c r="BP496" s="28"/>
      <c r="BQ496" s="28"/>
      <c r="BR496" s="29"/>
      <c r="BS496" s="29"/>
      <c r="BT496" s="29"/>
      <c r="BU496" s="28"/>
      <c r="BV496" s="29"/>
      <c r="BW496" s="28"/>
      <c r="BX496" s="28"/>
      <c r="BY496" s="28"/>
      <c r="BZ496" s="28"/>
    </row>
    <row r="497" s="27" customFormat="1" spans="1:78">
      <c r="A497" s="28"/>
      <c r="B497" s="28"/>
      <c r="C497" s="29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30"/>
      <c r="AQ497" s="30"/>
      <c r="AR497" s="30"/>
      <c r="AS497" s="30"/>
      <c r="AT497" s="28"/>
      <c r="AU497" s="28"/>
      <c r="AV497" s="28"/>
      <c r="AW497" s="28"/>
      <c r="AX497" s="28"/>
      <c r="AY497" s="28"/>
      <c r="AZ497" s="28"/>
      <c r="BA497" s="28"/>
      <c r="BB497" s="28"/>
      <c r="BC497" s="28"/>
      <c r="BD497" s="28"/>
      <c r="BE497" s="28"/>
      <c r="BF497" s="28"/>
      <c r="BG497" s="30"/>
      <c r="BH497" s="28"/>
      <c r="BI497" s="28"/>
      <c r="BJ497" s="28"/>
      <c r="BK497" s="28"/>
      <c r="BL497" s="28"/>
      <c r="BM497" s="28"/>
      <c r="BN497" s="28"/>
      <c r="BO497" s="28"/>
      <c r="BP497" s="28"/>
      <c r="BQ497" s="28"/>
      <c r="BR497" s="28"/>
      <c r="BS497" s="28"/>
      <c r="BT497" s="28"/>
      <c r="BU497" s="28"/>
      <c r="BV497" s="29"/>
      <c r="BW497" s="28"/>
      <c r="BX497" s="28"/>
      <c r="BY497" s="28"/>
      <c r="BZ497" s="28"/>
    </row>
    <row r="498" s="27" customFormat="1" spans="1:78">
      <c r="A498" s="28"/>
      <c r="B498" s="28"/>
      <c r="C498" s="29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30"/>
      <c r="AQ498" s="30"/>
      <c r="AR498" s="30"/>
      <c r="AS498" s="30"/>
      <c r="AT498" s="28"/>
      <c r="AU498" s="28"/>
      <c r="AV498" s="28"/>
      <c r="AW498" s="30"/>
      <c r="AX498" s="28"/>
      <c r="AY498" s="28"/>
      <c r="AZ498" s="28"/>
      <c r="BA498" s="28"/>
      <c r="BB498" s="28"/>
      <c r="BC498" s="28"/>
      <c r="BD498" s="28"/>
      <c r="BE498" s="28"/>
      <c r="BF498" s="28"/>
      <c r="BG498" s="30"/>
      <c r="BH498" s="28"/>
      <c r="BI498" s="28"/>
      <c r="BJ498" s="28"/>
      <c r="BK498" s="28"/>
      <c r="BL498" s="28"/>
      <c r="BM498" s="28"/>
      <c r="BN498" s="28"/>
      <c r="BO498" s="28"/>
      <c r="BP498" s="28"/>
      <c r="BQ498" s="28"/>
      <c r="BR498" s="29"/>
      <c r="BS498" s="29"/>
      <c r="BT498" s="29"/>
      <c r="BU498" s="29"/>
      <c r="BV498" s="29"/>
      <c r="BW498" s="29"/>
      <c r="BX498" s="28"/>
      <c r="BY498" s="28"/>
      <c r="BZ498" s="28"/>
    </row>
    <row r="499" s="27" customFormat="1" spans="1:78">
      <c r="A499" s="28"/>
      <c r="B499" s="28"/>
      <c r="C499" s="29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30"/>
      <c r="AQ499" s="30"/>
      <c r="AR499" s="30"/>
      <c r="AS499" s="30"/>
      <c r="AT499" s="28"/>
      <c r="AU499" s="28"/>
      <c r="AV499" s="28"/>
      <c r="AW499" s="30"/>
      <c r="AX499" s="28"/>
      <c r="AY499" s="28"/>
      <c r="AZ499" s="28"/>
      <c r="BA499" s="28"/>
      <c r="BB499" s="28"/>
      <c r="BC499" s="28"/>
      <c r="BD499" s="28"/>
      <c r="BE499" s="28"/>
      <c r="BF499" s="28"/>
      <c r="BG499" s="30"/>
      <c r="BH499" s="28"/>
      <c r="BI499" s="28"/>
      <c r="BJ499" s="28"/>
      <c r="BK499" s="28"/>
      <c r="BL499" s="28"/>
      <c r="BM499" s="28"/>
      <c r="BN499" s="28"/>
      <c r="BO499" s="28"/>
      <c r="BP499" s="28"/>
      <c r="BQ499" s="28"/>
      <c r="BR499" s="29"/>
      <c r="BS499" s="29"/>
      <c r="BT499" s="28"/>
      <c r="BU499" s="28"/>
      <c r="BV499" s="29"/>
      <c r="BW499" s="28"/>
      <c r="BX499" s="28"/>
      <c r="BY499" s="28"/>
      <c r="BZ499" s="28"/>
    </row>
    <row r="500" s="27" customFormat="1" spans="1:78">
      <c r="A500" s="28"/>
      <c r="B500" s="28"/>
      <c r="C500" s="29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30"/>
      <c r="AQ500" s="30"/>
      <c r="AR500" s="30"/>
      <c r="AS500" s="30"/>
      <c r="AT500" s="28"/>
      <c r="AU500" s="28"/>
      <c r="AV500" s="28"/>
      <c r="AW500" s="30"/>
      <c r="AX500" s="28"/>
      <c r="AY500" s="28"/>
      <c r="AZ500" s="28"/>
      <c r="BA500" s="28"/>
      <c r="BB500" s="28"/>
      <c r="BC500" s="28"/>
      <c r="BD500" s="28"/>
      <c r="BE500" s="28"/>
      <c r="BF500" s="28"/>
      <c r="BG500" s="30"/>
      <c r="BH500" s="28"/>
      <c r="BI500" s="28"/>
      <c r="BJ500" s="28"/>
      <c r="BK500" s="28"/>
      <c r="BL500" s="28"/>
      <c r="BM500" s="28"/>
      <c r="BN500" s="28"/>
      <c r="BO500" s="28"/>
      <c r="BP500" s="28"/>
      <c r="BQ500" s="28"/>
      <c r="BR500" s="29"/>
      <c r="BS500" s="29"/>
      <c r="BT500" s="29"/>
      <c r="BU500" s="28"/>
      <c r="BV500" s="29"/>
      <c r="BW500" s="28"/>
      <c r="BX500" s="28"/>
      <c r="BY500" s="28"/>
      <c r="BZ500" s="28"/>
    </row>
    <row r="501" s="27" customFormat="1" spans="1:78">
      <c r="A501" s="28"/>
      <c r="B501" s="28"/>
      <c r="C501" s="29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30"/>
      <c r="AQ501" s="30"/>
      <c r="AR501" s="30"/>
      <c r="AS501" s="30"/>
      <c r="AT501" s="28"/>
      <c r="AU501" s="28"/>
      <c r="AV501" s="28"/>
      <c r="AW501" s="30"/>
      <c r="AX501" s="28"/>
      <c r="AY501" s="28"/>
      <c r="AZ501" s="28"/>
      <c r="BA501" s="28"/>
      <c r="BB501" s="28"/>
      <c r="BC501" s="28"/>
      <c r="BD501" s="28"/>
      <c r="BE501" s="28"/>
      <c r="BF501" s="28"/>
      <c r="BG501" s="30"/>
      <c r="BH501" s="28"/>
      <c r="BI501" s="28"/>
      <c r="BJ501" s="28"/>
      <c r="BK501" s="28"/>
      <c r="BL501" s="28"/>
      <c r="BM501" s="28"/>
      <c r="BN501" s="28"/>
      <c r="BO501" s="28"/>
      <c r="BP501" s="28"/>
      <c r="BQ501" s="28"/>
      <c r="BR501" s="29"/>
      <c r="BS501" s="29"/>
      <c r="BT501" s="29"/>
      <c r="BU501" s="28"/>
      <c r="BV501" s="29"/>
      <c r="BW501" s="28"/>
      <c r="BX501" s="28"/>
      <c r="BY501" s="28"/>
      <c r="BZ501" s="28"/>
    </row>
    <row r="502" s="27" customFormat="1" spans="1:78">
      <c r="A502" s="28"/>
      <c r="B502" s="28"/>
      <c r="C502" s="29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30"/>
      <c r="AQ502" s="30"/>
      <c r="AR502" s="30"/>
      <c r="AS502" s="30"/>
      <c r="AT502" s="28"/>
      <c r="AU502" s="28"/>
      <c r="AV502" s="28"/>
      <c r="AW502" s="30"/>
      <c r="AX502" s="28"/>
      <c r="AY502" s="28"/>
      <c r="AZ502" s="28"/>
      <c r="BA502" s="28"/>
      <c r="BB502" s="28"/>
      <c r="BC502" s="28"/>
      <c r="BD502" s="28"/>
      <c r="BE502" s="28"/>
      <c r="BF502" s="28"/>
      <c r="BG502" s="30"/>
      <c r="BH502" s="28"/>
      <c r="BI502" s="28"/>
      <c r="BJ502" s="28"/>
      <c r="BK502" s="28"/>
      <c r="BL502" s="28"/>
      <c r="BM502" s="28"/>
      <c r="BN502" s="28"/>
      <c r="BO502" s="28"/>
      <c r="BP502" s="28"/>
      <c r="BQ502" s="28"/>
      <c r="BR502" s="29"/>
      <c r="BS502" s="29"/>
      <c r="BT502" s="29"/>
      <c r="BU502" s="28"/>
      <c r="BV502" s="29"/>
      <c r="BW502" s="28"/>
      <c r="BX502" s="28"/>
      <c r="BY502" s="28"/>
      <c r="BZ502" s="28"/>
    </row>
    <row r="503" s="27" customFormat="1" spans="1:78">
      <c r="A503" s="28"/>
      <c r="B503" s="28"/>
      <c r="C503" s="29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30"/>
      <c r="AQ503" s="30"/>
      <c r="AR503" s="30"/>
      <c r="AS503" s="30"/>
      <c r="AT503" s="28"/>
      <c r="AU503" s="28"/>
      <c r="AV503" s="28"/>
      <c r="AW503" s="30"/>
      <c r="AX503" s="28"/>
      <c r="AY503" s="28"/>
      <c r="AZ503" s="28"/>
      <c r="BA503" s="28"/>
      <c r="BB503" s="28"/>
      <c r="BC503" s="28"/>
      <c r="BD503" s="28"/>
      <c r="BE503" s="28"/>
      <c r="BF503" s="28"/>
      <c r="BG503" s="30"/>
      <c r="BH503" s="28"/>
      <c r="BI503" s="28"/>
      <c r="BJ503" s="28"/>
      <c r="BK503" s="28"/>
      <c r="BL503" s="28"/>
      <c r="BM503" s="28"/>
      <c r="BN503" s="28"/>
      <c r="BO503" s="28"/>
      <c r="BP503" s="28"/>
      <c r="BQ503" s="28"/>
      <c r="BR503" s="29"/>
      <c r="BS503" s="29"/>
      <c r="BT503" s="29"/>
      <c r="BU503" s="29"/>
      <c r="BV503" s="29"/>
      <c r="BW503" s="29"/>
      <c r="BX503" s="28"/>
      <c r="BY503" s="28"/>
      <c r="BZ503" s="28"/>
    </row>
    <row r="504" s="27" customFormat="1" spans="1:78">
      <c r="A504" s="28"/>
      <c r="B504" s="28"/>
      <c r="C504" s="29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30"/>
      <c r="AQ504" s="30"/>
      <c r="AR504" s="30"/>
      <c r="AS504" s="30"/>
      <c r="AT504" s="28"/>
      <c r="AU504" s="28"/>
      <c r="AV504" s="28"/>
      <c r="AW504" s="30"/>
      <c r="AX504" s="28"/>
      <c r="AY504" s="28"/>
      <c r="AZ504" s="28"/>
      <c r="BA504" s="28"/>
      <c r="BB504" s="28"/>
      <c r="BC504" s="28"/>
      <c r="BD504" s="28"/>
      <c r="BE504" s="28"/>
      <c r="BF504" s="28"/>
      <c r="BG504" s="30"/>
      <c r="BH504" s="28"/>
      <c r="BI504" s="28"/>
      <c r="BJ504" s="28"/>
      <c r="BK504" s="28"/>
      <c r="BL504" s="28"/>
      <c r="BM504" s="28"/>
      <c r="BN504" s="28"/>
      <c r="BO504" s="28"/>
      <c r="BP504" s="28"/>
      <c r="BQ504" s="28"/>
      <c r="BR504" s="29"/>
      <c r="BS504" s="29"/>
      <c r="BT504" s="28"/>
      <c r="BU504" s="28"/>
      <c r="BV504" s="29"/>
      <c r="BW504" s="28"/>
      <c r="BX504" s="28"/>
      <c r="BY504" s="28"/>
      <c r="BZ504" s="28"/>
    </row>
    <row r="505" s="27" customFormat="1" spans="1:78">
      <c r="A505" s="28"/>
      <c r="B505" s="28"/>
      <c r="C505" s="29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30"/>
      <c r="AQ505" s="30"/>
      <c r="AR505" s="30"/>
      <c r="AS505" s="30"/>
      <c r="AT505" s="28"/>
      <c r="AU505" s="28"/>
      <c r="AV505" s="28"/>
      <c r="AW505" s="30"/>
      <c r="AX505" s="28"/>
      <c r="AY505" s="28"/>
      <c r="AZ505" s="28"/>
      <c r="BA505" s="28"/>
      <c r="BB505" s="28"/>
      <c r="BC505" s="28"/>
      <c r="BD505" s="28"/>
      <c r="BE505" s="28"/>
      <c r="BF505" s="28"/>
      <c r="BG505" s="30"/>
      <c r="BH505" s="28"/>
      <c r="BI505" s="28"/>
      <c r="BJ505" s="28"/>
      <c r="BK505" s="28"/>
      <c r="BL505" s="28"/>
      <c r="BM505" s="28"/>
      <c r="BN505" s="28"/>
      <c r="BO505" s="28"/>
      <c r="BP505" s="28"/>
      <c r="BQ505" s="28"/>
      <c r="BR505" s="29"/>
      <c r="BS505" s="29"/>
      <c r="BT505" s="29"/>
      <c r="BU505" s="28"/>
      <c r="BV505" s="29"/>
      <c r="BW505" s="28"/>
      <c r="BX505" s="28"/>
      <c r="BY505" s="28"/>
      <c r="BZ505" s="28"/>
    </row>
    <row r="506" s="27" customFormat="1" spans="1:78">
      <c r="A506" s="28"/>
      <c r="B506" s="28"/>
      <c r="C506" s="29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30"/>
      <c r="AQ506" s="30"/>
      <c r="AR506" s="30"/>
      <c r="AS506" s="30"/>
      <c r="AT506" s="28"/>
      <c r="AU506" s="28"/>
      <c r="AV506" s="28"/>
      <c r="AW506" s="30"/>
      <c r="AX506" s="28"/>
      <c r="AY506" s="28"/>
      <c r="AZ506" s="28"/>
      <c r="BA506" s="28"/>
      <c r="BB506" s="28"/>
      <c r="BC506" s="28"/>
      <c r="BD506" s="28"/>
      <c r="BE506" s="28"/>
      <c r="BF506" s="28"/>
      <c r="BG506" s="30"/>
      <c r="BH506" s="28"/>
      <c r="BI506" s="28"/>
      <c r="BJ506" s="28"/>
      <c r="BK506" s="28"/>
      <c r="BL506" s="28"/>
      <c r="BM506" s="28"/>
      <c r="BN506" s="28"/>
      <c r="BO506" s="28"/>
      <c r="BP506" s="28"/>
      <c r="BQ506" s="28"/>
      <c r="BR506" s="29"/>
      <c r="BS506" s="28"/>
      <c r="BT506" s="28"/>
      <c r="BU506" s="28"/>
      <c r="BV506" s="29"/>
      <c r="BW506" s="28"/>
      <c r="BX506" s="28"/>
      <c r="BY506" s="28"/>
      <c r="BZ506" s="28"/>
    </row>
    <row r="507" s="27" customFormat="1" spans="1:78">
      <c r="A507" s="28"/>
      <c r="B507" s="28"/>
      <c r="C507" s="29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30"/>
      <c r="AQ507" s="30"/>
      <c r="AR507" s="30"/>
      <c r="AS507" s="30"/>
      <c r="AT507" s="28"/>
      <c r="AU507" s="28"/>
      <c r="AV507" s="28"/>
      <c r="AW507" s="30"/>
      <c r="AX507" s="28"/>
      <c r="AY507" s="28"/>
      <c r="AZ507" s="28"/>
      <c r="BA507" s="28"/>
      <c r="BB507" s="28"/>
      <c r="BC507" s="28"/>
      <c r="BD507" s="28"/>
      <c r="BE507" s="28"/>
      <c r="BF507" s="28"/>
      <c r="BG507" s="30"/>
      <c r="BH507" s="28"/>
      <c r="BI507" s="28"/>
      <c r="BJ507" s="28"/>
      <c r="BK507" s="28"/>
      <c r="BL507" s="28"/>
      <c r="BM507" s="28"/>
      <c r="BN507" s="28"/>
      <c r="BO507" s="28"/>
      <c r="BP507" s="28"/>
      <c r="BQ507" s="28"/>
      <c r="BR507" s="29"/>
      <c r="BS507" s="29"/>
      <c r="BT507" s="29"/>
      <c r="BU507" s="28"/>
      <c r="BV507" s="29"/>
      <c r="BW507" s="28"/>
      <c r="BX507" s="28"/>
      <c r="BY507" s="28"/>
      <c r="BZ507" s="28"/>
    </row>
    <row r="508" s="27" customFormat="1" spans="1:78">
      <c r="A508" s="28"/>
      <c r="B508" s="28"/>
      <c r="C508" s="29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30"/>
      <c r="AQ508" s="30"/>
      <c r="AR508" s="30"/>
      <c r="AS508" s="30"/>
      <c r="AT508" s="28"/>
      <c r="AU508" s="29"/>
      <c r="AV508" s="30"/>
      <c r="AW508" s="30"/>
      <c r="AX508" s="28"/>
      <c r="AY508" s="28"/>
      <c r="AZ508" s="28"/>
      <c r="BA508" s="28"/>
      <c r="BB508" s="28"/>
      <c r="BC508" s="28"/>
      <c r="BD508" s="28"/>
      <c r="BE508" s="28"/>
      <c r="BF508" s="28"/>
      <c r="BG508" s="30"/>
      <c r="BH508" s="28"/>
      <c r="BI508" s="28"/>
      <c r="BJ508" s="28"/>
      <c r="BK508" s="28"/>
      <c r="BL508" s="28"/>
      <c r="BM508" s="28"/>
      <c r="BN508" s="28"/>
      <c r="BO508" s="28"/>
      <c r="BP508" s="28"/>
      <c r="BQ508" s="28"/>
      <c r="BR508" s="29"/>
      <c r="BS508" s="29"/>
      <c r="BT508" s="29"/>
      <c r="BU508" s="29"/>
      <c r="BV508" s="29"/>
      <c r="BW508" s="29"/>
      <c r="BX508" s="28"/>
      <c r="BY508" s="28"/>
      <c r="BZ508" s="28"/>
    </row>
    <row r="509" s="27" customFormat="1" spans="1:78">
      <c r="A509" s="28"/>
      <c r="B509" s="28"/>
      <c r="C509" s="29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30"/>
      <c r="AQ509" s="30"/>
      <c r="AR509" s="30"/>
      <c r="AS509" s="30"/>
      <c r="AT509" s="28"/>
      <c r="AU509" s="28"/>
      <c r="AV509" s="28"/>
      <c r="AW509" s="30"/>
      <c r="AX509" s="28"/>
      <c r="AY509" s="28"/>
      <c r="AZ509" s="28"/>
      <c r="BA509" s="28"/>
      <c r="BB509" s="28"/>
      <c r="BC509" s="28"/>
      <c r="BD509" s="28"/>
      <c r="BE509" s="28"/>
      <c r="BF509" s="28"/>
      <c r="BG509" s="30"/>
      <c r="BH509" s="28"/>
      <c r="BI509" s="28"/>
      <c r="BJ509" s="28"/>
      <c r="BK509" s="28"/>
      <c r="BL509" s="28"/>
      <c r="BM509" s="28"/>
      <c r="BN509" s="28"/>
      <c r="BO509" s="28"/>
      <c r="BP509" s="28"/>
      <c r="BQ509" s="28"/>
      <c r="BR509" s="29"/>
      <c r="BS509" s="29"/>
      <c r="BT509" s="29"/>
      <c r="BU509" s="28"/>
      <c r="BV509" s="29"/>
      <c r="BW509" s="28"/>
      <c r="BX509" s="28"/>
      <c r="BY509" s="28"/>
      <c r="BZ509" s="28"/>
    </row>
    <row r="510" s="27" customFormat="1" spans="1:78">
      <c r="A510" s="28"/>
      <c r="B510" s="28"/>
      <c r="C510" s="29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30"/>
      <c r="AQ510" s="30"/>
      <c r="AR510" s="30"/>
      <c r="AS510" s="30"/>
      <c r="AT510" s="28"/>
      <c r="AU510" s="28"/>
      <c r="AV510" s="28"/>
      <c r="AW510" s="30"/>
      <c r="AX510" s="28"/>
      <c r="AY510" s="28"/>
      <c r="AZ510" s="28"/>
      <c r="BA510" s="28"/>
      <c r="BB510" s="28"/>
      <c r="BC510" s="28"/>
      <c r="BD510" s="28"/>
      <c r="BE510" s="28"/>
      <c r="BF510" s="28"/>
      <c r="BG510" s="30"/>
      <c r="BH510" s="28"/>
      <c r="BI510" s="28"/>
      <c r="BJ510" s="28"/>
      <c r="BK510" s="28"/>
      <c r="BL510" s="28"/>
      <c r="BM510" s="28"/>
      <c r="BN510" s="28"/>
      <c r="BO510" s="28"/>
      <c r="BP510" s="28"/>
      <c r="BQ510" s="28"/>
      <c r="BR510" s="29"/>
      <c r="BS510" s="28"/>
      <c r="BT510" s="28"/>
      <c r="BU510" s="28"/>
      <c r="BV510" s="29"/>
      <c r="BW510" s="28"/>
      <c r="BX510" s="28"/>
      <c r="BY510" s="28"/>
      <c r="BZ510" s="28"/>
    </row>
    <row r="511" s="27" customFormat="1" spans="1:78">
      <c r="A511" s="28"/>
      <c r="B511" s="28"/>
      <c r="C511" s="29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30"/>
      <c r="AQ511" s="30"/>
      <c r="AR511" s="30"/>
      <c r="AS511" s="30"/>
      <c r="AT511" s="28"/>
      <c r="AU511" s="29"/>
      <c r="AV511" s="30"/>
      <c r="AW511" s="30"/>
      <c r="AX511" s="28"/>
      <c r="AY511" s="28"/>
      <c r="AZ511" s="28"/>
      <c r="BA511" s="28"/>
      <c r="BB511" s="28"/>
      <c r="BC511" s="28"/>
      <c r="BD511" s="28"/>
      <c r="BE511" s="28"/>
      <c r="BF511" s="28"/>
      <c r="BG511" s="30"/>
      <c r="BH511" s="28"/>
      <c r="BI511" s="28"/>
      <c r="BJ511" s="28"/>
      <c r="BK511" s="28"/>
      <c r="BL511" s="28"/>
      <c r="BM511" s="28"/>
      <c r="BN511" s="28"/>
      <c r="BO511" s="28"/>
      <c r="BP511" s="28"/>
      <c r="BQ511" s="28"/>
      <c r="BR511" s="29"/>
      <c r="BS511" s="29"/>
      <c r="BT511" s="29"/>
      <c r="BU511" s="29"/>
      <c r="BV511" s="29"/>
      <c r="BW511" s="29"/>
      <c r="BX511" s="28"/>
      <c r="BY511" s="28"/>
      <c r="BZ511" s="28"/>
    </row>
    <row r="512" s="27" customFormat="1" spans="1:78">
      <c r="A512" s="28"/>
      <c r="B512" s="28"/>
      <c r="C512" s="29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30"/>
      <c r="AQ512" s="30"/>
      <c r="AR512" s="30"/>
      <c r="AS512" s="30"/>
      <c r="AT512" s="28"/>
      <c r="AU512" s="29"/>
      <c r="AV512" s="30"/>
      <c r="AW512" s="30"/>
      <c r="AX512" s="28"/>
      <c r="AY512" s="28"/>
      <c r="AZ512" s="28"/>
      <c r="BA512" s="28"/>
      <c r="BB512" s="28"/>
      <c r="BC512" s="28"/>
      <c r="BD512" s="28"/>
      <c r="BE512" s="28"/>
      <c r="BF512" s="28"/>
      <c r="BG512" s="30"/>
      <c r="BH512" s="28"/>
      <c r="BI512" s="28"/>
      <c r="BJ512" s="28"/>
      <c r="BK512" s="28"/>
      <c r="BL512" s="28"/>
      <c r="BM512" s="28"/>
      <c r="BN512" s="28"/>
      <c r="BO512" s="28"/>
      <c r="BP512" s="28"/>
      <c r="BQ512" s="28"/>
      <c r="BR512" s="29"/>
      <c r="BS512" s="29"/>
      <c r="BT512" s="28"/>
      <c r="BU512" s="28"/>
      <c r="BV512" s="29"/>
      <c r="BW512" s="28"/>
      <c r="BX512" s="28"/>
      <c r="BY512" s="28"/>
      <c r="BZ512" s="28"/>
    </row>
    <row r="513" s="27" customFormat="1" spans="1:78">
      <c r="A513" s="28"/>
      <c r="B513" s="28"/>
      <c r="C513" s="29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30"/>
      <c r="AQ513" s="30"/>
      <c r="AR513" s="30"/>
      <c r="AS513" s="30"/>
      <c r="AT513" s="28"/>
      <c r="AU513" s="28"/>
      <c r="AV513" s="28"/>
      <c r="AW513" s="30"/>
      <c r="AX513" s="28"/>
      <c r="AY513" s="28"/>
      <c r="AZ513" s="28"/>
      <c r="BA513" s="28"/>
      <c r="BB513" s="28"/>
      <c r="BC513" s="28"/>
      <c r="BD513" s="28"/>
      <c r="BE513" s="28"/>
      <c r="BF513" s="28"/>
      <c r="BG513" s="30"/>
      <c r="BH513" s="28"/>
      <c r="BI513" s="28"/>
      <c r="BJ513" s="28"/>
      <c r="BK513" s="28"/>
      <c r="BL513" s="28"/>
      <c r="BM513" s="28"/>
      <c r="BN513" s="28"/>
      <c r="BO513" s="28"/>
      <c r="BP513" s="28"/>
      <c r="BQ513" s="28"/>
      <c r="BR513" s="29"/>
      <c r="BS513" s="29"/>
      <c r="BT513" s="29"/>
      <c r="BU513" s="28"/>
      <c r="BV513" s="29"/>
      <c r="BW513" s="28"/>
      <c r="BX513" s="28"/>
      <c r="BY513" s="28"/>
      <c r="BZ513" s="28"/>
    </row>
    <row r="514" s="27" customFormat="1" spans="1:78">
      <c r="A514" s="28"/>
      <c r="B514" s="28"/>
      <c r="C514" s="29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30"/>
      <c r="AQ514" s="30"/>
      <c r="AR514" s="30"/>
      <c r="AS514" s="30"/>
      <c r="AT514" s="28"/>
      <c r="AU514" s="28"/>
      <c r="AV514" s="28"/>
      <c r="AW514" s="30"/>
      <c r="AX514" s="28"/>
      <c r="AY514" s="28"/>
      <c r="AZ514" s="28"/>
      <c r="BA514" s="28"/>
      <c r="BB514" s="28"/>
      <c r="BC514" s="28"/>
      <c r="BD514" s="28"/>
      <c r="BE514" s="28"/>
      <c r="BF514" s="28"/>
      <c r="BG514" s="30"/>
      <c r="BH514" s="28"/>
      <c r="BI514" s="28"/>
      <c r="BJ514" s="28"/>
      <c r="BK514" s="28"/>
      <c r="BL514" s="28"/>
      <c r="BM514" s="28"/>
      <c r="BN514" s="28"/>
      <c r="BO514" s="28"/>
      <c r="BP514" s="28"/>
      <c r="BQ514" s="28"/>
      <c r="BR514" s="29"/>
      <c r="BS514" s="29"/>
      <c r="BT514" s="29"/>
      <c r="BU514" s="28"/>
      <c r="BV514" s="29"/>
      <c r="BW514" s="28"/>
      <c r="BX514" s="28"/>
      <c r="BY514" s="28"/>
      <c r="BZ514" s="28"/>
    </row>
    <row r="515" s="27" customFormat="1" spans="1:78">
      <c r="A515" s="28"/>
      <c r="B515" s="28"/>
      <c r="C515" s="29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30"/>
      <c r="AQ515" s="30"/>
      <c r="AR515" s="30"/>
      <c r="AS515" s="30"/>
      <c r="AT515" s="28"/>
      <c r="AU515" s="28"/>
      <c r="AV515" s="28"/>
      <c r="AW515" s="30"/>
      <c r="AX515" s="28"/>
      <c r="AY515" s="28"/>
      <c r="AZ515" s="28"/>
      <c r="BA515" s="28"/>
      <c r="BB515" s="28"/>
      <c r="BC515" s="28"/>
      <c r="BD515" s="28"/>
      <c r="BE515" s="28"/>
      <c r="BF515" s="28"/>
      <c r="BG515" s="30"/>
      <c r="BH515" s="28"/>
      <c r="BI515" s="28"/>
      <c r="BJ515" s="28"/>
      <c r="BK515" s="28"/>
      <c r="BL515" s="28"/>
      <c r="BM515" s="28"/>
      <c r="BN515" s="28"/>
      <c r="BO515" s="28"/>
      <c r="BP515" s="28"/>
      <c r="BQ515" s="28"/>
      <c r="BR515" s="29"/>
      <c r="BS515" s="29"/>
      <c r="BT515" s="29"/>
      <c r="BU515" s="28"/>
      <c r="BV515" s="29"/>
      <c r="BW515" s="28"/>
      <c r="BX515" s="28"/>
      <c r="BY515" s="28"/>
      <c r="BZ515" s="28"/>
    </row>
    <row r="516" s="27" customFormat="1" spans="1:78">
      <c r="A516" s="28"/>
      <c r="B516" s="28"/>
      <c r="C516" s="29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30"/>
      <c r="AQ516" s="30"/>
      <c r="AR516" s="30"/>
      <c r="AS516" s="30"/>
      <c r="AT516" s="28"/>
      <c r="AU516" s="28"/>
      <c r="AV516" s="28"/>
      <c r="AW516" s="30"/>
      <c r="AX516" s="28"/>
      <c r="AY516" s="28"/>
      <c r="AZ516" s="28"/>
      <c r="BA516" s="28"/>
      <c r="BB516" s="28"/>
      <c r="BC516" s="28"/>
      <c r="BD516" s="28"/>
      <c r="BE516" s="28"/>
      <c r="BF516" s="28"/>
      <c r="BG516" s="30"/>
      <c r="BH516" s="28"/>
      <c r="BI516" s="28"/>
      <c r="BJ516" s="28"/>
      <c r="BK516" s="28"/>
      <c r="BL516" s="28"/>
      <c r="BM516" s="28"/>
      <c r="BN516" s="28"/>
      <c r="BO516" s="28"/>
      <c r="BP516" s="28"/>
      <c r="BQ516" s="28"/>
      <c r="BR516" s="29"/>
      <c r="BS516" s="29"/>
      <c r="BT516" s="29"/>
      <c r="BU516" s="28"/>
      <c r="BV516" s="29"/>
      <c r="BW516" s="28"/>
      <c r="BX516" s="28"/>
      <c r="BY516" s="28"/>
      <c r="BZ516" s="28"/>
    </row>
    <row r="517" s="27" customFormat="1" spans="1:78">
      <c r="A517" s="28"/>
      <c r="B517" s="28"/>
      <c r="C517" s="29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30"/>
      <c r="AQ517" s="30"/>
      <c r="AR517" s="30"/>
      <c r="AS517" s="30"/>
      <c r="AT517" s="28"/>
      <c r="AU517" s="28"/>
      <c r="AV517" s="28"/>
      <c r="AW517" s="30"/>
      <c r="AX517" s="28"/>
      <c r="AY517" s="28"/>
      <c r="AZ517" s="28"/>
      <c r="BA517" s="28"/>
      <c r="BB517" s="28"/>
      <c r="BC517" s="28"/>
      <c r="BD517" s="28"/>
      <c r="BE517" s="28"/>
      <c r="BF517" s="28"/>
      <c r="BG517" s="30"/>
      <c r="BH517" s="28"/>
      <c r="BI517" s="28"/>
      <c r="BJ517" s="28"/>
      <c r="BK517" s="28"/>
      <c r="BL517" s="28"/>
      <c r="BM517" s="28"/>
      <c r="BN517" s="28"/>
      <c r="BO517" s="28"/>
      <c r="BP517" s="28"/>
      <c r="BQ517" s="28"/>
      <c r="BR517" s="29"/>
      <c r="BS517" s="28"/>
      <c r="BT517" s="28"/>
      <c r="BU517" s="28"/>
      <c r="BV517" s="29"/>
      <c r="BW517" s="28"/>
      <c r="BX517" s="28"/>
      <c r="BY517" s="28"/>
      <c r="BZ517" s="28"/>
    </row>
    <row r="518" s="27" customFormat="1" spans="1:78">
      <c r="A518" s="28"/>
      <c r="B518" s="28"/>
      <c r="C518" s="29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30"/>
      <c r="AQ518" s="30"/>
      <c r="AR518" s="30"/>
      <c r="AS518" s="30"/>
      <c r="AT518" s="28"/>
      <c r="AU518" s="28"/>
      <c r="AV518" s="28"/>
      <c r="AW518" s="30"/>
      <c r="AX518" s="28"/>
      <c r="AY518" s="28"/>
      <c r="AZ518" s="28"/>
      <c r="BA518" s="28"/>
      <c r="BB518" s="28"/>
      <c r="BC518" s="28"/>
      <c r="BD518" s="28"/>
      <c r="BE518" s="28"/>
      <c r="BF518" s="28"/>
      <c r="BG518" s="30"/>
      <c r="BH518" s="28"/>
      <c r="BI518" s="28"/>
      <c r="BJ518" s="28"/>
      <c r="BK518" s="28"/>
      <c r="BL518" s="28"/>
      <c r="BM518" s="28"/>
      <c r="BN518" s="28"/>
      <c r="BO518" s="28"/>
      <c r="BP518" s="28"/>
      <c r="BQ518" s="28"/>
      <c r="BR518" s="29"/>
      <c r="BS518" s="29"/>
      <c r="BT518" s="29"/>
      <c r="BU518" s="29"/>
      <c r="BV518" s="29"/>
      <c r="BW518" s="28"/>
      <c r="BX518" s="28"/>
      <c r="BY518" s="28"/>
      <c r="BZ518" s="28"/>
    </row>
    <row r="519" s="27" customFormat="1" spans="1:78">
      <c r="A519" s="28"/>
      <c r="B519" s="28"/>
      <c r="C519" s="29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30"/>
      <c r="AQ519" s="30"/>
      <c r="AR519" s="30"/>
      <c r="AS519" s="30"/>
      <c r="AT519" s="28"/>
      <c r="AU519" s="29"/>
      <c r="AV519" s="30"/>
      <c r="AW519" s="30"/>
      <c r="AX519" s="28"/>
      <c r="AY519" s="28"/>
      <c r="AZ519" s="28"/>
      <c r="BA519" s="28"/>
      <c r="BB519" s="28"/>
      <c r="BC519" s="28"/>
      <c r="BD519" s="28"/>
      <c r="BE519" s="28"/>
      <c r="BF519" s="28"/>
      <c r="BG519" s="30"/>
      <c r="BH519" s="28"/>
      <c r="BI519" s="28"/>
      <c r="BJ519" s="28"/>
      <c r="BK519" s="28"/>
      <c r="BL519" s="28"/>
      <c r="BM519" s="28"/>
      <c r="BN519" s="28"/>
      <c r="BO519" s="28"/>
      <c r="BP519" s="28"/>
      <c r="BQ519" s="28"/>
      <c r="BR519" s="29"/>
      <c r="BS519" s="29"/>
      <c r="BT519" s="29"/>
      <c r="BU519" s="29"/>
      <c r="BV519" s="29"/>
      <c r="BW519" s="29"/>
      <c r="BX519" s="28"/>
      <c r="BY519" s="28"/>
      <c r="BZ519" s="28"/>
    </row>
    <row r="520" s="27" customFormat="1" spans="1:78">
      <c r="A520" s="28"/>
      <c r="B520" s="28"/>
      <c r="C520" s="29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30"/>
      <c r="AQ520" s="30"/>
      <c r="AR520" s="30"/>
      <c r="AS520" s="30"/>
      <c r="AT520" s="28"/>
      <c r="AU520" s="29"/>
      <c r="AV520" s="30"/>
      <c r="AW520" s="30"/>
      <c r="AX520" s="28"/>
      <c r="AY520" s="28"/>
      <c r="AZ520" s="28"/>
      <c r="BA520" s="28"/>
      <c r="BB520" s="28"/>
      <c r="BC520" s="28"/>
      <c r="BD520" s="28"/>
      <c r="BE520" s="28"/>
      <c r="BF520" s="28"/>
      <c r="BG520" s="30"/>
      <c r="BH520" s="28"/>
      <c r="BI520" s="28"/>
      <c r="BJ520" s="28"/>
      <c r="BK520" s="28"/>
      <c r="BL520" s="28"/>
      <c r="BM520" s="28"/>
      <c r="BN520" s="28"/>
      <c r="BO520" s="28"/>
      <c r="BP520" s="28"/>
      <c r="BQ520" s="28"/>
      <c r="BR520" s="29"/>
      <c r="BS520" s="29"/>
      <c r="BT520" s="29"/>
      <c r="BU520" s="29"/>
      <c r="BV520" s="29"/>
      <c r="BW520" s="29"/>
      <c r="BX520" s="28"/>
      <c r="BY520" s="28"/>
      <c r="BZ520" s="28"/>
    </row>
    <row r="521" s="27" customFormat="1" spans="1:78">
      <c r="A521" s="28"/>
      <c r="B521" s="28"/>
      <c r="C521" s="29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30"/>
      <c r="AQ521" s="30"/>
      <c r="AR521" s="30"/>
      <c r="AS521" s="30"/>
      <c r="AT521" s="28"/>
      <c r="AU521" s="28"/>
      <c r="AV521" s="28"/>
      <c r="AW521" s="30"/>
      <c r="AX521" s="28"/>
      <c r="AY521" s="28"/>
      <c r="AZ521" s="28"/>
      <c r="BA521" s="28"/>
      <c r="BB521" s="28"/>
      <c r="BC521" s="28"/>
      <c r="BD521" s="28"/>
      <c r="BE521" s="28"/>
      <c r="BF521" s="28"/>
      <c r="BG521" s="30"/>
      <c r="BH521" s="28"/>
      <c r="BI521" s="28"/>
      <c r="BJ521" s="28"/>
      <c r="BK521" s="28"/>
      <c r="BL521" s="28"/>
      <c r="BM521" s="28"/>
      <c r="BN521" s="28"/>
      <c r="BO521" s="28"/>
      <c r="BP521" s="28"/>
      <c r="BQ521" s="28"/>
      <c r="BR521" s="29"/>
      <c r="BS521" s="29"/>
      <c r="BT521" s="29"/>
      <c r="BU521" s="28"/>
      <c r="BV521" s="29"/>
      <c r="BW521" s="28"/>
      <c r="BX521" s="28"/>
      <c r="BY521" s="28"/>
      <c r="BZ521" s="28"/>
    </row>
    <row r="522" s="27" customFormat="1" spans="1:78">
      <c r="A522" s="28"/>
      <c r="B522" s="28"/>
      <c r="C522" s="29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30"/>
      <c r="AQ522" s="30"/>
      <c r="AR522" s="30"/>
      <c r="AS522" s="30"/>
      <c r="AT522" s="28"/>
      <c r="AU522" s="28"/>
      <c r="AV522" s="28"/>
      <c r="AW522" s="30"/>
      <c r="AX522" s="28"/>
      <c r="AY522" s="28"/>
      <c r="AZ522" s="28"/>
      <c r="BA522" s="28"/>
      <c r="BB522" s="28"/>
      <c r="BC522" s="28"/>
      <c r="BD522" s="28"/>
      <c r="BE522" s="28"/>
      <c r="BF522" s="28"/>
      <c r="BG522" s="30"/>
      <c r="BH522" s="28"/>
      <c r="BI522" s="28"/>
      <c r="BJ522" s="28"/>
      <c r="BK522" s="28"/>
      <c r="BL522" s="28"/>
      <c r="BM522" s="28"/>
      <c r="BN522" s="28"/>
      <c r="BO522" s="28"/>
      <c r="BP522" s="28"/>
      <c r="BQ522" s="28"/>
      <c r="BR522" s="29"/>
      <c r="BS522" s="29"/>
      <c r="BT522" s="29"/>
      <c r="BU522" s="29"/>
      <c r="BV522" s="29"/>
      <c r="BW522" s="28"/>
      <c r="BX522" s="28"/>
      <c r="BY522" s="28"/>
      <c r="BZ522" s="28"/>
    </row>
    <row r="523" s="27" customFormat="1" spans="1:78">
      <c r="A523" s="28"/>
      <c r="B523" s="28"/>
      <c r="C523" s="29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30"/>
      <c r="AQ523" s="30"/>
      <c r="AR523" s="30"/>
      <c r="AS523" s="30"/>
      <c r="AT523" s="28"/>
      <c r="AU523" s="28"/>
      <c r="AV523" s="28"/>
      <c r="AW523" s="30"/>
      <c r="AX523" s="28"/>
      <c r="AY523" s="28"/>
      <c r="AZ523" s="28"/>
      <c r="BA523" s="28"/>
      <c r="BB523" s="28"/>
      <c r="BC523" s="28"/>
      <c r="BD523" s="28"/>
      <c r="BE523" s="28"/>
      <c r="BF523" s="28"/>
      <c r="BG523" s="30"/>
      <c r="BH523" s="28"/>
      <c r="BI523" s="28"/>
      <c r="BJ523" s="28"/>
      <c r="BK523" s="28"/>
      <c r="BL523" s="28"/>
      <c r="BM523" s="28"/>
      <c r="BN523" s="28"/>
      <c r="BO523" s="28"/>
      <c r="BP523" s="28"/>
      <c r="BQ523" s="28"/>
      <c r="BR523" s="29"/>
      <c r="BS523" s="29"/>
      <c r="BT523" s="29"/>
      <c r="BU523" s="29"/>
      <c r="BV523" s="29"/>
      <c r="BW523" s="29"/>
      <c r="BX523" s="28"/>
      <c r="BY523" s="28"/>
      <c r="BZ523" s="28"/>
    </row>
    <row r="524" s="27" customFormat="1" spans="1:78">
      <c r="A524" s="28"/>
      <c r="B524" s="28"/>
      <c r="C524" s="29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30"/>
      <c r="AQ524" s="30"/>
      <c r="AR524" s="30"/>
      <c r="AS524" s="30"/>
      <c r="AT524" s="28"/>
      <c r="AU524" s="28"/>
      <c r="AV524" s="28"/>
      <c r="AW524" s="30"/>
      <c r="AX524" s="28"/>
      <c r="AY524" s="28"/>
      <c r="AZ524" s="28"/>
      <c r="BA524" s="28"/>
      <c r="BB524" s="28"/>
      <c r="BC524" s="28"/>
      <c r="BD524" s="28"/>
      <c r="BE524" s="28"/>
      <c r="BF524" s="28"/>
      <c r="BG524" s="30"/>
      <c r="BH524" s="28"/>
      <c r="BI524" s="28"/>
      <c r="BJ524" s="28"/>
      <c r="BK524" s="28"/>
      <c r="BL524" s="28"/>
      <c r="BM524" s="28"/>
      <c r="BN524" s="28"/>
      <c r="BO524" s="28"/>
      <c r="BP524" s="28"/>
      <c r="BQ524" s="28"/>
      <c r="BR524" s="29"/>
      <c r="BS524" s="29"/>
      <c r="BT524" s="29"/>
      <c r="BU524" s="28"/>
      <c r="BV524" s="29"/>
      <c r="BW524" s="28"/>
      <c r="BX524" s="28"/>
      <c r="BY524" s="28"/>
      <c r="BZ524" s="28"/>
    </row>
    <row r="525" s="27" customFormat="1" spans="1:78">
      <c r="A525" s="28"/>
      <c r="B525" s="28"/>
      <c r="C525" s="29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30"/>
      <c r="AQ525" s="30"/>
      <c r="AR525" s="30"/>
      <c r="AS525" s="30"/>
      <c r="AT525" s="28"/>
      <c r="AU525" s="28"/>
      <c r="AV525" s="28"/>
      <c r="AW525" s="30"/>
      <c r="AX525" s="28"/>
      <c r="AY525" s="28"/>
      <c r="AZ525" s="28"/>
      <c r="BA525" s="28"/>
      <c r="BB525" s="28"/>
      <c r="BC525" s="28"/>
      <c r="BD525" s="28"/>
      <c r="BE525" s="28"/>
      <c r="BF525" s="28"/>
      <c r="BG525" s="30"/>
      <c r="BH525" s="28"/>
      <c r="BI525" s="28"/>
      <c r="BJ525" s="28"/>
      <c r="BK525" s="28"/>
      <c r="BL525" s="28"/>
      <c r="BM525" s="28"/>
      <c r="BN525" s="28"/>
      <c r="BO525" s="28"/>
      <c r="BP525" s="28"/>
      <c r="BQ525" s="28"/>
      <c r="BR525" s="29"/>
      <c r="BS525" s="29"/>
      <c r="BT525" s="29"/>
      <c r="BU525" s="28"/>
      <c r="BV525" s="29"/>
      <c r="BW525" s="28"/>
      <c r="BX525" s="28"/>
      <c r="BY525" s="28"/>
      <c r="BZ525" s="28"/>
    </row>
    <row r="526" s="27" customFormat="1" spans="1:78">
      <c r="A526" s="28"/>
      <c r="B526" s="28"/>
      <c r="C526" s="29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30"/>
      <c r="AQ526" s="30"/>
      <c r="AR526" s="30"/>
      <c r="AS526" s="30"/>
      <c r="AT526" s="28"/>
      <c r="AU526" s="28"/>
      <c r="AV526" s="28"/>
      <c r="AW526" s="30"/>
      <c r="AX526" s="28"/>
      <c r="AY526" s="28"/>
      <c r="AZ526" s="28"/>
      <c r="BA526" s="28"/>
      <c r="BB526" s="28"/>
      <c r="BC526" s="28"/>
      <c r="BD526" s="28"/>
      <c r="BE526" s="28"/>
      <c r="BF526" s="28"/>
      <c r="BG526" s="30"/>
      <c r="BH526" s="28"/>
      <c r="BI526" s="28"/>
      <c r="BJ526" s="28"/>
      <c r="BK526" s="28"/>
      <c r="BL526" s="28"/>
      <c r="BM526" s="28"/>
      <c r="BN526" s="28"/>
      <c r="BO526" s="28"/>
      <c r="BP526" s="28"/>
      <c r="BQ526" s="28"/>
      <c r="BR526" s="29"/>
      <c r="BS526" s="28"/>
      <c r="BT526" s="28"/>
      <c r="BU526" s="28"/>
      <c r="BV526" s="29"/>
      <c r="BW526" s="28"/>
      <c r="BX526" s="28"/>
      <c r="BY526" s="28"/>
      <c r="BZ526" s="28"/>
    </row>
    <row r="527" s="27" customFormat="1" spans="1:78">
      <c r="A527" s="28"/>
      <c r="B527" s="28"/>
      <c r="C527" s="29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30"/>
      <c r="AQ527" s="30"/>
      <c r="AR527" s="30"/>
      <c r="AS527" s="30"/>
      <c r="AT527" s="28"/>
      <c r="AU527" s="28"/>
      <c r="AV527" s="28"/>
      <c r="AW527" s="30"/>
      <c r="AX527" s="28"/>
      <c r="AY527" s="28"/>
      <c r="AZ527" s="28"/>
      <c r="BA527" s="28"/>
      <c r="BB527" s="28"/>
      <c r="BC527" s="28"/>
      <c r="BD527" s="28"/>
      <c r="BE527" s="28"/>
      <c r="BF527" s="28"/>
      <c r="BG527" s="30"/>
      <c r="BH527" s="28"/>
      <c r="BI527" s="28"/>
      <c r="BJ527" s="28"/>
      <c r="BK527" s="28"/>
      <c r="BL527" s="28"/>
      <c r="BM527" s="28"/>
      <c r="BN527" s="28"/>
      <c r="BO527" s="28"/>
      <c r="BP527" s="28"/>
      <c r="BQ527" s="28"/>
      <c r="BR527" s="29"/>
      <c r="BS527" s="28"/>
      <c r="BT527" s="28"/>
      <c r="BU527" s="28"/>
      <c r="BV527" s="29"/>
      <c r="BW527" s="28"/>
      <c r="BX527" s="28"/>
      <c r="BY527" s="28"/>
      <c r="BZ527" s="28"/>
    </row>
    <row r="528" s="27" customFormat="1" spans="1:78">
      <c r="A528" s="28"/>
      <c r="B528" s="28"/>
      <c r="C528" s="29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30"/>
      <c r="AQ528" s="30"/>
      <c r="AR528" s="30"/>
      <c r="AS528" s="30"/>
      <c r="AT528" s="28"/>
      <c r="AU528" s="28"/>
      <c r="AV528" s="28"/>
      <c r="AW528" s="30"/>
      <c r="AX528" s="28"/>
      <c r="AY528" s="28"/>
      <c r="AZ528" s="28"/>
      <c r="BA528" s="28"/>
      <c r="BB528" s="28"/>
      <c r="BC528" s="28"/>
      <c r="BD528" s="28"/>
      <c r="BE528" s="28"/>
      <c r="BF528" s="28"/>
      <c r="BG528" s="30"/>
      <c r="BH528" s="28"/>
      <c r="BI528" s="28"/>
      <c r="BJ528" s="28"/>
      <c r="BK528" s="28"/>
      <c r="BL528" s="28"/>
      <c r="BM528" s="28"/>
      <c r="BN528" s="28"/>
      <c r="BO528" s="28"/>
      <c r="BP528" s="28"/>
      <c r="BQ528" s="28"/>
      <c r="BR528" s="29"/>
      <c r="BS528" s="29"/>
      <c r="BT528" s="28"/>
      <c r="BU528" s="28"/>
      <c r="BV528" s="29"/>
      <c r="BW528" s="28"/>
      <c r="BX528" s="28"/>
      <c r="BY528" s="28"/>
      <c r="BZ528" s="28"/>
    </row>
    <row r="529" s="27" customFormat="1" spans="1:78">
      <c r="A529" s="28"/>
      <c r="B529" s="28"/>
      <c r="C529" s="29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30"/>
      <c r="AQ529" s="30"/>
      <c r="AR529" s="30"/>
      <c r="AS529" s="30"/>
      <c r="AT529" s="28"/>
      <c r="AU529" s="28"/>
      <c r="AV529" s="28"/>
      <c r="AW529" s="30"/>
      <c r="AX529" s="28"/>
      <c r="AY529" s="28"/>
      <c r="AZ529" s="28"/>
      <c r="BA529" s="28"/>
      <c r="BB529" s="28"/>
      <c r="BC529" s="28"/>
      <c r="BD529" s="28"/>
      <c r="BE529" s="28"/>
      <c r="BF529" s="28"/>
      <c r="BG529" s="30"/>
      <c r="BH529" s="28"/>
      <c r="BI529" s="28"/>
      <c r="BJ529" s="28"/>
      <c r="BK529" s="28"/>
      <c r="BL529" s="28"/>
      <c r="BM529" s="28"/>
      <c r="BN529" s="28"/>
      <c r="BO529" s="28"/>
      <c r="BP529" s="28"/>
      <c r="BQ529" s="28"/>
      <c r="BR529" s="29"/>
      <c r="BS529" s="28"/>
      <c r="BT529" s="28"/>
      <c r="BU529" s="28"/>
      <c r="BV529" s="29"/>
      <c r="BW529" s="28"/>
      <c r="BX529" s="28"/>
      <c r="BY529" s="28"/>
      <c r="BZ529" s="28"/>
    </row>
    <row r="530" s="27" customFormat="1" spans="1:78">
      <c r="A530" s="28"/>
      <c r="B530" s="28"/>
      <c r="C530" s="29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30"/>
      <c r="AQ530" s="30"/>
      <c r="AR530" s="30"/>
      <c r="AS530" s="30"/>
      <c r="AT530" s="28"/>
      <c r="AU530" s="28"/>
      <c r="AV530" s="28"/>
      <c r="AW530" s="30"/>
      <c r="AX530" s="28"/>
      <c r="AY530" s="28"/>
      <c r="AZ530" s="28"/>
      <c r="BA530" s="28"/>
      <c r="BB530" s="28"/>
      <c r="BC530" s="28"/>
      <c r="BD530" s="28"/>
      <c r="BE530" s="28"/>
      <c r="BF530" s="28"/>
      <c r="BG530" s="30"/>
      <c r="BH530" s="28"/>
      <c r="BI530" s="28"/>
      <c r="BJ530" s="28"/>
      <c r="BK530" s="28"/>
      <c r="BL530" s="28"/>
      <c r="BM530" s="28"/>
      <c r="BN530" s="28"/>
      <c r="BO530" s="28"/>
      <c r="BP530" s="28"/>
      <c r="BQ530" s="28"/>
      <c r="BR530" s="29"/>
      <c r="BS530" s="29"/>
      <c r="BT530" s="29"/>
      <c r="BU530" s="28"/>
      <c r="BV530" s="29"/>
      <c r="BW530" s="28"/>
      <c r="BX530" s="28"/>
      <c r="BY530" s="28"/>
      <c r="BZ530" s="28"/>
    </row>
    <row r="531" s="27" customFormat="1" spans="1:78">
      <c r="A531" s="28"/>
      <c r="B531" s="28"/>
      <c r="C531" s="29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30"/>
      <c r="AQ531" s="30"/>
      <c r="AR531" s="30"/>
      <c r="AS531" s="30"/>
      <c r="AT531" s="28"/>
      <c r="AU531" s="28"/>
      <c r="AV531" s="28"/>
      <c r="AW531" s="30"/>
      <c r="AX531" s="28"/>
      <c r="AY531" s="28"/>
      <c r="AZ531" s="28"/>
      <c r="BA531" s="28"/>
      <c r="BB531" s="28"/>
      <c r="BC531" s="28"/>
      <c r="BD531" s="28"/>
      <c r="BE531" s="28"/>
      <c r="BF531" s="28"/>
      <c r="BG531" s="30"/>
      <c r="BH531" s="28"/>
      <c r="BI531" s="28"/>
      <c r="BJ531" s="28"/>
      <c r="BK531" s="28"/>
      <c r="BL531" s="28"/>
      <c r="BM531" s="28"/>
      <c r="BN531" s="28"/>
      <c r="BO531" s="28"/>
      <c r="BP531" s="28"/>
      <c r="BQ531" s="28"/>
      <c r="BR531" s="29"/>
      <c r="BS531" s="29"/>
      <c r="BT531" s="28"/>
      <c r="BU531" s="28"/>
      <c r="BV531" s="29"/>
      <c r="BW531" s="28"/>
      <c r="BX531" s="28"/>
      <c r="BY531" s="28"/>
      <c r="BZ531" s="28"/>
    </row>
    <row r="532" s="27" customFormat="1" spans="1:78">
      <c r="A532" s="28"/>
      <c r="B532" s="28"/>
      <c r="C532" s="29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30"/>
      <c r="AQ532" s="30"/>
      <c r="AR532" s="30"/>
      <c r="AS532" s="30"/>
      <c r="AT532" s="28"/>
      <c r="AU532" s="28"/>
      <c r="AV532" s="28"/>
      <c r="AW532" s="30"/>
      <c r="AX532" s="28"/>
      <c r="AY532" s="28"/>
      <c r="AZ532" s="28"/>
      <c r="BA532" s="28"/>
      <c r="BB532" s="28"/>
      <c r="BC532" s="28"/>
      <c r="BD532" s="28"/>
      <c r="BE532" s="28"/>
      <c r="BF532" s="28"/>
      <c r="BG532" s="30"/>
      <c r="BH532" s="28"/>
      <c r="BI532" s="28"/>
      <c r="BJ532" s="28"/>
      <c r="BK532" s="28"/>
      <c r="BL532" s="28"/>
      <c r="BM532" s="28"/>
      <c r="BN532" s="28"/>
      <c r="BO532" s="28"/>
      <c r="BP532" s="28"/>
      <c r="BQ532" s="28"/>
      <c r="BR532" s="29"/>
      <c r="BS532" s="29"/>
      <c r="BT532" s="29"/>
      <c r="BU532" s="29"/>
      <c r="BV532" s="29"/>
      <c r="BW532" s="29"/>
      <c r="BX532" s="28"/>
      <c r="BY532" s="28"/>
      <c r="BZ532" s="28"/>
    </row>
    <row r="533" s="27" customFormat="1" spans="1:78">
      <c r="A533" s="28"/>
      <c r="B533" s="28"/>
      <c r="C533" s="29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30"/>
      <c r="AQ533" s="30"/>
      <c r="AR533" s="30"/>
      <c r="AS533" s="30"/>
      <c r="AT533" s="28"/>
      <c r="AU533" s="28"/>
      <c r="AV533" s="28"/>
      <c r="AW533" s="30"/>
      <c r="AX533" s="28"/>
      <c r="AY533" s="28"/>
      <c r="AZ533" s="28"/>
      <c r="BA533" s="28"/>
      <c r="BB533" s="28"/>
      <c r="BC533" s="28"/>
      <c r="BD533" s="28"/>
      <c r="BE533" s="28"/>
      <c r="BF533" s="28"/>
      <c r="BG533" s="30"/>
      <c r="BH533" s="28"/>
      <c r="BI533" s="28"/>
      <c r="BJ533" s="28"/>
      <c r="BK533" s="28"/>
      <c r="BL533" s="28"/>
      <c r="BM533" s="28"/>
      <c r="BN533" s="28"/>
      <c r="BO533" s="28"/>
      <c r="BP533" s="28"/>
      <c r="BQ533" s="28"/>
      <c r="BR533" s="29"/>
      <c r="BS533" s="29"/>
      <c r="BT533" s="29"/>
      <c r="BU533" s="29"/>
      <c r="BV533" s="29"/>
      <c r="BW533" s="29"/>
      <c r="BX533" s="28"/>
      <c r="BY533" s="28"/>
      <c r="BZ533" s="28"/>
    </row>
    <row r="534" s="27" customFormat="1" spans="1:78">
      <c r="A534" s="28"/>
      <c r="B534" s="28"/>
      <c r="C534" s="29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30"/>
      <c r="AQ534" s="30"/>
      <c r="AR534" s="30"/>
      <c r="AS534" s="30"/>
      <c r="AT534" s="28"/>
      <c r="AU534" s="28"/>
      <c r="AV534" s="28"/>
      <c r="AW534" s="30"/>
      <c r="AX534" s="28"/>
      <c r="AY534" s="28"/>
      <c r="AZ534" s="28"/>
      <c r="BA534" s="28"/>
      <c r="BB534" s="28"/>
      <c r="BC534" s="28"/>
      <c r="BD534" s="28"/>
      <c r="BE534" s="28"/>
      <c r="BF534" s="28"/>
      <c r="BG534" s="30"/>
      <c r="BH534" s="28"/>
      <c r="BI534" s="28"/>
      <c r="BJ534" s="28"/>
      <c r="BK534" s="28"/>
      <c r="BL534" s="28"/>
      <c r="BM534" s="28"/>
      <c r="BN534" s="28"/>
      <c r="BO534" s="28"/>
      <c r="BP534" s="28"/>
      <c r="BQ534" s="28"/>
      <c r="BR534" s="29"/>
      <c r="BS534" s="29"/>
      <c r="BT534" s="29"/>
      <c r="BU534" s="28"/>
      <c r="BV534" s="29"/>
      <c r="BW534" s="28"/>
      <c r="BX534" s="28"/>
      <c r="BY534" s="28"/>
      <c r="BZ534" s="28"/>
    </row>
    <row r="535" s="27" customFormat="1" spans="1:78">
      <c r="A535" s="28"/>
      <c r="B535" s="28"/>
      <c r="C535" s="29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30"/>
      <c r="AQ535" s="30"/>
      <c r="AR535" s="30"/>
      <c r="AS535" s="30"/>
      <c r="AT535" s="28"/>
      <c r="AU535" s="29"/>
      <c r="AV535" s="30"/>
      <c r="AW535" s="30"/>
      <c r="AX535" s="28"/>
      <c r="AY535" s="28"/>
      <c r="AZ535" s="28"/>
      <c r="BA535" s="28"/>
      <c r="BB535" s="28"/>
      <c r="BC535" s="28"/>
      <c r="BD535" s="28"/>
      <c r="BE535" s="28"/>
      <c r="BF535" s="28"/>
      <c r="BG535" s="30"/>
      <c r="BH535" s="28"/>
      <c r="BI535" s="28"/>
      <c r="BJ535" s="28"/>
      <c r="BK535" s="28"/>
      <c r="BL535" s="28"/>
      <c r="BM535" s="28"/>
      <c r="BN535" s="28"/>
      <c r="BO535" s="28"/>
      <c r="BP535" s="28"/>
      <c r="BQ535" s="28"/>
      <c r="BR535" s="29"/>
      <c r="BS535" s="29"/>
      <c r="BT535" s="29"/>
      <c r="BU535" s="29"/>
      <c r="BV535" s="29"/>
      <c r="BW535" s="29"/>
      <c r="BX535" s="28"/>
      <c r="BY535" s="28"/>
      <c r="BZ535" s="28"/>
    </row>
    <row r="536" s="27" customFormat="1" spans="1:78">
      <c r="A536" s="28"/>
      <c r="B536" s="28"/>
      <c r="C536" s="29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30"/>
      <c r="AQ536" s="30"/>
      <c r="AR536" s="30"/>
      <c r="AS536" s="30"/>
      <c r="AT536" s="28"/>
      <c r="AU536" s="29"/>
      <c r="AV536" s="30"/>
      <c r="AW536" s="30"/>
      <c r="AX536" s="28"/>
      <c r="AY536" s="28"/>
      <c r="AZ536" s="28"/>
      <c r="BA536" s="28"/>
      <c r="BB536" s="28"/>
      <c r="BC536" s="28"/>
      <c r="BD536" s="28"/>
      <c r="BE536" s="28"/>
      <c r="BF536" s="28"/>
      <c r="BG536" s="30"/>
      <c r="BH536" s="28"/>
      <c r="BI536" s="28"/>
      <c r="BJ536" s="28"/>
      <c r="BK536" s="28"/>
      <c r="BL536" s="28"/>
      <c r="BM536" s="28"/>
      <c r="BN536" s="28"/>
      <c r="BO536" s="28"/>
      <c r="BP536" s="28"/>
      <c r="BQ536" s="28"/>
      <c r="BR536" s="29"/>
      <c r="BS536" s="29"/>
      <c r="BT536" s="29"/>
      <c r="BU536" s="29"/>
      <c r="BV536" s="29"/>
      <c r="BW536" s="28"/>
      <c r="BX536" s="28"/>
      <c r="BY536" s="28"/>
      <c r="BZ536" s="28"/>
    </row>
    <row r="537" s="27" customFormat="1" spans="1:78">
      <c r="A537" s="28"/>
      <c r="B537" s="28"/>
      <c r="C537" s="29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30"/>
      <c r="AQ537" s="30"/>
      <c r="AR537" s="30"/>
      <c r="AS537" s="30"/>
      <c r="AT537" s="28"/>
      <c r="AU537" s="28"/>
      <c r="AV537" s="28"/>
      <c r="AW537" s="30"/>
      <c r="AX537" s="28"/>
      <c r="AY537" s="28"/>
      <c r="AZ537" s="28"/>
      <c r="BA537" s="28"/>
      <c r="BB537" s="28"/>
      <c r="BC537" s="28"/>
      <c r="BD537" s="28"/>
      <c r="BE537" s="28"/>
      <c r="BF537" s="28"/>
      <c r="BG537" s="30"/>
      <c r="BH537" s="28"/>
      <c r="BI537" s="28"/>
      <c r="BJ537" s="28"/>
      <c r="BK537" s="28"/>
      <c r="BL537" s="28"/>
      <c r="BM537" s="28"/>
      <c r="BN537" s="28"/>
      <c r="BO537" s="28"/>
      <c r="BP537" s="28"/>
      <c r="BQ537" s="28"/>
      <c r="BR537" s="29"/>
      <c r="BS537" s="29"/>
      <c r="BT537" s="29"/>
      <c r="BU537" s="29"/>
      <c r="BV537" s="29"/>
      <c r="BW537" s="29"/>
      <c r="BX537" s="28"/>
      <c r="BY537" s="28"/>
      <c r="BZ537" s="28"/>
    </row>
    <row r="538" s="27" customFormat="1" spans="1:78">
      <c r="A538" s="28"/>
      <c r="B538" s="28"/>
      <c r="C538" s="29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30"/>
      <c r="AQ538" s="30"/>
      <c r="AR538" s="30"/>
      <c r="AS538" s="30"/>
      <c r="AT538" s="28"/>
      <c r="AU538" s="28"/>
      <c r="AV538" s="28"/>
      <c r="AW538" s="30"/>
      <c r="AX538" s="28"/>
      <c r="AY538" s="28"/>
      <c r="AZ538" s="28"/>
      <c r="BA538" s="28"/>
      <c r="BB538" s="28"/>
      <c r="BC538" s="28"/>
      <c r="BD538" s="28"/>
      <c r="BE538" s="28"/>
      <c r="BF538" s="28"/>
      <c r="BG538" s="30"/>
      <c r="BH538" s="28"/>
      <c r="BI538" s="28"/>
      <c r="BJ538" s="28"/>
      <c r="BK538" s="28"/>
      <c r="BL538" s="28"/>
      <c r="BM538" s="28"/>
      <c r="BN538" s="28"/>
      <c r="BO538" s="28"/>
      <c r="BP538" s="28"/>
      <c r="BQ538" s="28"/>
      <c r="BR538" s="29"/>
      <c r="BS538" s="29"/>
      <c r="BT538" s="29"/>
      <c r="BU538" s="29"/>
      <c r="BV538" s="29"/>
      <c r="BW538" s="29"/>
      <c r="BX538" s="28"/>
      <c r="BY538" s="28"/>
      <c r="BZ538" s="28"/>
    </row>
    <row r="539" s="27" customFormat="1" spans="1:78">
      <c r="A539" s="28"/>
      <c r="B539" s="28"/>
      <c r="C539" s="29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30"/>
      <c r="AQ539" s="30"/>
      <c r="AR539" s="30"/>
      <c r="AS539" s="30"/>
      <c r="AT539" s="28"/>
      <c r="AU539" s="28"/>
      <c r="AV539" s="28"/>
      <c r="AW539" s="30"/>
      <c r="AX539" s="28"/>
      <c r="AY539" s="28"/>
      <c r="AZ539" s="28"/>
      <c r="BA539" s="28"/>
      <c r="BB539" s="28"/>
      <c r="BC539" s="28"/>
      <c r="BD539" s="28"/>
      <c r="BE539" s="28"/>
      <c r="BF539" s="28"/>
      <c r="BG539" s="30"/>
      <c r="BH539" s="28"/>
      <c r="BI539" s="28"/>
      <c r="BJ539" s="28"/>
      <c r="BK539" s="28"/>
      <c r="BL539" s="28"/>
      <c r="BM539" s="28"/>
      <c r="BN539" s="28"/>
      <c r="BO539" s="28"/>
      <c r="BP539" s="28"/>
      <c r="BQ539" s="28"/>
      <c r="BR539" s="29"/>
      <c r="BS539" s="29"/>
      <c r="BT539" s="29"/>
      <c r="BU539" s="29"/>
      <c r="BV539" s="29"/>
      <c r="BW539" s="28"/>
      <c r="BX539" s="28"/>
      <c r="BY539" s="28"/>
      <c r="BZ539" s="28"/>
    </row>
    <row r="540" s="27" customFormat="1" spans="1:78">
      <c r="A540" s="28"/>
      <c r="B540" s="28"/>
      <c r="C540" s="29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30"/>
      <c r="AQ540" s="30"/>
      <c r="AR540" s="30"/>
      <c r="AS540" s="30"/>
      <c r="AT540" s="28"/>
      <c r="AU540" s="28"/>
      <c r="AV540" s="28"/>
      <c r="AW540" s="30"/>
      <c r="AX540" s="28"/>
      <c r="AY540" s="28"/>
      <c r="AZ540" s="28"/>
      <c r="BA540" s="28"/>
      <c r="BB540" s="28"/>
      <c r="BC540" s="28"/>
      <c r="BD540" s="28"/>
      <c r="BE540" s="28"/>
      <c r="BF540" s="28"/>
      <c r="BG540" s="30"/>
      <c r="BH540" s="28"/>
      <c r="BI540" s="28"/>
      <c r="BJ540" s="28"/>
      <c r="BK540" s="28"/>
      <c r="BL540" s="28"/>
      <c r="BM540" s="28"/>
      <c r="BN540" s="28"/>
      <c r="BO540" s="28"/>
      <c r="BP540" s="28"/>
      <c r="BQ540" s="28"/>
      <c r="BR540" s="29"/>
      <c r="BS540" s="29"/>
      <c r="BT540" s="29"/>
      <c r="BU540" s="29"/>
      <c r="BV540" s="29"/>
      <c r="BW540" s="28"/>
      <c r="BX540" s="28"/>
      <c r="BY540" s="28"/>
      <c r="BZ540" s="28"/>
    </row>
    <row r="541" s="27" customFormat="1" spans="1:78">
      <c r="A541" s="28"/>
      <c r="B541" s="28"/>
      <c r="C541" s="29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30"/>
      <c r="AQ541" s="30"/>
      <c r="AR541" s="30"/>
      <c r="AS541" s="30"/>
      <c r="AT541" s="28"/>
      <c r="AU541" s="28"/>
      <c r="AV541" s="28"/>
      <c r="AW541" s="30"/>
      <c r="AX541" s="28"/>
      <c r="AY541" s="28"/>
      <c r="AZ541" s="28"/>
      <c r="BA541" s="28"/>
      <c r="BB541" s="28"/>
      <c r="BC541" s="28"/>
      <c r="BD541" s="28"/>
      <c r="BE541" s="28"/>
      <c r="BF541" s="28"/>
      <c r="BG541" s="30"/>
      <c r="BH541" s="28"/>
      <c r="BI541" s="28"/>
      <c r="BJ541" s="28"/>
      <c r="BK541" s="28"/>
      <c r="BL541" s="28"/>
      <c r="BM541" s="28"/>
      <c r="BN541" s="28"/>
      <c r="BO541" s="28"/>
      <c r="BP541" s="28"/>
      <c r="BQ541" s="28"/>
      <c r="BR541" s="29"/>
      <c r="BS541" s="29"/>
      <c r="BT541" s="29"/>
      <c r="BU541" s="29"/>
      <c r="BV541" s="29"/>
      <c r="BW541" s="29"/>
      <c r="BX541" s="28"/>
      <c r="BY541" s="28"/>
      <c r="BZ541" s="28"/>
    </row>
    <row r="542" s="27" customFormat="1" spans="1:78">
      <c r="A542" s="28"/>
      <c r="B542" s="28"/>
      <c r="C542" s="29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30"/>
      <c r="AQ542" s="30"/>
      <c r="AR542" s="30"/>
      <c r="AS542" s="30"/>
      <c r="AT542" s="28"/>
      <c r="AU542" s="29"/>
      <c r="AV542" s="30"/>
      <c r="AW542" s="30"/>
      <c r="AX542" s="28"/>
      <c r="AY542" s="28"/>
      <c r="AZ542" s="28"/>
      <c r="BA542" s="28"/>
      <c r="BB542" s="28"/>
      <c r="BC542" s="28"/>
      <c r="BD542" s="28"/>
      <c r="BE542" s="28"/>
      <c r="BF542" s="28"/>
      <c r="BG542" s="30"/>
      <c r="BH542" s="28"/>
      <c r="BI542" s="28"/>
      <c r="BJ542" s="28"/>
      <c r="BK542" s="28"/>
      <c r="BL542" s="28"/>
      <c r="BM542" s="28"/>
      <c r="BN542" s="28"/>
      <c r="BO542" s="28"/>
      <c r="BP542" s="28"/>
      <c r="BQ542" s="28"/>
      <c r="BR542" s="29"/>
      <c r="BS542" s="29"/>
      <c r="BT542" s="29"/>
      <c r="BU542" s="29"/>
      <c r="BV542" s="29"/>
      <c r="BW542" s="29"/>
      <c r="BX542" s="28"/>
      <c r="BY542" s="28"/>
      <c r="BZ542" s="28"/>
    </row>
    <row r="543" s="27" customFormat="1" spans="1:78">
      <c r="A543" s="28"/>
      <c r="B543" s="28"/>
      <c r="C543" s="29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30"/>
      <c r="AQ543" s="30"/>
      <c r="AR543" s="30"/>
      <c r="AS543" s="30"/>
      <c r="AT543" s="28"/>
      <c r="AU543" s="28"/>
      <c r="AV543" s="28"/>
      <c r="AW543" s="30"/>
      <c r="AX543" s="28"/>
      <c r="AY543" s="28"/>
      <c r="AZ543" s="28"/>
      <c r="BA543" s="28"/>
      <c r="BB543" s="28"/>
      <c r="BC543" s="28"/>
      <c r="BD543" s="28"/>
      <c r="BE543" s="28"/>
      <c r="BF543" s="28"/>
      <c r="BG543" s="30"/>
      <c r="BH543" s="28"/>
      <c r="BI543" s="28"/>
      <c r="BJ543" s="28"/>
      <c r="BK543" s="28"/>
      <c r="BL543" s="28"/>
      <c r="BM543" s="28"/>
      <c r="BN543" s="28"/>
      <c r="BO543" s="28"/>
      <c r="BP543" s="28"/>
      <c r="BQ543" s="28"/>
      <c r="BR543" s="29"/>
      <c r="BS543" s="29"/>
      <c r="BT543" s="29"/>
      <c r="BU543" s="29"/>
      <c r="BV543" s="29"/>
      <c r="BW543" s="28"/>
      <c r="BX543" s="28"/>
      <c r="BY543" s="28"/>
      <c r="BZ543" s="28"/>
    </row>
    <row r="544" s="27" customFormat="1" spans="1:78">
      <c r="A544" s="28"/>
      <c r="B544" s="28"/>
      <c r="C544" s="29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30"/>
      <c r="AQ544" s="30"/>
      <c r="AR544" s="30"/>
      <c r="AS544" s="30"/>
      <c r="AT544" s="28"/>
      <c r="AU544" s="28"/>
      <c r="AV544" s="28"/>
      <c r="AW544" s="30"/>
      <c r="AX544" s="28"/>
      <c r="AY544" s="28"/>
      <c r="AZ544" s="28"/>
      <c r="BA544" s="28"/>
      <c r="BB544" s="28"/>
      <c r="BC544" s="28"/>
      <c r="BD544" s="28"/>
      <c r="BE544" s="28"/>
      <c r="BF544" s="28"/>
      <c r="BG544" s="30"/>
      <c r="BH544" s="28"/>
      <c r="BI544" s="28"/>
      <c r="BJ544" s="28"/>
      <c r="BK544" s="28"/>
      <c r="BL544" s="28"/>
      <c r="BM544" s="28"/>
      <c r="BN544" s="28"/>
      <c r="BO544" s="28"/>
      <c r="BP544" s="28"/>
      <c r="BQ544" s="28"/>
      <c r="BR544" s="29"/>
      <c r="BS544" s="29"/>
      <c r="BT544" s="29"/>
      <c r="BU544" s="29"/>
      <c r="BV544" s="29"/>
      <c r="BW544" s="29"/>
      <c r="BX544" s="28"/>
      <c r="BY544" s="28"/>
      <c r="BZ544" s="28"/>
    </row>
    <row r="545" s="27" customFormat="1" spans="1:78">
      <c r="A545" s="28"/>
      <c r="B545" s="28"/>
      <c r="C545" s="29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30"/>
      <c r="AQ545" s="30"/>
      <c r="AR545" s="30"/>
      <c r="AS545" s="30"/>
      <c r="AT545" s="28"/>
      <c r="AU545" s="28"/>
      <c r="AV545" s="28"/>
      <c r="AW545" s="30"/>
      <c r="AX545" s="28"/>
      <c r="AY545" s="28"/>
      <c r="AZ545" s="28"/>
      <c r="BA545" s="28"/>
      <c r="BB545" s="28"/>
      <c r="BC545" s="28"/>
      <c r="BD545" s="28"/>
      <c r="BE545" s="28"/>
      <c r="BF545" s="28"/>
      <c r="BG545" s="30"/>
      <c r="BH545" s="28"/>
      <c r="BI545" s="28"/>
      <c r="BJ545" s="28"/>
      <c r="BK545" s="28"/>
      <c r="BL545" s="28"/>
      <c r="BM545" s="28"/>
      <c r="BN545" s="28"/>
      <c r="BO545" s="28"/>
      <c r="BP545" s="28"/>
      <c r="BQ545" s="28"/>
      <c r="BR545" s="29"/>
      <c r="BS545" s="29"/>
      <c r="BT545" s="29"/>
      <c r="BU545" s="29"/>
      <c r="BV545" s="29"/>
      <c r="BW545" s="29"/>
      <c r="BX545" s="28"/>
      <c r="BY545" s="28"/>
      <c r="BZ545" s="28"/>
    </row>
    <row r="546" s="27" customFormat="1" spans="1:78">
      <c r="A546" s="28"/>
      <c r="B546" s="28"/>
      <c r="C546" s="29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30"/>
      <c r="AQ546" s="30"/>
      <c r="AR546" s="30"/>
      <c r="AS546" s="30"/>
      <c r="AT546" s="28"/>
      <c r="AU546" s="28"/>
      <c r="AV546" s="28"/>
      <c r="AW546" s="30"/>
      <c r="AX546" s="28"/>
      <c r="AY546" s="28"/>
      <c r="AZ546" s="28"/>
      <c r="BA546" s="28"/>
      <c r="BB546" s="28"/>
      <c r="BC546" s="28"/>
      <c r="BD546" s="28"/>
      <c r="BE546" s="28"/>
      <c r="BF546" s="28"/>
      <c r="BG546" s="30"/>
      <c r="BH546" s="28"/>
      <c r="BI546" s="28"/>
      <c r="BJ546" s="28"/>
      <c r="BK546" s="28"/>
      <c r="BL546" s="28"/>
      <c r="BM546" s="28"/>
      <c r="BN546" s="28"/>
      <c r="BO546" s="28"/>
      <c r="BP546" s="28"/>
      <c r="BQ546" s="28"/>
      <c r="BR546" s="29"/>
      <c r="BS546" s="29"/>
      <c r="BT546" s="29"/>
      <c r="BU546" s="28"/>
      <c r="BV546" s="29"/>
      <c r="BW546" s="28"/>
      <c r="BX546" s="28"/>
      <c r="BY546" s="28"/>
      <c r="BZ546" s="28"/>
    </row>
    <row r="547" s="27" customFormat="1" spans="1:78">
      <c r="A547" s="28"/>
      <c r="B547" s="28"/>
      <c r="C547" s="29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30"/>
      <c r="AQ547" s="30"/>
      <c r="AR547" s="30"/>
      <c r="AS547" s="30"/>
      <c r="AT547" s="28"/>
      <c r="AU547" s="28"/>
      <c r="AV547" s="28"/>
      <c r="AW547" s="30"/>
      <c r="AX547" s="28"/>
      <c r="AY547" s="28"/>
      <c r="AZ547" s="28"/>
      <c r="BA547" s="28"/>
      <c r="BB547" s="28"/>
      <c r="BC547" s="28"/>
      <c r="BD547" s="28"/>
      <c r="BE547" s="28"/>
      <c r="BF547" s="28"/>
      <c r="BG547" s="30"/>
      <c r="BH547" s="28"/>
      <c r="BI547" s="28"/>
      <c r="BJ547" s="28"/>
      <c r="BK547" s="28"/>
      <c r="BL547" s="28"/>
      <c r="BM547" s="28"/>
      <c r="BN547" s="28"/>
      <c r="BO547" s="28"/>
      <c r="BP547" s="28"/>
      <c r="BQ547" s="28"/>
      <c r="BR547" s="29"/>
      <c r="BS547" s="29"/>
      <c r="BT547" s="29"/>
      <c r="BU547" s="29"/>
      <c r="BV547" s="29"/>
      <c r="BW547" s="29"/>
      <c r="BX547" s="28"/>
      <c r="BY547" s="28"/>
      <c r="BZ547" s="28"/>
    </row>
    <row r="548" s="27" customFormat="1" spans="1:78">
      <c r="A548" s="28"/>
      <c r="B548" s="28"/>
      <c r="C548" s="29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30"/>
      <c r="AQ548" s="30"/>
      <c r="AR548" s="30"/>
      <c r="AS548" s="30"/>
      <c r="AT548" s="28"/>
      <c r="AU548" s="28"/>
      <c r="AV548" s="28"/>
      <c r="AW548" s="30"/>
      <c r="AX548" s="28"/>
      <c r="AY548" s="28"/>
      <c r="AZ548" s="28"/>
      <c r="BA548" s="28"/>
      <c r="BB548" s="28"/>
      <c r="BC548" s="28"/>
      <c r="BD548" s="28"/>
      <c r="BE548" s="28"/>
      <c r="BF548" s="28"/>
      <c r="BG548" s="30"/>
      <c r="BH548" s="28"/>
      <c r="BI548" s="28"/>
      <c r="BJ548" s="28"/>
      <c r="BK548" s="28"/>
      <c r="BL548" s="28"/>
      <c r="BM548" s="28"/>
      <c r="BN548" s="28"/>
      <c r="BO548" s="28"/>
      <c r="BP548" s="28"/>
      <c r="BQ548" s="28"/>
      <c r="BR548" s="29"/>
      <c r="BS548" s="29"/>
      <c r="BT548" s="29"/>
      <c r="BU548" s="29"/>
      <c r="BV548" s="29"/>
      <c r="BW548" s="29"/>
      <c r="BX548" s="28"/>
      <c r="BY548" s="28"/>
      <c r="BZ548" s="28"/>
    </row>
    <row r="549" s="27" customFormat="1" spans="1:78">
      <c r="A549" s="28"/>
      <c r="B549" s="28"/>
      <c r="C549" s="29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30"/>
      <c r="AQ549" s="30"/>
      <c r="AR549" s="30"/>
      <c r="AS549" s="30"/>
      <c r="AT549" s="28"/>
      <c r="AU549" s="28"/>
      <c r="AV549" s="28"/>
      <c r="AW549" s="30"/>
      <c r="AX549" s="28"/>
      <c r="AY549" s="28"/>
      <c r="AZ549" s="28"/>
      <c r="BA549" s="28"/>
      <c r="BB549" s="28"/>
      <c r="BC549" s="28"/>
      <c r="BD549" s="28"/>
      <c r="BE549" s="28"/>
      <c r="BF549" s="28"/>
      <c r="BG549" s="30"/>
      <c r="BH549" s="28"/>
      <c r="BI549" s="28"/>
      <c r="BJ549" s="28"/>
      <c r="BK549" s="28"/>
      <c r="BL549" s="28"/>
      <c r="BM549" s="28"/>
      <c r="BN549" s="28"/>
      <c r="BO549" s="28"/>
      <c r="BP549" s="28"/>
      <c r="BQ549" s="28"/>
      <c r="BR549" s="29"/>
      <c r="BS549" s="29"/>
      <c r="BT549" s="29"/>
      <c r="BU549" s="29"/>
      <c r="BV549" s="29"/>
      <c r="BW549" s="28"/>
      <c r="BX549" s="28"/>
      <c r="BY549" s="28"/>
      <c r="BZ549" s="28"/>
    </row>
    <row r="550" s="27" customFormat="1" spans="1:78">
      <c r="A550" s="28"/>
      <c r="B550" s="28"/>
      <c r="C550" s="29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30"/>
      <c r="AQ550" s="30"/>
      <c r="AR550" s="30"/>
      <c r="AS550" s="30"/>
      <c r="AT550" s="28"/>
      <c r="AU550" s="28"/>
      <c r="AV550" s="28"/>
      <c r="AW550" s="30"/>
      <c r="AX550" s="28"/>
      <c r="AY550" s="28"/>
      <c r="AZ550" s="28"/>
      <c r="BA550" s="28"/>
      <c r="BB550" s="28"/>
      <c r="BC550" s="28"/>
      <c r="BD550" s="28"/>
      <c r="BE550" s="28"/>
      <c r="BF550" s="28"/>
      <c r="BG550" s="30"/>
      <c r="BH550" s="28"/>
      <c r="BI550" s="28"/>
      <c r="BJ550" s="28"/>
      <c r="BK550" s="28"/>
      <c r="BL550" s="28"/>
      <c r="BM550" s="28"/>
      <c r="BN550" s="28"/>
      <c r="BO550" s="28"/>
      <c r="BP550" s="28"/>
      <c r="BQ550" s="28"/>
      <c r="BR550" s="29"/>
      <c r="BS550" s="29"/>
      <c r="BT550" s="29"/>
      <c r="BU550" s="29"/>
      <c r="BV550" s="29"/>
      <c r="BW550" s="29"/>
      <c r="BX550" s="28"/>
      <c r="BY550" s="28"/>
      <c r="BZ550" s="28"/>
    </row>
    <row r="551" s="27" customFormat="1" spans="1:78">
      <c r="A551" s="28"/>
      <c r="B551" s="28"/>
      <c r="C551" s="29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30"/>
      <c r="AQ551" s="30"/>
      <c r="AR551" s="30"/>
      <c r="AS551" s="30"/>
      <c r="AT551" s="28"/>
      <c r="AU551" s="28"/>
      <c r="AV551" s="28"/>
      <c r="AW551" s="28"/>
      <c r="AX551" s="28"/>
      <c r="AY551" s="28"/>
      <c r="AZ551" s="28"/>
      <c r="BA551" s="28"/>
      <c r="BB551" s="28"/>
      <c r="BC551" s="28"/>
      <c r="BD551" s="28"/>
      <c r="BE551" s="28"/>
      <c r="BF551" s="28"/>
      <c r="BG551" s="30"/>
      <c r="BH551" s="28"/>
      <c r="BI551" s="28"/>
      <c r="BJ551" s="28"/>
      <c r="BK551" s="28"/>
      <c r="BL551" s="28"/>
      <c r="BM551" s="28"/>
      <c r="BN551" s="28"/>
      <c r="BO551" s="28"/>
      <c r="BP551" s="28"/>
      <c r="BQ551" s="28"/>
      <c r="BR551" s="28"/>
      <c r="BS551" s="28"/>
      <c r="BT551" s="28"/>
      <c r="BU551" s="28"/>
      <c r="BV551" s="29"/>
      <c r="BW551" s="28"/>
      <c r="BX551" s="28"/>
      <c r="BY551" s="28"/>
      <c r="BZ551" s="28"/>
    </row>
    <row r="552" s="27" customFormat="1" spans="1:78">
      <c r="A552" s="28"/>
      <c r="B552" s="28"/>
      <c r="C552" s="29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30"/>
      <c r="AQ552" s="30"/>
      <c r="AR552" s="30"/>
      <c r="AS552" s="30"/>
      <c r="AT552" s="28"/>
      <c r="AU552" s="28"/>
      <c r="AV552" s="28"/>
      <c r="AW552" s="30"/>
      <c r="AX552" s="28"/>
      <c r="AY552" s="28"/>
      <c r="AZ552" s="28"/>
      <c r="BA552" s="28"/>
      <c r="BB552" s="28"/>
      <c r="BC552" s="28"/>
      <c r="BD552" s="28"/>
      <c r="BE552" s="28"/>
      <c r="BF552" s="28"/>
      <c r="BG552" s="30"/>
      <c r="BH552" s="28"/>
      <c r="BI552" s="28"/>
      <c r="BJ552" s="28"/>
      <c r="BK552" s="28"/>
      <c r="BL552" s="28"/>
      <c r="BM552" s="28"/>
      <c r="BN552" s="28"/>
      <c r="BO552" s="28"/>
      <c r="BP552" s="28"/>
      <c r="BQ552" s="28"/>
      <c r="BR552" s="29"/>
      <c r="BS552" s="29"/>
      <c r="BT552" s="29"/>
      <c r="BU552" s="29"/>
      <c r="BV552" s="29"/>
      <c r="BW552" s="29"/>
      <c r="BX552" s="28"/>
      <c r="BY552" s="28"/>
      <c r="BZ552" s="28"/>
    </row>
    <row r="553" s="27" customFormat="1" spans="1:78">
      <c r="A553" s="28"/>
      <c r="B553" s="28"/>
      <c r="C553" s="29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30"/>
      <c r="AQ553" s="30"/>
      <c r="AR553" s="30"/>
      <c r="AS553" s="30"/>
      <c r="AT553" s="28"/>
      <c r="AU553" s="28"/>
      <c r="AV553" s="28"/>
      <c r="AW553" s="30"/>
      <c r="AX553" s="28"/>
      <c r="AY553" s="28"/>
      <c r="AZ553" s="28"/>
      <c r="BA553" s="28"/>
      <c r="BB553" s="28"/>
      <c r="BC553" s="28"/>
      <c r="BD553" s="28"/>
      <c r="BE553" s="28"/>
      <c r="BF553" s="28"/>
      <c r="BG553" s="30"/>
      <c r="BH553" s="28"/>
      <c r="BI553" s="28"/>
      <c r="BJ553" s="28"/>
      <c r="BK553" s="28"/>
      <c r="BL553" s="28"/>
      <c r="BM553" s="28"/>
      <c r="BN553" s="28"/>
      <c r="BO553" s="28"/>
      <c r="BP553" s="28"/>
      <c r="BQ553" s="28"/>
      <c r="BR553" s="29"/>
      <c r="BS553" s="29"/>
      <c r="BT553" s="29"/>
      <c r="BU553" s="29"/>
      <c r="BV553" s="29"/>
      <c r="BW553" s="28"/>
      <c r="BX553" s="28"/>
      <c r="BY553" s="28"/>
      <c r="BZ553" s="28"/>
    </row>
    <row r="554" s="27" customFormat="1" spans="1:78">
      <c r="A554" s="28"/>
      <c r="B554" s="28"/>
      <c r="C554" s="29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30"/>
      <c r="AQ554" s="30"/>
      <c r="AR554" s="30"/>
      <c r="AS554" s="30"/>
      <c r="AT554" s="28"/>
      <c r="AU554" s="28"/>
      <c r="AV554" s="28"/>
      <c r="AW554" s="30"/>
      <c r="AX554" s="28"/>
      <c r="AY554" s="28"/>
      <c r="AZ554" s="28"/>
      <c r="BA554" s="28"/>
      <c r="BB554" s="28"/>
      <c r="BC554" s="28"/>
      <c r="BD554" s="28"/>
      <c r="BE554" s="28"/>
      <c r="BF554" s="28"/>
      <c r="BG554" s="30"/>
      <c r="BH554" s="28"/>
      <c r="BI554" s="28"/>
      <c r="BJ554" s="28"/>
      <c r="BK554" s="28"/>
      <c r="BL554" s="28"/>
      <c r="BM554" s="28"/>
      <c r="BN554" s="28"/>
      <c r="BO554" s="28"/>
      <c r="BP554" s="28"/>
      <c r="BQ554" s="28"/>
      <c r="BR554" s="29"/>
      <c r="BS554" s="29"/>
      <c r="BT554" s="29"/>
      <c r="BU554" s="29"/>
      <c r="BV554" s="29"/>
      <c r="BW554" s="29"/>
      <c r="BX554" s="28"/>
      <c r="BY554" s="28"/>
      <c r="BZ554" s="28"/>
    </row>
    <row r="555" s="27" customFormat="1" spans="1:78">
      <c r="A555" s="28"/>
      <c r="B555" s="28"/>
      <c r="C555" s="29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30"/>
      <c r="AQ555" s="30"/>
      <c r="AR555" s="30"/>
      <c r="AS555" s="30"/>
      <c r="AT555" s="28"/>
      <c r="AU555" s="28"/>
      <c r="AV555" s="28"/>
      <c r="AW555" s="30"/>
      <c r="AX555" s="28"/>
      <c r="AY555" s="28"/>
      <c r="AZ555" s="28"/>
      <c r="BA555" s="28"/>
      <c r="BB555" s="28"/>
      <c r="BC555" s="28"/>
      <c r="BD555" s="28"/>
      <c r="BE555" s="28"/>
      <c r="BF555" s="28"/>
      <c r="BG555" s="30"/>
      <c r="BH555" s="28"/>
      <c r="BI555" s="28"/>
      <c r="BJ555" s="28"/>
      <c r="BK555" s="28"/>
      <c r="BL555" s="28"/>
      <c r="BM555" s="28"/>
      <c r="BN555" s="28"/>
      <c r="BO555" s="28"/>
      <c r="BP555" s="28"/>
      <c r="BQ555" s="28"/>
      <c r="BR555" s="29"/>
      <c r="BS555" s="29"/>
      <c r="BT555" s="29"/>
      <c r="BU555" s="29"/>
      <c r="BV555" s="29"/>
      <c r="BW555" s="28"/>
      <c r="BX555" s="28"/>
      <c r="BY555" s="28"/>
      <c r="BZ555" s="28"/>
    </row>
    <row r="556" s="27" customFormat="1" spans="1:78">
      <c r="A556" s="28"/>
      <c r="B556" s="28"/>
      <c r="C556" s="29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30"/>
      <c r="AQ556" s="30"/>
      <c r="AR556" s="30"/>
      <c r="AS556" s="30"/>
      <c r="AT556" s="28"/>
      <c r="AU556" s="28"/>
      <c r="AV556" s="28"/>
      <c r="AW556" s="30"/>
      <c r="AX556" s="28"/>
      <c r="AY556" s="28"/>
      <c r="AZ556" s="28"/>
      <c r="BA556" s="28"/>
      <c r="BB556" s="28"/>
      <c r="BC556" s="28"/>
      <c r="BD556" s="28"/>
      <c r="BE556" s="28"/>
      <c r="BF556" s="28"/>
      <c r="BG556" s="30"/>
      <c r="BH556" s="28"/>
      <c r="BI556" s="28"/>
      <c r="BJ556" s="28"/>
      <c r="BK556" s="28"/>
      <c r="BL556" s="28"/>
      <c r="BM556" s="28"/>
      <c r="BN556" s="28"/>
      <c r="BO556" s="28"/>
      <c r="BP556" s="28"/>
      <c r="BQ556" s="28"/>
      <c r="BR556" s="29"/>
      <c r="BS556" s="28"/>
      <c r="BT556" s="28"/>
      <c r="BU556" s="28"/>
      <c r="BV556" s="29"/>
      <c r="BW556" s="28"/>
      <c r="BX556" s="28"/>
      <c r="BY556" s="28"/>
      <c r="BZ556" s="28"/>
    </row>
    <row r="557" s="27" customFormat="1" spans="1:78">
      <c r="A557" s="28"/>
      <c r="B557" s="28"/>
      <c r="C557" s="29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30"/>
      <c r="AQ557" s="30"/>
      <c r="AR557" s="30"/>
      <c r="AS557" s="30"/>
      <c r="AT557" s="28"/>
      <c r="AU557" s="28"/>
      <c r="AV557" s="28"/>
      <c r="AW557" s="30"/>
      <c r="AX557" s="28"/>
      <c r="AY557" s="28"/>
      <c r="AZ557" s="28"/>
      <c r="BA557" s="28"/>
      <c r="BB557" s="28"/>
      <c r="BC557" s="28"/>
      <c r="BD557" s="28"/>
      <c r="BE557" s="28"/>
      <c r="BF557" s="28"/>
      <c r="BG557" s="30"/>
      <c r="BH557" s="28"/>
      <c r="BI557" s="28"/>
      <c r="BJ557" s="28"/>
      <c r="BK557" s="28"/>
      <c r="BL557" s="28"/>
      <c r="BM557" s="28"/>
      <c r="BN557" s="28"/>
      <c r="BO557" s="28"/>
      <c r="BP557" s="28"/>
      <c r="BQ557" s="28"/>
      <c r="BR557" s="29"/>
      <c r="BS557" s="29"/>
      <c r="BT557" s="29"/>
      <c r="BU557" s="29"/>
      <c r="BV557" s="29"/>
      <c r="BW557" s="29"/>
      <c r="BX557" s="28"/>
      <c r="BY557" s="28"/>
      <c r="BZ557" s="28"/>
    </row>
    <row r="558" s="27" customFormat="1" spans="1:78">
      <c r="A558" s="28"/>
      <c r="B558" s="28"/>
      <c r="C558" s="29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30"/>
      <c r="AQ558" s="30"/>
      <c r="AR558" s="30"/>
      <c r="AS558" s="30"/>
      <c r="AT558" s="28"/>
      <c r="AU558" s="28"/>
      <c r="AV558" s="28"/>
      <c r="AW558" s="30"/>
      <c r="AX558" s="28"/>
      <c r="AY558" s="28"/>
      <c r="AZ558" s="28"/>
      <c r="BA558" s="28"/>
      <c r="BB558" s="28"/>
      <c r="BC558" s="28"/>
      <c r="BD558" s="28"/>
      <c r="BE558" s="28"/>
      <c r="BF558" s="28"/>
      <c r="BG558" s="30"/>
      <c r="BH558" s="28"/>
      <c r="BI558" s="28"/>
      <c r="BJ558" s="28"/>
      <c r="BK558" s="28"/>
      <c r="BL558" s="28"/>
      <c r="BM558" s="28"/>
      <c r="BN558" s="28"/>
      <c r="BO558" s="28"/>
      <c r="BP558" s="28"/>
      <c r="BQ558" s="28"/>
      <c r="BR558" s="29"/>
      <c r="BS558" s="29"/>
      <c r="BT558" s="29"/>
      <c r="BU558" s="28"/>
      <c r="BV558" s="29"/>
      <c r="BW558" s="28"/>
      <c r="BX558" s="28"/>
      <c r="BY558" s="28"/>
      <c r="BZ558" s="28"/>
    </row>
    <row r="559" s="27" customFormat="1" spans="1:78">
      <c r="A559" s="28"/>
      <c r="B559" s="28"/>
      <c r="C559" s="29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30"/>
      <c r="AQ559" s="30"/>
      <c r="AR559" s="30"/>
      <c r="AS559" s="30"/>
      <c r="AT559" s="28"/>
      <c r="AU559" s="28"/>
      <c r="AV559" s="28"/>
      <c r="AW559" s="30"/>
      <c r="AX559" s="28"/>
      <c r="AY559" s="28"/>
      <c r="AZ559" s="28"/>
      <c r="BA559" s="28"/>
      <c r="BB559" s="28"/>
      <c r="BC559" s="28"/>
      <c r="BD559" s="28"/>
      <c r="BE559" s="28"/>
      <c r="BF559" s="28"/>
      <c r="BG559" s="30"/>
      <c r="BH559" s="28"/>
      <c r="BI559" s="28"/>
      <c r="BJ559" s="28"/>
      <c r="BK559" s="28"/>
      <c r="BL559" s="28"/>
      <c r="BM559" s="28"/>
      <c r="BN559" s="28"/>
      <c r="BO559" s="28"/>
      <c r="BP559" s="28"/>
      <c r="BQ559" s="28"/>
      <c r="BR559" s="29"/>
      <c r="BS559" s="29"/>
      <c r="BT559" s="29"/>
      <c r="BU559" s="29"/>
      <c r="BV559" s="29"/>
      <c r="BW559" s="29"/>
      <c r="BX559" s="28"/>
      <c r="BY559" s="28"/>
      <c r="BZ559" s="28"/>
    </row>
    <row r="560" s="27" customFormat="1" spans="1:78">
      <c r="A560" s="28"/>
      <c r="B560" s="28"/>
      <c r="C560" s="29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30"/>
      <c r="AQ560" s="30"/>
      <c r="AR560" s="30"/>
      <c r="AS560" s="30"/>
      <c r="AT560" s="28"/>
      <c r="AU560" s="28"/>
      <c r="AV560" s="28"/>
      <c r="AW560" s="30"/>
      <c r="AX560" s="28"/>
      <c r="AY560" s="28"/>
      <c r="AZ560" s="28"/>
      <c r="BA560" s="28"/>
      <c r="BB560" s="28"/>
      <c r="BC560" s="28"/>
      <c r="BD560" s="28"/>
      <c r="BE560" s="28"/>
      <c r="BF560" s="28"/>
      <c r="BG560" s="30"/>
      <c r="BH560" s="28"/>
      <c r="BI560" s="28"/>
      <c r="BJ560" s="28"/>
      <c r="BK560" s="28"/>
      <c r="BL560" s="28"/>
      <c r="BM560" s="28"/>
      <c r="BN560" s="28"/>
      <c r="BO560" s="28"/>
      <c r="BP560" s="28"/>
      <c r="BQ560" s="28"/>
      <c r="BR560" s="29"/>
      <c r="BS560" s="29"/>
      <c r="BT560" s="29"/>
      <c r="BU560" s="29"/>
      <c r="BV560" s="29"/>
      <c r="BW560" s="29"/>
      <c r="BX560" s="28"/>
      <c r="BY560" s="28"/>
      <c r="BZ560" s="28"/>
    </row>
    <row r="561" s="27" customFormat="1" spans="1:78">
      <c r="A561" s="28"/>
      <c r="B561" s="28"/>
      <c r="C561" s="29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30"/>
      <c r="AQ561" s="30"/>
      <c r="AR561" s="30"/>
      <c r="AS561" s="30"/>
      <c r="AT561" s="28"/>
      <c r="AU561" s="28"/>
      <c r="AV561" s="28"/>
      <c r="AW561" s="30"/>
      <c r="AX561" s="28"/>
      <c r="AY561" s="28"/>
      <c r="AZ561" s="28"/>
      <c r="BA561" s="28"/>
      <c r="BB561" s="28"/>
      <c r="BC561" s="28"/>
      <c r="BD561" s="28"/>
      <c r="BE561" s="28"/>
      <c r="BF561" s="28"/>
      <c r="BG561" s="30"/>
      <c r="BH561" s="28"/>
      <c r="BI561" s="28"/>
      <c r="BJ561" s="28"/>
      <c r="BK561" s="28"/>
      <c r="BL561" s="28"/>
      <c r="BM561" s="28"/>
      <c r="BN561" s="28"/>
      <c r="BO561" s="28"/>
      <c r="BP561" s="28"/>
      <c r="BQ561" s="28"/>
      <c r="BR561" s="29"/>
      <c r="BS561" s="29"/>
      <c r="BT561" s="29"/>
      <c r="BU561" s="29"/>
      <c r="BV561" s="29"/>
      <c r="BW561" s="29"/>
      <c r="BX561" s="28"/>
      <c r="BY561" s="28"/>
      <c r="BZ561" s="28"/>
    </row>
    <row r="562" s="27" customFormat="1" spans="1:78">
      <c r="A562" s="28"/>
      <c r="B562" s="28"/>
      <c r="C562" s="29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30"/>
      <c r="AQ562" s="30"/>
      <c r="AR562" s="30"/>
      <c r="AS562" s="30"/>
      <c r="AT562" s="28"/>
      <c r="AU562" s="28"/>
      <c r="AV562" s="28"/>
      <c r="AW562" s="30"/>
      <c r="AX562" s="28"/>
      <c r="AY562" s="28"/>
      <c r="AZ562" s="28"/>
      <c r="BA562" s="28"/>
      <c r="BB562" s="28"/>
      <c r="BC562" s="28"/>
      <c r="BD562" s="28"/>
      <c r="BE562" s="28"/>
      <c r="BF562" s="28"/>
      <c r="BG562" s="30"/>
      <c r="BH562" s="28"/>
      <c r="BI562" s="28"/>
      <c r="BJ562" s="28"/>
      <c r="BK562" s="28"/>
      <c r="BL562" s="28"/>
      <c r="BM562" s="28"/>
      <c r="BN562" s="28"/>
      <c r="BO562" s="28"/>
      <c r="BP562" s="28"/>
      <c r="BQ562" s="28"/>
      <c r="BR562" s="29"/>
      <c r="BS562" s="29"/>
      <c r="BT562" s="29"/>
      <c r="BU562" s="29"/>
      <c r="BV562" s="29"/>
      <c r="BW562" s="28"/>
      <c r="BX562" s="28"/>
      <c r="BY562" s="28"/>
      <c r="BZ562" s="28"/>
    </row>
    <row r="563" s="27" customFormat="1" spans="1:78">
      <c r="A563" s="28"/>
      <c r="B563" s="28"/>
      <c r="C563" s="29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30"/>
      <c r="AQ563" s="30"/>
      <c r="AR563" s="30"/>
      <c r="AS563" s="30"/>
      <c r="AT563" s="28"/>
      <c r="AU563" s="29"/>
      <c r="AV563" s="30"/>
      <c r="AW563" s="30"/>
      <c r="AX563" s="28"/>
      <c r="AY563" s="28"/>
      <c r="AZ563" s="28"/>
      <c r="BA563" s="28"/>
      <c r="BB563" s="28"/>
      <c r="BC563" s="28"/>
      <c r="BD563" s="28"/>
      <c r="BE563" s="28"/>
      <c r="BF563" s="28"/>
      <c r="BG563" s="30"/>
      <c r="BH563" s="28"/>
      <c r="BI563" s="28"/>
      <c r="BJ563" s="28"/>
      <c r="BK563" s="28"/>
      <c r="BL563" s="28"/>
      <c r="BM563" s="28"/>
      <c r="BN563" s="28"/>
      <c r="BO563" s="28"/>
      <c r="BP563" s="28"/>
      <c r="BQ563" s="28"/>
      <c r="BR563" s="29"/>
      <c r="BS563" s="29"/>
      <c r="BT563" s="29"/>
      <c r="BU563" s="29"/>
      <c r="BV563" s="29"/>
      <c r="BW563" s="29"/>
      <c r="BX563" s="28"/>
      <c r="BY563" s="28"/>
      <c r="BZ563" s="28"/>
    </row>
    <row r="564" s="27" customFormat="1" spans="1:78">
      <c r="A564" s="28"/>
      <c r="B564" s="28"/>
      <c r="C564" s="29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30"/>
      <c r="AQ564" s="30"/>
      <c r="AR564" s="30"/>
      <c r="AS564" s="30"/>
      <c r="AT564" s="28"/>
      <c r="AU564" s="28"/>
      <c r="AV564" s="28"/>
      <c r="AW564" s="30"/>
      <c r="AX564" s="28"/>
      <c r="AY564" s="28"/>
      <c r="AZ564" s="28"/>
      <c r="BA564" s="28"/>
      <c r="BB564" s="28"/>
      <c r="BC564" s="28"/>
      <c r="BD564" s="28"/>
      <c r="BE564" s="28"/>
      <c r="BF564" s="28"/>
      <c r="BG564" s="30"/>
      <c r="BH564" s="28"/>
      <c r="BI564" s="28"/>
      <c r="BJ564" s="28"/>
      <c r="BK564" s="28"/>
      <c r="BL564" s="28"/>
      <c r="BM564" s="28"/>
      <c r="BN564" s="28"/>
      <c r="BO564" s="28"/>
      <c r="BP564" s="28"/>
      <c r="BQ564" s="28"/>
      <c r="BR564" s="29"/>
      <c r="BS564" s="29"/>
      <c r="BT564" s="29"/>
      <c r="BU564" s="29"/>
      <c r="BV564" s="29"/>
      <c r="BW564" s="29"/>
      <c r="BX564" s="28"/>
      <c r="BY564" s="28"/>
      <c r="BZ564" s="28"/>
    </row>
    <row r="565" s="27" customFormat="1" spans="1:78">
      <c r="A565" s="28"/>
      <c r="B565" s="28"/>
      <c r="C565" s="29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30"/>
      <c r="AQ565" s="30"/>
      <c r="AR565" s="30"/>
      <c r="AS565" s="30"/>
      <c r="AT565" s="28"/>
      <c r="AU565" s="28"/>
      <c r="AV565" s="28"/>
      <c r="AW565" s="30"/>
      <c r="AX565" s="28"/>
      <c r="AY565" s="28"/>
      <c r="AZ565" s="28"/>
      <c r="BA565" s="28"/>
      <c r="BB565" s="28"/>
      <c r="BC565" s="28"/>
      <c r="BD565" s="28"/>
      <c r="BE565" s="28"/>
      <c r="BF565" s="28"/>
      <c r="BG565" s="30"/>
      <c r="BH565" s="28"/>
      <c r="BI565" s="28"/>
      <c r="BJ565" s="28"/>
      <c r="BK565" s="28"/>
      <c r="BL565" s="28"/>
      <c r="BM565" s="28"/>
      <c r="BN565" s="28"/>
      <c r="BO565" s="28"/>
      <c r="BP565" s="28"/>
      <c r="BQ565" s="28"/>
      <c r="BR565" s="29"/>
      <c r="BS565" s="29"/>
      <c r="BT565" s="29"/>
      <c r="BU565" s="29"/>
      <c r="BV565" s="29"/>
      <c r="BW565" s="29"/>
      <c r="BX565" s="28"/>
      <c r="BY565" s="28"/>
      <c r="BZ565" s="28"/>
    </row>
    <row r="566" s="27" customFormat="1" spans="1:78">
      <c r="A566" s="28"/>
      <c r="B566" s="28"/>
      <c r="C566" s="29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30"/>
      <c r="AQ566" s="30"/>
      <c r="AR566" s="30"/>
      <c r="AS566" s="30"/>
      <c r="AT566" s="28"/>
      <c r="AU566" s="28"/>
      <c r="AV566" s="28"/>
      <c r="AW566" s="30"/>
      <c r="AX566" s="28"/>
      <c r="AY566" s="28"/>
      <c r="AZ566" s="28"/>
      <c r="BA566" s="28"/>
      <c r="BB566" s="28"/>
      <c r="BC566" s="28"/>
      <c r="BD566" s="28"/>
      <c r="BE566" s="28"/>
      <c r="BF566" s="28"/>
      <c r="BG566" s="30"/>
      <c r="BH566" s="28"/>
      <c r="BI566" s="28"/>
      <c r="BJ566" s="28"/>
      <c r="BK566" s="28"/>
      <c r="BL566" s="28"/>
      <c r="BM566" s="28"/>
      <c r="BN566" s="28"/>
      <c r="BO566" s="28"/>
      <c r="BP566" s="28"/>
      <c r="BQ566" s="28"/>
      <c r="BR566" s="29"/>
      <c r="BS566" s="29"/>
      <c r="BT566" s="28"/>
      <c r="BU566" s="28"/>
      <c r="BV566" s="29"/>
      <c r="BW566" s="28"/>
      <c r="BX566" s="28"/>
      <c r="BY566" s="28"/>
      <c r="BZ566" s="28"/>
    </row>
    <row r="567" s="27" customFormat="1" spans="1:78">
      <c r="A567" s="28"/>
      <c r="B567" s="28"/>
      <c r="C567" s="29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30"/>
      <c r="AQ567" s="30"/>
      <c r="AR567" s="30"/>
      <c r="AS567" s="30"/>
      <c r="AT567" s="28"/>
      <c r="AU567" s="28"/>
      <c r="AV567" s="28"/>
      <c r="AW567" s="30"/>
      <c r="AX567" s="28"/>
      <c r="AY567" s="28"/>
      <c r="AZ567" s="28"/>
      <c r="BA567" s="28"/>
      <c r="BB567" s="28"/>
      <c r="BC567" s="28"/>
      <c r="BD567" s="28"/>
      <c r="BE567" s="28"/>
      <c r="BF567" s="28"/>
      <c r="BG567" s="30"/>
      <c r="BH567" s="28"/>
      <c r="BI567" s="28"/>
      <c r="BJ567" s="28"/>
      <c r="BK567" s="28"/>
      <c r="BL567" s="28"/>
      <c r="BM567" s="28"/>
      <c r="BN567" s="28"/>
      <c r="BO567" s="28"/>
      <c r="BP567" s="28"/>
      <c r="BQ567" s="28"/>
      <c r="BR567" s="29"/>
      <c r="BS567" s="29"/>
      <c r="BT567" s="29"/>
      <c r="BU567" s="28"/>
      <c r="BV567" s="29"/>
      <c r="BW567" s="28"/>
      <c r="BX567" s="28"/>
      <c r="BY567" s="28"/>
      <c r="BZ567" s="28"/>
    </row>
    <row r="568" s="27" customFormat="1" spans="1:78">
      <c r="A568" s="28"/>
      <c r="B568" s="28"/>
      <c r="C568" s="29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30"/>
      <c r="AQ568" s="30"/>
      <c r="AR568" s="30"/>
      <c r="AS568" s="30"/>
      <c r="AT568" s="28"/>
      <c r="AU568" s="28"/>
      <c r="AV568" s="28"/>
      <c r="AW568" s="30"/>
      <c r="AX568" s="28"/>
      <c r="AY568" s="28"/>
      <c r="AZ568" s="28"/>
      <c r="BA568" s="28"/>
      <c r="BB568" s="28"/>
      <c r="BC568" s="28"/>
      <c r="BD568" s="28"/>
      <c r="BE568" s="28"/>
      <c r="BF568" s="28"/>
      <c r="BG568" s="30"/>
      <c r="BH568" s="28"/>
      <c r="BI568" s="28"/>
      <c r="BJ568" s="28"/>
      <c r="BK568" s="28"/>
      <c r="BL568" s="28"/>
      <c r="BM568" s="28"/>
      <c r="BN568" s="28"/>
      <c r="BO568" s="28"/>
      <c r="BP568" s="28"/>
      <c r="BQ568" s="28"/>
      <c r="BR568" s="29"/>
      <c r="BS568" s="29"/>
      <c r="BT568" s="28"/>
      <c r="BU568" s="28"/>
      <c r="BV568" s="29"/>
      <c r="BW568" s="28"/>
      <c r="BX568" s="28"/>
      <c r="BY568" s="28"/>
      <c r="BZ568" s="28"/>
    </row>
    <row r="569" s="27" customFormat="1" spans="1:78">
      <c r="A569" s="28"/>
      <c r="B569" s="28"/>
      <c r="C569" s="29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30"/>
      <c r="AQ569" s="30"/>
      <c r="AR569" s="30"/>
      <c r="AS569" s="30"/>
      <c r="AT569" s="28"/>
      <c r="AU569" s="28"/>
      <c r="AV569" s="28"/>
      <c r="AW569" s="30"/>
      <c r="AX569" s="28"/>
      <c r="AY569" s="28"/>
      <c r="AZ569" s="28"/>
      <c r="BA569" s="28"/>
      <c r="BB569" s="28"/>
      <c r="BC569" s="28"/>
      <c r="BD569" s="28"/>
      <c r="BE569" s="28"/>
      <c r="BF569" s="28"/>
      <c r="BG569" s="30"/>
      <c r="BH569" s="28"/>
      <c r="BI569" s="28"/>
      <c r="BJ569" s="28"/>
      <c r="BK569" s="28"/>
      <c r="BL569" s="28"/>
      <c r="BM569" s="28"/>
      <c r="BN569" s="28"/>
      <c r="BO569" s="28"/>
      <c r="BP569" s="28"/>
      <c r="BQ569" s="28"/>
      <c r="BR569" s="29"/>
      <c r="BS569" s="29"/>
      <c r="BT569" s="29"/>
      <c r="BU569" s="28"/>
      <c r="BV569" s="29"/>
      <c r="BW569" s="28"/>
      <c r="BX569" s="28"/>
      <c r="BY569" s="28"/>
      <c r="BZ569" s="28"/>
    </row>
    <row r="570" s="27" customFormat="1" spans="1:78">
      <c r="A570" s="28"/>
      <c r="B570" s="28"/>
      <c r="C570" s="29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30"/>
      <c r="AQ570" s="30"/>
      <c r="AR570" s="30"/>
      <c r="AS570" s="30"/>
      <c r="AT570" s="28"/>
      <c r="AU570" s="28"/>
      <c r="AV570" s="28"/>
      <c r="AW570" s="30"/>
      <c r="AX570" s="28"/>
      <c r="AY570" s="28"/>
      <c r="AZ570" s="28"/>
      <c r="BA570" s="28"/>
      <c r="BB570" s="28"/>
      <c r="BC570" s="28"/>
      <c r="BD570" s="28"/>
      <c r="BE570" s="28"/>
      <c r="BF570" s="28"/>
      <c r="BG570" s="30"/>
      <c r="BH570" s="28"/>
      <c r="BI570" s="28"/>
      <c r="BJ570" s="28"/>
      <c r="BK570" s="28"/>
      <c r="BL570" s="28"/>
      <c r="BM570" s="28"/>
      <c r="BN570" s="28"/>
      <c r="BO570" s="28"/>
      <c r="BP570" s="28"/>
      <c r="BQ570" s="28"/>
      <c r="BR570" s="29"/>
      <c r="BS570" s="29"/>
      <c r="BT570" s="29"/>
      <c r="BU570" s="29"/>
      <c r="BV570" s="29"/>
      <c r="BW570" s="28"/>
      <c r="BX570" s="28"/>
      <c r="BY570" s="28"/>
      <c r="BZ570" s="28"/>
    </row>
    <row r="571" s="27" customFormat="1" spans="1:78">
      <c r="A571" s="28"/>
      <c r="B571" s="28"/>
      <c r="C571" s="29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30"/>
      <c r="AQ571" s="30"/>
      <c r="AR571" s="30"/>
      <c r="AS571" s="30"/>
      <c r="AT571" s="28"/>
      <c r="AU571" s="28"/>
      <c r="AV571" s="28"/>
      <c r="AW571" s="30"/>
      <c r="AX571" s="28"/>
      <c r="AY571" s="28"/>
      <c r="AZ571" s="28"/>
      <c r="BA571" s="28"/>
      <c r="BB571" s="28"/>
      <c r="BC571" s="28"/>
      <c r="BD571" s="28"/>
      <c r="BE571" s="28"/>
      <c r="BF571" s="28"/>
      <c r="BG571" s="30"/>
      <c r="BH571" s="28"/>
      <c r="BI571" s="28"/>
      <c r="BJ571" s="28"/>
      <c r="BK571" s="28"/>
      <c r="BL571" s="28"/>
      <c r="BM571" s="28"/>
      <c r="BN571" s="28"/>
      <c r="BO571" s="28"/>
      <c r="BP571" s="28"/>
      <c r="BQ571" s="28"/>
      <c r="BR571" s="29"/>
      <c r="BS571" s="29"/>
      <c r="BT571" s="29"/>
      <c r="BU571" s="28"/>
      <c r="BV571" s="29"/>
      <c r="BW571" s="28"/>
      <c r="BX571" s="28"/>
      <c r="BY571" s="28"/>
      <c r="BZ571" s="28"/>
    </row>
    <row r="572" s="27" customFormat="1" spans="1:78">
      <c r="A572" s="28"/>
      <c r="B572" s="28"/>
      <c r="C572" s="29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30"/>
      <c r="AQ572" s="30"/>
      <c r="AR572" s="30"/>
      <c r="AS572" s="30"/>
      <c r="AT572" s="28"/>
      <c r="AU572" s="28"/>
      <c r="AV572" s="28"/>
      <c r="AW572" s="30"/>
      <c r="AX572" s="28"/>
      <c r="AY572" s="28"/>
      <c r="AZ572" s="28"/>
      <c r="BA572" s="28"/>
      <c r="BB572" s="28"/>
      <c r="BC572" s="28"/>
      <c r="BD572" s="28"/>
      <c r="BE572" s="28"/>
      <c r="BF572" s="28"/>
      <c r="BG572" s="30"/>
      <c r="BH572" s="28"/>
      <c r="BI572" s="28"/>
      <c r="BJ572" s="28"/>
      <c r="BK572" s="28"/>
      <c r="BL572" s="28"/>
      <c r="BM572" s="28"/>
      <c r="BN572" s="28"/>
      <c r="BO572" s="28"/>
      <c r="BP572" s="28"/>
      <c r="BQ572" s="28"/>
      <c r="BR572" s="29"/>
      <c r="BS572" s="29"/>
      <c r="BT572" s="29"/>
      <c r="BU572" s="29"/>
      <c r="BV572" s="29"/>
      <c r="BW572" s="29"/>
      <c r="BX572" s="28"/>
      <c r="BY572" s="28"/>
      <c r="BZ572" s="28"/>
    </row>
    <row r="573" s="27" customFormat="1" spans="1:78">
      <c r="A573" s="28"/>
      <c r="B573" s="28"/>
      <c r="C573" s="29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30"/>
      <c r="AQ573" s="30"/>
      <c r="AR573" s="30"/>
      <c r="AS573" s="30"/>
      <c r="AT573" s="28"/>
      <c r="AU573" s="28"/>
      <c r="AV573" s="28"/>
      <c r="AW573" s="30"/>
      <c r="AX573" s="28"/>
      <c r="AY573" s="28"/>
      <c r="AZ573" s="28"/>
      <c r="BA573" s="28"/>
      <c r="BB573" s="28"/>
      <c r="BC573" s="28"/>
      <c r="BD573" s="28"/>
      <c r="BE573" s="28"/>
      <c r="BF573" s="28"/>
      <c r="BG573" s="30"/>
      <c r="BH573" s="28"/>
      <c r="BI573" s="28"/>
      <c r="BJ573" s="28"/>
      <c r="BK573" s="28"/>
      <c r="BL573" s="28"/>
      <c r="BM573" s="28"/>
      <c r="BN573" s="28"/>
      <c r="BO573" s="28"/>
      <c r="BP573" s="28"/>
      <c r="BQ573" s="28"/>
      <c r="BR573" s="29"/>
      <c r="BS573" s="29"/>
      <c r="BT573" s="29"/>
      <c r="BU573" s="29"/>
      <c r="BV573" s="29"/>
      <c r="BW573" s="29"/>
      <c r="BX573" s="28"/>
      <c r="BY573" s="28"/>
      <c r="BZ573" s="28"/>
    </row>
    <row r="574" s="27" customFormat="1" spans="1:78">
      <c r="A574" s="28"/>
      <c r="B574" s="28"/>
      <c r="C574" s="29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30"/>
      <c r="AQ574" s="30"/>
      <c r="AR574" s="30"/>
      <c r="AS574" s="30"/>
      <c r="AT574" s="28"/>
      <c r="AU574" s="28"/>
      <c r="AV574" s="28"/>
      <c r="AW574" s="30"/>
      <c r="AX574" s="28"/>
      <c r="AY574" s="28"/>
      <c r="AZ574" s="28"/>
      <c r="BA574" s="28"/>
      <c r="BB574" s="28"/>
      <c r="BC574" s="28"/>
      <c r="BD574" s="28"/>
      <c r="BE574" s="28"/>
      <c r="BF574" s="28"/>
      <c r="BG574" s="30"/>
      <c r="BH574" s="28"/>
      <c r="BI574" s="28"/>
      <c r="BJ574" s="28"/>
      <c r="BK574" s="28"/>
      <c r="BL574" s="28"/>
      <c r="BM574" s="28"/>
      <c r="BN574" s="28"/>
      <c r="BO574" s="28"/>
      <c r="BP574" s="28"/>
      <c r="BQ574" s="28"/>
      <c r="BR574" s="29"/>
      <c r="BS574" s="29"/>
      <c r="BT574" s="29"/>
      <c r="BU574" s="29"/>
      <c r="BV574" s="29"/>
      <c r="BW574" s="29"/>
      <c r="BX574" s="28"/>
      <c r="BY574" s="28"/>
      <c r="BZ574" s="28"/>
    </row>
    <row r="575" s="27" customFormat="1" spans="1:78">
      <c r="A575" s="28"/>
      <c r="B575" s="28"/>
      <c r="C575" s="29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30"/>
      <c r="AQ575" s="30"/>
      <c r="AR575" s="30"/>
      <c r="AS575" s="30"/>
      <c r="AT575" s="28"/>
      <c r="AU575" s="28"/>
      <c r="AV575" s="28"/>
      <c r="AW575" s="30"/>
      <c r="AX575" s="28"/>
      <c r="AY575" s="28"/>
      <c r="AZ575" s="28"/>
      <c r="BA575" s="28"/>
      <c r="BB575" s="28"/>
      <c r="BC575" s="28"/>
      <c r="BD575" s="28"/>
      <c r="BE575" s="28"/>
      <c r="BF575" s="28"/>
      <c r="BG575" s="30"/>
      <c r="BH575" s="28"/>
      <c r="BI575" s="28"/>
      <c r="BJ575" s="28"/>
      <c r="BK575" s="28"/>
      <c r="BL575" s="28"/>
      <c r="BM575" s="28"/>
      <c r="BN575" s="28"/>
      <c r="BO575" s="28"/>
      <c r="BP575" s="28"/>
      <c r="BQ575" s="28"/>
      <c r="BR575" s="29"/>
      <c r="BS575" s="29"/>
      <c r="BT575" s="29"/>
      <c r="BU575" s="29"/>
      <c r="BV575" s="29"/>
      <c r="BW575" s="29"/>
      <c r="BX575" s="28"/>
      <c r="BY575" s="28"/>
      <c r="BZ575" s="28"/>
    </row>
    <row r="576" s="27" customFormat="1" spans="1:78">
      <c r="A576" s="28"/>
      <c r="B576" s="28"/>
      <c r="C576" s="29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30"/>
      <c r="AQ576" s="30"/>
      <c r="AR576" s="30"/>
      <c r="AS576" s="30"/>
      <c r="AT576" s="28"/>
      <c r="AU576" s="28"/>
      <c r="AV576" s="28"/>
      <c r="AW576" s="30"/>
      <c r="AX576" s="28"/>
      <c r="AY576" s="28"/>
      <c r="AZ576" s="28"/>
      <c r="BA576" s="28"/>
      <c r="BB576" s="28"/>
      <c r="BC576" s="28"/>
      <c r="BD576" s="28"/>
      <c r="BE576" s="28"/>
      <c r="BF576" s="28"/>
      <c r="BG576" s="30"/>
      <c r="BH576" s="28"/>
      <c r="BI576" s="28"/>
      <c r="BJ576" s="28"/>
      <c r="BK576" s="28"/>
      <c r="BL576" s="28"/>
      <c r="BM576" s="28"/>
      <c r="BN576" s="28"/>
      <c r="BO576" s="28"/>
      <c r="BP576" s="28"/>
      <c r="BQ576" s="28"/>
      <c r="BR576" s="29"/>
      <c r="BS576" s="29"/>
      <c r="BT576" s="29"/>
      <c r="BU576" s="28"/>
      <c r="BV576" s="29"/>
      <c r="BW576" s="28"/>
      <c r="BX576" s="28"/>
      <c r="BY576" s="28"/>
      <c r="BZ576" s="28"/>
    </row>
    <row r="577" s="27" customFormat="1" spans="1:78">
      <c r="A577" s="28"/>
      <c r="B577" s="28"/>
      <c r="C577" s="29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30"/>
      <c r="AQ577" s="30"/>
      <c r="AR577" s="30"/>
      <c r="AS577" s="30"/>
      <c r="AT577" s="28"/>
      <c r="AU577" s="28"/>
      <c r="AV577" s="28"/>
      <c r="AW577" s="30"/>
      <c r="AX577" s="28"/>
      <c r="AY577" s="28"/>
      <c r="AZ577" s="28"/>
      <c r="BA577" s="28"/>
      <c r="BB577" s="28"/>
      <c r="BC577" s="28"/>
      <c r="BD577" s="28"/>
      <c r="BE577" s="28"/>
      <c r="BF577" s="28"/>
      <c r="BG577" s="30"/>
      <c r="BH577" s="28"/>
      <c r="BI577" s="28"/>
      <c r="BJ577" s="28"/>
      <c r="BK577" s="28"/>
      <c r="BL577" s="28"/>
      <c r="BM577" s="28"/>
      <c r="BN577" s="28"/>
      <c r="BO577" s="28"/>
      <c r="BP577" s="28"/>
      <c r="BQ577" s="28"/>
      <c r="BR577" s="29"/>
      <c r="BS577" s="29"/>
      <c r="BT577" s="29"/>
      <c r="BU577" s="29"/>
      <c r="BV577" s="29"/>
      <c r="BW577" s="29"/>
      <c r="BX577" s="28"/>
      <c r="BY577" s="28"/>
      <c r="BZ577" s="28"/>
    </row>
    <row r="578" s="27" customFormat="1" spans="1:78">
      <c r="A578" s="28"/>
      <c r="B578" s="28"/>
      <c r="C578" s="29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30"/>
      <c r="AQ578" s="30"/>
      <c r="AR578" s="30"/>
      <c r="AS578" s="30"/>
      <c r="AT578" s="28"/>
      <c r="AU578" s="29"/>
      <c r="AV578" s="30"/>
      <c r="AW578" s="30"/>
      <c r="AX578" s="28"/>
      <c r="AY578" s="28"/>
      <c r="AZ578" s="28"/>
      <c r="BA578" s="28"/>
      <c r="BB578" s="28"/>
      <c r="BC578" s="28"/>
      <c r="BD578" s="28"/>
      <c r="BE578" s="28"/>
      <c r="BF578" s="28"/>
      <c r="BG578" s="30"/>
      <c r="BH578" s="28"/>
      <c r="BI578" s="28"/>
      <c r="BJ578" s="28"/>
      <c r="BK578" s="28"/>
      <c r="BL578" s="28"/>
      <c r="BM578" s="28"/>
      <c r="BN578" s="28"/>
      <c r="BO578" s="28"/>
      <c r="BP578" s="28"/>
      <c r="BQ578" s="28"/>
      <c r="BR578" s="29"/>
      <c r="BS578" s="29"/>
      <c r="BT578" s="29"/>
      <c r="BU578" s="29"/>
      <c r="BV578" s="29"/>
      <c r="BW578" s="29"/>
      <c r="BX578" s="28"/>
      <c r="BY578" s="28"/>
      <c r="BZ578" s="28"/>
    </row>
    <row r="579" s="27" customFormat="1" spans="1:78">
      <c r="A579" s="28"/>
      <c r="B579" s="28"/>
      <c r="C579" s="29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30"/>
      <c r="AQ579" s="30"/>
      <c r="AR579" s="30"/>
      <c r="AS579" s="30"/>
      <c r="AT579" s="28"/>
      <c r="AU579" s="28"/>
      <c r="AV579" s="28"/>
      <c r="AW579" s="30"/>
      <c r="AX579" s="28"/>
      <c r="AY579" s="28"/>
      <c r="AZ579" s="28"/>
      <c r="BA579" s="28"/>
      <c r="BB579" s="28"/>
      <c r="BC579" s="28"/>
      <c r="BD579" s="28"/>
      <c r="BE579" s="28"/>
      <c r="BF579" s="28"/>
      <c r="BG579" s="30"/>
      <c r="BH579" s="28"/>
      <c r="BI579" s="28"/>
      <c r="BJ579" s="28"/>
      <c r="BK579" s="28"/>
      <c r="BL579" s="28"/>
      <c r="BM579" s="28"/>
      <c r="BN579" s="28"/>
      <c r="BO579" s="28"/>
      <c r="BP579" s="28"/>
      <c r="BQ579" s="28"/>
      <c r="BR579" s="29"/>
      <c r="BS579" s="29"/>
      <c r="BT579" s="29"/>
      <c r="BU579" s="28"/>
      <c r="BV579" s="29"/>
      <c r="BW579" s="28"/>
      <c r="BX579" s="28"/>
      <c r="BY579" s="28"/>
      <c r="BZ579" s="28"/>
    </row>
    <row r="580" s="27" customFormat="1" spans="1:78">
      <c r="A580" s="28"/>
      <c r="B580" s="28"/>
      <c r="C580" s="29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30"/>
      <c r="AQ580" s="30"/>
      <c r="AR580" s="30"/>
      <c r="AS580" s="30"/>
      <c r="AT580" s="28"/>
      <c r="AU580" s="28"/>
      <c r="AV580" s="28"/>
      <c r="AW580" s="30"/>
      <c r="AX580" s="28"/>
      <c r="AY580" s="28"/>
      <c r="AZ580" s="28"/>
      <c r="BA580" s="28"/>
      <c r="BB580" s="28"/>
      <c r="BC580" s="28"/>
      <c r="BD580" s="28"/>
      <c r="BE580" s="28"/>
      <c r="BF580" s="28"/>
      <c r="BG580" s="30"/>
      <c r="BH580" s="28"/>
      <c r="BI580" s="28"/>
      <c r="BJ580" s="28"/>
      <c r="BK580" s="28"/>
      <c r="BL580" s="28"/>
      <c r="BM580" s="28"/>
      <c r="BN580" s="28"/>
      <c r="BO580" s="28"/>
      <c r="BP580" s="28"/>
      <c r="BQ580" s="28"/>
      <c r="BR580" s="29"/>
      <c r="BS580" s="29"/>
      <c r="BT580" s="29"/>
      <c r="BU580" s="29"/>
      <c r="BV580" s="29"/>
      <c r="BW580" s="28"/>
      <c r="BX580" s="28"/>
      <c r="BY580" s="28"/>
      <c r="BZ580" s="28"/>
    </row>
    <row r="581" s="27" customFormat="1" spans="1:78">
      <c r="A581" s="28"/>
      <c r="B581" s="28"/>
      <c r="C581" s="29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30"/>
      <c r="AQ581" s="30"/>
      <c r="AR581" s="30"/>
      <c r="AS581" s="30"/>
      <c r="AT581" s="28"/>
      <c r="AU581" s="28"/>
      <c r="AV581" s="28"/>
      <c r="AW581" s="30"/>
      <c r="AX581" s="28"/>
      <c r="AY581" s="28"/>
      <c r="AZ581" s="28"/>
      <c r="BA581" s="28"/>
      <c r="BB581" s="28"/>
      <c r="BC581" s="28"/>
      <c r="BD581" s="28"/>
      <c r="BE581" s="28"/>
      <c r="BF581" s="28"/>
      <c r="BG581" s="30"/>
      <c r="BH581" s="28"/>
      <c r="BI581" s="28"/>
      <c r="BJ581" s="28"/>
      <c r="BK581" s="28"/>
      <c r="BL581" s="28"/>
      <c r="BM581" s="28"/>
      <c r="BN581" s="28"/>
      <c r="BO581" s="28"/>
      <c r="BP581" s="28"/>
      <c r="BQ581" s="28"/>
      <c r="BR581" s="29"/>
      <c r="BS581" s="29"/>
      <c r="BT581" s="29"/>
      <c r="BU581" s="29"/>
      <c r="BV581" s="29"/>
      <c r="BW581" s="28"/>
      <c r="BX581" s="28"/>
      <c r="BY581" s="28"/>
      <c r="BZ581" s="28"/>
    </row>
    <row r="582" s="27" customFormat="1" spans="1:78">
      <c r="A582" s="28"/>
      <c r="B582" s="28"/>
      <c r="C582" s="29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30"/>
      <c r="AQ582" s="30"/>
      <c r="AR582" s="30"/>
      <c r="AS582" s="30"/>
      <c r="AT582" s="28"/>
      <c r="AU582" s="28"/>
      <c r="AV582" s="28"/>
      <c r="AW582" s="30"/>
      <c r="AX582" s="28"/>
      <c r="AY582" s="28"/>
      <c r="AZ582" s="28"/>
      <c r="BA582" s="28"/>
      <c r="BB582" s="28"/>
      <c r="BC582" s="28"/>
      <c r="BD582" s="28"/>
      <c r="BE582" s="28"/>
      <c r="BF582" s="28"/>
      <c r="BG582" s="30"/>
      <c r="BH582" s="28"/>
      <c r="BI582" s="28"/>
      <c r="BJ582" s="28"/>
      <c r="BK582" s="28"/>
      <c r="BL582" s="28"/>
      <c r="BM582" s="28"/>
      <c r="BN582" s="28"/>
      <c r="BO582" s="28"/>
      <c r="BP582" s="28"/>
      <c r="BQ582" s="28"/>
      <c r="BR582" s="29"/>
      <c r="BS582" s="29"/>
      <c r="BT582" s="29"/>
      <c r="BU582" s="29"/>
      <c r="BV582" s="29"/>
      <c r="BW582" s="29"/>
      <c r="BX582" s="28"/>
      <c r="BY582" s="28"/>
      <c r="BZ582" s="28"/>
    </row>
    <row r="583" s="27" customFormat="1" spans="1:78">
      <c r="A583" s="28"/>
      <c r="B583" s="28"/>
      <c r="C583" s="29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30"/>
      <c r="AQ583" s="30"/>
      <c r="AR583" s="30"/>
      <c r="AS583" s="30"/>
      <c r="AT583" s="28"/>
      <c r="AU583" s="28"/>
      <c r="AV583" s="28"/>
      <c r="AW583" s="30"/>
      <c r="AX583" s="28"/>
      <c r="AY583" s="28"/>
      <c r="AZ583" s="28"/>
      <c r="BA583" s="28"/>
      <c r="BB583" s="28"/>
      <c r="BC583" s="28"/>
      <c r="BD583" s="28"/>
      <c r="BE583" s="28"/>
      <c r="BF583" s="28"/>
      <c r="BG583" s="30"/>
      <c r="BH583" s="28"/>
      <c r="BI583" s="28"/>
      <c r="BJ583" s="28"/>
      <c r="BK583" s="28"/>
      <c r="BL583" s="28"/>
      <c r="BM583" s="28"/>
      <c r="BN583" s="28"/>
      <c r="BO583" s="28"/>
      <c r="BP583" s="28"/>
      <c r="BQ583" s="28"/>
      <c r="BR583" s="29"/>
      <c r="BS583" s="29"/>
      <c r="BT583" s="29"/>
      <c r="BU583" s="29"/>
      <c r="BV583" s="29"/>
      <c r="BW583" s="29"/>
      <c r="BX583" s="28"/>
      <c r="BY583" s="28"/>
      <c r="BZ583" s="28"/>
    </row>
    <row r="584" s="27" customFormat="1" spans="1:78">
      <c r="A584" s="28"/>
      <c r="B584" s="28"/>
      <c r="C584" s="29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30"/>
      <c r="AQ584" s="30"/>
      <c r="AR584" s="30"/>
      <c r="AS584" s="30"/>
      <c r="AT584" s="28"/>
      <c r="AU584" s="28"/>
      <c r="AV584" s="28"/>
      <c r="AW584" s="30"/>
      <c r="AX584" s="28"/>
      <c r="AY584" s="28"/>
      <c r="AZ584" s="28"/>
      <c r="BA584" s="28"/>
      <c r="BB584" s="28"/>
      <c r="BC584" s="28"/>
      <c r="BD584" s="28"/>
      <c r="BE584" s="28"/>
      <c r="BF584" s="28"/>
      <c r="BG584" s="30"/>
      <c r="BH584" s="28"/>
      <c r="BI584" s="28"/>
      <c r="BJ584" s="28"/>
      <c r="BK584" s="28"/>
      <c r="BL584" s="28"/>
      <c r="BM584" s="28"/>
      <c r="BN584" s="28"/>
      <c r="BO584" s="28"/>
      <c r="BP584" s="28"/>
      <c r="BQ584" s="28"/>
      <c r="BR584" s="29"/>
      <c r="BS584" s="29"/>
      <c r="BT584" s="29"/>
      <c r="BU584" s="29"/>
      <c r="BV584" s="29"/>
      <c r="BW584" s="29"/>
      <c r="BX584" s="28"/>
      <c r="BY584" s="28"/>
      <c r="BZ584" s="28"/>
    </row>
    <row r="585" s="27" customFormat="1" spans="1:78">
      <c r="A585" s="28"/>
      <c r="B585" s="28"/>
      <c r="C585" s="29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30"/>
      <c r="AQ585" s="30"/>
      <c r="AR585" s="30"/>
      <c r="AS585" s="30"/>
      <c r="AT585" s="28"/>
      <c r="AU585" s="28"/>
      <c r="AV585" s="28"/>
      <c r="AW585" s="30"/>
      <c r="AX585" s="28"/>
      <c r="AY585" s="28"/>
      <c r="AZ585" s="28"/>
      <c r="BA585" s="28"/>
      <c r="BB585" s="28"/>
      <c r="BC585" s="28"/>
      <c r="BD585" s="28"/>
      <c r="BE585" s="28"/>
      <c r="BF585" s="28"/>
      <c r="BG585" s="30"/>
      <c r="BH585" s="28"/>
      <c r="BI585" s="28"/>
      <c r="BJ585" s="28"/>
      <c r="BK585" s="28"/>
      <c r="BL585" s="28"/>
      <c r="BM585" s="28"/>
      <c r="BN585" s="28"/>
      <c r="BO585" s="28"/>
      <c r="BP585" s="28"/>
      <c r="BQ585" s="28"/>
      <c r="BR585" s="29"/>
      <c r="BS585" s="29"/>
      <c r="BT585" s="29"/>
      <c r="BU585" s="28"/>
      <c r="BV585" s="29"/>
      <c r="BW585" s="28"/>
      <c r="BX585" s="28"/>
      <c r="BY585" s="28"/>
      <c r="BZ585" s="28"/>
    </row>
    <row r="586" s="27" customFormat="1" spans="1:78">
      <c r="A586" s="28"/>
      <c r="B586" s="28"/>
      <c r="C586" s="29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30"/>
      <c r="AQ586" s="30"/>
      <c r="AR586" s="30"/>
      <c r="AS586" s="30"/>
      <c r="AT586" s="28"/>
      <c r="AU586" s="28"/>
      <c r="AV586" s="28"/>
      <c r="AW586" s="30"/>
      <c r="AX586" s="28"/>
      <c r="AY586" s="28"/>
      <c r="AZ586" s="28"/>
      <c r="BA586" s="28"/>
      <c r="BB586" s="28"/>
      <c r="BC586" s="28"/>
      <c r="BD586" s="28"/>
      <c r="BE586" s="28"/>
      <c r="BF586" s="28"/>
      <c r="BG586" s="30"/>
      <c r="BH586" s="28"/>
      <c r="BI586" s="28"/>
      <c r="BJ586" s="28"/>
      <c r="BK586" s="28"/>
      <c r="BL586" s="28"/>
      <c r="BM586" s="28"/>
      <c r="BN586" s="28"/>
      <c r="BO586" s="28"/>
      <c r="BP586" s="28"/>
      <c r="BQ586" s="28"/>
      <c r="BR586" s="29"/>
      <c r="BS586" s="29"/>
      <c r="BT586" s="29"/>
      <c r="BU586" s="29"/>
      <c r="BV586" s="29"/>
      <c r="BW586" s="28"/>
      <c r="BX586" s="28"/>
      <c r="BY586" s="28"/>
      <c r="BZ586" s="28"/>
    </row>
    <row r="587" s="27" customFormat="1" spans="1:78">
      <c r="A587" s="28"/>
      <c r="B587" s="28"/>
      <c r="C587" s="29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30"/>
      <c r="AQ587" s="30"/>
      <c r="AR587" s="30"/>
      <c r="AS587" s="30"/>
      <c r="AT587" s="28"/>
      <c r="AU587" s="28"/>
      <c r="AV587" s="28"/>
      <c r="AW587" s="30"/>
      <c r="AX587" s="28"/>
      <c r="AY587" s="28"/>
      <c r="AZ587" s="28"/>
      <c r="BA587" s="28"/>
      <c r="BB587" s="28"/>
      <c r="BC587" s="28"/>
      <c r="BD587" s="28"/>
      <c r="BE587" s="28"/>
      <c r="BF587" s="28"/>
      <c r="BG587" s="30"/>
      <c r="BH587" s="28"/>
      <c r="BI587" s="28"/>
      <c r="BJ587" s="28"/>
      <c r="BK587" s="28"/>
      <c r="BL587" s="28"/>
      <c r="BM587" s="28"/>
      <c r="BN587" s="28"/>
      <c r="BO587" s="28"/>
      <c r="BP587" s="28"/>
      <c r="BQ587" s="28"/>
      <c r="BR587" s="29"/>
      <c r="BS587" s="29"/>
      <c r="BT587" s="28"/>
      <c r="BU587" s="28"/>
      <c r="BV587" s="29"/>
      <c r="BW587" s="28"/>
      <c r="BX587" s="28"/>
      <c r="BY587" s="28"/>
      <c r="BZ587" s="28"/>
    </row>
    <row r="588" s="27" customFormat="1" spans="1:78">
      <c r="A588" s="28"/>
      <c r="B588" s="28"/>
      <c r="C588" s="29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30"/>
      <c r="AQ588" s="30"/>
      <c r="AR588" s="30"/>
      <c r="AS588" s="30"/>
      <c r="AT588" s="28"/>
      <c r="AU588" s="28"/>
      <c r="AV588" s="28"/>
      <c r="AW588" s="30"/>
      <c r="AX588" s="28"/>
      <c r="AY588" s="28"/>
      <c r="AZ588" s="28"/>
      <c r="BA588" s="28"/>
      <c r="BB588" s="28"/>
      <c r="BC588" s="28"/>
      <c r="BD588" s="28"/>
      <c r="BE588" s="28"/>
      <c r="BF588" s="28"/>
      <c r="BG588" s="30"/>
      <c r="BH588" s="28"/>
      <c r="BI588" s="28"/>
      <c r="BJ588" s="28"/>
      <c r="BK588" s="28"/>
      <c r="BL588" s="28"/>
      <c r="BM588" s="28"/>
      <c r="BN588" s="28"/>
      <c r="BO588" s="28"/>
      <c r="BP588" s="28"/>
      <c r="BQ588" s="28"/>
      <c r="BR588" s="29"/>
      <c r="BS588" s="29"/>
      <c r="BT588" s="29"/>
      <c r="BU588" s="29"/>
      <c r="BV588" s="29"/>
      <c r="BW588" s="29"/>
      <c r="BX588" s="28"/>
      <c r="BY588" s="28"/>
      <c r="BZ588" s="28"/>
    </row>
    <row r="589" s="27" customFormat="1" spans="1:78">
      <c r="A589" s="28"/>
      <c r="B589" s="28"/>
      <c r="C589" s="29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30"/>
      <c r="AQ589" s="30"/>
      <c r="AR589" s="30"/>
      <c r="AS589" s="30"/>
      <c r="AT589" s="28"/>
      <c r="AU589" s="28"/>
      <c r="AV589" s="28"/>
      <c r="AW589" s="30"/>
      <c r="AX589" s="28"/>
      <c r="AY589" s="28"/>
      <c r="AZ589" s="28"/>
      <c r="BA589" s="28"/>
      <c r="BB589" s="28"/>
      <c r="BC589" s="28"/>
      <c r="BD589" s="28"/>
      <c r="BE589" s="28"/>
      <c r="BF589" s="28"/>
      <c r="BG589" s="30"/>
      <c r="BH589" s="28"/>
      <c r="BI589" s="28"/>
      <c r="BJ589" s="28"/>
      <c r="BK589" s="28"/>
      <c r="BL589" s="28"/>
      <c r="BM589" s="28"/>
      <c r="BN589" s="28"/>
      <c r="BO589" s="28"/>
      <c r="BP589" s="28"/>
      <c r="BQ589" s="28"/>
      <c r="BR589" s="29"/>
      <c r="BS589" s="29"/>
      <c r="BT589" s="29"/>
      <c r="BU589" s="29"/>
      <c r="BV589" s="29"/>
      <c r="BW589" s="28"/>
      <c r="BX589" s="28"/>
      <c r="BY589" s="28"/>
      <c r="BZ589" s="28"/>
    </row>
    <row r="590" s="27" customFormat="1" spans="1:78">
      <c r="A590" s="28"/>
      <c r="B590" s="28"/>
      <c r="C590" s="29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30"/>
      <c r="AQ590" s="30"/>
      <c r="AR590" s="30"/>
      <c r="AS590" s="30"/>
      <c r="AT590" s="28"/>
      <c r="AU590" s="28"/>
      <c r="AV590" s="28"/>
      <c r="AW590" s="30"/>
      <c r="AX590" s="28"/>
      <c r="AY590" s="28"/>
      <c r="AZ590" s="28"/>
      <c r="BA590" s="28"/>
      <c r="BB590" s="28"/>
      <c r="BC590" s="28"/>
      <c r="BD590" s="28"/>
      <c r="BE590" s="28"/>
      <c r="BF590" s="28"/>
      <c r="BG590" s="30"/>
      <c r="BH590" s="28"/>
      <c r="BI590" s="28"/>
      <c r="BJ590" s="28"/>
      <c r="BK590" s="28"/>
      <c r="BL590" s="28"/>
      <c r="BM590" s="28"/>
      <c r="BN590" s="28"/>
      <c r="BO590" s="28"/>
      <c r="BP590" s="28"/>
      <c r="BQ590" s="28"/>
      <c r="BR590" s="29"/>
      <c r="BS590" s="29"/>
      <c r="BT590" s="29"/>
      <c r="BU590" s="28"/>
      <c r="BV590" s="29"/>
      <c r="BW590" s="28"/>
      <c r="BX590" s="28"/>
      <c r="BY590" s="28"/>
      <c r="BZ590" s="28"/>
    </row>
    <row r="591" s="27" customFormat="1" spans="1:78">
      <c r="A591" s="28"/>
      <c r="B591" s="28"/>
      <c r="C591" s="29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30"/>
      <c r="AQ591" s="30"/>
      <c r="AR591" s="30"/>
      <c r="AS591" s="30"/>
      <c r="AT591" s="28"/>
      <c r="AU591" s="28"/>
      <c r="AV591" s="28"/>
      <c r="AW591" s="30"/>
      <c r="AX591" s="28"/>
      <c r="AY591" s="28"/>
      <c r="AZ591" s="28"/>
      <c r="BA591" s="28"/>
      <c r="BB591" s="28"/>
      <c r="BC591" s="28"/>
      <c r="BD591" s="28"/>
      <c r="BE591" s="28"/>
      <c r="BF591" s="28"/>
      <c r="BG591" s="30"/>
      <c r="BH591" s="28"/>
      <c r="BI591" s="28"/>
      <c r="BJ591" s="28"/>
      <c r="BK591" s="28"/>
      <c r="BL591" s="28"/>
      <c r="BM591" s="28"/>
      <c r="BN591" s="28"/>
      <c r="BO591" s="28"/>
      <c r="BP591" s="28"/>
      <c r="BQ591" s="28"/>
      <c r="BR591" s="29"/>
      <c r="BS591" s="29"/>
      <c r="BT591" s="28"/>
      <c r="BU591" s="28"/>
      <c r="BV591" s="29"/>
      <c r="BW591" s="28"/>
      <c r="BX591" s="28"/>
      <c r="BY591" s="28"/>
      <c r="BZ591" s="28"/>
    </row>
    <row r="592" s="27" customFormat="1" spans="1:78">
      <c r="A592" s="28"/>
      <c r="B592" s="28"/>
      <c r="C592" s="29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30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30"/>
      <c r="AQ592" s="30"/>
      <c r="AR592" s="30"/>
      <c r="AS592" s="30"/>
      <c r="AT592" s="28"/>
      <c r="AU592" s="28"/>
      <c r="AV592" s="28"/>
      <c r="AW592" s="30"/>
      <c r="AX592" s="28"/>
      <c r="AY592" s="28"/>
      <c r="AZ592" s="28"/>
      <c r="BA592" s="28"/>
      <c r="BB592" s="28"/>
      <c r="BC592" s="28"/>
      <c r="BD592" s="28"/>
      <c r="BE592" s="28"/>
      <c r="BF592" s="28"/>
      <c r="BG592" s="30"/>
      <c r="BH592" s="28"/>
      <c r="BI592" s="28"/>
      <c r="BJ592" s="28"/>
      <c r="BK592" s="28"/>
      <c r="BL592" s="28"/>
      <c r="BM592" s="28"/>
      <c r="BN592" s="28"/>
      <c r="BO592" s="28"/>
      <c r="BP592" s="28"/>
      <c r="BQ592" s="28"/>
      <c r="BR592" s="29"/>
      <c r="BS592" s="29"/>
      <c r="BT592" s="29"/>
      <c r="BU592" s="29"/>
      <c r="BV592" s="29"/>
      <c r="BW592" s="29"/>
      <c r="BX592" s="28"/>
      <c r="BY592" s="28"/>
      <c r="BZ592" s="28"/>
    </row>
    <row r="593" s="27" customFormat="1" spans="1:78">
      <c r="A593" s="28"/>
      <c r="B593" s="28"/>
      <c r="C593" s="29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30"/>
      <c r="AQ593" s="30"/>
      <c r="AR593" s="30"/>
      <c r="AS593" s="30"/>
      <c r="AT593" s="28"/>
      <c r="AU593" s="29"/>
      <c r="AV593" s="30"/>
      <c r="AW593" s="30"/>
      <c r="AX593" s="28"/>
      <c r="AY593" s="28"/>
      <c r="AZ593" s="28"/>
      <c r="BA593" s="28"/>
      <c r="BB593" s="28"/>
      <c r="BC593" s="28"/>
      <c r="BD593" s="28"/>
      <c r="BE593" s="28"/>
      <c r="BF593" s="28"/>
      <c r="BG593" s="30"/>
      <c r="BH593" s="28"/>
      <c r="BI593" s="28"/>
      <c r="BJ593" s="28"/>
      <c r="BK593" s="28"/>
      <c r="BL593" s="28"/>
      <c r="BM593" s="28"/>
      <c r="BN593" s="28"/>
      <c r="BO593" s="28"/>
      <c r="BP593" s="28"/>
      <c r="BQ593" s="28"/>
      <c r="BR593" s="29"/>
      <c r="BS593" s="29"/>
      <c r="BT593" s="29"/>
      <c r="BU593" s="29"/>
      <c r="BV593" s="29"/>
      <c r="BW593" s="29"/>
      <c r="BX593" s="28"/>
      <c r="BY593" s="28"/>
      <c r="BZ593" s="28"/>
    </row>
    <row r="594" s="27" customFormat="1" spans="1:78">
      <c r="A594" s="28"/>
      <c r="B594" s="28"/>
      <c r="C594" s="29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30"/>
      <c r="AQ594" s="30"/>
      <c r="AR594" s="30"/>
      <c r="AS594" s="30"/>
      <c r="AT594" s="28"/>
      <c r="AU594" s="28"/>
      <c r="AV594" s="28"/>
      <c r="AW594" s="30"/>
      <c r="AX594" s="28"/>
      <c r="AY594" s="28"/>
      <c r="AZ594" s="28"/>
      <c r="BA594" s="28"/>
      <c r="BB594" s="28"/>
      <c r="BC594" s="28"/>
      <c r="BD594" s="28"/>
      <c r="BE594" s="28"/>
      <c r="BF594" s="28"/>
      <c r="BG594" s="30"/>
      <c r="BH594" s="28"/>
      <c r="BI594" s="28"/>
      <c r="BJ594" s="28"/>
      <c r="BK594" s="28"/>
      <c r="BL594" s="28"/>
      <c r="BM594" s="28"/>
      <c r="BN594" s="28"/>
      <c r="BO594" s="28"/>
      <c r="BP594" s="28"/>
      <c r="BQ594" s="28"/>
      <c r="BR594" s="29"/>
      <c r="BS594" s="29"/>
      <c r="BT594" s="29"/>
      <c r="BU594" s="29"/>
      <c r="BV594" s="29"/>
      <c r="BW594" s="29"/>
      <c r="BX594" s="28"/>
      <c r="BY594" s="28"/>
      <c r="BZ594" s="28"/>
    </row>
    <row r="595" s="27" customFormat="1" spans="1:78">
      <c r="A595" s="28"/>
      <c r="B595" s="28"/>
      <c r="C595" s="29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30"/>
      <c r="AQ595" s="30"/>
      <c r="AR595" s="30"/>
      <c r="AS595" s="30"/>
      <c r="AT595" s="28"/>
      <c r="AU595" s="28"/>
      <c r="AV595" s="28"/>
      <c r="AW595" s="30"/>
      <c r="AX595" s="28"/>
      <c r="AY595" s="28"/>
      <c r="AZ595" s="28"/>
      <c r="BA595" s="28"/>
      <c r="BB595" s="28"/>
      <c r="BC595" s="28"/>
      <c r="BD595" s="28"/>
      <c r="BE595" s="28"/>
      <c r="BF595" s="28"/>
      <c r="BG595" s="30"/>
      <c r="BH595" s="28"/>
      <c r="BI595" s="28"/>
      <c r="BJ595" s="28"/>
      <c r="BK595" s="28"/>
      <c r="BL595" s="28"/>
      <c r="BM595" s="28"/>
      <c r="BN595" s="28"/>
      <c r="BO595" s="28"/>
      <c r="BP595" s="28"/>
      <c r="BQ595" s="28"/>
      <c r="BR595" s="29"/>
      <c r="BS595" s="29"/>
      <c r="BT595" s="29"/>
      <c r="BU595" s="29"/>
      <c r="BV595" s="29"/>
      <c r="BW595" s="29"/>
      <c r="BX595" s="28"/>
      <c r="BY595" s="28"/>
      <c r="BZ595" s="28"/>
    </row>
    <row r="596" s="27" customFormat="1" spans="1:78">
      <c r="A596" s="28"/>
      <c r="B596" s="28"/>
      <c r="C596" s="29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30"/>
      <c r="AQ596" s="30"/>
      <c r="AR596" s="30"/>
      <c r="AS596" s="30"/>
      <c r="AT596" s="28"/>
      <c r="AU596" s="28"/>
      <c r="AV596" s="28"/>
      <c r="AW596" s="30"/>
      <c r="AX596" s="28"/>
      <c r="AY596" s="28"/>
      <c r="AZ596" s="28"/>
      <c r="BA596" s="28"/>
      <c r="BB596" s="28"/>
      <c r="BC596" s="28"/>
      <c r="BD596" s="28"/>
      <c r="BE596" s="28"/>
      <c r="BF596" s="28"/>
      <c r="BG596" s="30"/>
      <c r="BH596" s="28"/>
      <c r="BI596" s="28"/>
      <c r="BJ596" s="28"/>
      <c r="BK596" s="28"/>
      <c r="BL596" s="28"/>
      <c r="BM596" s="28"/>
      <c r="BN596" s="28"/>
      <c r="BO596" s="28"/>
      <c r="BP596" s="28"/>
      <c r="BQ596" s="28"/>
      <c r="BR596" s="29"/>
      <c r="BS596" s="29"/>
      <c r="BT596" s="29"/>
      <c r="BU596" s="29"/>
      <c r="BV596" s="29"/>
      <c r="BW596" s="29"/>
      <c r="BX596" s="28"/>
      <c r="BY596" s="28"/>
      <c r="BZ596" s="28"/>
    </row>
    <row r="597" s="27" customFormat="1" spans="1:78">
      <c r="A597" s="28"/>
      <c r="B597" s="28"/>
      <c r="C597" s="29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30"/>
      <c r="AQ597" s="30"/>
      <c r="AR597" s="30"/>
      <c r="AS597" s="30"/>
      <c r="AT597" s="28"/>
      <c r="AU597" s="28"/>
      <c r="AV597" s="28"/>
      <c r="AW597" s="30"/>
      <c r="AX597" s="28"/>
      <c r="AY597" s="28"/>
      <c r="AZ597" s="28"/>
      <c r="BA597" s="28"/>
      <c r="BB597" s="28"/>
      <c r="BC597" s="28"/>
      <c r="BD597" s="28"/>
      <c r="BE597" s="28"/>
      <c r="BF597" s="28"/>
      <c r="BG597" s="30"/>
      <c r="BH597" s="28"/>
      <c r="BI597" s="28"/>
      <c r="BJ597" s="28"/>
      <c r="BK597" s="28"/>
      <c r="BL597" s="28"/>
      <c r="BM597" s="28"/>
      <c r="BN597" s="28"/>
      <c r="BO597" s="28"/>
      <c r="BP597" s="28"/>
      <c r="BQ597" s="28"/>
      <c r="BR597" s="29"/>
      <c r="BS597" s="29"/>
      <c r="BT597" s="29"/>
      <c r="BU597" s="29"/>
      <c r="BV597" s="29"/>
      <c r="BW597" s="29"/>
      <c r="BX597" s="28"/>
      <c r="BY597" s="28"/>
      <c r="BZ597" s="28"/>
    </row>
    <row r="598" s="27" customFormat="1" spans="1:78">
      <c r="A598" s="28"/>
      <c r="B598" s="28"/>
      <c r="C598" s="29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30"/>
      <c r="AQ598" s="30"/>
      <c r="AR598" s="30"/>
      <c r="AS598" s="30"/>
      <c r="AT598" s="28"/>
      <c r="AU598" s="28"/>
      <c r="AV598" s="28"/>
      <c r="AW598" s="30"/>
      <c r="AX598" s="28"/>
      <c r="AY598" s="28"/>
      <c r="AZ598" s="28"/>
      <c r="BA598" s="28"/>
      <c r="BB598" s="28"/>
      <c r="BC598" s="28"/>
      <c r="BD598" s="28"/>
      <c r="BE598" s="28"/>
      <c r="BF598" s="28"/>
      <c r="BG598" s="30"/>
      <c r="BH598" s="28"/>
      <c r="BI598" s="28"/>
      <c r="BJ598" s="28"/>
      <c r="BK598" s="28"/>
      <c r="BL598" s="28"/>
      <c r="BM598" s="28"/>
      <c r="BN598" s="28"/>
      <c r="BO598" s="28"/>
      <c r="BP598" s="28"/>
      <c r="BQ598" s="28"/>
      <c r="BR598" s="29"/>
      <c r="BS598" s="29"/>
      <c r="BT598" s="29"/>
      <c r="BU598" s="29"/>
      <c r="BV598" s="29"/>
      <c r="BW598" s="29"/>
      <c r="BX598" s="28"/>
      <c r="BY598" s="28"/>
      <c r="BZ598" s="28"/>
    </row>
    <row r="599" s="27" customFormat="1" spans="1:78">
      <c r="A599" s="28"/>
      <c r="B599" s="28"/>
      <c r="C599" s="29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30"/>
      <c r="AQ599" s="30"/>
      <c r="AR599" s="30"/>
      <c r="AS599" s="30"/>
      <c r="AT599" s="28"/>
      <c r="AU599" s="28"/>
      <c r="AV599" s="28"/>
      <c r="AW599" s="30"/>
      <c r="AX599" s="28"/>
      <c r="AY599" s="28"/>
      <c r="AZ599" s="28"/>
      <c r="BA599" s="28"/>
      <c r="BB599" s="28"/>
      <c r="BC599" s="28"/>
      <c r="BD599" s="28"/>
      <c r="BE599" s="28"/>
      <c r="BF599" s="28"/>
      <c r="BG599" s="30"/>
      <c r="BH599" s="28"/>
      <c r="BI599" s="28"/>
      <c r="BJ599" s="28"/>
      <c r="BK599" s="28"/>
      <c r="BL599" s="28"/>
      <c r="BM599" s="28"/>
      <c r="BN599" s="28"/>
      <c r="BO599" s="28"/>
      <c r="BP599" s="28"/>
      <c r="BQ599" s="28"/>
      <c r="BR599" s="29"/>
      <c r="BS599" s="29"/>
      <c r="BT599" s="29"/>
      <c r="BU599" s="29"/>
      <c r="BV599" s="29"/>
      <c r="BW599" s="29"/>
      <c r="BX599" s="28"/>
      <c r="BY599" s="28"/>
      <c r="BZ599" s="28"/>
    </row>
    <row r="600" s="27" customFormat="1" spans="1:78">
      <c r="A600" s="28"/>
      <c r="B600" s="28"/>
      <c r="C600" s="29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30"/>
      <c r="AQ600" s="30"/>
      <c r="AR600" s="30"/>
      <c r="AS600" s="30"/>
      <c r="AT600" s="28"/>
      <c r="AU600" s="28"/>
      <c r="AV600" s="28"/>
      <c r="AW600" s="30"/>
      <c r="AX600" s="28"/>
      <c r="AY600" s="28"/>
      <c r="AZ600" s="28"/>
      <c r="BA600" s="28"/>
      <c r="BB600" s="28"/>
      <c r="BC600" s="28"/>
      <c r="BD600" s="28"/>
      <c r="BE600" s="28"/>
      <c r="BF600" s="28"/>
      <c r="BG600" s="30"/>
      <c r="BH600" s="28"/>
      <c r="BI600" s="28"/>
      <c r="BJ600" s="28"/>
      <c r="BK600" s="28"/>
      <c r="BL600" s="28"/>
      <c r="BM600" s="28"/>
      <c r="BN600" s="28"/>
      <c r="BO600" s="28"/>
      <c r="BP600" s="28"/>
      <c r="BQ600" s="28"/>
      <c r="BR600" s="29"/>
      <c r="BS600" s="29"/>
      <c r="BT600" s="29"/>
      <c r="BU600" s="29"/>
      <c r="BV600" s="29"/>
      <c r="BW600" s="29"/>
      <c r="BX600" s="28"/>
      <c r="BY600" s="28"/>
      <c r="BZ600" s="28"/>
    </row>
    <row r="601" s="27" customFormat="1" spans="1:78">
      <c r="A601" s="28"/>
      <c r="B601" s="28"/>
      <c r="C601" s="29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30"/>
      <c r="AQ601" s="30"/>
      <c r="AR601" s="30"/>
      <c r="AS601" s="30"/>
      <c r="AT601" s="28"/>
      <c r="AU601" s="28"/>
      <c r="AV601" s="28"/>
      <c r="AW601" s="30"/>
      <c r="AX601" s="28"/>
      <c r="AY601" s="28"/>
      <c r="AZ601" s="28"/>
      <c r="BA601" s="28"/>
      <c r="BB601" s="28"/>
      <c r="BC601" s="28"/>
      <c r="BD601" s="28"/>
      <c r="BE601" s="28"/>
      <c r="BF601" s="28"/>
      <c r="BG601" s="30"/>
      <c r="BH601" s="28"/>
      <c r="BI601" s="28"/>
      <c r="BJ601" s="28"/>
      <c r="BK601" s="28"/>
      <c r="BL601" s="28"/>
      <c r="BM601" s="28"/>
      <c r="BN601" s="28"/>
      <c r="BO601" s="28"/>
      <c r="BP601" s="28"/>
      <c r="BQ601" s="28"/>
      <c r="BR601" s="29"/>
      <c r="BS601" s="29"/>
      <c r="BT601" s="29"/>
      <c r="BU601" s="29"/>
      <c r="BV601" s="29"/>
      <c r="BW601" s="29"/>
      <c r="BX601" s="28"/>
      <c r="BY601" s="28"/>
      <c r="BZ601" s="28"/>
    </row>
    <row r="602" s="27" customFormat="1" spans="1:78">
      <c r="A602" s="28"/>
      <c r="B602" s="28"/>
      <c r="C602" s="29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30"/>
      <c r="AQ602" s="30"/>
      <c r="AR602" s="30"/>
      <c r="AS602" s="30"/>
      <c r="AT602" s="28"/>
      <c r="AU602" s="28"/>
      <c r="AV602" s="28"/>
      <c r="AW602" s="30"/>
      <c r="AX602" s="28"/>
      <c r="AY602" s="28"/>
      <c r="AZ602" s="28"/>
      <c r="BA602" s="28"/>
      <c r="BB602" s="28"/>
      <c r="BC602" s="28"/>
      <c r="BD602" s="28"/>
      <c r="BE602" s="28"/>
      <c r="BF602" s="28"/>
      <c r="BG602" s="30"/>
      <c r="BH602" s="28"/>
      <c r="BI602" s="28"/>
      <c r="BJ602" s="28"/>
      <c r="BK602" s="28"/>
      <c r="BL602" s="28"/>
      <c r="BM602" s="28"/>
      <c r="BN602" s="28"/>
      <c r="BO602" s="28"/>
      <c r="BP602" s="28"/>
      <c r="BQ602" s="28"/>
      <c r="BR602" s="29"/>
      <c r="BS602" s="29"/>
      <c r="BT602" s="28"/>
      <c r="BU602" s="28"/>
      <c r="BV602" s="29"/>
      <c r="BW602" s="28"/>
      <c r="BX602" s="28"/>
      <c r="BY602" s="28"/>
      <c r="BZ602" s="28"/>
    </row>
    <row r="603" s="27" customFormat="1" spans="1:78">
      <c r="A603" s="28"/>
      <c r="B603" s="28"/>
      <c r="C603" s="29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30"/>
      <c r="AQ603" s="30"/>
      <c r="AR603" s="30"/>
      <c r="AS603" s="30"/>
      <c r="AT603" s="28"/>
      <c r="AU603" s="28"/>
      <c r="AV603" s="28"/>
      <c r="AW603" s="30"/>
      <c r="AX603" s="28"/>
      <c r="AY603" s="28"/>
      <c r="AZ603" s="28"/>
      <c r="BA603" s="28"/>
      <c r="BB603" s="28"/>
      <c r="BC603" s="28"/>
      <c r="BD603" s="28"/>
      <c r="BE603" s="28"/>
      <c r="BF603" s="28"/>
      <c r="BG603" s="30"/>
      <c r="BH603" s="28"/>
      <c r="BI603" s="28"/>
      <c r="BJ603" s="28"/>
      <c r="BK603" s="28"/>
      <c r="BL603" s="28"/>
      <c r="BM603" s="28"/>
      <c r="BN603" s="28"/>
      <c r="BO603" s="28"/>
      <c r="BP603" s="28"/>
      <c r="BQ603" s="28"/>
      <c r="BR603" s="29"/>
      <c r="BS603" s="29"/>
      <c r="BT603" s="28"/>
      <c r="BU603" s="28"/>
      <c r="BV603" s="29"/>
      <c r="BW603" s="28"/>
      <c r="BX603" s="28"/>
      <c r="BY603" s="28"/>
      <c r="BZ603" s="28"/>
    </row>
    <row r="604" s="27" customFormat="1" spans="1:78">
      <c r="A604" s="28"/>
      <c r="B604" s="28"/>
      <c r="C604" s="29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30"/>
      <c r="AQ604" s="30"/>
      <c r="AR604" s="30"/>
      <c r="AS604" s="30"/>
      <c r="AT604" s="28"/>
      <c r="AU604" s="28"/>
      <c r="AV604" s="28"/>
      <c r="AW604" s="28"/>
      <c r="AX604" s="28"/>
      <c r="AY604" s="28"/>
      <c r="AZ604" s="28"/>
      <c r="BA604" s="28"/>
      <c r="BB604" s="28"/>
      <c r="BC604" s="28"/>
      <c r="BD604" s="28"/>
      <c r="BE604" s="28"/>
      <c r="BF604" s="28"/>
      <c r="BG604" s="30"/>
      <c r="BH604" s="28"/>
      <c r="BI604" s="28"/>
      <c r="BJ604" s="28"/>
      <c r="BK604" s="28"/>
      <c r="BL604" s="28"/>
      <c r="BM604" s="28"/>
      <c r="BN604" s="28"/>
      <c r="BO604" s="28"/>
      <c r="BP604" s="28"/>
      <c r="BQ604" s="28"/>
      <c r="BR604" s="28"/>
      <c r="BS604" s="28"/>
      <c r="BT604" s="28"/>
      <c r="BU604" s="28"/>
      <c r="BV604" s="29"/>
      <c r="BW604" s="28"/>
      <c r="BX604" s="28"/>
      <c r="BY604" s="28"/>
      <c r="BZ604" s="28"/>
    </row>
    <row r="605" s="27" customFormat="1" spans="1:78">
      <c r="A605" s="28"/>
      <c r="B605" s="28"/>
      <c r="C605" s="29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30"/>
      <c r="AQ605" s="30"/>
      <c r="AR605" s="30"/>
      <c r="AS605" s="30"/>
      <c r="AT605" s="28"/>
      <c r="AU605" s="29"/>
      <c r="AV605" s="30"/>
      <c r="AW605" s="30"/>
      <c r="AX605" s="28"/>
      <c r="AY605" s="28"/>
      <c r="AZ605" s="28"/>
      <c r="BA605" s="28"/>
      <c r="BB605" s="28"/>
      <c r="BC605" s="28"/>
      <c r="BD605" s="28"/>
      <c r="BE605" s="28"/>
      <c r="BF605" s="28"/>
      <c r="BG605" s="30"/>
      <c r="BH605" s="28"/>
      <c r="BI605" s="28"/>
      <c r="BJ605" s="28"/>
      <c r="BK605" s="28"/>
      <c r="BL605" s="28"/>
      <c r="BM605" s="28"/>
      <c r="BN605" s="28"/>
      <c r="BO605" s="28"/>
      <c r="BP605" s="28"/>
      <c r="BQ605" s="28"/>
      <c r="BR605" s="29"/>
      <c r="BS605" s="29"/>
      <c r="BT605" s="29"/>
      <c r="BU605" s="29"/>
      <c r="BV605" s="29"/>
      <c r="BW605" s="29"/>
      <c r="BX605" s="28"/>
      <c r="BY605" s="28"/>
      <c r="BZ605" s="28"/>
    </row>
    <row r="606" s="27" customFormat="1" spans="1:78">
      <c r="A606" s="28"/>
      <c r="B606" s="28"/>
      <c r="C606" s="29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30"/>
      <c r="AQ606" s="30"/>
      <c r="AR606" s="30"/>
      <c r="AS606" s="30"/>
      <c r="AT606" s="28"/>
      <c r="AU606" s="28"/>
      <c r="AV606" s="28"/>
      <c r="AW606" s="30"/>
      <c r="AX606" s="28"/>
      <c r="AY606" s="28"/>
      <c r="AZ606" s="28"/>
      <c r="BA606" s="28"/>
      <c r="BB606" s="28"/>
      <c r="BC606" s="28"/>
      <c r="BD606" s="28"/>
      <c r="BE606" s="28"/>
      <c r="BF606" s="28"/>
      <c r="BG606" s="30"/>
      <c r="BH606" s="28"/>
      <c r="BI606" s="28"/>
      <c r="BJ606" s="28"/>
      <c r="BK606" s="28"/>
      <c r="BL606" s="28"/>
      <c r="BM606" s="28"/>
      <c r="BN606" s="28"/>
      <c r="BO606" s="28"/>
      <c r="BP606" s="28"/>
      <c r="BQ606" s="28"/>
      <c r="BR606" s="29"/>
      <c r="BS606" s="29"/>
      <c r="BT606" s="29"/>
      <c r="BU606" s="29"/>
      <c r="BV606" s="29"/>
      <c r="BW606" s="29"/>
      <c r="BX606" s="28"/>
      <c r="BY606" s="28"/>
      <c r="BZ606" s="28"/>
    </row>
    <row r="607" s="27" customFormat="1" spans="1:78">
      <c r="A607" s="28"/>
      <c r="B607" s="28"/>
      <c r="C607" s="29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30"/>
      <c r="AQ607" s="30"/>
      <c r="AR607" s="30"/>
      <c r="AS607" s="30"/>
      <c r="AT607" s="28"/>
      <c r="AU607" s="28"/>
      <c r="AV607" s="28"/>
      <c r="AW607" s="30"/>
      <c r="AX607" s="28"/>
      <c r="AY607" s="28"/>
      <c r="AZ607" s="28"/>
      <c r="BA607" s="28"/>
      <c r="BB607" s="28"/>
      <c r="BC607" s="28"/>
      <c r="BD607" s="28"/>
      <c r="BE607" s="28"/>
      <c r="BF607" s="28"/>
      <c r="BG607" s="30"/>
      <c r="BH607" s="28"/>
      <c r="BI607" s="28"/>
      <c r="BJ607" s="28"/>
      <c r="BK607" s="28"/>
      <c r="BL607" s="28"/>
      <c r="BM607" s="28"/>
      <c r="BN607" s="28"/>
      <c r="BO607" s="28"/>
      <c r="BP607" s="28"/>
      <c r="BQ607" s="28"/>
      <c r="BR607" s="29"/>
      <c r="BS607" s="29"/>
      <c r="BT607" s="29"/>
      <c r="BU607" s="28"/>
      <c r="BV607" s="29"/>
      <c r="BW607" s="28"/>
      <c r="BX607" s="28"/>
      <c r="BY607" s="28"/>
      <c r="BZ607" s="28"/>
    </row>
    <row r="608" s="27" customFormat="1" spans="1:78">
      <c r="A608" s="28"/>
      <c r="B608" s="28"/>
      <c r="C608" s="29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30"/>
      <c r="AQ608" s="30"/>
      <c r="AR608" s="30"/>
      <c r="AS608" s="30"/>
      <c r="AT608" s="28"/>
      <c r="AU608" s="28"/>
      <c r="AV608" s="28"/>
      <c r="AW608" s="30"/>
      <c r="AX608" s="28"/>
      <c r="AY608" s="28"/>
      <c r="AZ608" s="28"/>
      <c r="BA608" s="28"/>
      <c r="BB608" s="28"/>
      <c r="BC608" s="28"/>
      <c r="BD608" s="28"/>
      <c r="BE608" s="28"/>
      <c r="BF608" s="28"/>
      <c r="BG608" s="30"/>
      <c r="BH608" s="28"/>
      <c r="BI608" s="28"/>
      <c r="BJ608" s="28"/>
      <c r="BK608" s="28"/>
      <c r="BL608" s="28"/>
      <c r="BM608" s="28"/>
      <c r="BN608" s="28"/>
      <c r="BO608" s="28"/>
      <c r="BP608" s="28"/>
      <c r="BQ608" s="28"/>
      <c r="BR608" s="29"/>
      <c r="BS608" s="29"/>
      <c r="BT608" s="29"/>
      <c r="BU608" s="29"/>
      <c r="BV608" s="29"/>
      <c r="BW608" s="29"/>
      <c r="BX608" s="28"/>
      <c r="BY608" s="28"/>
      <c r="BZ608" s="28"/>
    </row>
    <row r="609" s="27" customFormat="1" spans="1:78">
      <c r="A609" s="28"/>
      <c r="B609" s="28"/>
      <c r="C609" s="29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30"/>
      <c r="AQ609" s="30"/>
      <c r="AR609" s="30"/>
      <c r="AS609" s="30"/>
      <c r="AT609" s="28"/>
      <c r="AU609" s="29"/>
      <c r="AV609" s="30"/>
      <c r="AW609" s="30"/>
      <c r="AX609" s="28"/>
      <c r="AY609" s="28"/>
      <c r="AZ609" s="28"/>
      <c r="BA609" s="28"/>
      <c r="BB609" s="28"/>
      <c r="BC609" s="28"/>
      <c r="BD609" s="28"/>
      <c r="BE609" s="28"/>
      <c r="BF609" s="28"/>
      <c r="BG609" s="30"/>
      <c r="BH609" s="28"/>
      <c r="BI609" s="28"/>
      <c r="BJ609" s="28"/>
      <c r="BK609" s="28"/>
      <c r="BL609" s="28"/>
      <c r="BM609" s="28"/>
      <c r="BN609" s="28"/>
      <c r="BO609" s="28"/>
      <c r="BP609" s="28"/>
      <c r="BQ609" s="28"/>
      <c r="BR609" s="29"/>
      <c r="BS609" s="29"/>
      <c r="BT609" s="29"/>
      <c r="BU609" s="29"/>
      <c r="BV609" s="29"/>
      <c r="BW609" s="29"/>
      <c r="BX609" s="28"/>
      <c r="BY609" s="28"/>
      <c r="BZ609" s="28"/>
    </row>
    <row r="610" s="27" customFormat="1" spans="1:78">
      <c r="A610" s="28"/>
      <c r="B610" s="28"/>
      <c r="C610" s="29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30"/>
      <c r="AQ610" s="30"/>
      <c r="AR610" s="30"/>
      <c r="AS610" s="30"/>
      <c r="AT610" s="28"/>
      <c r="AU610" s="28"/>
      <c r="AV610" s="28"/>
      <c r="AW610" s="30"/>
      <c r="AX610" s="28"/>
      <c r="AY610" s="28"/>
      <c r="AZ610" s="28"/>
      <c r="BA610" s="28"/>
      <c r="BB610" s="28"/>
      <c r="BC610" s="28"/>
      <c r="BD610" s="28"/>
      <c r="BE610" s="28"/>
      <c r="BF610" s="28"/>
      <c r="BG610" s="30"/>
      <c r="BH610" s="28"/>
      <c r="BI610" s="28"/>
      <c r="BJ610" s="28"/>
      <c r="BK610" s="28"/>
      <c r="BL610" s="28"/>
      <c r="BM610" s="28"/>
      <c r="BN610" s="28"/>
      <c r="BO610" s="28"/>
      <c r="BP610" s="28"/>
      <c r="BQ610" s="28"/>
      <c r="BR610" s="29"/>
      <c r="BS610" s="29"/>
      <c r="BT610" s="29"/>
      <c r="BU610" s="29"/>
      <c r="BV610" s="29"/>
      <c r="BW610" s="29"/>
      <c r="BX610" s="28"/>
      <c r="BY610" s="28"/>
      <c r="BZ610" s="28"/>
    </row>
    <row r="611" s="27" customFormat="1" spans="1:78">
      <c r="A611" s="28"/>
      <c r="B611" s="28"/>
      <c r="C611" s="29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30"/>
      <c r="AQ611" s="30"/>
      <c r="AR611" s="30"/>
      <c r="AS611" s="30"/>
      <c r="AT611" s="28"/>
      <c r="AU611" s="28"/>
      <c r="AV611" s="28"/>
      <c r="AW611" s="30"/>
      <c r="AX611" s="28"/>
      <c r="AY611" s="28"/>
      <c r="AZ611" s="28"/>
      <c r="BA611" s="28"/>
      <c r="BB611" s="28"/>
      <c r="BC611" s="28"/>
      <c r="BD611" s="28"/>
      <c r="BE611" s="28"/>
      <c r="BF611" s="28"/>
      <c r="BG611" s="30"/>
      <c r="BH611" s="28"/>
      <c r="BI611" s="28"/>
      <c r="BJ611" s="28"/>
      <c r="BK611" s="28"/>
      <c r="BL611" s="28"/>
      <c r="BM611" s="28"/>
      <c r="BN611" s="28"/>
      <c r="BO611" s="28"/>
      <c r="BP611" s="28"/>
      <c r="BQ611" s="28"/>
      <c r="BR611" s="29"/>
      <c r="BS611" s="29"/>
      <c r="BT611" s="29"/>
      <c r="BU611" s="29"/>
      <c r="BV611" s="29"/>
      <c r="BW611" s="29"/>
      <c r="BX611" s="28"/>
      <c r="BY611" s="28"/>
      <c r="BZ611" s="28"/>
    </row>
    <row r="612" s="27" customFormat="1" spans="1:78">
      <c r="A612" s="28"/>
      <c r="B612" s="28"/>
      <c r="C612" s="29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30"/>
      <c r="AQ612" s="30"/>
      <c r="AR612" s="30"/>
      <c r="AS612" s="30"/>
      <c r="AT612" s="28"/>
      <c r="AU612" s="28"/>
      <c r="AV612" s="28"/>
      <c r="AW612" s="30"/>
      <c r="AX612" s="28"/>
      <c r="AY612" s="28"/>
      <c r="AZ612" s="28"/>
      <c r="BA612" s="28"/>
      <c r="BB612" s="28"/>
      <c r="BC612" s="28"/>
      <c r="BD612" s="28"/>
      <c r="BE612" s="28"/>
      <c r="BF612" s="28"/>
      <c r="BG612" s="30"/>
      <c r="BH612" s="28"/>
      <c r="BI612" s="28"/>
      <c r="BJ612" s="28"/>
      <c r="BK612" s="28"/>
      <c r="BL612" s="28"/>
      <c r="BM612" s="28"/>
      <c r="BN612" s="28"/>
      <c r="BO612" s="28"/>
      <c r="BP612" s="28"/>
      <c r="BQ612" s="28"/>
      <c r="BR612" s="29"/>
      <c r="BS612" s="29"/>
      <c r="BT612" s="29"/>
      <c r="BU612" s="28"/>
      <c r="BV612" s="29"/>
      <c r="BW612" s="28"/>
      <c r="BX612" s="28"/>
      <c r="BY612" s="28"/>
      <c r="BZ612" s="28"/>
    </row>
    <row r="613" s="27" customFormat="1" spans="1:78">
      <c r="A613" s="28"/>
      <c r="B613" s="28"/>
      <c r="C613" s="29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30"/>
      <c r="AQ613" s="30"/>
      <c r="AR613" s="30"/>
      <c r="AS613" s="30"/>
      <c r="AT613" s="28"/>
      <c r="AU613" s="28"/>
      <c r="AV613" s="28"/>
      <c r="AW613" s="30"/>
      <c r="AX613" s="28"/>
      <c r="AY613" s="28"/>
      <c r="AZ613" s="28"/>
      <c r="BA613" s="28"/>
      <c r="BB613" s="28"/>
      <c r="BC613" s="28"/>
      <c r="BD613" s="28"/>
      <c r="BE613" s="28"/>
      <c r="BF613" s="28"/>
      <c r="BG613" s="30"/>
      <c r="BH613" s="28"/>
      <c r="BI613" s="28"/>
      <c r="BJ613" s="28"/>
      <c r="BK613" s="28"/>
      <c r="BL613" s="28"/>
      <c r="BM613" s="28"/>
      <c r="BN613" s="28"/>
      <c r="BO613" s="28"/>
      <c r="BP613" s="28"/>
      <c r="BQ613" s="28"/>
      <c r="BR613" s="29"/>
      <c r="BS613" s="28"/>
      <c r="BT613" s="28"/>
      <c r="BU613" s="28"/>
      <c r="BV613" s="29"/>
      <c r="BW613" s="28"/>
      <c r="BX613" s="28"/>
      <c r="BY613" s="28"/>
      <c r="BZ613" s="28"/>
    </row>
    <row r="614" s="27" customFormat="1" spans="1:78">
      <c r="A614" s="28"/>
      <c r="B614" s="28"/>
      <c r="C614" s="29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30"/>
      <c r="AQ614" s="30"/>
      <c r="AR614" s="30"/>
      <c r="AS614" s="30"/>
      <c r="AT614" s="28"/>
      <c r="AU614" s="28"/>
      <c r="AV614" s="28"/>
      <c r="AW614" s="30"/>
      <c r="AX614" s="28"/>
      <c r="AY614" s="28"/>
      <c r="AZ614" s="28"/>
      <c r="BA614" s="28"/>
      <c r="BB614" s="28"/>
      <c r="BC614" s="28"/>
      <c r="BD614" s="28"/>
      <c r="BE614" s="28"/>
      <c r="BF614" s="28"/>
      <c r="BG614" s="30"/>
      <c r="BH614" s="28"/>
      <c r="BI614" s="28"/>
      <c r="BJ614" s="28"/>
      <c r="BK614" s="28"/>
      <c r="BL614" s="28"/>
      <c r="BM614" s="28"/>
      <c r="BN614" s="28"/>
      <c r="BO614" s="28"/>
      <c r="BP614" s="28"/>
      <c r="BQ614" s="28"/>
      <c r="BR614" s="29"/>
      <c r="BS614" s="29"/>
      <c r="BT614" s="29"/>
      <c r="BU614" s="29"/>
      <c r="BV614" s="29"/>
      <c r="BW614" s="29"/>
      <c r="BX614" s="28"/>
      <c r="BY614" s="28"/>
      <c r="BZ614" s="28"/>
    </row>
    <row r="615" s="27" customFormat="1" spans="1:78">
      <c r="A615" s="28"/>
      <c r="B615" s="28"/>
      <c r="C615" s="29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30"/>
      <c r="AQ615" s="30"/>
      <c r="AR615" s="30"/>
      <c r="AS615" s="30"/>
      <c r="AT615" s="28"/>
      <c r="AU615" s="28"/>
      <c r="AV615" s="28"/>
      <c r="AW615" s="30"/>
      <c r="AX615" s="28"/>
      <c r="AY615" s="28"/>
      <c r="AZ615" s="28"/>
      <c r="BA615" s="28"/>
      <c r="BB615" s="28"/>
      <c r="BC615" s="28"/>
      <c r="BD615" s="28"/>
      <c r="BE615" s="28"/>
      <c r="BF615" s="28"/>
      <c r="BG615" s="30"/>
      <c r="BH615" s="28"/>
      <c r="BI615" s="28"/>
      <c r="BJ615" s="28"/>
      <c r="BK615" s="28"/>
      <c r="BL615" s="28"/>
      <c r="BM615" s="28"/>
      <c r="BN615" s="28"/>
      <c r="BO615" s="28"/>
      <c r="BP615" s="28"/>
      <c r="BQ615" s="28"/>
      <c r="BR615" s="29"/>
      <c r="BS615" s="29"/>
      <c r="BT615" s="29"/>
      <c r="BU615" s="29"/>
      <c r="BV615" s="29"/>
      <c r="BW615" s="29"/>
      <c r="BX615" s="28"/>
      <c r="BY615" s="28"/>
      <c r="BZ615" s="28"/>
    </row>
    <row r="616" s="27" customFormat="1" spans="1:78">
      <c r="A616" s="28"/>
      <c r="B616" s="28"/>
      <c r="C616" s="29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30"/>
      <c r="AQ616" s="30"/>
      <c r="AR616" s="30"/>
      <c r="AS616" s="30"/>
      <c r="AT616" s="28"/>
      <c r="AU616" s="28"/>
      <c r="AV616" s="28"/>
      <c r="AW616" s="30"/>
      <c r="AX616" s="28"/>
      <c r="AY616" s="28"/>
      <c r="AZ616" s="28"/>
      <c r="BA616" s="28"/>
      <c r="BB616" s="28"/>
      <c r="BC616" s="28"/>
      <c r="BD616" s="28"/>
      <c r="BE616" s="28"/>
      <c r="BF616" s="28"/>
      <c r="BG616" s="30"/>
      <c r="BH616" s="28"/>
      <c r="BI616" s="28"/>
      <c r="BJ616" s="28"/>
      <c r="BK616" s="28"/>
      <c r="BL616" s="28"/>
      <c r="BM616" s="28"/>
      <c r="BN616" s="28"/>
      <c r="BO616" s="28"/>
      <c r="BP616" s="28"/>
      <c r="BQ616" s="28"/>
      <c r="BR616" s="29"/>
      <c r="BS616" s="29"/>
      <c r="BT616" s="29"/>
      <c r="BU616" s="29"/>
      <c r="BV616" s="29"/>
      <c r="BW616" s="29"/>
      <c r="BX616" s="28"/>
      <c r="BY616" s="28"/>
      <c r="BZ616" s="28"/>
    </row>
    <row r="617" s="27" customFormat="1" spans="1:78">
      <c r="A617" s="28"/>
      <c r="B617" s="28"/>
      <c r="C617" s="29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30"/>
      <c r="AQ617" s="30"/>
      <c r="AR617" s="30"/>
      <c r="AS617" s="30"/>
      <c r="AT617" s="28"/>
      <c r="AU617" s="28"/>
      <c r="AV617" s="28"/>
      <c r="AW617" s="30"/>
      <c r="AX617" s="28"/>
      <c r="AY617" s="28"/>
      <c r="AZ617" s="28"/>
      <c r="BA617" s="28"/>
      <c r="BB617" s="28"/>
      <c r="BC617" s="28"/>
      <c r="BD617" s="28"/>
      <c r="BE617" s="28"/>
      <c r="BF617" s="28"/>
      <c r="BG617" s="30"/>
      <c r="BH617" s="28"/>
      <c r="BI617" s="28"/>
      <c r="BJ617" s="28"/>
      <c r="BK617" s="28"/>
      <c r="BL617" s="28"/>
      <c r="BM617" s="28"/>
      <c r="BN617" s="28"/>
      <c r="BO617" s="28"/>
      <c r="BP617" s="28"/>
      <c r="BQ617" s="28"/>
      <c r="BR617" s="29"/>
      <c r="BS617" s="29"/>
      <c r="BT617" s="29"/>
      <c r="BU617" s="29"/>
      <c r="BV617" s="29"/>
      <c r="BW617" s="29"/>
      <c r="BX617" s="28"/>
      <c r="BY617" s="28"/>
      <c r="BZ617" s="28"/>
    </row>
    <row r="618" s="27" customFormat="1" spans="1:78">
      <c r="A618" s="28"/>
      <c r="B618" s="28"/>
      <c r="C618" s="29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30"/>
      <c r="AQ618" s="30"/>
      <c r="AR618" s="30"/>
      <c r="AS618" s="30"/>
      <c r="AT618" s="28"/>
      <c r="AU618" s="28"/>
      <c r="AV618" s="28"/>
      <c r="AW618" s="30"/>
      <c r="AX618" s="28"/>
      <c r="AY618" s="28"/>
      <c r="AZ618" s="28"/>
      <c r="BA618" s="28"/>
      <c r="BB618" s="28"/>
      <c r="BC618" s="28"/>
      <c r="BD618" s="28"/>
      <c r="BE618" s="28"/>
      <c r="BF618" s="28"/>
      <c r="BG618" s="30"/>
      <c r="BH618" s="28"/>
      <c r="BI618" s="28"/>
      <c r="BJ618" s="28"/>
      <c r="BK618" s="28"/>
      <c r="BL618" s="28"/>
      <c r="BM618" s="28"/>
      <c r="BN618" s="28"/>
      <c r="BO618" s="28"/>
      <c r="BP618" s="28"/>
      <c r="BQ618" s="28"/>
      <c r="BR618" s="29"/>
      <c r="BS618" s="29"/>
      <c r="BT618" s="29"/>
      <c r="BU618" s="29"/>
      <c r="BV618" s="29"/>
      <c r="BW618" s="29"/>
      <c r="BX618" s="28"/>
      <c r="BY618" s="28"/>
      <c r="BZ618" s="28"/>
    </row>
    <row r="619" s="27" customFormat="1" spans="1:78">
      <c r="A619" s="28"/>
      <c r="B619" s="28"/>
      <c r="C619" s="29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30"/>
      <c r="AQ619" s="30"/>
      <c r="AR619" s="30"/>
      <c r="AS619" s="30"/>
      <c r="AT619" s="28"/>
      <c r="AU619" s="28"/>
      <c r="AV619" s="28"/>
      <c r="AW619" s="30"/>
      <c r="AX619" s="28"/>
      <c r="AY619" s="28"/>
      <c r="AZ619" s="28"/>
      <c r="BA619" s="28"/>
      <c r="BB619" s="28"/>
      <c r="BC619" s="28"/>
      <c r="BD619" s="28"/>
      <c r="BE619" s="28"/>
      <c r="BF619" s="28"/>
      <c r="BG619" s="30"/>
      <c r="BH619" s="28"/>
      <c r="BI619" s="28"/>
      <c r="BJ619" s="28"/>
      <c r="BK619" s="28"/>
      <c r="BL619" s="28"/>
      <c r="BM619" s="28"/>
      <c r="BN619" s="28"/>
      <c r="BO619" s="28"/>
      <c r="BP619" s="28"/>
      <c r="BQ619" s="28"/>
      <c r="BR619" s="29"/>
      <c r="BS619" s="29"/>
      <c r="BT619" s="29"/>
      <c r="BU619" s="29"/>
      <c r="BV619" s="29"/>
      <c r="BW619" s="28"/>
      <c r="BX619" s="28"/>
      <c r="BY619" s="28"/>
      <c r="BZ619" s="28"/>
    </row>
    <row r="620" s="27" customFormat="1" spans="1:78">
      <c r="A620" s="28"/>
      <c r="B620" s="28"/>
      <c r="C620" s="29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30"/>
      <c r="AQ620" s="30"/>
      <c r="AR620" s="30"/>
      <c r="AS620" s="30"/>
      <c r="AT620" s="28"/>
      <c r="AU620" s="28"/>
      <c r="AV620" s="28"/>
      <c r="AW620" s="30"/>
      <c r="AX620" s="28"/>
      <c r="AY620" s="28"/>
      <c r="AZ620" s="28"/>
      <c r="BA620" s="28"/>
      <c r="BB620" s="28"/>
      <c r="BC620" s="28"/>
      <c r="BD620" s="28"/>
      <c r="BE620" s="28"/>
      <c r="BF620" s="28"/>
      <c r="BG620" s="30"/>
      <c r="BH620" s="28"/>
      <c r="BI620" s="28"/>
      <c r="BJ620" s="28"/>
      <c r="BK620" s="28"/>
      <c r="BL620" s="28"/>
      <c r="BM620" s="28"/>
      <c r="BN620" s="28"/>
      <c r="BO620" s="28"/>
      <c r="BP620" s="28"/>
      <c r="BQ620" s="28"/>
      <c r="BR620" s="29"/>
      <c r="BS620" s="29"/>
      <c r="BT620" s="29"/>
      <c r="BU620" s="29"/>
      <c r="BV620" s="29"/>
      <c r="BW620" s="29"/>
      <c r="BX620" s="28"/>
      <c r="BY620" s="28"/>
      <c r="BZ620" s="28"/>
    </row>
    <row r="621" s="27" customFormat="1" spans="1:78">
      <c r="A621" s="28"/>
      <c r="B621" s="28"/>
      <c r="C621" s="29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30"/>
      <c r="AQ621" s="30"/>
      <c r="AR621" s="30"/>
      <c r="AS621" s="30"/>
      <c r="AT621" s="28"/>
      <c r="AU621" s="28"/>
      <c r="AV621" s="28"/>
      <c r="AW621" s="30"/>
      <c r="AX621" s="28"/>
      <c r="AY621" s="28"/>
      <c r="AZ621" s="28"/>
      <c r="BA621" s="28"/>
      <c r="BB621" s="28"/>
      <c r="BC621" s="28"/>
      <c r="BD621" s="28"/>
      <c r="BE621" s="28"/>
      <c r="BF621" s="28"/>
      <c r="BG621" s="30"/>
      <c r="BH621" s="28"/>
      <c r="BI621" s="28"/>
      <c r="BJ621" s="28"/>
      <c r="BK621" s="28"/>
      <c r="BL621" s="28"/>
      <c r="BM621" s="28"/>
      <c r="BN621" s="28"/>
      <c r="BO621" s="28"/>
      <c r="BP621" s="28"/>
      <c r="BQ621" s="28"/>
      <c r="BR621" s="29"/>
      <c r="BS621" s="29"/>
      <c r="BT621" s="29"/>
      <c r="BU621" s="28"/>
      <c r="BV621" s="29"/>
      <c r="BW621" s="28"/>
      <c r="BX621" s="28"/>
      <c r="BY621" s="28"/>
      <c r="BZ621" s="28"/>
    </row>
    <row r="622" s="27" customFormat="1" spans="1:78">
      <c r="A622" s="28"/>
      <c r="B622" s="28"/>
      <c r="C622" s="29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30"/>
      <c r="AQ622" s="30"/>
      <c r="AR622" s="30"/>
      <c r="AS622" s="30"/>
      <c r="AT622" s="28"/>
      <c r="AU622" s="28"/>
      <c r="AV622" s="28"/>
      <c r="AW622" s="30"/>
      <c r="AX622" s="28"/>
      <c r="AY622" s="28"/>
      <c r="AZ622" s="28"/>
      <c r="BA622" s="28"/>
      <c r="BB622" s="28"/>
      <c r="BC622" s="28"/>
      <c r="BD622" s="28"/>
      <c r="BE622" s="28"/>
      <c r="BF622" s="28"/>
      <c r="BG622" s="30"/>
      <c r="BH622" s="28"/>
      <c r="BI622" s="28"/>
      <c r="BJ622" s="28"/>
      <c r="BK622" s="28"/>
      <c r="BL622" s="28"/>
      <c r="BM622" s="28"/>
      <c r="BN622" s="28"/>
      <c r="BO622" s="28"/>
      <c r="BP622" s="28"/>
      <c r="BQ622" s="28"/>
      <c r="BR622" s="29"/>
      <c r="BS622" s="29"/>
      <c r="BT622" s="29"/>
      <c r="BU622" s="29"/>
      <c r="BV622" s="29"/>
      <c r="BW622" s="29"/>
      <c r="BX622" s="28"/>
      <c r="BY622" s="28"/>
      <c r="BZ622" s="28"/>
    </row>
    <row r="623" s="27" customFormat="1" spans="1:78">
      <c r="A623" s="28"/>
      <c r="B623" s="28"/>
      <c r="C623" s="29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30"/>
      <c r="AQ623" s="30"/>
      <c r="AR623" s="30"/>
      <c r="AS623" s="30"/>
      <c r="AT623" s="28"/>
      <c r="AU623" s="28"/>
      <c r="AV623" s="28"/>
      <c r="AW623" s="30"/>
      <c r="AX623" s="28"/>
      <c r="AY623" s="28"/>
      <c r="AZ623" s="28"/>
      <c r="BA623" s="28"/>
      <c r="BB623" s="28"/>
      <c r="BC623" s="28"/>
      <c r="BD623" s="28"/>
      <c r="BE623" s="28"/>
      <c r="BF623" s="28"/>
      <c r="BG623" s="30"/>
      <c r="BH623" s="28"/>
      <c r="BI623" s="28"/>
      <c r="BJ623" s="28"/>
      <c r="BK623" s="28"/>
      <c r="BL623" s="28"/>
      <c r="BM623" s="28"/>
      <c r="BN623" s="28"/>
      <c r="BO623" s="28"/>
      <c r="BP623" s="28"/>
      <c r="BQ623" s="28"/>
      <c r="BR623" s="29"/>
      <c r="BS623" s="29"/>
      <c r="BT623" s="29"/>
      <c r="BU623" s="29"/>
      <c r="BV623" s="29"/>
      <c r="BW623" s="29"/>
      <c r="BX623" s="28"/>
      <c r="BY623" s="28"/>
      <c r="BZ623" s="28"/>
    </row>
    <row r="624" s="27" customFormat="1" spans="1:78">
      <c r="A624" s="28"/>
      <c r="B624" s="28"/>
      <c r="C624" s="29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30"/>
      <c r="AQ624" s="30"/>
      <c r="AR624" s="30"/>
      <c r="AS624" s="30"/>
      <c r="AT624" s="28"/>
      <c r="AU624" s="28"/>
      <c r="AV624" s="28"/>
      <c r="AW624" s="30"/>
      <c r="AX624" s="28"/>
      <c r="AY624" s="28"/>
      <c r="AZ624" s="28"/>
      <c r="BA624" s="28"/>
      <c r="BB624" s="28"/>
      <c r="BC624" s="28"/>
      <c r="BD624" s="28"/>
      <c r="BE624" s="28"/>
      <c r="BF624" s="28"/>
      <c r="BG624" s="30"/>
      <c r="BH624" s="28"/>
      <c r="BI624" s="28"/>
      <c r="BJ624" s="28"/>
      <c r="BK624" s="28"/>
      <c r="BL624" s="28"/>
      <c r="BM624" s="28"/>
      <c r="BN624" s="28"/>
      <c r="BO624" s="28"/>
      <c r="BP624" s="28"/>
      <c r="BQ624" s="28"/>
      <c r="BR624" s="29"/>
      <c r="BS624" s="29"/>
      <c r="BT624" s="29"/>
      <c r="BU624" s="29"/>
      <c r="BV624" s="29"/>
      <c r="BW624" s="29"/>
      <c r="BX624" s="28"/>
      <c r="BY624" s="28"/>
      <c r="BZ624" s="28"/>
    </row>
    <row r="625" s="27" customFormat="1" spans="1:78">
      <c r="A625" s="28"/>
      <c r="B625" s="28"/>
      <c r="C625" s="29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30"/>
      <c r="AQ625" s="30"/>
      <c r="AR625" s="30"/>
      <c r="AS625" s="30"/>
      <c r="AT625" s="28"/>
      <c r="AU625" s="28"/>
      <c r="AV625" s="28"/>
      <c r="AW625" s="30"/>
      <c r="AX625" s="28"/>
      <c r="AY625" s="28"/>
      <c r="AZ625" s="28"/>
      <c r="BA625" s="28"/>
      <c r="BB625" s="28"/>
      <c r="BC625" s="28"/>
      <c r="BD625" s="28"/>
      <c r="BE625" s="28"/>
      <c r="BF625" s="28"/>
      <c r="BG625" s="30"/>
      <c r="BH625" s="28"/>
      <c r="BI625" s="28"/>
      <c r="BJ625" s="28"/>
      <c r="BK625" s="28"/>
      <c r="BL625" s="28"/>
      <c r="BM625" s="28"/>
      <c r="BN625" s="28"/>
      <c r="BO625" s="28"/>
      <c r="BP625" s="28"/>
      <c r="BQ625" s="28"/>
      <c r="BR625" s="29"/>
      <c r="BS625" s="29"/>
      <c r="BT625" s="29"/>
      <c r="BU625" s="29"/>
      <c r="BV625" s="29"/>
      <c r="BW625" s="29"/>
      <c r="BX625" s="28"/>
      <c r="BY625" s="28"/>
      <c r="BZ625" s="28"/>
    </row>
    <row r="626" s="27" customFormat="1" spans="1:78">
      <c r="A626" s="28"/>
      <c r="B626" s="28"/>
      <c r="C626" s="29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30"/>
      <c r="AQ626" s="30"/>
      <c r="AR626" s="30"/>
      <c r="AS626" s="30"/>
      <c r="AT626" s="28"/>
      <c r="AU626" s="28"/>
      <c r="AV626" s="28"/>
      <c r="AW626" s="30"/>
      <c r="AX626" s="28"/>
      <c r="AY626" s="28"/>
      <c r="AZ626" s="28"/>
      <c r="BA626" s="28"/>
      <c r="BB626" s="28"/>
      <c r="BC626" s="28"/>
      <c r="BD626" s="28"/>
      <c r="BE626" s="28"/>
      <c r="BF626" s="28"/>
      <c r="BG626" s="30"/>
      <c r="BH626" s="28"/>
      <c r="BI626" s="28"/>
      <c r="BJ626" s="28"/>
      <c r="BK626" s="28"/>
      <c r="BL626" s="28"/>
      <c r="BM626" s="28"/>
      <c r="BN626" s="28"/>
      <c r="BO626" s="28"/>
      <c r="BP626" s="28"/>
      <c r="BQ626" s="28"/>
      <c r="BR626" s="29"/>
      <c r="BS626" s="29"/>
      <c r="BT626" s="29"/>
      <c r="BU626" s="29"/>
      <c r="BV626" s="29"/>
      <c r="BW626" s="28"/>
      <c r="BX626" s="28"/>
      <c r="BY626" s="28"/>
      <c r="BZ626" s="28"/>
    </row>
    <row r="627" s="27" customFormat="1" spans="1:78">
      <c r="A627" s="28"/>
      <c r="B627" s="28"/>
      <c r="C627" s="29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30"/>
      <c r="AQ627" s="30"/>
      <c r="AR627" s="30"/>
      <c r="AS627" s="30"/>
      <c r="AT627" s="28"/>
      <c r="AU627" s="28"/>
      <c r="AV627" s="28"/>
      <c r="AW627" s="30"/>
      <c r="AX627" s="28"/>
      <c r="AY627" s="28"/>
      <c r="AZ627" s="28"/>
      <c r="BA627" s="28"/>
      <c r="BB627" s="28"/>
      <c r="BC627" s="28"/>
      <c r="BD627" s="28"/>
      <c r="BE627" s="28"/>
      <c r="BF627" s="28"/>
      <c r="BG627" s="30"/>
      <c r="BH627" s="28"/>
      <c r="BI627" s="28"/>
      <c r="BJ627" s="28"/>
      <c r="BK627" s="28"/>
      <c r="BL627" s="28"/>
      <c r="BM627" s="28"/>
      <c r="BN627" s="28"/>
      <c r="BO627" s="28"/>
      <c r="BP627" s="28"/>
      <c r="BQ627" s="28"/>
      <c r="BR627" s="29"/>
      <c r="BS627" s="29"/>
      <c r="BT627" s="29"/>
      <c r="BU627" s="29"/>
      <c r="BV627" s="29"/>
      <c r="BW627" s="28"/>
      <c r="BX627" s="28"/>
      <c r="BY627" s="28"/>
      <c r="BZ627" s="28"/>
    </row>
    <row r="628" s="27" customFormat="1" spans="1:78">
      <c r="A628" s="28"/>
      <c r="B628" s="28"/>
      <c r="C628" s="29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30"/>
      <c r="AQ628" s="30"/>
      <c r="AR628" s="30"/>
      <c r="AS628" s="30"/>
      <c r="AT628" s="28"/>
      <c r="AU628" s="28"/>
      <c r="AV628" s="28"/>
      <c r="AW628" s="30"/>
      <c r="AX628" s="28"/>
      <c r="AY628" s="28"/>
      <c r="AZ628" s="28"/>
      <c r="BA628" s="28"/>
      <c r="BB628" s="28"/>
      <c r="BC628" s="28"/>
      <c r="BD628" s="28"/>
      <c r="BE628" s="28"/>
      <c r="BF628" s="28"/>
      <c r="BG628" s="30"/>
      <c r="BH628" s="28"/>
      <c r="BI628" s="28"/>
      <c r="BJ628" s="28"/>
      <c r="BK628" s="28"/>
      <c r="BL628" s="28"/>
      <c r="BM628" s="28"/>
      <c r="BN628" s="28"/>
      <c r="BO628" s="28"/>
      <c r="BP628" s="28"/>
      <c r="BQ628" s="28"/>
      <c r="BR628" s="29"/>
      <c r="BS628" s="29"/>
      <c r="BT628" s="29"/>
      <c r="BU628" s="29"/>
      <c r="BV628" s="29"/>
      <c r="BW628" s="29"/>
      <c r="BX628" s="28"/>
      <c r="BY628" s="28"/>
      <c r="BZ628" s="28"/>
    </row>
    <row r="629" s="27" customFormat="1" spans="1:78">
      <c r="A629" s="28"/>
      <c r="B629" s="28"/>
      <c r="C629" s="29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30"/>
      <c r="AQ629" s="30"/>
      <c r="AR629" s="30"/>
      <c r="AS629" s="30"/>
      <c r="AT629" s="28"/>
      <c r="AU629" s="28"/>
      <c r="AV629" s="28"/>
      <c r="AW629" s="30"/>
      <c r="AX629" s="28"/>
      <c r="AY629" s="28"/>
      <c r="AZ629" s="28"/>
      <c r="BA629" s="28"/>
      <c r="BB629" s="28"/>
      <c r="BC629" s="28"/>
      <c r="BD629" s="28"/>
      <c r="BE629" s="28"/>
      <c r="BF629" s="28"/>
      <c r="BG629" s="30"/>
      <c r="BH629" s="28"/>
      <c r="BI629" s="28"/>
      <c r="BJ629" s="28"/>
      <c r="BK629" s="28"/>
      <c r="BL629" s="28"/>
      <c r="BM629" s="28"/>
      <c r="BN629" s="28"/>
      <c r="BO629" s="28"/>
      <c r="BP629" s="28"/>
      <c r="BQ629" s="28"/>
      <c r="BR629" s="29"/>
      <c r="BS629" s="29"/>
      <c r="BT629" s="29"/>
      <c r="BU629" s="29"/>
      <c r="BV629" s="29"/>
      <c r="BW629" s="29"/>
      <c r="BX629" s="28"/>
      <c r="BY629" s="28"/>
      <c r="BZ629" s="28"/>
    </row>
    <row r="630" s="27" customFormat="1" spans="1:78">
      <c r="A630" s="28"/>
      <c r="B630" s="28"/>
      <c r="C630" s="29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30"/>
      <c r="AQ630" s="30"/>
      <c r="AR630" s="30"/>
      <c r="AS630" s="30"/>
      <c r="AT630" s="28"/>
      <c r="AU630" s="28"/>
      <c r="AV630" s="28"/>
      <c r="AW630" s="30"/>
      <c r="AX630" s="28"/>
      <c r="AY630" s="28"/>
      <c r="AZ630" s="28"/>
      <c r="BA630" s="28"/>
      <c r="BB630" s="28"/>
      <c r="BC630" s="28"/>
      <c r="BD630" s="28"/>
      <c r="BE630" s="28"/>
      <c r="BF630" s="28"/>
      <c r="BG630" s="30"/>
      <c r="BH630" s="28"/>
      <c r="BI630" s="28"/>
      <c r="BJ630" s="28"/>
      <c r="BK630" s="28"/>
      <c r="BL630" s="28"/>
      <c r="BM630" s="28"/>
      <c r="BN630" s="28"/>
      <c r="BO630" s="28"/>
      <c r="BP630" s="28"/>
      <c r="BQ630" s="28"/>
      <c r="BR630" s="29"/>
      <c r="BS630" s="29"/>
      <c r="BT630" s="29"/>
      <c r="BU630" s="29"/>
      <c r="BV630" s="29"/>
      <c r="BW630" s="29"/>
      <c r="BX630" s="28"/>
      <c r="BY630" s="28"/>
      <c r="BZ630" s="28"/>
    </row>
    <row r="631" s="27" customFormat="1" spans="1:78">
      <c r="A631" s="28"/>
      <c r="B631" s="28"/>
      <c r="C631" s="29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30"/>
      <c r="AQ631" s="30"/>
      <c r="AR631" s="30"/>
      <c r="AS631" s="30"/>
      <c r="AT631" s="28"/>
      <c r="AU631" s="28"/>
      <c r="AV631" s="28"/>
      <c r="AW631" s="30"/>
      <c r="AX631" s="28"/>
      <c r="AY631" s="28"/>
      <c r="AZ631" s="28"/>
      <c r="BA631" s="28"/>
      <c r="BB631" s="28"/>
      <c r="BC631" s="28"/>
      <c r="BD631" s="28"/>
      <c r="BE631" s="28"/>
      <c r="BF631" s="28"/>
      <c r="BG631" s="30"/>
      <c r="BH631" s="28"/>
      <c r="BI631" s="28"/>
      <c r="BJ631" s="28"/>
      <c r="BK631" s="28"/>
      <c r="BL631" s="28"/>
      <c r="BM631" s="28"/>
      <c r="BN631" s="28"/>
      <c r="BO631" s="28"/>
      <c r="BP631" s="28"/>
      <c r="BQ631" s="28"/>
      <c r="BR631" s="29"/>
      <c r="BS631" s="29"/>
      <c r="BT631" s="29"/>
      <c r="BU631" s="28"/>
      <c r="BV631" s="29"/>
      <c r="BW631" s="28"/>
      <c r="BX631" s="28"/>
      <c r="BY631" s="28"/>
      <c r="BZ631" s="28"/>
    </row>
    <row r="632" s="27" customFormat="1" spans="1:78">
      <c r="A632" s="28"/>
      <c r="B632" s="28"/>
      <c r="C632" s="29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30"/>
      <c r="AQ632" s="30"/>
      <c r="AR632" s="30"/>
      <c r="AS632" s="30"/>
      <c r="AT632" s="28"/>
      <c r="AU632" s="28"/>
      <c r="AV632" s="28"/>
      <c r="AW632" s="30"/>
      <c r="AX632" s="28"/>
      <c r="AY632" s="28"/>
      <c r="AZ632" s="28"/>
      <c r="BA632" s="28"/>
      <c r="BB632" s="28"/>
      <c r="BC632" s="28"/>
      <c r="BD632" s="28"/>
      <c r="BE632" s="28"/>
      <c r="BF632" s="28"/>
      <c r="BG632" s="30"/>
      <c r="BH632" s="28"/>
      <c r="BI632" s="28"/>
      <c r="BJ632" s="28"/>
      <c r="BK632" s="28"/>
      <c r="BL632" s="28"/>
      <c r="BM632" s="28"/>
      <c r="BN632" s="28"/>
      <c r="BO632" s="28"/>
      <c r="BP632" s="28"/>
      <c r="BQ632" s="28"/>
      <c r="BR632" s="29"/>
      <c r="BS632" s="29"/>
      <c r="BT632" s="29"/>
      <c r="BU632" s="28"/>
      <c r="BV632" s="29"/>
      <c r="BW632" s="28"/>
      <c r="BX632" s="28"/>
      <c r="BY632" s="28"/>
      <c r="BZ632" s="28"/>
    </row>
    <row r="633" s="27" customFormat="1" spans="1:78">
      <c r="A633" s="28"/>
      <c r="B633" s="28"/>
      <c r="C633" s="29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30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30"/>
      <c r="AQ633" s="30"/>
      <c r="AR633" s="30"/>
      <c r="AS633" s="30"/>
      <c r="AT633" s="28"/>
      <c r="AU633" s="28"/>
      <c r="AV633" s="28"/>
      <c r="AW633" s="30"/>
      <c r="AX633" s="28"/>
      <c r="AY633" s="28"/>
      <c r="AZ633" s="28"/>
      <c r="BA633" s="28"/>
      <c r="BB633" s="28"/>
      <c r="BC633" s="28"/>
      <c r="BD633" s="28"/>
      <c r="BE633" s="28"/>
      <c r="BF633" s="28"/>
      <c r="BG633" s="30"/>
      <c r="BH633" s="28"/>
      <c r="BI633" s="28"/>
      <c r="BJ633" s="28"/>
      <c r="BK633" s="28"/>
      <c r="BL633" s="28"/>
      <c r="BM633" s="28"/>
      <c r="BN633" s="28"/>
      <c r="BO633" s="28"/>
      <c r="BP633" s="28"/>
      <c r="BQ633" s="28"/>
      <c r="BR633" s="29"/>
      <c r="BS633" s="29"/>
      <c r="BT633" s="29"/>
      <c r="BU633" s="29"/>
      <c r="BV633" s="29"/>
      <c r="BW633" s="29"/>
      <c r="BX633" s="28"/>
      <c r="BY633" s="28"/>
      <c r="BZ633" s="28"/>
    </row>
    <row r="634" s="27" customFormat="1" spans="1:78">
      <c r="A634" s="28"/>
      <c r="B634" s="28"/>
      <c r="C634" s="29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30"/>
      <c r="AQ634" s="30"/>
      <c r="AR634" s="30"/>
      <c r="AS634" s="30"/>
      <c r="AT634" s="28"/>
      <c r="AU634" s="28"/>
      <c r="AV634" s="28"/>
      <c r="AW634" s="30"/>
      <c r="AX634" s="28"/>
      <c r="AY634" s="28"/>
      <c r="AZ634" s="28"/>
      <c r="BA634" s="28"/>
      <c r="BB634" s="28"/>
      <c r="BC634" s="28"/>
      <c r="BD634" s="28"/>
      <c r="BE634" s="28"/>
      <c r="BF634" s="28"/>
      <c r="BG634" s="30"/>
      <c r="BH634" s="28"/>
      <c r="BI634" s="28"/>
      <c r="BJ634" s="28"/>
      <c r="BK634" s="28"/>
      <c r="BL634" s="28"/>
      <c r="BM634" s="28"/>
      <c r="BN634" s="28"/>
      <c r="BO634" s="28"/>
      <c r="BP634" s="28"/>
      <c r="BQ634" s="28"/>
      <c r="BR634" s="29"/>
      <c r="BS634" s="29"/>
      <c r="BT634" s="29"/>
      <c r="BU634" s="29"/>
      <c r="BV634" s="29"/>
      <c r="BW634" s="29"/>
      <c r="BX634" s="28"/>
      <c r="BY634" s="28"/>
      <c r="BZ634" s="28"/>
    </row>
    <row r="635" s="27" customFormat="1" spans="1:78">
      <c r="A635" s="28"/>
      <c r="B635" s="28"/>
      <c r="C635" s="29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30"/>
      <c r="AQ635" s="30"/>
      <c r="AR635" s="30"/>
      <c r="AS635" s="30"/>
      <c r="AT635" s="28"/>
      <c r="AU635" s="29"/>
      <c r="AV635" s="30"/>
      <c r="AW635" s="30"/>
      <c r="AX635" s="28"/>
      <c r="AY635" s="28"/>
      <c r="AZ635" s="28"/>
      <c r="BA635" s="28"/>
      <c r="BB635" s="28"/>
      <c r="BC635" s="28"/>
      <c r="BD635" s="28"/>
      <c r="BE635" s="28"/>
      <c r="BF635" s="28"/>
      <c r="BG635" s="30"/>
      <c r="BH635" s="28"/>
      <c r="BI635" s="28"/>
      <c r="BJ635" s="28"/>
      <c r="BK635" s="28"/>
      <c r="BL635" s="28"/>
      <c r="BM635" s="28"/>
      <c r="BN635" s="28"/>
      <c r="BO635" s="28"/>
      <c r="BP635" s="28"/>
      <c r="BQ635" s="28"/>
      <c r="BR635" s="29"/>
      <c r="BS635" s="29"/>
      <c r="BT635" s="29"/>
      <c r="BU635" s="29"/>
      <c r="BV635" s="29"/>
      <c r="BW635" s="29"/>
      <c r="BX635" s="28"/>
      <c r="BY635" s="28"/>
      <c r="BZ635" s="28"/>
    </row>
    <row r="636" s="27" customFormat="1" spans="1:78">
      <c r="A636" s="28"/>
      <c r="B636" s="28"/>
      <c r="C636" s="29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30"/>
      <c r="AQ636" s="30"/>
      <c r="AR636" s="30"/>
      <c r="AS636" s="30"/>
      <c r="AT636" s="28"/>
      <c r="AU636" s="28"/>
      <c r="AV636" s="28"/>
      <c r="AW636" s="30"/>
      <c r="AX636" s="28"/>
      <c r="AY636" s="28"/>
      <c r="AZ636" s="28"/>
      <c r="BA636" s="28"/>
      <c r="BB636" s="28"/>
      <c r="BC636" s="28"/>
      <c r="BD636" s="28"/>
      <c r="BE636" s="28"/>
      <c r="BF636" s="28"/>
      <c r="BG636" s="30"/>
      <c r="BH636" s="28"/>
      <c r="BI636" s="28"/>
      <c r="BJ636" s="28"/>
      <c r="BK636" s="28"/>
      <c r="BL636" s="28"/>
      <c r="BM636" s="28"/>
      <c r="BN636" s="28"/>
      <c r="BO636" s="28"/>
      <c r="BP636" s="28"/>
      <c r="BQ636" s="28"/>
      <c r="BR636" s="29"/>
      <c r="BS636" s="29"/>
      <c r="BT636" s="29"/>
      <c r="BU636" s="29"/>
      <c r="BV636" s="29"/>
      <c r="BW636" s="29"/>
      <c r="BX636" s="28"/>
      <c r="BY636" s="28"/>
      <c r="BZ636" s="28"/>
    </row>
    <row r="637" s="27" customFormat="1" spans="1:78">
      <c r="A637" s="28"/>
      <c r="B637" s="28"/>
      <c r="C637" s="29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30"/>
      <c r="AQ637" s="30"/>
      <c r="AR637" s="30"/>
      <c r="AS637" s="30"/>
      <c r="AT637" s="28"/>
      <c r="AU637" s="28"/>
      <c r="AV637" s="28"/>
      <c r="AW637" s="30"/>
      <c r="AX637" s="28"/>
      <c r="AY637" s="28"/>
      <c r="AZ637" s="28"/>
      <c r="BA637" s="28"/>
      <c r="BB637" s="28"/>
      <c r="BC637" s="28"/>
      <c r="BD637" s="28"/>
      <c r="BE637" s="28"/>
      <c r="BF637" s="28"/>
      <c r="BG637" s="30"/>
      <c r="BH637" s="28"/>
      <c r="BI637" s="28"/>
      <c r="BJ637" s="28"/>
      <c r="BK637" s="28"/>
      <c r="BL637" s="28"/>
      <c r="BM637" s="28"/>
      <c r="BN637" s="28"/>
      <c r="BO637" s="28"/>
      <c r="BP637" s="28"/>
      <c r="BQ637" s="28"/>
      <c r="BR637" s="29"/>
      <c r="BS637" s="29"/>
      <c r="BT637" s="29"/>
      <c r="BU637" s="29"/>
      <c r="BV637" s="29"/>
      <c r="BW637" s="29"/>
      <c r="BX637" s="28"/>
      <c r="BY637" s="28"/>
      <c r="BZ637" s="28"/>
    </row>
    <row r="638" s="27" customFormat="1" spans="1:78">
      <c r="A638" s="28"/>
      <c r="B638" s="28"/>
      <c r="C638" s="29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30"/>
      <c r="AQ638" s="30"/>
      <c r="AR638" s="30"/>
      <c r="AS638" s="30"/>
      <c r="AT638" s="28"/>
      <c r="AU638" s="28"/>
      <c r="AV638" s="28"/>
      <c r="AW638" s="30"/>
      <c r="AX638" s="28"/>
      <c r="AY638" s="28"/>
      <c r="AZ638" s="28"/>
      <c r="BA638" s="28"/>
      <c r="BB638" s="28"/>
      <c r="BC638" s="28"/>
      <c r="BD638" s="28"/>
      <c r="BE638" s="28"/>
      <c r="BF638" s="28"/>
      <c r="BG638" s="30"/>
      <c r="BH638" s="28"/>
      <c r="BI638" s="28"/>
      <c r="BJ638" s="28"/>
      <c r="BK638" s="28"/>
      <c r="BL638" s="28"/>
      <c r="BM638" s="28"/>
      <c r="BN638" s="28"/>
      <c r="BO638" s="28"/>
      <c r="BP638" s="28"/>
      <c r="BQ638" s="28"/>
      <c r="BR638" s="29"/>
      <c r="BS638" s="29"/>
      <c r="BT638" s="29"/>
      <c r="BU638" s="29"/>
      <c r="BV638" s="29"/>
      <c r="BW638" s="29"/>
      <c r="BX638" s="28"/>
      <c r="BY638" s="28"/>
      <c r="BZ638" s="28"/>
    </row>
    <row r="639" s="27" customFormat="1" spans="1:78">
      <c r="A639" s="28"/>
      <c r="B639" s="28"/>
      <c r="C639" s="29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30"/>
      <c r="AQ639" s="30"/>
      <c r="AR639" s="30"/>
      <c r="AS639" s="30"/>
      <c r="AT639" s="28"/>
      <c r="AU639" s="28"/>
      <c r="AV639" s="28"/>
      <c r="AW639" s="30"/>
      <c r="AX639" s="28"/>
      <c r="AY639" s="28"/>
      <c r="AZ639" s="28"/>
      <c r="BA639" s="28"/>
      <c r="BB639" s="28"/>
      <c r="BC639" s="28"/>
      <c r="BD639" s="28"/>
      <c r="BE639" s="28"/>
      <c r="BF639" s="28"/>
      <c r="BG639" s="30"/>
      <c r="BH639" s="28"/>
      <c r="BI639" s="28"/>
      <c r="BJ639" s="28"/>
      <c r="BK639" s="28"/>
      <c r="BL639" s="28"/>
      <c r="BM639" s="28"/>
      <c r="BN639" s="28"/>
      <c r="BO639" s="28"/>
      <c r="BP639" s="28"/>
      <c r="BQ639" s="28"/>
      <c r="BR639" s="29"/>
      <c r="BS639" s="29"/>
      <c r="BT639" s="29"/>
      <c r="BU639" s="29"/>
      <c r="BV639" s="29"/>
      <c r="BW639" s="29"/>
      <c r="BX639" s="28"/>
      <c r="BY639" s="28"/>
      <c r="BZ639" s="28"/>
    </row>
    <row r="640" s="27" customFormat="1" spans="1:78">
      <c r="A640" s="28"/>
      <c r="B640" s="28"/>
      <c r="C640" s="29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30"/>
      <c r="AQ640" s="30"/>
      <c r="AR640" s="30"/>
      <c r="AS640" s="30"/>
      <c r="AT640" s="28"/>
      <c r="AU640" s="28"/>
      <c r="AV640" s="28"/>
      <c r="AW640" s="30"/>
      <c r="AX640" s="28"/>
      <c r="AY640" s="28"/>
      <c r="AZ640" s="28"/>
      <c r="BA640" s="28"/>
      <c r="BB640" s="28"/>
      <c r="BC640" s="28"/>
      <c r="BD640" s="28"/>
      <c r="BE640" s="28"/>
      <c r="BF640" s="28"/>
      <c r="BG640" s="30"/>
      <c r="BH640" s="28"/>
      <c r="BI640" s="28"/>
      <c r="BJ640" s="28"/>
      <c r="BK640" s="28"/>
      <c r="BL640" s="28"/>
      <c r="BM640" s="28"/>
      <c r="BN640" s="28"/>
      <c r="BO640" s="28"/>
      <c r="BP640" s="28"/>
      <c r="BQ640" s="28"/>
      <c r="BR640" s="29"/>
      <c r="BS640" s="29"/>
      <c r="BT640" s="28"/>
      <c r="BU640" s="28"/>
      <c r="BV640" s="29"/>
      <c r="BW640" s="28"/>
      <c r="BX640" s="28"/>
      <c r="BY640" s="28"/>
      <c r="BZ640" s="28"/>
    </row>
    <row r="641" s="27" customFormat="1" spans="1:78">
      <c r="A641" s="28"/>
      <c r="B641" s="28"/>
      <c r="C641" s="29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30"/>
      <c r="AQ641" s="30"/>
      <c r="AR641" s="30"/>
      <c r="AS641" s="30"/>
      <c r="AT641" s="28"/>
      <c r="AU641" s="28"/>
      <c r="AV641" s="28"/>
      <c r="AW641" s="30"/>
      <c r="AX641" s="28"/>
      <c r="AY641" s="28"/>
      <c r="AZ641" s="28"/>
      <c r="BA641" s="28"/>
      <c r="BB641" s="28"/>
      <c r="BC641" s="28"/>
      <c r="BD641" s="28"/>
      <c r="BE641" s="28"/>
      <c r="BF641" s="28"/>
      <c r="BG641" s="30"/>
      <c r="BH641" s="28"/>
      <c r="BI641" s="28"/>
      <c r="BJ641" s="28"/>
      <c r="BK641" s="28"/>
      <c r="BL641" s="28"/>
      <c r="BM641" s="28"/>
      <c r="BN641" s="28"/>
      <c r="BO641" s="28"/>
      <c r="BP641" s="28"/>
      <c r="BQ641" s="28"/>
      <c r="BR641" s="29"/>
      <c r="BS641" s="29"/>
      <c r="BT641" s="29"/>
      <c r="BU641" s="29"/>
      <c r="BV641" s="29"/>
      <c r="BW641" s="29"/>
      <c r="BX641" s="28"/>
      <c r="BY641" s="28"/>
      <c r="BZ641" s="28"/>
    </row>
    <row r="642" s="27" customFormat="1" spans="1:78">
      <c r="A642" s="28"/>
      <c r="B642" s="28"/>
      <c r="C642" s="29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30"/>
      <c r="AQ642" s="30"/>
      <c r="AR642" s="30"/>
      <c r="AS642" s="30"/>
      <c r="AT642" s="28"/>
      <c r="AU642" s="28"/>
      <c r="AV642" s="28"/>
      <c r="AW642" s="30"/>
      <c r="AX642" s="28"/>
      <c r="AY642" s="28"/>
      <c r="AZ642" s="28"/>
      <c r="BA642" s="28"/>
      <c r="BB642" s="28"/>
      <c r="BC642" s="28"/>
      <c r="BD642" s="28"/>
      <c r="BE642" s="28"/>
      <c r="BF642" s="28"/>
      <c r="BG642" s="30"/>
      <c r="BH642" s="28"/>
      <c r="BI642" s="28"/>
      <c r="BJ642" s="28"/>
      <c r="BK642" s="28"/>
      <c r="BL642" s="28"/>
      <c r="BM642" s="28"/>
      <c r="BN642" s="28"/>
      <c r="BO642" s="28"/>
      <c r="BP642" s="28"/>
      <c r="BQ642" s="28"/>
      <c r="BR642" s="29"/>
      <c r="BS642" s="29"/>
      <c r="BT642" s="29"/>
      <c r="BU642" s="29"/>
      <c r="BV642" s="29"/>
      <c r="BW642" s="29"/>
      <c r="BX642" s="28"/>
      <c r="BY642" s="28"/>
      <c r="BZ642" s="28"/>
    </row>
    <row r="643" s="27" customFormat="1" spans="1:78">
      <c r="A643" s="28"/>
      <c r="B643" s="28"/>
      <c r="C643" s="29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30"/>
      <c r="AQ643" s="30"/>
      <c r="AR643" s="30"/>
      <c r="AS643" s="30"/>
      <c r="AT643" s="28"/>
      <c r="AU643" s="28"/>
      <c r="AV643" s="28"/>
      <c r="AW643" s="30"/>
      <c r="AX643" s="28"/>
      <c r="AY643" s="28"/>
      <c r="AZ643" s="28"/>
      <c r="BA643" s="28"/>
      <c r="BB643" s="28"/>
      <c r="BC643" s="28"/>
      <c r="BD643" s="28"/>
      <c r="BE643" s="28"/>
      <c r="BF643" s="28"/>
      <c r="BG643" s="30"/>
      <c r="BH643" s="28"/>
      <c r="BI643" s="28"/>
      <c r="BJ643" s="28"/>
      <c r="BK643" s="28"/>
      <c r="BL643" s="28"/>
      <c r="BM643" s="28"/>
      <c r="BN643" s="28"/>
      <c r="BO643" s="28"/>
      <c r="BP643" s="28"/>
      <c r="BQ643" s="28"/>
      <c r="BR643" s="29"/>
      <c r="BS643" s="29"/>
      <c r="BT643" s="29"/>
      <c r="BU643" s="28"/>
      <c r="BV643" s="29"/>
      <c r="BW643" s="28"/>
      <c r="BX643" s="28"/>
      <c r="BY643" s="28"/>
      <c r="BZ643" s="28"/>
    </row>
    <row r="644" s="27" customFormat="1" spans="1:78">
      <c r="A644" s="28"/>
      <c r="B644" s="28"/>
      <c r="C644" s="29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30"/>
      <c r="AQ644" s="30"/>
      <c r="AR644" s="30"/>
      <c r="AS644" s="30"/>
      <c r="AT644" s="28"/>
      <c r="AU644" s="28"/>
      <c r="AV644" s="28"/>
      <c r="AW644" s="30"/>
      <c r="AX644" s="28"/>
      <c r="AY644" s="28"/>
      <c r="AZ644" s="28"/>
      <c r="BA644" s="28"/>
      <c r="BB644" s="28"/>
      <c r="BC644" s="28"/>
      <c r="BD644" s="28"/>
      <c r="BE644" s="28"/>
      <c r="BF644" s="28"/>
      <c r="BG644" s="30"/>
      <c r="BH644" s="28"/>
      <c r="BI644" s="28"/>
      <c r="BJ644" s="28"/>
      <c r="BK644" s="28"/>
      <c r="BL644" s="28"/>
      <c r="BM644" s="28"/>
      <c r="BN644" s="28"/>
      <c r="BO644" s="28"/>
      <c r="BP644" s="28"/>
      <c r="BQ644" s="28"/>
      <c r="BR644" s="29"/>
      <c r="BS644" s="29"/>
      <c r="BT644" s="29"/>
      <c r="BU644" s="29"/>
      <c r="BV644" s="29"/>
      <c r="BW644" s="29"/>
      <c r="BX644" s="28"/>
      <c r="BY644" s="28"/>
      <c r="BZ644" s="28"/>
    </row>
    <row r="645" s="27" customFormat="1" spans="1:78">
      <c r="A645" s="28"/>
      <c r="B645" s="28"/>
      <c r="C645" s="29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30"/>
      <c r="AQ645" s="30"/>
      <c r="AR645" s="30"/>
      <c r="AS645" s="30"/>
      <c r="AT645" s="28"/>
      <c r="AU645" s="28"/>
      <c r="AV645" s="28"/>
      <c r="AW645" s="30"/>
      <c r="AX645" s="28"/>
      <c r="AY645" s="28"/>
      <c r="AZ645" s="28"/>
      <c r="BA645" s="28"/>
      <c r="BB645" s="28"/>
      <c r="BC645" s="28"/>
      <c r="BD645" s="28"/>
      <c r="BE645" s="28"/>
      <c r="BF645" s="28"/>
      <c r="BG645" s="30"/>
      <c r="BH645" s="28"/>
      <c r="BI645" s="28"/>
      <c r="BJ645" s="28"/>
      <c r="BK645" s="28"/>
      <c r="BL645" s="28"/>
      <c r="BM645" s="28"/>
      <c r="BN645" s="28"/>
      <c r="BO645" s="28"/>
      <c r="BP645" s="28"/>
      <c r="BQ645" s="28"/>
      <c r="BR645" s="29"/>
      <c r="BS645" s="29"/>
      <c r="BT645" s="29"/>
      <c r="BU645" s="29"/>
      <c r="BV645" s="29"/>
      <c r="BW645" s="29"/>
      <c r="BX645" s="28"/>
      <c r="BY645" s="28"/>
      <c r="BZ645" s="28"/>
    </row>
    <row r="646" s="27" customFormat="1" spans="1:78">
      <c r="A646" s="28"/>
      <c r="B646" s="28"/>
      <c r="C646" s="29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30"/>
      <c r="AQ646" s="30"/>
      <c r="AR646" s="30"/>
      <c r="AS646" s="30"/>
      <c r="AT646" s="28"/>
      <c r="AU646" s="28"/>
      <c r="AV646" s="28"/>
      <c r="AW646" s="30"/>
      <c r="AX646" s="28"/>
      <c r="AY646" s="28"/>
      <c r="AZ646" s="28"/>
      <c r="BA646" s="28"/>
      <c r="BB646" s="28"/>
      <c r="BC646" s="28"/>
      <c r="BD646" s="28"/>
      <c r="BE646" s="28"/>
      <c r="BF646" s="28"/>
      <c r="BG646" s="30"/>
      <c r="BH646" s="28"/>
      <c r="BI646" s="28"/>
      <c r="BJ646" s="28"/>
      <c r="BK646" s="28"/>
      <c r="BL646" s="28"/>
      <c r="BM646" s="28"/>
      <c r="BN646" s="28"/>
      <c r="BO646" s="28"/>
      <c r="BP646" s="28"/>
      <c r="BQ646" s="28"/>
      <c r="BR646" s="29"/>
      <c r="BS646" s="29"/>
      <c r="BT646" s="29"/>
      <c r="BU646" s="29"/>
      <c r="BV646" s="29"/>
      <c r="BW646" s="28"/>
      <c r="BX646" s="28"/>
      <c r="BY646" s="28"/>
      <c r="BZ646" s="28"/>
    </row>
    <row r="647" s="27" customFormat="1" spans="1:78">
      <c r="A647" s="28"/>
      <c r="B647" s="28"/>
      <c r="C647" s="29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30"/>
      <c r="AQ647" s="30"/>
      <c r="AR647" s="30"/>
      <c r="AS647" s="30"/>
      <c r="AT647" s="28"/>
      <c r="AU647" s="28"/>
      <c r="AV647" s="28"/>
      <c r="AW647" s="30"/>
      <c r="AX647" s="28"/>
      <c r="AY647" s="28"/>
      <c r="AZ647" s="28"/>
      <c r="BA647" s="28"/>
      <c r="BB647" s="28"/>
      <c r="BC647" s="28"/>
      <c r="BD647" s="28"/>
      <c r="BE647" s="28"/>
      <c r="BF647" s="28"/>
      <c r="BG647" s="30"/>
      <c r="BH647" s="28"/>
      <c r="BI647" s="28"/>
      <c r="BJ647" s="28"/>
      <c r="BK647" s="28"/>
      <c r="BL647" s="28"/>
      <c r="BM647" s="28"/>
      <c r="BN647" s="28"/>
      <c r="BO647" s="28"/>
      <c r="BP647" s="28"/>
      <c r="BQ647" s="28"/>
      <c r="BR647" s="29"/>
      <c r="BS647" s="29"/>
      <c r="BT647" s="28"/>
      <c r="BU647" s="28"/>
      <c r="BV647" s="29"/>
      <c r="BW647" s="28"/>
      <c r="BX647" s="28"/>
      <c r="BY647" s="28"/>
      <c r="BZ647" s="28"/>
    </row>
    <row r="648" s="27" customFormat="1" spans="1:78">
      <c r="A648" s="28"/>
      <c r="B648" s="28"/>
      <c r="C648" s="29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30"/>
      <c r="AQ648" s="30"/>
      <c r="AR648" s="30"/>
      <c r="AS648" s="30"/>
      <c r="AT648" s="28"/>
      <c r="AU648" s="28"/>
      <c r="AV648" s="28"/>
      <c r="AW648" s="28"/>
      <c r="AX648" s="28"/>
      <c r="AY648" s="28"/>
      <c r="AZ648" s="28"/>
      <c r="BA648" s="28"/>
      <c r="BB648" s="28"/>
      <c r="BC648" s="28"/>
      <c r="BD648" s="28"/>
      <c r="BE648" s="28"/>
      <c r="BF648" s="28"/>
      <c r="BG648" s="30"/>
      <c r="BH648" s="28"/>
      <c r="BI648" s="28"/>
      <c r="BJ648" s="28"/>
      <c r="BK648" s="28"/>
      <c r="BL648" s="28"/>
      <c r="BM648" s="28"/>
      <c r="BN648" s="28"/>
      <c r="BO648" s="28"/>
      <c r="BP648" s="28"/>
      <c r="BQ648" s="28"/>
      <c r="BR648" s="28"/>
      <c r="BS648" s="28"/>
      <c r="BT648" s="28"/>
      <c r="BU648" s="28"/>
      <c r="BV648" s="29"/>
      <c r="BW648" s="28"/>
      <c r="BX648" s="28"/>
      <c r="BY648" s="28"/>
      <c r="BZ648" s="28"/>
    </row>
    <row r="649" s="27" customFormat="1" spans="1:78">
      <c r="A649" s="28"/>
      <c r="B649" s="28"/>
      <c r="C649" s="29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30"/>
      <c r="AQ649" s="30"/>
      <c r="AR649" s="30"/>
      <c r="AS649" s="30"/>
      <c r="AT649" s="28"/>
      <c r="AU649" s="28"/>
      <c r="AV649" s="28"/>
      <c r="AW649" s="30"/>
      <c r="AX649" s="28"/>
      <c r="AY649" s="28"/>
      <c r="AZ649" s="28"/>
      <c r="BA649" s="28"/>
      <c r="BB649" s="28"/>
      <c r="BC649" s="28"/>
      <c r="BD649" s="28"/>
      <c r="BE649" s="28"/>
      <c r="BF649" s="28"/>
      <c r="BG649" s="30"/>
      <c r="BH649" s="28"/>
      <c r="BI649" s="28"/>
      <c r="BJ649" s="28"/>
      <c r="BK649" s="28"/>
      <c r="BL649" s="28"/>
      <c r="BM649" s="28"/>
      <c r="BN649" s="28"/>
      <c r="BO649" s="28"/>
      <c r="BP649" s="28"/>
      <c r="BQ649" s="28"/>
      <c r="BR649" s="29"/>
      <c r="BS649" s="29"/>
      <c r="BT649" s="29"/>
      <c r="BU649" s="29"/>
      <c r="BV649" s="29"/>
      <c r="BW649" s="29"/>
      <c r="BX649" s="28"/>
      <c r="BY649" s="28"/>
      <c r="BZ649" s="28"/>
    </row>
    <row r="650" s="27" customFormat="1" spans="1:78">
      <c r="A650" s="28"/>
      <c r="B650" s="28"/>
      <c r="C650" s="29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30"/>
      <c r="AQ650" s="30"/>
      <c r="AR650" s="30"/>
      <c r="AS650" s="30"/>
      <c r="AT650" s="28"/>
      <c r="AU650" s="28"/>
      <c r="AV650" s="28"/>
      <c r="AW650" s="30"/>
      <c r="AX650" s="28"/>
      <c r="AY650" s="28"/>
      <c r="AZ650" s="28"/>
      <c r="BA650" s="28"/>
      <c r="BB650" s="28"/>
      <c r="BC650" s="28"/>
      <c r="BD650" s="28"/>
      <c r="BE650" s="28"/>
      <c r="BF650" s="28"/>
      <c r="BG650" s="30"/>
      <c r="BH650" s="28"/>
      <c r="BI650" s="28"/>
      <c r="BJ650" s="28"/>
      <c r="BK650" s="28"/>
      <c r="BL650" s="28"/>
      <c r="BM650" s="28"/>
      <c r="BN650" s="28"/>
      <c r="BO650" s="28"/>
      <c r="BP650" s="28"/>
      <c r="BQ650" s="28"/>
      <c r="BR650" s="29"/>
      <c r="BS650" s="29"/>
      <c r="BT650" s="29"/>
      <c r="BU650" s="28"/>
      <c r="BV650" s="29"/>
      <c r="BW650" s="28"/>
      <c r="BX650" s="28"/>
      <c r="BY650" s="28"/>
      <c r="BZ650" s="28"/>
    </row>
    <row r="651" s="27" customFormat="1" spans="1:78">
      <c r="A651" s="28"/>
      <c r="B651" s="28"/>
      <c r="C651" s="29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30"/>
      <c r="AQ651" s="30"/>
      <c r="AR651" s="30"/>
      <c r="AS651" s="30"/>
      <c r="AT651" s="28"/>
      <c r="AU651" s="28"/>
      <c r="AV651" s="28"/>
      <c r="AW651" s="30"/>
      <c r="AX651" s="28"/>
      <c r="AY651" s="28"/>
      <c r="AZ651" s="28"/>
      <c r="BA651" s="28"/>
      <c r="BB651" s="28"/>
      <c r="BC651" s="28"/>
      <c r="BD651" s="28"/>
      <c r="BE651" s="28"/>
      <c r="BF651" s="28"/>
      <c r="BG651" s="30"/>
      <c r="BH651" s="28"/>
      <c r="BI651" s="28"/>
      <c r="BJ651" s="28"/>
      <c r="BK651" s="28"/>
      <c r="BL651" s="28"/>
      <c r="BM651" s="28"/>
      <c r="BN651" s="28"/>
      <c r="BO651" s="28"/>
      <c r="BP651" s="28"/>
      <c r="BQ651" s="28"/>
      <c r="BR651" s="29"/>
      <c r="BS651" s="29"/>
      <c r="BT651" s="29"/>
      <c r="BU651" s="29"/>
      <c r="BV651" s="29"/>
      <c r="BW651" s="28"/>
      <c r="BX651" s="28"/>
      <c r="BY651" s="28"/>
      <c r="BZ651" s="28"/>
    </row>
    <row r="652" s="27" customFormat="1" spans="1:78">
      <c r="A652" s="28"/>
      <c r="B652" s="28"/>
      <c r="C652" s="29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30"/>
      <c r="AQ652" s="30"/>
      <c r="AR652" s="30"/>
      <c r="AS652" s="30"/>
      <c r="AT652" s="28"/>
      <c r="AU652" s="28"/>
      <c r="AV652" s="28"/>
      <c r="AW652" s="30"/>
      <c r="AX652" s="28"/>
      <c r="AY652" s="28"/>
      <c r="AZ652" s="28"/>
      <c r="BA652" s="28"/>
      <c r="BB652" s="28"/>
      <c r="BC652" s="28"/>
      <c r="BD652" s="28"/>
      <c r="BE652" s="28"/>
      <c r="BF652" s="28"/>
      <c r="BG652" s="30"/>
      <c r="BH652" s="28"/>
      <c r="BI652" s="28"/>
      <c r="BJ652" s="28"/>
      <c r="BK652" s="28"/>
      <c r="BL652" s="28"/>
      <c r="BM652" s="28"/>
      <c r="BN652" s="28"/>
      <c r="BO652" s="28"/>
      <c r="BP652" s="28"/>
      <c r="BQ652" s="28"/>
      <c r="BR652" s="29"/>
      <c r="BS652" s="29"/>
      <c r="BT652" s="29"/>
      <c r="BU652" s="29"/>
      <c r="BV652" s="29"/>
      <c r="BW652" s="28"/>
      <c r="BX652" s="28"/>
      <c r="BY652" s="28"/>
      <c r="BZ652" s="28"/>
    </row>
    <row r="653" s="27" customFormat="1" spans="1:78">
      <c r="A653" s="28"/>
      <c r="B653" s="28"/>
      <c r="C653" s="29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30"/>
      <c r="AQ653" s="30"/>
      <c r="AR653" s="30"/>
      <c r="AS653" s="30"/>
      <c r="AT653" s="28"/>
      <c r="AU653" s="28"/>
      <c r="AV653" s="28"/>
      <c r="AW653" s="30"/>
      <c r="AX653" s="28"/>
      <c r="AY653" s="28"/>
      <c r="AZ653" s="28"/>
      <c r="BA653" s="28"/>
      <c r="BB653" s="28"/>
      <c r="BC653" s="28"/>
      <c r="BD653" s="28"/>
      <c r="BE653" s="28"/>
      <c r="BF653" s="28"/>
      <c r="BG653" s="30"/>
      <c r="BH653" s="28"/>
      <c r="BI653" s="28"/>
      <c r="BJ653" s="28"/>
      <c r="BK653" s="28"/>
      <c r="BL653" s="28"/>
      <c r="BM653" s="28"/>
      <c r="BN653" s="28"/>
      <c r="BO653" s="28"/>
      <c r="BP653" s="28"/>
      <c r="BQ653" s="28"/>
      <c r="BR653" s="29"/>
      <c r="BS653" s="29"/>
      <c r="BT653" s="29"/>
      <c r="BU653" s="29"/>
      <c r="BV653" s="29"/>
      <c r="BW653" s="29"/>
      <c r="BX653" s="28"/>
      <c r="BY653" s="28"/>
      <c r="BZ653" s="28"/>
    </row>
    <row r="654" s="27" customFormat="1" spans="1:78">
      <c r="A654" s="28"/>
      <c r="B654" s="28"/>
      <c r="C654" s="29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30"/>
      <c r="AQ654" s="30"/>
      <c r="AR654" s="30"/>
      <c r="AS654" s="30"/>
      <c r="AT654" s="28"/>
      <c r="AU654" s="28"/>
      <c r="AV654" s="28"/>
      <c r="AW654" s="30"/>
      <c r="AX654" s="28"/>
      <c r="AY654" s="28"/>
      <c r="AZ654" s="28"/>
      <c r="BA654" s="28"/>
      <c r="BB654" s="28"/>
      <c r="BC654" s="28"/>
      <c r="BD654" s="28"/>
      <c r="BE654" s="28"/>
      <c r="BF654" s="28"/>
      <c r="BG654" s="30"/>
      <c r="BH654" s="28"/>
      <c r="BI654" s="28"/>
      <c r="BJ654" s="28"/>
      <c r="BK654" s="28"/>
      <c r="BL654" s="28"/>
      <c r="BM654" s="28"/>
      <c r="BN654" s="28"/>
      <c r="BO654" s="28"/>
      <c r="BP654" s="28"/>
      <c r="BQ654" s="28"/>
      <c r="BR654" s="29"/>
      <c r="BS654" s="29"/>
      <c r="BT654" s="28"/>
      <c r="BU654" s="28"/>
      <c r="BV654" s="29"/>
      <c r="BW654" s="28"/>
      <c r="BX654" s="28"/>
      <c r="BY654" s="28"/>
      <c r="BZ654" s="28"/>
    </row>
    <row r="655" s="27" customFormat="1" spans="1:78">
      <c r="A655" s="28"/>
      <c r="B655" s="28"/>
      <c r="C655" s="29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30"/>
      <c r="AQ655" s="30"/>
      <c r="AR655" s="30"/>
      <c r="AS655" s="30"/>
      <c r="AT655" s="28"/>
      <c r="AU655" s="28"/>
      <c r="AV655" s="28"/>
      <c r="AW655" s="30"/>
      <c r="AX655" s="28"/>
      <c r="AY655" s="28"/>
      <c r="AZ655" s="28"/>
      <c r="BA655" s="28"/>
      <c r="BB655" s="28"/>
      <c r="BC655" s="28"/>
      <c r="BD655" s="28"/>
      <c r="BE655" s="28"/>
      <c r="BF655" s="28"/>
      <c r="BG655" s="30"/>
      <c r="BH655" s="28"/>
      <c r="BI655" s="28"/>
      <c r="BJ655" s="28"/>
      <c r="BK655" s="28"/>
      <c r="BL655" s="28"/>
      <c r="BM655" s="28"/>
      <c r="BN655" s="28"/>
      <c r="BO655" s="28"/>
      <c r="BP655" s="28"/>
      <c r="BQ655" s="28"/>
      <c r="BR655" s="29"/>
      <c r="BS655" s="29"/>
      <c r="BT655" s="29"/>
      <c r="BU655" s="28"/>
      <c r="BV655" s="29"/>
      <c r="BW655" s="28"/>
      <c r="BX655" s="28"/>
      <c r="BY655" s="28"/>
      <c r="BZ655" s="28"/>
    </row>
    <row r="656" s="27" customFormat="1" spans="1:78">
      <c r="A656" s="28"/>
      <c r="B656" s="28"/>
      <c r="C656" s="29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30"/>
      <c r="AQ656" s="30"/>
      <c r="AR656" s="30"/>
      <c r="AS656" s="30"/>
      <c r="AT656" s="28"/>
      <c r="AU656" s="28"/>
      <c r="AV656" s="28"/>
      <c r="AW656" s="30"/>
      <c r="AX656" s="28"/>
      <c r="AY656" s="28"/>
      <c r="AZ656" s="28"/>
      <c r="BA656" s="28"/>
      <c r="BB656" s="28"/>
      <c r="BC656" s="28"/>
      <c r="BD656" s="28"/>
      <c r="BE656" s="28"/>
      <c r="BF656" s="28"/>
      <c r="BG656" s="30"/>
      <c r="BH656" s="28"/>
      <c r="BI656" s="28"/>
      <c r="BJ656" s="28"/>
      <c r="BK656" s="28"/>
      <c r="BL656" s="28"/>
      <c r="BM656" s="28"/>
      <c r="BN656" s="28"/>
      <c r="BO656" s="28"/>
      <c r="BP656" s="28"/>
      <c r="BQ656" s="28"/>
      <c r="BR656" s="29"/>
      <c r="BS656" s="29"/>
      <c r="BT656" s="28"/>
      <c r="BU656" s="28"/>
      <c r="BV656" s="29"/>
      <c r="BW656" s="28"/>
      <c r="BX656" s="28"/>
      <c r="BY656" s="28"/>
      <c r="BZ656" s="28"/>
    </row>
    <row r="657" s="27" customFormat="1" spans="1:78">
      <c r="A657" s="28"/>
      <c r="B657" s="28"/>
      <c r="C657" s="29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30"/>
      <c r="AQ657" s="30"/>
      <c r="AR657" s="30"/>
      <c r="AS657" s="30"/>
      <c r="AT657" s="28"/>
      <c r="AU657" s="29"/>
      <c r="AV657" s="30"/>
      <c r="AW657" s="30"/>
      <c r="AX657" s="28"/>
      <c r="AY657" s="28"/>
      <c r="AZ657" s="28"/>
      <c r="BA657" s="28"/>
      <c r="BB657" s="28"/>
      <c r="BC657" s="28"/>
      <c r="BD657" s="28"/>
      <c r="BE657" s="28"/>
      <c r="BF657" s="28"/>
      <c r="BG657" s="30"/>
      <c r="BH657" s="28"/>
      <c r="BI657" s="28"/>
      <c r="BJ657" s="28"/>
      <c r="BK657" s="28"/>
      <c r="BL657" s="28"/>
      <c r="BM657" s="28"/>
      <c r="BN657" s="28"/>
      <c r="BO657" s="28"/>
      <c r="BP657" s="28"/>
      <c r="BQ657" s="28"/>
      <c r="BR657" s="29"/>
      <c r="BS657" s="29"/>
      <c r="BT657" s="29"/>
      <c r="BU657" s="29"/>
      <c r="BV657" s="29"/>
      <c r="BW657" s="29"/>
      <c r="BX657" s="28"/>
      <c r="BY657" s="28"/>
      <c r="BZ657" s="28"/>
    </row>
    <row r="658" s="27" customFormat="1" spans="1:78">
      <c r="A658" s="28"/>
      <c r="B658" s="28"/>
      <c r="C658" s="29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30"/>
      <c r="AQ658" s="30"/>
      <c r="AR658" s="30"/>
      <c r="AS658" s="30"/>
      <c r="AT658" s="28"/>
      <c r="AU658" s="28"/>
      <c r="AV658" s="28"/>
      <c r="AW658" s="30"/>
      <c r="AX658" s="28"/>
      <c r="AY658" s="28"/>
      <c r="AZ658" s="28"/>
      <c r="BA658" s="28"/>
      <c r="BB658" s="28"/>
      <c r="BC658" s="28"/>
      <c r="BD658" s="28"/>
      <c r="BE658" s="28"/>
      <c r="BF658" s="28"/>
      <c r="BG658" s="30"/>
      <c r="BH658" s="28"/>
      <c r="BI658" s="28"/>
      <c r="BJ658" s="28"/>
      <c r="BK658" s="28"/>
      <c r="BL658" s="28"/>
      <c r="BM658" s="28"/>
      <c r="BN658" s="28"/>
      <c r="BO658" s="28"/>
      <c r="BP658" s="28"/>
      <c r="BQ658" s="28"/>
      <c r="BR658" s="29"/>
      <c r="BS658" s="29"/>
      <c r="BT658" s="28"/>
      <c r="BU658" s="28"/>
      <c r="BV658" s="29"/>
      <c r="BW658" s="28"/>
      <c r="BX658" s="28"/>
      <c r="BY658" s="28"/>
      <c r="BZ658" s="28"/>
    </row>
    <row r="659" s="27" customFormat="1" spans="1:78">
      <c r="A659" s="28"/>
      <c r="B659" s="28"/>
      <c r="C659" s="29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30"/>
      <c r="AQ659" s="30"/>
      <c r="AR659" s="30"/>
      <c r="AS659" s="30"/>
      <c r="AT659" s="28"/>
      <c r="AU659" s="28"/>
      <c r="AV659" s="28"/>
      <c r="AW659" s="30"/>
      <c r="AX659" s="28"/>
      <c r="AY659" s="28"/>
      <c r="AZ659" s="28"/>
      <c r="BA659" s="28"/>
      <c r="BB659" s="28"/>
      <c r="BC659" s="28"/>
      <c r="BD659" s="28"/>
      <c r="BE659" s="28"/>
      <c r="BF659" s="28"/>
      <c r="BG659" s="30"/>
      <c r="BH659" s="28"/>
      <c r="BI659" s="28"/>
      <c r="BJ659" s="28"/>
      <c r="BK659" s="28"/>
      <c r="BL659" s="28"/>
      <c r="BM659" s="28"/>
      <c r="BN659" s="28"/>
      <c r="BO659" s="28"/>
      <c r="BP659" s="28"/>
      <c r="BQ659" s="28"/>
      <c r="BR659" s="29"/>
      <c r="BS659" s="29"/>
      <c r="BT659" s="29"/>
      <c r="BU659" s="29"/>
      <c r="BV659" s="29"/>
      <c r="BW659" s="28"/>
      <c r="BX659" s="28"/>
      <c r="BY659" s="28"/>
      <c r="BZ659" s="28"/>
    </row>
    <row r="660" s="27" customFormat="1" spans="1:78">
      <c r="A660" s="28"/>
      <c r="B660" s="28"/>
      <c r="C660" s="29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30"/>
      <c r="AQ660" s="30"/>
      <c r="AR660" s="30"/>
      <c r="AS660" s="30"/>
      <c r="AT660" s="28"/>
      <c r="AU660" s="28"/>
      <c r="AV660" s="28"/>
      <c r="AW660" s="30"/>
      <c r="AX660" s="28"/>
      <c r="AY660" s="28"/>
      <c r="AZ660" s="28"/>
      <c r="BA660" s="28"/>
      <c r="BB660" s="28"/>
      <c r="BC660" s="28"/>
      <c r="BD660" s="28"/>
      <c r="BE660" s="28"/>
      <c r="BF660" s="28"/>
      <c r="BG660" s="30"/>
      <c r="BH660" s="28"/>
      <c r="BI660" s="28"/>
      <c r="BJ660" s="28"/>
      <c r="BK660" s="28"/>
      <c r="BL660" s="28"/>
      <c r="BM660" s="28"/>
      <c r="BN660" s="28"/>
      <c r="BO660" s="28"/>
      <c r="BP660" s="28"/>
      <c r="BQ660" s="28"/>
      <c r="BR660" s="29"/>
      <c r="BS660" s="29"/>
      <c r="BT660" s="29"/>
      <c r="BU660" s="28"/>
      <c r="BV660" s="29"/>
      <c r="BW660" s="28"/>
      <c r="BX660" s="28"/>
      <c r="BY660" s="28"/>
      <c r="BZ660" s="28"/>
    </row>
    <row r="661" s="27" customFormat="1" spans="1:78">
      <c r="A661" s="28"/>
      <c r="B661" s="28"/>
      <c r="C661" s="29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30"/>
      <c r="AQ661" s="30"/>
      <c r="AR661" s="30"/>
      <c r="AS661" s="30"/>
      <c r="AT661" s="28"/>
      <c r="AU661" s="28"/>
      <c r="AV661" s="28"/>
      <c r="AW661" s="30"/>
      <c r="AX661" s="28"/>
      <c r="AY661" s="28"/>
      <c r="AZ661" s="28"/>
      <c r="BA661" s="28"/>
      <c r="BB661" s="28"/>
      <c r="BC661" s="28"/>
      <c r="BD661" s="28"/>
      <c r="BE661" s="28"/>
      <c r="BF661" s="28"/>
      <c r="BG661" s="30"/>
      <c r="BH661" s="28"/>
      <c r="BI661" s="28"/>
      <c r="BJ661" s="28"/>
      <c r="BK661" s="28"/>
      <c r="BL661" s="28"/>
      <c r="BM661" s="28"/>
      <c r="BN661" s="28"/>
      <c r="BO661" s="28"/>
      <c r="BP661" s="28"/>
      <c r="BQ661" s="28"/>
      <c r="BR661" s="29"/>
      <c r="BS661" s="29"/>
      <c r="BT661" s="29"/>
      <c r="BU661" s="29"/>
      <c r="BV661" s="29"/>
      <c r="BW661" s="29"/>
      <c r="BX661" s="28"/>
      <c r="BY661" s="28"/>
      <c r="BZ661" s="28"/>
    </row>
    <row r="662" s="27" customFormat="1" spans="1:78">
      <c r="A662" s="28"/>
      <c r="B662" s="28"/>
      <c r="C662" s="29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30"/>
      <c r="AQ662" s="30"/>
      <c r="AR662" s="30"/>
      <c r="AS662" s="30"/>
      <c r="AT662" s="28"/>
      <c r="AU662" s="28"/>
      <c r="AV662" s="28"/>
      <c r="AW662" s="30"/>
      <c r="AX662" s="28"/>
      <c r="AY662" s="28"/>
      <c r="AZ662" s="28"/>
      <c r="BA662" s="28"/>
      <c r="BB662" s="28"/>
      <c r="BC662" s="28"/>
      <c r="BD662" s="28"/>
      <c r="BE662" s="28"/>
      <c r="BF662" s="28"/>
      <c r="BG662" s="30"/>
      <c r="BH662" s="28"/>
      <c r="BI662" s="28"/>
      <c r="BJ662" s="28"/>
      <c r="BK662" s="28"/>
      <c r="BL662" s="28"/>
      <c r="BM662" s="28"/>
      <c r="BN662" s="28"/>
      <c r="BO662" s="28"/>
      <c r="BP662" s="28"/>
      <c r="BQ662" s="28"/>
      <c r="BR662" s="29"/>
      <c r="BS662" s="29"/>
      <c r="BT662" s="29"/>
      <c r="BU662" s="29"/>
      <c r="BV662" s="29"/>
      <c r="BW662" s="28"/>
      <c r="BX662" s="28"/>
      <c r="BY662" s="28"/>
      <c r="BZ662" s="28"/>
    </row>
    <row r="663" s="27" customFormat="1" spans="1:78">
      <c r="A663" s="28"/>
      <c r="B663" s="28"/>
      <c r="C663" s="29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30"/>
      <c r="AQ663" s="30"/>
      <c r="AR663" s="30"/>
      <c r="AS663" s="30"/>
      <c r="AT663" s="28"/>
      <c r="AU663" s="28"/>
      <c r="AV663" s="28"/>
      <c r="AW663" s="30"/>
      <c r="AX663" s="28"/>
      <c r="AY663" s="28"/>
      <c r="AZ663" s="28"/>
      <c r="BA663" s="28"/>
      <c r="BB663" s="28"/>
      <c r="BC663" s="28"/>
      <c r="BD663" s="28"/>
      <c r="BE663" s="28"/>
      <c r="BF663" s="28"/>
      <c r="BG663" s="30"/>
      <c r="BH663" s="28"/>
      <c r="BI663" s="28"/>
      <c r="BJ663" s="28"/>
      <c r="BK663" s="28"/>
      <c r="BL663" s="28"/>
      <c r="BM663" s="28"/>
      <c r="BN663" s="28"/>
      <c r="BO663" s="28"/>
      <c r="BP663" s="28"/>
      <c r="BQ663" s="28"/>
      <c r="BR663" s="29"/>
      <c r="BS663" s="29"/>
      <c r="BT663" s="29"/>
      <c r="BU663" s="29"/>
      <c r="BV663" s="29"/>
      <c r="BW663" s="28"/>
      <c r="BX663" s="28"/>
      <c r="BY663" s="28"/>
      <c r="BZ663" s="28"/>
    </row>
    <row r="664" s="27" customFormat="1" spans="1:78">
      <c r="A664" s="28"/>
      <c r="B664" s="28"/>
      <c r="C664" s="29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30"/>
      <c r="AQ664" s="30"/>
      <c r="AR664" s="30"/>
      <c r="AS664" s="30"/>
      <c r="AT664" s="28"/>
      <c r="AU664" s="28"/>
      <c r="AV664" s="28"/>
      <c r="AW664" s="30"/>
      <c r="AX664" s="28"/>
      <c r="AY664" s="28"/>
      <c r="AZ664" s="28"/>
      <c r="BA664" s="28"/>
      <c r="BB664" s="28"/>
      <c r="BC664" s="28"/>
      <c r="BD664" s="28"/>
      <c r="BE664" s="28"/>
      <c r="BF664" s="28"/>
      <c r="BG664" s="30"/>
      <c r="BH664" s="28"/>
      <c r="BI664" s="28"/>
      <c r="BJ664" s="28"/>
      <c r="BK664" s="28"/>
      <c r="BL664" s="28"/>
      <c r="BM664" s="28"/>
      <c r="BN664" s="28"/>
      <c r="BO664" s="28"/>
      <c r="BP664" s="28"/>
      <c r="BQ664" s="28"/>
      <c r="BR664" s="29"/>
      <c r="BS664" s="29"/>
      <c r="BT664" s="29"/>
      <c r="BU664" s="29"/>
      <c r="BV664" s="29"/>
      <c r="BW664" s="29"/>
      <c r="BX664" s="28"/>
      <c r="BY664" s="28"/>
      <c r="BZ664" s="28"/>
    </row>
    <row r="665" s="27" customFormat="1" spans="1:78">
      <c r="A665" s="28"/>
      <c r="B665" s="28"/>
      <c r="C665" s="29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30"/>
      <c r="AQ665" s="30"/>
      <c r="AR665" s="30"/>
      <c r="AS665" s="30"/>
      <c r="AT665" s="28"/>
      <c r="AU665" s="28"/>
      <c r="AV665" s="28"/>
      <c r="AW665" s="30"/>
      <c r="AX665" s="28"/>
      <c r="AY665" s="28"/>
      <c r="AZ665" s="28"/>
      <c r="BA665" s="28"/>
      <c r="BB665" s="28"/>
      <c r="BC665" s="28"/>
      <c r="BD665" s="28"/>
      <c r="BE665" s="28"/>
      <c r="BF665" s="28"/>
      <c r="BG665" s="30"/>
      <c r="BH665" s="28"/>
      <c r="BI665" s="28"/>
      <c r="BJ665" s="28"/>
      <c r="BK665" s="28"/>
      <c r="BL665" s="28"/>
      <c r="BM665" s="28"/>
      <c r="BN665" s="28"/>
      <c r="BO665" s="28"/>
      <c r="BP665" s="28"/>
      <c r="BQ665" s="28"/>
      <c r="BR665" s="29"/>
      <c r="BS665" s="29"/>
      <c r="BT665" s="29"/>
      <c r="BU665" s="29"/>
      <c r="BV665" s="29"/>
      <c r="BW665" s="29"/>
      <c r="BX665" s="28"/>
      <c r="BY665" s="28"/>
      <c r="BZ665" s="28"/>
    </row>
    <row r="666" s="27" customFormat="1" spans="1:78">
      <c r="A666" s="28"/>
      <c r="B666" s="28"/>
      <c r="C666" s="29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30"/>
      <c r="AQ666" s="30"/>
      <c r="AR666" s="30"/>
      <c r="AS666" s="30"/>
      <c r="AT666" s="28"/>
      <c r="AU666" s="28"/>
      <c r="AV666" s="28"/>
      <c r="AW666" s="30"/>
      <c r="AX666" s="28"/>
      <c r="AY666" s="28"/>
      <c r="AZ666" s="28"/>
      <c r="BA666" s="28"/>
      <c r="BB666" s="28"/>
      <c r="BC666" s="28"/>
      <c r="BD666" s="28"/>
      <c r="BE666" s="28"/>
      <c r="BF666" s="28"/>
      <c r="BG666" s="30"/>
      <c r="BH666" s="28"/>
      <c r="BI666" s="28"/>
      <c r="BJ666" s="28"/>
      <c r="BK666" s="28"/>
      <c r="BL666" s="28"/>
      <c r="BM666" s="28"/>
      <c r="BN666" s="28"/>
      <c r="BO666" s="28"/>
      <c r="BP666" s="28"/>
      <c r="BQ666" s="28"/>
      <c r="BR666" s="29"/>
      <c r="BS666" s="29"/>
      <c r="BT666" s="29"/>
      <c r="BU666" s="29"/>
      <c r="BV666" s="29"/>
      <c r="BW666" s="29"/>
      <c r="BX666" s="28"/>
      <c r="BY666" s="28"/>
      <c r="BZ666" s="28"/>
    </row>
    <row r="667" s="27" customFormat="1" spans="1:78">
      <c r="A667" s="28"/>
      <c r="B667" s="28"/>
      <c r="C667" s="29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30"/>
      <c r="AQ667" s="30"/>
      <c r="AR667" s="30"/>
      <c r="AS667" s="30"/>
      <c r="AT667" s="28"/>
      <c r="AU667" s="28"/>
      <c r="AV667" s="28"/>
      <c r="AW667" s="30"/>
      <c r="AX667" s="28"/>
      <c r="AY667" s="28"/>
      <c r="AZ667" s="28"/>
      <c r="BA667" s="28"/>
      <c r="BB667" s="28"/>
      <c r="BC667" s="28"/>
      <c r="BD667" s="28"/>
      <c r="BE667" s="28"/>
      <c r="BF667" s="28"/>
      <c r="BG667" s="30"/>
      <c r="BH667" s="28"/>
      <c r="BI667" s="28"/>
      <c r="BJ667" s="28"/>
      <c r="BK667" s="28"/>
      <c r="BL667" s="28"/>
      <c r="BM667" s="28"/>
      <c r="BN667" s="28"/>
      <c r="BO667" s="28"/>
      <c r="BP667" s="28"/>
      <c r="BQ667" s="28"/>
      <c r="BR667" s="29"/>
      <c r="BS667" s="29"/>
      <c r="BT667" s="29"/>
      <c r="BU667" s="29"/>
      <c r="BV667" s="29"/>
      <c r="BW667" s="29"/>
      <c r="BX667" s="28"/>
      <c r="BY667" s="28"/>
      <c r="BZ667" s="28"/>
    </row>
    <row r="668" s="27" customFormat="1" spans="1:78">
      <c r="A668" s="28"/>
      <c r="B668" s="28"/>
      <c r="C668" s="29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30"/>
      <c r="AQ668" s="30"/>
      <c r="AR668" s="30"/>
      <c r="AS668" s="30"/>
      <c r="AT668" s="28"/>
      <c r="AU668" s="28"/>
      <c r="AV668" s="28"/>
      <c r="AW668" s="30"/>
      <c r="AX668" s="28"/>
      <c r="AY668" s="28"/>
      <c r="AZ668" s="28"/>
      <c r="BA668" s="28"/>
      <c r="BB668" s="28"/>
      <c r="BC668" s="28"/>
      <c r="BD668" s="28"/>
      <c r="BE668" s="28"/>
      <c r="BF668" s="28"/>
      <c r="BG668" s="30"/>
      <c r="BH668" s="28"/>
      <c r="BI668" s="28"/>
      <c r="BJ668" s="28"/>
      <c r="BK668" s="28"/>
      <c r="BL668" s="28"/>
      <c r="BM668" s="28"/>
      <c r="BN668" s="28"/>
      <c r="BO668" s="28"/>
      <c r="BP668" s="28"/>
      <c r="BQ668" s="28"/>
      <c r="BR668" s="29"/>
      <c r="BS668" s="29"/>
      <c r="BT668" s="29"/>
      <c r="BU668" s="28"/>
      <c r="BV668" s="29"/>
      <c r="BW668" s="28"/>
      <c r="BX668" s="28"/>
      <c r="BY668" s="28"/>
      <c r="BZ668" s="28"/>
    </row>
    <row r="669" s="27" customFormat="1" spans="1:78">
      <c r="A669" s="28"/>
      <c r="B669" s="28"/>
      <c r="C669" s="29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30"/>
      <c r="AQ669" s="30"/>
      <c r="AR669" s="30"/>
      <c r="AS669" s="30"/>
      <c r="AT669" s="28"/>
      <c r="AU669" s="28"/>
      <c r="AV669" s="28"/>
      <c r="AW669" s="30"/>
      <c r="AX669" s="28"/>
      <c r="AY669" s="28"/>
      <c r="AZ669" s="28"/>
      <c r="BA669" s="28"/>
      <c r="BB669" s="28"/>
      <c r="BC669" s="28"/>
      <c r="BD669" s="28"/>
      <c r="BE669" s="28"/>
      <c r="BF669" s="28"/>
      <c r="BG669" s="30"/>
      <c r="BH669" s="28"/>
      <c r="BI669" s="28"/>
      <c r="BJ669" s="28"/>
      <c r="BK669" s="28"/>
      <c r="BL669" s="28"/>
      <c r="BM669" s="28"/>
      <c r="BN669" s="28"/>
      <c r="BO669" s="28"/>
      <c r="BP669" s="28"/>
      <c r="BQ669" s="28"/>
      <c r="BR669" s="29"/>
      <c r="BS669" s="29"/>
      <c r="BT669" s="29"/>
      <c r="BU669" s="28"/>
      <c r="BV669" s="29"/>
      <c r="BW669" s="28"/>
      <c r="BX669" s="28"/>
      <c r="BY669" s="28"/>
      <c r="BZ669" s="28"/>
    </row>
    <row r="670" s="27" customFormat="1" spans="1:78">
      <c r="A670" s="28"/>
      <c r="B670" s="28"/>
      <c r="C670" s="29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30"/>
      <c r="AQ670" s="30"/>
      <c r="AR670" s="30"/>
      <c r="AS670" s="30"/>
      <c r="AT670" s="28"/>
      <c r="AU670" s="28"/>
      <c r="AV670" s="28"/>
      <c r="AW670" s="30"/>
      <c r="AX670" s="28"/>
      <c r="AY670" s="28"/>
      <c r="AZ670" s="28"/>
      <c r="BA670" s="28"/>
      <c r="BB670" s="28"/>
      <c r="BC670" s="28"/>
      <c r="BD670" s="28"/>
      <c r="BE670" s="28"/>
      <c r="BF670" s="28"/>
      <c r="BG670" s="30"/>
      <c r="BH670" s="28"/>
      <c r="BI670" s="28"/>
      <c r="BJ670" s="28"/>
      <c r="BK670" s="28"/>
      <c r="BL670" s="28"/>
      <c r="BM670" s="28"/>
      <c r="BN670" s="28"/>
      <c r="BO670" s="28"/>
      <c r="BP670" s="28"/>
      <c r="BQ670" s="28"/>
      <c r="BR670" s="29"/>
      <c r="BS670" s="29"/>
      <c r="BT670" s="28"/>
      <c r="BU670" s="28"/>
      <c r="BV670" s="29"/>
      <c r="BW670" s="28"/>
      <c r="BX670" s="28"/>
      <c r="BY670" s="28"/>
      <c r="BZ670" s="28"/>
    </row>
    <row r="671" s="27" customFormat="1" spans="1:78">
      <c r="A671" s="28"/>
      <c r="B671" s="28"/>
      <c r="C671" s="29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30"/>
      <c r="AQ671" s="30"/>
      <c r="AR671" s="30"/>
      <c r="AS671" s="30"/>
      <c r="AT671" s="28"/>
      <c r="AU671" s="29"/>
      <c r="AV671" s="30"/>
      <c r="AW671" s="30"/>
      <c r="AX671" s="28"/>
      <c r="AY671" s="28"/>
      <c r="AZ671" s="28"/>
      <c r="BA671" s="28"/>
      <c r="BB671" s="28"/>
      <c r="BC671" s="28"/>
      <c r="BD671" s="28"/>
      <c r="BE671" s="28"/>
      <c r="BF671" s="28"/>
      <c r="BG671" s="30"/>
      <c r="BH671" s="28"/>
      <c r="BI671" s="28"/>
      <c r="BJ671" s="28"/>
      <c r="BK671" s="28"/>
      <c r="BL671" s="28"/>
      <c r="BM671" s="28"/>
      <c r="BN671" s="28"/>
      <c r="BO671" s="28"/>
      <c r="BP671" s="28"/>
      <c r="BQ671" s="28"/>
      <c r="BR671" s="29"/>
      <c r="BS671" s="29"/>
      <c r="BT671" s="29"/>
      <c r="BU671" s="29"/>
      <c r="BV671" s="29"/>
      <c r="BW671" s="29"/>
      <c r="BX671" s="28"/>
      <c r="BY671" s="28"/>
      <c r="BZ671" s="28"/>
    </row>
    <row r="672" s="27" customFormat="1" spans="1:78">
      <c r="A672" s="28"/>
      <c r="B672" s="28"/>
      <c r="C672" s="29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30"/>
      <c r="AQ672" s="30"/>
      <c r="AR672" s="30"/>
      <c r="AS672" s="30"/>
      <c r="AT672" s="28"/>
      <c r="AU672" s="28"/>
      <c r="AV672" s="28"/>
      <c r="AW672" s="30"/>
      <c r="AX672" s="28"/>
      <c r="AY672" s="28"/>
      <c r="AZ672" s="28"/>
      <c r="BA672" s="28"/>
      <c r="BB672" s="28"/>
      <c r="BC672" s="28"/>
      <c r="BD672" s="28"/>
      <c r="BE672" s="28"/>
      <c r="BF672" s="28"/>
      <c r="BG672" s="30"/>
      <c r="BH672" s="28"/>
      <c r="BI672" s="28"/>
      <c r="BJ672" s="28"/>
      <c r="BK672" s="28"/>
      <c r="BL672" s="28"/>
      <c r="BM672" s="28"/>
      <c r="BN672" s="28"/>
      <c r="BO672" s="28"/>
      <c r="BP672" s="28"/>
      <c r="BQ672" s="28"/>
      <c r="BR672" s="29"/>
      <c r="BS672" s="29"/>
      <c r="BT672" s="29"/>
      <c r="BU672" s="29"/>
      <c r="BV672" s="29"/>
      <c r="BW672" s="28"/>
      <c r="BX672" s="28"/>
      <c r="BY672" s="28"/>
      <c r="BZ672" s="28"/>
    </row>
    <row r="673" s="27" customFormat="1" spans="1:78">
      <c r="A673" s="28"/>
      <c r="B673" s="28"/>
      <c r="C673" s="29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30"/>
      <c r="AQ673" s="30"/>
      <c r="AR673" s="30"/>
      <c r="AS673" s="30"/>
      <c r="AT673" s="28"/>
      <c r="AU673" s="28"/>
      <c r="AV673" s="28"/>
      <c r="AW673" s="30"/>
      <c r="AX673" s="28"/>
      <c r="AY673" s="28"/>
      <c r="AZ673" s="28"/>
      <c r="BA673" s="28"/>
      <c r="BB673" s="28"/>
      <c r="BC673" s="28"/>
      <c r="BD673" s="28"/>
      <c r="BE673" s="28"/>
      <c r="BF673" s="28"/>
      <c r="BG673" s="30"/>
      <c r="BH673" s="28"/>
      <c r="BI673" s="28"/>
      <c r="BJ673" s="28"/>
      <c r="BK673" s="28"/>
      <c r="BL673" s="28"/>
      <c r="BM673" s="28"/>
      <c r="BN673" s="28"/>
      <c r="BO673" s="28"/>
      <c r="BP673" s="28"/>
      <c r="BQ673" s="28"/>
      <c r="BR673" s="29"/>
      <c r="BS673" s="29"/>
      <c r="BT673" s="29"/>
      <c r="BU673" s="29"/>
      <c r="BV673" s="29"/>
      <c r="BW673" s="29"/>
      <c r="BX673" s="28"/>
      <c r="BY673" s="28"/>
      <c r="BZ673" s="28"/>
    </row>
    <row r="674" s="27" customFormat="1" spans="1:78">
      <c r="A674" s="28"/>
      <c r="B674" s="28"/>
      <c r="C674" s="29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30"/>
      <c r="AQ674" s="30"/>
      <c r="AR674" s="30"/>
      <c r="AS674" s="30"/>
      <c r="AT674" s="28"/>
      <c r="AU674" s="28"/>
      <c r="AV674" s="28"/>
      <c r="AW674" s="30"/>
      <c r="AX674" s="28"/>
      <c r="AY674" s="28"/>
      <c r="AZ674" s="28"/>
      <c r="BA674" s="28"/>
      <c r="BB674" s="28"/>
      <c r="BC674" s="28"/>
      <c r="BD674" s="28"/>
      <c r="BE674" s="28"/>
      <c r="BF674" s="28"/>
      <c r="BG674" s="30"/>
      <c r="BH674" s="28"/>
      <c r="BI674" s="28"/>
      <c r="BJ674" s="28"/>
      <c r="BK674" s="28"/>
      <c r="BL674" s="28"/>
      <c r="BM674" s="28"/>
      <c r="BN674" s="28"/>
      <c r="BO674" s="28"/>
      <c r="BP674" s="28"/>
      <c r="BQ674" s="28"/>
      <c r="BR674" s="29"/>
      <c r="BS674" s="29"/>
      <c r="BT674" s="29"/>
      <c r="BU674" s="29"/>
      <c r="BV674" s="29"/>
      <c r="BW674" s="29"/>
      <c r="BX674" s="28"/>
      <c r="BY674" s="28"/>
      <c r="BZ674" s="28"/>
    </row>
    <row r="675" s="27" customFormat="1" spans="1:78">
      <c r="A675" s="28"/>
      <c r="B675" s="28"/>
      <c r="C675" s="29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30"/>
      <c r="AQ675" s="30"/>
      <c r="AR675" s="30"/>
      <c r="AS675" s="30"/>
      <c r="AT675" s="28"/>
      <c r="AU675" s="28"/>
      <c r="AV675" s="28"/>
      <c r="AW675" s="30"/>
      <c r="AX675" s="28"/>
      <c r="AY675" s="28"/>
      <c r="AZ675" s="28"/>
      <c r="BA675" s="28"/>
      <c r="BB675" s="28"/>
      <c r="BC675" s="28"/>
      <c r="BD675" s="28"/>
      <c r="BE675" s="28"/>
      <c r="BF675" s="28"/>
      <c r="BG675" s="30"/>
      <c r="BH675" s="28"/>
      <c r="BI675" s="28"/>
      <c r="BJ675" s="28"/>
      <c r="BK675" s="28"/>
      <c r="BL675" s="28"/>
      <c r="BM675" s="28"/>
      <c r="BN675" s="28"/>
      <c r="BO675" s="28"/>
      <c r="BP675" s="28"/>
      <c r="BQ675" s="28"/>
      <c r="BR675" s="29"/>
      <c r="BS675" s="29"/>
      <c r="BT675" s="29"/>
      <c r="BU675" s="29"/>
      <c r="BV675" s="29"/>
      <c r="BW675" s="29"/>
      <c r="BX675" s="28"/>
      <c r="BY675" s="28"/>
      <c r="BZ675" s="28"/>
    </row>
    <row r="676" s="27" customFormat="1" spans="1:78">
      <c r="A676" s="28"/>
      <c r="B676" s="28"/>
      <c r="C676" s="29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30"/>
      <c r="AQ676" s="30"/>
      <c r="AR676" s="30"/>
      <c r="AS676" s="30"/>
      <c r="AT676" s="28"/>
      <c r="AU676" s="28"/>
      <c r="AV676" s="28"/>
      <c r="AW676" s="30"/>
      <c r="AX676" s="28"/>
      <c r="AY676" s="28"/>
      <c r="AZ676" s="28"/>
      <c r="BA676" s="28"/>
      <c r="BB676" s="28"/>
      <c r="BC676" s="28"/>
      <c r="BD676" s="28"/>
      <c r="BE676" s="28"/>
      <c r="BF676" s="28"/>
      <c r="BG676" s="30"/>
      <c r="BH676" s="28"/>
      <c r="BI676" s="28"/>
      <c r="BJ676" s="28"/>
      <c r="BK676" s="28"/>
      <c r="BL676" s="28"/>
      <c r="BM676" s="28"/>
      <c r="BN676" s="28"/>
      <c r="BO676" s="28"/>
      <c r="BP676" s="28"/>
      <c r="BQ676" s="28"/>
      <c r="BR676" s="29"/>
      <c r="BS676" s="29"/>
      <c r="BT676" s="29"/>
      <c r="BU676" s="28"/>
      <c r="BV676" s="29"/>
      <c r="BW676" s="28"/>
      <c r="BX676" s="28"/>
      <c r="BY676" s="28"/>
      <c r="BZ676" s="28"/>
    </row>
    <row r="677" s="27" customFormat="1" spans="1:78">
      <c r="A677" s="28"/>
      <c r="B677" s="28"/>
      <c r="C677" s="29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30"/>
      <c r="AQ677" s="30"/>
      <c r="AR677" s="30"/>
      <c r="AS677" s="30"/>
      <c r="AT677" s="28"/>
      <c r="AU677" s="29"/>
      <c r="AV677" s="30"/>
      <c r="AW677" s="30"/>
      <c r="AX677" s="28"/>
      <c r="AY677" s="28"/>
      <c r="AZ677" s="28"/>
      <c r="BA677" s="28"/>
      <c r="BB677" s="28"/>
      <c r="BC677" s="28"/>
      <c r="BD677" s="28"/>
      <c r="BE677" s="28"/>
      <c r="BF677" s="28"/>
      <c r="BG677" s="30"/>
      <c r="BH677" s="28"/>
      <c r="BI677" s="28"/>
      <c r="BJ677" s="28"/>
      <c r="BK677" s="28"/>
      <c r="BL677" s="28"/>
      <c r="BM677" s="28"/>
      <c r="BN677" s="28"/>
      <c r="BO677" s="28"/>
      <c r="BP677" s="28"/>
      <c r="BQ677" s="28"/>
      <c r="BR677" s="29"/>
      <c r="BS677" s="29"/>
      <c r="BT677" s="29"/>
      <c r="BU677" s="29"/>
      <c r="BV677" s="29"/>
      <c r="BW677" s="29"/>
      <c r="BX677" s="28"/>
      <c r="BY677" s="28"/>
      <c r="BZ677" s="28"/>
    </row>
    <row r="678" s="27" customFormat="1" spans="1:78">
      <c r="A678" s="28"/>
      <c r="B678" s="28"/>
      <c r="C678" s="29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30"/>
      <c r="AQ678" s="30"/>
      <c r="AR678" s="30"/>
      <c r="AS678" s="30"/>
      <c r="AT678" s="28"/>
      <c r="AU678" s="28"/>
      <c r="AV678" s="28"/>
      <c r="AW678" s="30"/>
      <c r="AX678" s="28"/>
      <c r="AY678" s="28"/>
      <c r="AZ678" s="28"/>
      <c r="BA678" s="28"/>
      <c r="BB678" s="28"/>
      <c r="BC678" s="28"/>
      <c r="BD678" s="28"/>
      <c r="BE678" s="28"/>
      <c r="BF678" s="28"/>
      <c r="BG678" s="30"/>
      <c r="BH678" s="28"/>
      <c r="BI678" s="28"/>
      <c r="BJ678" s="28"/>
      <c r="BK678" s="28"/>
      <c r="BL678" s="28"/>
      <c r="BM678" s="28"/>
      <c r="BN678" s="28"/>
      <c r="BO678" s="28"/>
      <c r="BP678" s="28"/>
      <c r="BQ678" s="28"/>
      <c r="BR678" s="29"/>
      <c r="BS678" s="29"/>
      <c r="BT678" s="29"/>
      <c r="BU678" s="29"/>
      <c r="BV678" s="29"/>
      <c r="BW678" s="29"/>
      <c r="BX678" s="28"/>
      <c r="BY678" s="28"/>
      <c r="BZ678" s="28"/>
    </row>
    <row r="679" s="27" customFormat="1" spans="1:78">
      <c r="A679" s="28"/>
      <c r="B679" s="28"/>
      <c r="C679" s="29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30"/>
      <c r="AQ679" s="30"/>
      <c r="AR679" s="30"/>
      <c r="AS679" s="30"/>
      <c r="AT679" s="28"/>
      <c r="AU679" s="28"/>
      <c r="AV679" s="28"/>
      <c r="AW679" s="30"/>
      <c r="AX679" s="28"/>
      <c r="AY679" s="28"/>
      <c r="AZ679" s="28"/>
      <c r="BA679" s="28"/>
      <c r="BB679" s="28"/>
      <c r="BC679" s="28"/>
      <c r="BD679" s="28"/>
      <c r="BE679" s="28"/>
      <c r="BF679" s="28"/>
      <c r="BG679" s="30"/>
      <c r="BH679" s="28"/>
      <c r="BI679" s="28"/>
      <c r="BJ679" s="28"/>
      <c r="BK679" s="28"/>
      <c r="BL679" s="28"/>
      <c r="BM679" s="28"/>
      <c r="BN679" s="28"/>
      <c r="BO679" s="28"/>
      <c r="BP679" s="28"/>
      <c r="BQ679" s="28"/>
      <c r="BR679" s="29"/>
      <c r="BS679" s="29"/>
      <c r="BT679" s="29"/>
      <c r="BU679" s="29"/>
      <c r="BV679" s="29"/>
      <c r="BW679" s="29"/>
      <c r="BX679" s="28"/>
      <c r="BY679" s="28"/>
      <c r="BZ679" s="28"/>
    </row>
    <row r="680" s="27" customFormat="1" spans="1:78">
      <c r="A680" s="28"/>
      <c r="B680" s="28"/>
      <c r="C680" s="29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30"/>
      <c r="AQ680" s="30"/>
      <c r="AR680" s="30"/>
      <c r="AS680" s="30"/>
      <c r="AT680" s="28"/>
      <c r="AU680" s="28"/>
      <c r="AV680" s="28"/>
      <c r="AW680" s="30"/>
      <c r="AX680" s="28"/>
      <c r="AY680" s="28"/>
      <c r="AZ680" s="28"/>
      <c r="BA680" s="28"/>
      <c r="BB680" s="28"/>
      <c r="BC680" s="28"/>
      <c r="BD680" s="28"/>
      <c r="BE680" s="28"/>
      <c r="BF680" s="28"/>
      <c r="BG680" s="30"/>
      <c r="BH680" s="28"/>
      <c r="BI680" s="28"/>
      <c r="BJ680" s="28"/>
      <c r="BK680" s="28"/>
      <c r="BL680" s="28"/>
      <c r="BM680" s="28"/>
      <c r="BN680" s="28"/>
      <c r="BO680" s="28"/>
      <c r="BP680" s="28"/>
      <c r="BQ680" s="28"/>
      <c r="BR680" s="29"/>
      <c r="BS680" s="29"/>
      <c r="BT680" s="29"/>
      <c r="BU680" s="28"/>
      <c r="BV680" s="29"/>
      <c r="BW680" s="28"/>
      <c r="BX680" s="28"/>
      <c r="BY680" s="28"/>
      <c r="BZ680" s="28"/>
    </row>
    <row r="681" s="27" customFormat="1" spans="1:78">
      <c r="A681" s="28"/>
      <c r="B681" s="28"/>
      <c r="C681" s="29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30"/>
      <c r="AQ681" s="30"/>
      <c r="AR681" s="30"/>
      <c r="AS681" s="30"/>
      <c r="AT681" s="28"/>
      <c r="AU681" s="29"/>
      <c r="AV681" s="30"/>
      <c r="AW681" s="30"/>
      <c r="AX681" s="28"/>
      <c r="AY681" s="28"/>
      <c r="AZ681" s="28"/>
      <c r="BA681" s="28"/>
      <c r="BB681" s="28"/>
      <c r="BC681" s="28"/>
      <c r="BD681" s="28"/>
      <c r="BE681" s="28"/>
      <c r="BF681" s="28"/>
      <c r="BG681" s="30"/>
      <c r="BH681" s="28"/>
      <c r="BI681" s="28"/>
      <c r="BJ681" s="28"/>
      <c r="BK681" s="28"/>
      <c r="BL681" s="28"/>
      <c r="BM681" s="28"/>
      <c r="BN681" s="28"/>
      <c r="BO681" s="28"/>
      <c r="BP681" s="28"/>
      <c r="BQ681" s="28"/>
      <c r="BR681" s="29"/>
      <c r="BS681" s="29"/>
      <c r="BT681" s="29"/>
      <c r="BU681" s="29"/>
      <c r="BV681" s="29"/>
      <c r="BW681" s="29"/>
      <c r="BX681" s="28"/>
      <c r="BY681" s="28"/>
      <c r="BZ681" s="28"/>
    </row>
    <row r="682" s="27" customFormat="1" spans="1:78">
      <c r="A682" s="28"/>
      <c r="B682" s="28"/>
      <c r="C682" s="29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30"/>
      <c r="AQ682" s="30"/>
      <c r="AR682" s="30"/>
      <c r="AS682" s="30"/>
      <c r="AT682" s="28"/>
      <c r="AU682" s="28"/>
      <c r="AV682" s="28"/>
      <c r="AW682" s="30"/>
      <c r="AX682" s="28"/>
      <c r="AY682" s="28"/>
      <c r="AZ682" s="28"/>
      <c r="BA682" s="28"/>
      <c r="BB682" s="28"/>
      <c r="BC682" s="28"/>
      <c r="BD682" s="28"/>
      <c r="BE682" s="28"/>
      <c r="BF682" s="28"/>
      <c r="BG682" s="30"/>
      <c r="BH682" s="28"/>
      <c r="BI682" s="28"/>
      <c r="BJ682" s="28"/>
      <c r="BK682" s="28"/>
      <c r="BL682" s="28"/>
      <c r="BM682" s="28"/>
      <c r="BN682" s="28"/>
      <c r="BO682" s="28"/>
      <c r="BP682" s="28"/>
      <c r="BQ682" s="28"/>
      <c r="BR682" s="29"/>
      <c r="BS682" s="29"/>
      <c r="BT682" s="29"/>
      <c r="BU682" s="28"/>
      <c r="BV682" s="29"/>
      <c r="BW682" s="28"/>
      <c r="BX682" s="28"/>
      <c r="BY682" s="28"/>
      <c r="BZ682" s="28"/>
    </row>
    <row r="683" s="27" customFormat="1" spans="1:78">
      <c r="A683" s="28"/>
      <c r="B683" s="28"/>
      <c r="C683" s="29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30"/>
      <c r="AQ683" s="30"/>
      <c r="AR683" s="30"/>
      <c r="AS683" s="30"/>
      <c r="AT683" s="28"/>
      <c r="AU683" s="28"/>
      <c r="AV683" s="28"/>
      <c r="AW683" s="30"/>
      <c r="AX683" s="28"/>
      <c r="AY683" s="28"/>
      <c r="AZ683" s="28"/>
      <c r="BA683" s="28"/>
      <c r="BB683" s="28"/>
      <c r="BC683" s="28"/>
      <c r="BD683" s="28"/>
      <c r="BE683" s="28"/>
      <c r="BF683" s="28"/>
      <c r="BG683" s="30"/>
      <c r="BH683" s="28"/>
      <c r="BI683" s="28"/>
      <c r="BJ683" s="28"/>
      <c r="BK683" s="28"/>
      <c r="BL683" s="28"/>
      <c r="BM683" s="28"/>
      <c r="BN683" s="28"/>
      <c r="BO683" s="28"/>
      <c r="BP683" s="28"/>
      <c r="BQ683" s="28"/>
      <c r="BR683" s="29"/>
      <c r="BS683" s="29"/>
      <c r="BT683" s="29"/>
      <c r="BU683" s="29"/>
      <c r="BV683" s="29"/>
      <c r="BW683" s="29"/>
      <c r="BX683" s="28"/>
      <c r="BY683" s="28"/>
      <c r="BZ683" s="28"/>
    </row>
    <row r="684" s="27" customFormat="1" spans="1:78">
      <c r="A684" s="28"/>
      <c r="B684" s="28"/>
      <c r="C684" s="29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30"/>
      <c r="AQ684" s="30"/>
      <c r="AR684" s="30"/>
      <c r="AS684" s="30"/>
      <c r="AT684" s="28"/>
      <c r="AU684" s="28"/>
      <c r="AV684" s="28"/>
      <c r="AW684" s="30"/>
      <c r="AX684" s="28"/>
      <c r="AY684" s="28"/>
      <c r="AZ684" s="28"/>
      <c r="BA684" s="28"/>
      <c r="BB684" s="28"/>
      <c r="BC684" s="28"/>
      <c r="BD684" s="28"/>
      <c r="BE684" s="28"/>
      <c r="BF684" s="28"/>
      <c r="BG684" s="30"/>
      <c r="BH684" s="28"/>
      <c r="BI684" s="28"/>
      <c r="BJ684" s="28"/>
      <c r="BK684" s="28"/>
      <c r="BL684" s="28"/>
      <c r="BM684" s="28"/>
      <c r="BN684" s="28"/>
      <c r="BO684" s="28"/>
      <c r="BP684" s="28"/>
      <c r="BQ684" s="28"/>
      <c r="BR684" s="29"/>
      <c r="BS684" s="29"/>
      <c r="BT684" s="29"/>
      <c r="BU684" s="29"/>
      <c r="BV684" s="29"/>
      <c r="BW684" s="29"/>
      <c r="BX684" s="28"/>
      <c r="BY684" s="28"/>
      <c r="BZ684" s="28"/>
    </row>
    <row r="685" s="27" customFormat="1" spans="1:78">
      <c r="A685" s="28"/>
      <c r="B685" s="28"/>
      <c r="C685" s="29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30"/>
      <c r="AQ685" s="30"/>
      <c r="AR685" s="30"/>
      <c r="AS685" s="30"/>
      <c r="AT685" s="28"/>
      <c r="AU685" s="28"/>
      <c r="AV685" s="28"/>
      <c r="AW685" s="30"/>
      <c r="AX685" s="28"/>
      <c r="AY685" s="28"/>
      <c r="AZ685" s="28"/>
      <c r="BA685" s="28"/>
      <c r="BB685" s="28"/>
      <c r="BC685" s="28"/>
      <c r="BD685" s="28"/>
      <c r="BE685" s="28"/>
      <c r="BF685" s="28"/>
      <c r="BG685" s="30"/>
      <c r="BH685" s="28"/>
      <c r="BI685" s="28"/>
      <c r="BJ685" s="28"/>
      <c r="BK685" s="28"/>
      <c r="BL685" s="28"/>
      <c r="BM685" s="28"/>
      <c r="BN685" s="28"/>
      <c r="BO685" s="28"/>
      <c r="BP685" s="28"/>
      <c r="BQ685" s="28"/>
      <c r="BR685" s="29"/>
      <c r="BS685" s="29"/>
      <c r="BT685" s="28"/>
      <c r="BU685" s="28"/>
      <c r="BV685" s="29"/>
      <c r="BW685" s="28"/>
      <c r="BX685" s="28"/>
      <c r="BY685" s="28"/>
      <c r="BZ685" s="28"/>
    </row>
    <row r="686" s="27" customFormat="1" spans="1:78">
      <c r="A686" s="28"/>
      <c r="B686" s="28"/>
      <c r="C686" s="29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30"/>
      <c r="AQ686" s="30"/>
      <c r="AR686" s="30"/>
      <c r="AS686" s="30"/>
      <c r="AT686" s="28"/>
      <c r="AU686" s="29"/>
      <c r="AV686" s="30"/>
      <c r="AW686" s="30"/>
      <c r="AX686" s="28"/>
      <c r="AY686" s="28"/>
      <c r="AZ686" s="28"/>
      <c r="BA686" s="28"/>
      <c r="BB686" s="28"/>
      <c r="BC686" s="28"/>
      <c r="BD686" s="28"/>
      <c r="BE686" s="28"/>
      <c r="BF686" s="28"/>
      <c r="BG686" s="30"/>
      <c r="BH686" s="28"/>
      <c r="BI686" s="28"/>
      <c r="BJ686" s="28"/>
      <c r="BK686" s="28"/>
      <c r="BL686" s="28"/>
      <c r="BM686" s="28"/>
      <c r="BN686" s="28"/>
      <c r="BO686" s="28"/>
      <c r="BP686" s="28"/>
      <c r="BQ686" s="28"/>
      <c r="BR686" s="29"/>
      <c r="BS686" s="29"/>
      <c r="BT686" s="29"/>
      <c r="BU686" s="29"/>
      <c r="BV686" s="29"/>
      <c r="BW686" s="29"/>
      <c r="BX686" s="28"/>
      <c r="BY686" s="28"/>
      <c r="BZ686" s="28"/>
    </row>
    <row r="687" s="27" customFormat="1" spans="1:78">
      <c r="A687" s="28"/>
      <c r="B687" s="28"/>
      <c r="C687" s="29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30"/>
      <c r="AQ687" s="30"/>
      <c r="AR687" s="30"/>
      <c r="AS687" s="30"/>
      <c r="AT687" s="28"/>
      <c r="AU687" s="28"/>
      <c r="AV687" s="28"/>
      <c r="AW687" s="30"/>
      <c r="AX687" s="28"/>
      <c r="AY687" s="28"/>
      <c r="AZ687" s="28"/>
      <c r="BA687" s="28"/>
      <c r="BB687" s="28"/>
      <c r="BC687" s="28"/>
      <c r="BD687" s="28"/>
      <c r="BE687" s="28"/>
      <c r="BF687" s="28"/>
      <c r="BG687" s="30"/>
      <c r="BH687" s="28"/>
      <c r="BI687" s="28"/>
      <c r="BJ687" s="28"/>
      <c r="BK687" s="28"/>
      <c r="BL687" s="28"/>
      <c r="BM687" s="28"/>
      <c r="BN687" s="28"/>
      <c r="BO687" s="28"/>
      <c r="BP687" s="28"/>
      <c r="BQ687" s="28"/>
      <c r="BR687" s="29"/>
      <c r="BS687" s="29"/>
      <c r="BT687" s="29"/>
      <c r="BU687" s="29"/>
      <c r="BV687" s="29"/>
      <c r="BW687" s="29"/>
      <c r="BX687" s="28"/>
      <c r="BY687" s="28"/>
      <c r="BZ687" s="28"/>
    </row>
    <row r="688" s="27" customFormat="1" spans="1:78">
      <c r="A688" s="28"/>
      <c r="B688" s="28"/>
      <c r="C688" s="29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30"/>
      <c r="AQ688" s="30"/>
      <c r="AR688" s="30"/>
      <c r="AS688" s="30"/>
      <c r="AT688" s="28"/>
      <c r="AU688" s="28"/>
      <c r="AV688" s="28"/>
      <c r="AW688" s="30"/>
      <c r="AX688" s="28"/>
      <c r="AY688" s="28"/>
      <c r="AZ688" s="28"/>
      <c r="BA688" s="28"/>
      <c r="BB688" s="28"/>
      <c r="BC688" s="28"/>
      <c r="BD688" s="28"/>
      <c r="BE688" s="28"/>
      <c r="BF688" s="28"/>
      <c r="BG688" s="30"/>
      <c r="BH688" s="28"/>
      <c r="BI688" s="28"/>
      <c r="BJ688" s="28"/>
      <c r="BK688" s="28"/>
      <c r="BL688" s="28"/>
      <c r="BM688" s="28"/>
      <c r="BN688" s="28"/>
      <c r="BO688" s="28"/>
      <c r="BP688" s="28"/>
      <c r="BQ688" s="28"/>
      <c r="BR688" s="29"/>
      <c r="BS688" s="29"/>
      <c r="BT688" s="29"/>
      <c r="BU688" s="29"/>
      <c r="BV688" s="29"/>
      <c r="BW688" s="29"/>
      <c r="BX688" s="28"/>
      <c r="BY688" s="28"/>
      <c r="BZ688" s="28"/>
    </row>
    <row r="689" s="27" customFormat="1" spans="1:78">
      <c r="A689" s="28"/>
      <c r="B689" s="28"/>
      <c r="C689" s="29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30"/>
      <c r="AQ689" s="30"/>
      <c r="AR689" s="30"/>
      <c r="AS689" s="30"/>
      <c r="AT689" s="28"/>
      <c r="AU689" s="28"/>
      <c r="AV689" s="28"/>
      <c r="AW689" s="30"/>
      <c r="AX689" s="28"/>
      <c r="AY689" s="28"/>
      <c r="AZ689" s="28"/>
      <c r="BA689" s="28"/>
      <c r="BB689" s="28"/>
      <c r="BC689" s="28"/>
      <c r="BD689" s="28"/>
      <c r="BE689" s="28"/>
      <c r="BF689" s="28"/>
      <c r="BG689" s="30"/>
      <c r="BH689" s="28"/>
      <c r="BI689" s="28"/>
      <c r="BJ689" s="28"/>
      <c r="BK689" s="28"/>
      <c r="BL689" s="28"/>
      <c r="BM689" s="28"/>
      <c r="BN689" s="28"/>
      <c r="BO689" s="28"/>
      <c r="BP689" s="28"/>
      <c r="BQ689" s="28"/>
      <c r="BR689" s="29"/>
      <c r="BS689" s="29"/>
      <c r="BT689" s="28"/>
      <c r="BU689" s="28"/>
      <c r="BV689" s="29"/>
      <c r="BW689" s="28"/>
      <c r="BX689" s="28"/>
      <c r="BY689" s="28"/>
      <c r="BZ689" s="28"/>
    </row>
    <row r="690" s="27" customFormat="1" spans="1:78">
      <c r="A690" s="28"/>
      <c r="B690" s="28"/>
      <c r="C690" s="29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30"/>
      <c r="AQ690" s="30"/>
      <c r="AR690" s="30"/>
      <c r="AS690" s="30"/>
      <c r="AT690" s="28"/>
      <c r="AU690" s="28"/>
      <c r="AV690" s="28"/>
      <c r="AW690" s="28"/>
      <c r="AX690" s="28"/>
      <c r="AY690" s="28"/>
      <c r="AZ690" s="28"/>
      <c r="BA690" s="28"/>
      <c r="BB690" s="28"/>
      <c r="BC690" s="28"/>
      <c r="BD690" s="28"/>
      <c r="BE690" s="28"/>
      <c r="BF690" s="28"/>
      <c r="BG690" s="30"/>
      <c r="BH690" s="28"/>
      <c r="BI690" s="28"/>
      <c r="BJ690" s="28"/>
      <c r="BK690" s="28"/>
      <c r="BL690" s="28"/>
      <c r="BM690" s="28"/>
      <c r="BN690" s="28"/>
      <c r="BO690" s="28"/>
      <c r="BP690" s="28"/>
      <c r="BQ690" s="28"/>
      <c r="BR690" s="28"/>
      <c r="BS690" s="28"/>
      <c r="BT690" s="28"/>
      <c r="BU690" s="28"/>
      <c r="BV690" s="29"/>
      <c r="BW690" s="28"/>
      <c r="BX690" s="28"/>
      <c r="BY690" s="28"/>
      <c r="BZ690" s="28"/>
    </row>
    <row r="691" s="27" customFormat="1" spans="1:78">
      <c r="A691" s="28"/>
      <c r="B691" s="28"/>
      <c r="C691" s="29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30"/>
      <c r="AQ691" s="30"/>
      <c r="AR691" s="30"/>
      <c r="AS691" s="30"/>
      <c r="AT691" s="28"/>
      <c r="AU691" s="28"/>
      <c r="AV691" s="28"/>
      <c r="AW691" s="30"/>
      <c r="AX691" s="28"/>
      <c r="AY691" s="28"/>
      <c r="AZ691" s="28"/>
      <c r="BA691" s="28"/>
      <c r="BB691" s="28"/>
      <c r="BC691" s="28"/>
      <c r="BD691" s="28"/>
      <c r="BE691" s="28"/>
      <c r="BF691" s="28"/>
      <c r="BG691" s="30"/>
      <c r="BH691" s="28"/>
      <c r="BI691" s="28"/>
      <c r="BJ691" s="28"/>
      <c r="BK691" s="28"/>
      <c r="BL691" s="28"/>
      <c r="BM691" s="28"/>
      <c r="BN691" s="28"/>
      <c r="BO691" s="28"/>
      <c r="BP691" s="28"/>
      <c r="BQ691" s="28"/>
      <c r="BR691" s="29"/>
      <c r="BS691" s="29"/>
      <c r="BT691" s="28"/>
      <c r="BU691" s="28"/>
      <c r="BV691" s="29"/>
      <c r="BW691" s="28"/>
      <c r="BX691" s="28"/>
      <c r="BY691" s="28"/>
      <c r="BZ691" s="28"/>
    </row>
    <row r="692" s="27" customFormat="1" spans="1:78">
      <c r="A692" s="28"/>
      <c r="B692" s="28"/>
      <c r="C692" s="29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30"/>
      <c r="AQ692" s="30"/>
      <c r="AR692" s="30"/>
      <c r="AS692" s="30"/>
      <c r="AT692" s="28"/>
      <c r="AU692" s="28"/>
      <c r="AV692" s="28"/>
      <c r="AW692" s="30"/>
      <c r="AX692" s="28"/>
      <c r="AY692" s="28"/>
      <c r="AZ692" s="28"/>
      <c r="BA692" s="28"/>
      <c r="BB692" s="28"/>
      <c r="BC692" s="28"/>
      <c r="BD692" s="28"/>
      <c r="BE692" s="28"/>
      <c r="BF692" s="28"/>
      <c r="BG692" s="30"/>
      <c r="BH692" s="28"/>
      <c r="BI692" s="28"/>
      <c r="BJ692" s="28"/>
      <c r="BK692" s="28"/>
      <c r="BL692" s="28"/>
      <c r="BM692" s="28"/>
      <c r="BN692" s="28"/>
      <c r="BO692" s="28"/>
      <c r="BP692" s="28"/>
      <c r="BQ692" s="28"/>
      <c r="BR692" s="29"/>
      <c r="BS692" s="28"/>
      <c r="BT692" s="28"/>
      <c r="BU692" s="28"/>
      <c r="BV692" s="29"/>
      <c r="BW692" s="28"/>
      <c r="BX692" s="28"/>
      <c r="BY692" s="28"/>
      <c r="BZ692" s="28"/>
    </row>
    <row r="693" s="27" customFormat="1" spans="1:78">
      <c r="A693" s="28"/>
      <c r="B693" s="28"/>
      <c r="C693" s="29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30"/>
      <c r="AQ693" s="30"/>
      <c r="AR693" s="30"/>
      <c r="AS693" s="30"/>
      <c r="AT693" s="28"/>
      <c r="AU693" s="28"/>
      <c r="AV693" s="28"/>
      <c r="AW693" s="30"/>
      <c r="AX693" s="28"/>
      <c r="AY693" s="28"/>
      <c r="AZ693" s="28"/>
      <c r="BA693" s="28"/>
      <c r="BB693" s="28"/>
      <c r="BC693" s="28"/>
      <c r="BD693" s="28"/>
      <c r="BE693" s="28"/>
      <c r="BF693" s="28"/>
      <c r="BG693" s="30"/>
      <c r="BH693" s="28"/>
      <c r="BI693" s="28"/>
      <c r="BJ693" s="28"/>
      <c r="BK693" s="28"/>
      <c r="BL693" s="28"/>
      <c r="BM693" s="28"/>
      <c r="BN693" s="28"/>
      <c r="BO693" s="28"/>
      <c r="BP693" s="28"/>
      <c r="BQ693" s="28"/>
      <c r="BR693" s="29"/>
      <c r="BS693" s="29"/>
      <c r="BT693" s="29"/>
      <c r="BU693" s="28"/>
      <c r="BV693" s="29"/>
      <c r="BW693" s="28"/>
      <c r="BX693" s="28"/>
      <c r="BY693" s="28"/>
      <c r="BZ693" s="28"/>
    </row>
    <row r="694" s="27" customFormat="1" spans="1:78">
      <c r="A694" s="28"/>
      <c r="B694" s="28"/>
      <c r="C694" s="29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30"/>
      <c r="AQ694" s="30"/>
      <c r="AR694" s="30"/>
      <c r="AS694" s="30"/>
      <c r="AT694" s="28"/>
      <c r="AU694" s="28"/>
      <c r="AV694" s="28"/>
      <c r="AW694" s="30"/>
      <c r="AX694" s="28"/>
      <c r="AY694" s="28"/>
      <c r="AZ694" s="28"/>
      <c r="BA694" s="28"/>
      <c r="BB694" s="28"/>
      <c r="BC694" s="28"/>
      <c r="BD694" s="28"/>
      <c r="BE694" s="28"/>
      <c r="BF694" s="28"/>
      <c r="BG694" s="30"/>
      <c r="BH694" s="28"/>
      <c r="BI694" s="28"/>
      <c r="BJ694" s="28"/>
      <c r="BK694" s="28"/>
      <c r="BL694" s="28"/>
      <c r="BM694" s="28"/>
      <c r="BN694" s="28"/>
      <c r="BO694" s="28"/>
      <c r="BP694" s="28"/>
      <c r="BQ694" s="28"/>
      <c r="BR694" s="29"/>
      <c r="BS694" s="29"/>
      <c r="BT694" s="29"/>
      <c r="BU694" s="29"/>
      <c r="BV694" s="29"/>
      <c r="BW694" s="29"/>
      <c r="BX694" s="28"/>
      <c r="BY694" s="28"/>
      <c r="BZ694" s="28"/>
    </row>
    <row r="695" s="27" customFormat="1" spans="1:78">
      <c r="A695" s="28"/>
      <c r="B695" s="28"/>
      <c r="C695" s="29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30"/>
      <c r="AQ695" s="30"/>
      <c r="AR695" s="30"/>
      <c r="AS695" s="30"/>
      <c r="AT695" s="28"/>
      <c r="AU695" s="28"/>
      <c r="AV695" s="28"/>
      <c r="AW695" s="30"/>
      <c r="AX695" s="28"/>
      <c r="AY695" s="28"/>
      <c r="AZ695" s="28"/>
      <c r="BA695" s="28"/>
      <c r="BB695" s="28"/>
      <c r="BC695" s="28"/>
      <c r="BD695" s="28"/>
      <c r="BE695" s="28"/>
      <c r="BF695" s="28"/>
      <c r="BG695" s="30"/>
      <c r="BH695" s="28"/>
      <c r="BI695" s="28"/>
      <c r="BJ695" s="28"/>
      <c r="BK695" s="28"/>
      <c r="BL695" s="28"/>
      <c r="BM695" s="28"/>
      <c r="BN695" s="28"/>
      <c r="BO695" s="28"/>
      <c r="BP695" s="28"/>
      <c r="BQ695" s="28"/>
      <c r="BR695" s="29"/>
      <c r="BS695" s="29"/>
      <c r="BT695" s="29"/>
      <c r="BU695" s="29"/>
      <c r="BV695" s="29"/>
      <c r="BW695" s="29"/>
      <c r="BX695" s="28"/>
      <c r="BY695" s="28"/>
      <c r="BZ695" s="28"/>
    </row>
    <row r="696" s="27" customFormat="1" spans="1:78">
      <c r="A696" s="28"/>
      <c r="B696" s="28"/>
      <c r="C696" s="29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30"/>
      <c r="AQ696" s="30"/>
      <c r="AR696" s="30"/>
      <c r="AS696" s="30"/>
      <c r="AT696" s="28"/>
      <c r="AU696" s="28"/>
      <c r="AV696" s="28"/>
      <c r="AW696" s="28"/>
      <c r="AX696" s="28"/>
      <c r="AY696" s="28"/>
      <c r="AZ696" s="28"/>
      <c r="BA696" s="28"/>
      <c r="BB696" s="28"/>
      <c r="BC696" s="28"/>
      <c r="BD696" s="28"/>
      <c r="BE696" s="28"/>
      <c r="BF696" s="28"/>
      <c r="BG696" s="30"/>
      <c r="BH696" s="28"/>
      <c r="BI696" s="28"/>
      <c r="BJ696" s="28"/>
      <c r="BK696" s="28"/>
      <c r="BL696" s="28"/>
      <c r="BM696" s="28"/>
      <c r="BN696" s="28"/>
      <c r="BO696" s="28"/>
      <c r="BP696" s="28"/>
      <c r="BQ696" s="28"/>
      <c r="BR696" s="28"/>
      <c r="BS696" s="28"/>
      <c r="BT696" s="28"/>
      <c r="BU696" s="28"/>
      <c r="BV696" s="29"/>
      <c r="BW696" s="28"/>
      <c r="BX696" s="28"/>
      <c r="BY696" s="28"/>
      <c r="BZ696" s="28"/>
    </row>
    <row r="697" s="27" customFormat="1" spans="1:78">
      <c r="A697" s="28"/>
      <c r="B697" s="28"/>
      <c r="C697" s="29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30"/>
      <c r="AQ697" s="30"/>
      <c r="AR697" s="30"/>
      <c r="AS697" s="30"/>
      <c r="AT697" s="28"/>
      <c r="AU697" s="28"/>
      <c r="AV697" s="28"/>
      <c r="AW697" s="30"/>
      <c r="AX697" s="28"/>
      <c r="AY697" s="28"/>
      <c r="AZ697" s="28"/>
      <c r="BA697" s="28"/>
      <c r="BB697" s="28"/>
      <c r="BC697" s="28"/>
      <c r="BD697" s="28"/>
      <c r="BE697" s="28"/>
      <c r="BF697" s="28"/>
      <c r="BG697" s="30"/>
      <c r="BH697" s="28"/>
      <c r="BI697" s="28"/>
      <c r="BJ697" s="28"/>
      <c r="BK697" s="28"/>
      <c r="BL697" s="28"/>
      <c r="BM697" s="28"/>
      <c r="BN697" s="28"/>
      <c r="BO697" s="28"/>
      <c r="BP697" s="28"/>
      <c r="BQ697" s="28"/>
      <c r="BR697" s="29"/>
      <c r="BS697" s="29"/>
      <c r="BT697" s="29"/>
      <c r="BU697" s="28"/>
      <c r="BV697" s="29"/>
      <c r="BW697" s="28"/>
      <c r="BX697" s="28"/>
      <c r="BY697" s="28"/>
      <c r="BZ697" s="28"/>
    </row>
    <row r="698" s="27" customFormat="1" spans="1:78">
      <c r="A698" s="28"/>
      <c r="B698" s="28"/>
      <c r="C698" s="29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30"/>
      <c r="AQ698" s="30"/>
      <c r="AR698" s="30"/>
      <c r="AS698" s="30"/>
      <c r="AT698" s="28"/>
      <c r="AU698" s="28"/>
      <c r="AV698" s="28"/>
      <c r="AW698" s="28"/>
      <c r="AX698" s="28"/>
      <c r="AY698" s="28"/>
      <c r="AZ698" s="28"/>
      <c r="BA698" s="28"/>
      <c r="BB698" s="28"/>
      <c r="BC698" s="28"/>
      <c r="BD698" s="28"/>
      <c r="BE698" s="28"/>
      <c r="BF698" s="28"/>
      <c r="BG698" s="30"/>
      <c r="BH698" s="28"/>
      <c r="BI698" s="28"/>
      <c r="BJ698" s="28"/>
      <c r="BK698" s="28"/>
      <c r="BL698" s="28"/>
      <c r="BM698" s="28"/>
      <c r="BN698" s="28"/>
      <c r="BO698" s="28"/>
      <c r="BP698" s="28"/>
      <c r="BQ698" s="28"/>
      <c r="BR698" s="28"/>
      <c r="BS698" s="28"/>
      <c r="BT698" s="28"/>
      <c r="BU698" s="28"/>
      <c r="BV698" s="29"/>
      <c r="BW698" s="28"/>
      <c r="BX698" s="28"/>
      <c r="BY698" s="28"/>
      <c r="BZ698" s="28"/>
    </row>
    <row r="699" s="27" customFormat="1" spans="1:78">
      <c r="A699" s="28"/>
      <c r="B699" s="28"/>
      <c r="C699" s="29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30"/>
      <c r="AQ699" s="30"/>
      <c r="AR699" s="30"/>
      <c r="AS699" s="30"/>
      <c r="AT699" s="28"/>
      <c r="AU699" s="28"/>
      <c r="AV699" s="28"/>
      <c r="AW699" s="30"/>
      <c r="AX699" s="28"/>
      <c r="AY699" s="28"/>
      <c r="AZ699" s="28"/>
      <c r="BA699" s="28"/>
      <c r="BB699" s="28"/>
      <c r="BC699" s="28"/>
      <c r="BD699" s="28"/>
      <c r="BE699" s="28"/>
      <c r="BF699" s="28"/>
      <c r="BG699" s="30"/>
      <c r="BH699" s="28"/>
      <c r="BI699" s="28"/>
      <c r="BJ699" s="28"/>
      <c r="BK699" s="28"/>
      <c r="BL699" s="28"/>
      <c r="BM699" s="28"/>
      <c r="BN699" s="28"/>
      <c r="BO699" s="28"/>
      <c r="BP699" s="28"/>
      <c r="BQ699" s="28"/>
      <c r="BR699" s="29"/>
      <c r="BS699" s="29"/>
      <c r="BT699" s="28"/>
      <c r="BU699" s="28"/>
      <c r="BV699" s="29"/>
      <c r="BW699" s="28"/>
      <c r="BX699" s="28"/>
      <c r="BY699" s="28"/>
      <c r="BZ699" s="28"/>
    </row>
    <row r="700" s="27" customFormat="1" spans="1:78">
      <c r="A700" s="28"/>
      <c r="B700" s="28"/>
      <c r="C700" s="29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30"/>
      <c r="AQ700" s="30"/>
      <c r="AR700" s="30"/>
      <c r="AS700" s="30"/>
      <c r="AT700" s="28"/>
      <c r="AU700" s="28"/>
      <c r="AV700" s="28"/>
      <c r="AW700" s="30"/>
      <c r="AX700" s="28"/>
      <c r="AY700" s="28"/>
      <c r="AZ700" s="28"/>
      <c r="BA700" s="28"/>
      <c r="BB700" s="28"/>
      <c r="BC700" s="28"/>
      <c r="BD700" s="28"/>
      <c r="BE700" s="28"/>
      <c r="BF700" s="28"/>
      <c r="BG700" s="30"/>
      <c r="BH700" s="28"/>
      <c r="BI700" s="28"/>
      <c r="BJ700" s="28"/>
      <c r="BK700" s="28"/>
      <c r="BL700" s="28"/>
      <c r="BM700" s="28"/>
      <c r="BN700" s="28"/>
      <c r="BO700" s="28"/>
      <c r="BP700" s="28"/>
      <c r="BQ700" s="28"/>
      <c r="BR700" s="29"/>
      <c r="BS700" s="29"/>
      <c r="BT700" s="29"/>
      <c r="BU700" s="29"/>
      <c r="BV700" s="29"/>
      <c r="BW700" s="29"/>
      <c r="BX700" s="28"/>
      <c r="BY700" s="28"/>
      <c r="BZ700" s="28"/>
    </row>
    <row r="701" s="27" customFormat="1" spans="1:78">
      <c r="A701" s="28"/>
      <c r="B701" s="28"/>
      <c r="C701" s="29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30"/>
      <c r="AQ701" s="30"/>
      <c r="AR701" s="30"/>
      <c r="AS701" s="30"/>
      <c r="AT701" s="28"/>
      <c r="AU701" s="28"/>
      <c r="AV701" s="28"/>
      <c r="AW701" s="30"/>
      <c r="AX701" s="28"/>
      <c r="AY701" s="28"/>
      <c r="AZ701" s="28"/>
      <c r="BA701" s="28"/>
      <c r="BB701" s="28"/>
      <c r="BC701" s="28"/>
      <c r="BD701" s="28"/>
      <c r="BE701" s="28"/>
      <c r="BF701" s="28"/>
      <c r="BG701" s="30"/>
      <c r="BH701" s="28"/>
      <c r="BI701" s="28"/>
      <c r="BJ701" s="28"/>
      <c r="BK701" s="28"/>
      <c r="BL701" s="28"/>
      <c r="BM701" s="28"/>
      <c r="BN701" s="28"/>
      <c r="BO701" s="28"/>
      <c r="BP701" s="28"/>
      <c r="BQ701" s="28"/>
      <c r="BR701" s="29"/>
      <c r="BS701" s="29"/>
      <c r="BT701" s="28"/>
      <c r="BU701" s="28"/>
      <c r="BV701" s="29"/>
      <c r="BW701" s="28"/>
      <c r="BX701" s="28"/>
      <c r="BY701" s="28"/>
      <c r="BZ701" s="28"/>
    </row>
    <row r="702" s="27" customFormat="1" spans="1:78">
      <c r="A702" s="28"/>
      <c r="B702" s="28"/>
      <c r="C702" s="29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30"/>
      <c r="AQ702" s="30"/>
      <c r="AR702" s="30"/>
      <c r="AS702" s="30"/>
      <c r="AT702" s="28"/>
      <c r="AU702" s="28"/>
      <c r="AV702" s="28"/>
      <c r="AW702" s="30"/>
      <c r="AX702" s="28"/>
      <c r="AY702" s="28"/>
      <c r="AZ702" s="28"/>
      <c r="BA702" s="28"/>
      <c r="BB702" s="28"/>
      <c r="BC702" s="28"/>
      <c r="BD702" s="28"/>
      <c r="BE702" s="28"/>
      <c r="BF702" s="28"/>
      <c r="BG702" s="30"/>
      <c r="BH702" s="28"/>
      <c r="BI702" s="28"/>
      <c r="BJ702" s="28"/>
      <c r="BK702" s="28"/>
      <c r="BL702" s="28"/>
      <c r="BM702" s="28"/>
      <c r="BN702" s="28"/>
      <c r="BO702" s="28"/>
      <c r="BP702" s="28"/>
      <c r="BQ702" s="28"/>
      <c r="BR702" s="29"/>
      <c r="BS702" s="29"/>
      <c r="BT702" s="29"/>
      <c r="BU702" s="29"/>
      <c r="BV702" s="29"/>
      <c r="BW702" s="28"/>
      <c r="BX702" s="28"/>
      <c r="BY702" s="28"/>
      <c r="BZ702" s="28"/>
    </row>
    <row r="703" s="27" customFormat="1" spans="1:78">
      <c r="A703" s="28"/>
      <c r="B703" s="28"/>
      <c r="C703" s="29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30"/>
      <c r="AQ703" s="30"/>
      <c r="AR703" s="30"/>
      <c r="AS703" s="30"/>
      <c r="AT703" s="28"/>
      <c r="AU703" s="28"/>
      <c r="AV703" s="28"/>
      <c r="AW703" s="30"/>
      <c r="AX703" s="28"/>
      <c r="AY703" s="28"/>
      <c r="AZ703" s="28"/>
      <c r="BA703" s="28"/>
      <c r="BB703" s="28"/>
      <c r="BC703" s="28"/>
      <c r="BD703" s="28"/>
      <c r="BE703" s="28"/>
      <c r="BF703" s="28"/>
      <c r="BG703" s="30"/>
      <c r="BH703" s="28"/>
      <c r="BI703" s="28"/>
      <c r="BJ703" s="28"/>
      <c r="BK703" s="28"/>
      <c r="BL703" s="28"/>
      <c r="BM703" s="28"/>
      <c r="BN703" s="28"/>
      <c r="BO703" s="28"/>
      <c r="BP703" s="28"/>
      <c r="BQ703" s="28"/>
      <c r="BR703" s="29"/>
      <c r="BS703" s="29"/>
      <c r="BT703" s="28"/>
      <c r="BU703" s="28"/>
      <c r="BV703" s="29"/>
      <c r="BW703" s="28"/>
      <c r="BX703" s="28"/>
      <c r="BY703" s="28"/>
      <c r="BZ703" s="28"/>
    </row>
    <row r="704" s="27" customFormat="1" spans="1:78">
      <c r="A704" s="28"/>
      <c r="B704" s="28"/>
      <c r="C704" s="29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30"/>
      <c r="AQ704" s="30"/>
      <c r="AR704" s="30"/>
      <c r="AS704" s="30"/>
      <c r="AT704" s="28"/>
      <c r="AU704" s="28"/>
      <c r="AV704" s="28"/>
      <c r="AW704" s="30"/>
      <c r="AX704" s="28"/>
      <c r="AY704" s="28"/>
      <c r="AZ704" s="28"/>
      <c r="BA704" s="28"/>
      <c r="BB704" s="28"/>
      <c r="BC704" s="28"/>
      <c r="BD704" s="28"/>
      <c r="BE704" s="28"/>
      <c r="BF704" s="28"/>
      <c r="BG704" s="30"/>
      <c r="BH704" s="28"/>
      <c r="BI704" s="28"/>
      <c r="BJ704" s="28"/>
      <c r="BK704" s="28"/>
      <c r="BL704" s="28"/>
      <c r="BM704" s="28"/>
      <c r="BN704" s="28"/>
      <c r="BO704" s="28"/>
      <c r="BP704" s="28"/>
      <c r="BQ704" s="28"/>
      <c r="BR704" s="29"/>
      <c r="BS704" s="29"/>
      <c r="BT704" s="29"/>
      <c r="BU704" s="29"/>
      <c r="BV704" s="29"/>
      <c r="BW704" s="28"/>
      <c r="BX704" s="28"/>
      <c r="BY704" s="28"/>
      <c r="BZ704" s="28"/>
    </row>
    <row r="705" s="27" customFormat="1" spans="1:78">
      <c r="A705" s="28"/>
      <c r="B705" s="28"/>
      <c r="C705" s="29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30"/>
      <c r="AQ705" s="30"/>
      <c r="AR705" s="30"/>
      <c r="AS705" s="30"/>
      <c r="AT705" s="28"/>
      <c r="AU705" s="28"/>
      <c r="AV705" s="28"/>
      <c r="AW705" s="30"/>
      <c r="AX705" s="28"/>
      <c r="AY705" s="28"/>
      <c r="AZ705" s="28"/>
      <c r="BA705" s="28"/>
      <c r="BB705" s="28"/>
      <c r="BC705" s="28"/>
      <c r="BD705" s="28"/>
      <c r="BE705" s="28"/>
      <c r="BF705" s="28"/>
      <c r="BG705" s="30"/>
      <c r="BH705" s="28"/>
      <c r="BI705" s="28"/>
      <c r="BJ705" s="28"/>
      <c r="BK705" s="28"/>
      <c r="BL705" s="28"/>
      <c r="BM705" s="28"/>
      <c r="BN705" s="28"/>
      <c r="BO705" s="28"/>
      <c r="BP705" s="28"/>
      <c r="BQ705" s="28"/>
      <c r="BR705" s="29"/>
      <c r="BS705" s="28"/>
      <c r="BT705" s="28"/>
      <c r="BU705" s="28"/>
      <c r="BV705" s="29"/>
      <c r="BW705" s="28"/>
      <c r="BX705" s="28"/>
      <c r="BY705" s="28"/>
      <c r="BZ705" s="28"/>
    </row>
    <row r="706" s="27" customFormat="1" spans="1:78">
      <c r="A706" s="28"/>
      <c r="B706" s="28"/>
      <c r="C706" s="29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30"/>
      <c r="AQ706" s="30"/>
      <c r="AR706" s="30"/>
      <c r="AS706" s="30"/>
      <c r="AT706" s="28"/>
      <c r="AU706" s="28"/>
      <c r="AV706" s="28"/>
      <c r="AW706" s="30"/>
      <c r="AX706" s="28"/>
      <c r="AY706" s="28"/>
      <c r="AZ706" s="28"/>
      <c r="BA706" s="28"/>
      <c r="BB706" s="28"/>
      <c r="BC706" s="28"/>
      <c r="BD706" s="28"/>
      <c r="BE706" s="28"/>
      <c r="BF706" s="28"/>
      <c r="BG706" s="30"/>
      <c r="BH706" s="28"/>
      <c r="BI706" s="28"/>
      <c r="BJ706" s="28"/>
      <c r="BK706" s="28"/>
      <c r="BL706" s="28"/>
      <c r="BM706" s="28"/>
      <c r="BN706" s="28"/>
      <c r="BO706" s="28"/>
      <c r="BP706" s="28"/>
      <c r="BQ706" s="28"/>
      <c r="BR706" s="29"/>
      <c r="BS706" s="29"/>
      <c r="BT706" s="29"/>
      <c r="BU706" s="29"/>
      <c r="BV706" s="29"/>
      <c r="BW706" s="29"/>
      <c r="BX706" s="28"/>
      <c r="BY706" s="28"/>
      <c r="BZ706" s="28"/>
    </row>
    <row r="707" s="27" customFormat="1" spans="1:78">
      <c r="A707" s="28"/>
      <c r="B707" s="28"/>
      <c r="C707" s="29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30"/>
      <c r="AQ707" s="30"/>
      <c r="AR707" s="30"/>
      <c r="AS707" s="30"/>
      <c r="AT707" s="28"/>
      <c r="AU707" s="28"/>
      <c r="AV707" s="28"/>
      <c r="AW707" s="30"/>
      <c r="AX707" s="28"/>
      <c r="AY707" s="28"/>
      <c r="AZ707" s="28"/>
      <c r="BA707" s="28"/>
      <c r="BB707" s="28"/>
      <c r="BC707" s="28"/>
      <c r="BD707" s="28"/>
      <c r="BE707" s="28"/>
      <c r="BF707" s="28"/>
      <c r="BG707" s="30"/>
      <c r="BH707" s="28"/>
      <c r="BI707" s="28"/>
      <c r="BJ707" s="28"/>
      <c r="BK707" s="28"/>
      <c r="BL707" s="28"/>
      <c r="BM707" s="28"/>
      <c r="BN707" s="28"/>
      <c r="BO707" s="28"/>
      <c r="BP707" s="28"/>
      <c r="BQ707" s="28"/>
      <c r="BR707" s="29"/>
      <c r="BS707" s="29"/>
      <c r="BT707" s="29"/>
      <c r="BU707" s="29"/>
      <c r="BV707" s="29"/>
      <c r="BW707" s="29"/>
      <c r="BX707" s="28"/>
      <c r="BY707" s="28"/>
      <c r="BZ707" s="28"/>
    </row>
    <row r="708" s="27" customFormat="1" spans="1:78">
      <c r="A708" s="28"/>
      <c r="B708" s="28"/>
      <c r="C708" s="29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30"/>
      <c r="AQ708" s="30"/>
      <c r="AR708" s="30"/>
      <c r="AS708" s="30"/>
      <c r="AT708" s="28"/>
      <c r="AU708" s="28"/>
      <c r="AV708" s="28"/>
      <c r="AW708" s="30"/>
      <c r="AX708" s="28"/>
      <c r="AY708" s="28"/>
      <c r="AZ708" s="28"/>
      <c r="BA708" s="28"/>
      <c r="BB708" s="28"/>
      <c r="BC708" s="28"/>
      <c r="BD708" s="28"/>
      <c r="BE708" s="28"/>
      <c r="BF708" s="28"/>
      <c r="BG708" s="30"/>
      <c r="BH708" s="28"/>
      <c r="BI708" s="28"/>
      <c r="BJ708" s="28"/>
      <c r="BK708" s="28"/>
      <c r="BL708" s="28"/>
      <c r="BM708" s="28"/>
      <c r="BN708" s="28"/>
      <c r="BO708" s="28"/>
      <c r="BP708" s="28"/>
      <c r="BQ708" s="28"/>
      <c r="BR708" s="29"/>
      <c r="BS708" s="29"/>
      <c r="BT708" s="29"/>
      <c r="BU708" s="29"/>
      <c r="BV708" s="29"/>
      <c r="BW708" s="29"/>
      <c r="BX708" s="28"/>
      <c r="BY708" s="28"/>
      <c r="BZ708" s="28"/>
    </row>
    <row r="709" s="27" customFormat="1" spans="1:78">
      <c r="A709" s="28"/>
      <c r="B709" s="28"/>
      <c r="C709" s="29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30"/>
      <c r="AQ709" s="30"/>
      <c r="AR709" s="30"/>
      <c r="AS709" s="30"/>
      <c r="AT709" s="28"/>
      <c r="AU709" s="29"/>
      <c r="AV709" s="30"/>
      <c r="AW709" s="30"/>
      <c r="AX709" s="28"/>
      <c r="AY709" s="28"/>
      <c r="AZ709" s="28"/>
      <c r="BA709" s="28"/>
      <c r="BB709" s="28"/>
      <c r="BC709" s="28"/>
      <c r="BD709" s="28"/>
      <c r="BE709" s="28"/>
      <c r="BF709" s="28"/>
      <c r="BG709" s="30"/>
      <c r="BH709" s="28"/>
      <c r="BI709" s="28"/>
      <c r="BJ709" s="28"/>
      <c r="BK709" s="28"/>
      <c r="BL709" s="28"/>
      <c r="BM709" s="28"/>
      <c r="BN709" s="28"/>
      <c r="BO709" s="28"/>
      <c r="BP709" s="28"/>
      <c r="BQ709" s="28"/>
      <c r="BR709" s="29"/>
      <c r="BS709" s="29"/>
      <c r="BT709" s="29"/>
      <c r="BU709" s="28"/>
      <c r="BV709" s="29"/>
      <c r="BW709" s="28"/>
      <c r="BX709" s="28"/>
      <c r="BY709" s="28"/>
      <c r="BZ709" s="28"/>
    </row>
    <row r="710" s="27" customFormat="1" spans="1:78">
      <c r="A710" s="28"/>
      <c r="B710" s="28"/>
      <c r="C710" s="29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30"/>
      <c r="AQ710" s="30"/>
      <c r="AR710" s="30"/>
      <c r="AS710" s="30"/>
      <c r="AT710" s="28"/>
      <c r="AU710" s="28"/>
      <c r="AV710" s="28"/>
      <c r="AW710" s="30"/>
      <c r="AX710" s="28"/>
      <c r="AY710" s="28"/>
      <c r="AZ710" s="28"/>
      <c r="BA710" s="28"/>
      <c r="BB710" s="28"/>
      <c r="BC710" s="28"/>
      <c r="BD710" s="28"/>
      <c r="BE710" s="28"/>
      <c r="BF710" s="28"/>
      <c r="BG710" s="30"/>
      <c r="BH710" s="28"/>
      <c r="BI710" s="28"/>
      <c r="BJ710" s="28"/>
      <c r="BK710" s="28"/>
      <c r="BL710" s="28"/>
      <c r="BM710" s="28"/>
      <c r="BN710" s="28"/>
      <c r="BO710" s="28"/>
      <c r="BP710" s="28"/>
      <c r="BQ710" s="28"/>
      <c r="BR710" s="29"/>
      <c r="BS710" s="29"/>
      <c r="BT710" s="28"/>
      <c r="BU710" s="28"/>
      <c r="BV710" s="29"/>
      <c r="BW710" s="28"/>
      <c r="BX710" s="28"/>
      <c r="BY710" s="28"/>
      <c r="BZ710" s="28"/>
    </row>
    <row r="711" s="27" customFormat="1" spans="1:78">
      <c r="A711" s="28"/>
      <c r="B711" s="28"/>
      <c r="C711" s="29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30"/>
      <c r="AQ711" s="30"/>
      <c r="AR711" s="30"/>
      <c r="AS711" s="30"/>
      <c r="AT711" s="28"/>
      <c r="AU711" s="28"/>
      <c r="AV711" s="28"/>
      <c r="AW711" s="30"/>
      <c r="AX711" s="28"/>
      <c r="AY711" s="28"/>
      <c r="AZ711" s="28"/>
      <c r="BA711" s="28"/>
      <c r="BB711" s="28"/>
      <c r="BC711" s="28"/>
      <c r="BD711" s="28"/>
      <c r="BE711" s="28"/>
      <c r="BF711" s="28"/>
      <c r="BG711" s="30"/>
      <c r="BH711" s="28"/>
      <c r="BI711" s="28"/>
      <c r="BJ711" s="28"/>
      <c r="BK711" s="28"/>
      <c r="BL711" s="28"/>
      <c r="BM711" s="28"/>
      <c r="BN711" s="28"/>
      <c r="BO711" s="28"/>
      <c r="BP711" s="28"/>
      <c r="BQ711" s="28"/>
      <c r="BR711" s="29"/>
      <c r="BS711" s="29"/>
      <c r="BT711" s="29"/>
      <c r="BU711" s="28"/>
      <c r="BV711" s="29"/>
      <c r="BW711" s="28"/>
      <c r="BX711" s="28"/>
      <c r="BY711" s="28"/>
      <c r="BZ711" s="28"/>
    </row>
    <row r="712" s="27" customFormat="1" spans="1:78">
      <c r="A712" s="28"/>
      <c r="B712" s="28"/>
      <c r="C712" s="29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30"/>
      <c r="AQ712" s="30"/>
      <c r="AR712" s="30"/>
      <c r="AS712" s="30"/>
      <c r="AT712" s="28"/>
      <c r="AU712" s="28"/>
      <c r="AV712" s="28"/>
      <c r="AW712" s="30"/>
      <c r="AX712" s="28"/>
      <c r="AY712" s="28"/>
      <c r="AZ712" s="28"/>
      <c r="BA712" s="28"/>
      <c r="BB712" s="28"/>
      <c r="BC712" s="28"/>
      <c r="BD712" s="28"/>
      <c r="BE712" s="28"/>
      <c r="BF712" s="28"/>
      <c r="BG712" s="30"/>
      <c r="BH712" s="28"/>
      <c r="BI712" s="28"/>
      <c r="BJ712" s="28"/>
      <c r="BK712" s="28"/>
      <c r="BL712" s="28"/>
      <c r="BM712" s="28"/>
      <c r="BN712" s="28"/>
      <c r="BO712" s="28"/>
      <c r="BP712" s="28"/>
      <c r="BQ712" s="28"/>
      <c r="BR712" s="29"/>
      <c r="BS712" s="29"/>
      <c r="BT712" s="29"/>
      <c r="BU712" s="29"/>
      <c r="BV712" s="29"/>
      <c r="BW712" s="29"/>
      <c r="BX712" s="28"/>
      <c r="BY712" s="28"/>
      <c r="BZ712" s="28"/>
    </row>
    <row r="713" s="27" customFormat="1" spans="1:78">
      <c r="A713" s="28"/>
      <c r="B713" s="28"/>
      <c r="C713" s="29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30"/>
      <c r="AQ713" s="30"/>
      <c r="AR713" s="30"/>
      <c r="AS713" s="30"/>
      <c r="AT713" s="28"/>
      <c r="AU713" s="28"/>
      <c r="AV713" s="28"/>
      <c r="AW713" s="30"/>
      <c r="AX713" s="28"/>
      <c r="AY713" s="28"/>
      <c r="AZ713" s="28"/>
      <c r="BA713" s="28"/>
      <c r="BB713" s="28"/>
      <c r="BC713" s="28"/>
      <c r="BD713" s="28"/>
      <c r="BE713" s="28"/>
      <c r="BF713" s="28"/>
      <c r="BG713" s="30"/>
      <c r="BH713" s="28"/>
      <c r="BI713" s="28"/>
      <c r="BJ713" s="28"/>
      <c r="BK713" s="28"/>
      <c r="BL713" s="28"/>
      <c r="BM713" s="28"/>
      <c r="BN713" s="28"/>
      <c r="BO713" s="28"/>
      <c r="BP713" s="28"/>
      <c r="BQ713" s="28"/>
      <c r="BR713" s="29"/>
      <c r="BS713" s="29"/>
      <c r="BT713" s="29"/>
      <c r="BU713" s="28"/>
      <c r="BV713" s="29"/>
      <c r="BW713" s="28"/>
      <c r="BX713" s="28"/>
      <c r="BY713" s="28"/>
      <c r="BZ713" s="28"/>
    </row>
    <row r="714" s="27" customFormat="1" spans="1:78">
      <c r="A714" s="28"/>
      <c r="B714" s="28"/>
      <c r="C714" s="29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30"/>
      <c r="AQ714" s="30"/>
      <c r="AR714" s="30"/>
      <c r="AS714" s="30"/>
      <c r="AT714" s="28"/>
      <c r="AU714" s="29"/>
      <c r="AV714" s="30"/>
      <c r="AW714" s="30"/>
      <c r="AX714" s="28"/>
      <c r="AY714" s="28"/>
      <c r="AZ714" s="28"/>
      <c r="BA714" s="28"/>
      <c r="BB714" s="28"/>
      <c r="BC714" s="28"/>
      <c r="BD714" s="28"/>
      <c r="BE714" s="28"/>
      <c r="BF714" s="28"/>
      <c r="BG714" s="30"/>
      <c r="BH714" s="28"/>
      <c r="BI714" s="28"/>
      <c r="BJ714" s="28"/>
      <c r="BK714" s="28"/>
      <c r="BL714" s="28"/>
      <c r="BM714" s="28"/>
      <c r="BN714" s="28"/>
      <c r="BO714" s="28"/>
      <c r="BP714" s="28"/>
      <c r="BQ714" s="28"/>
      <c r="BR714" s="29"/>
      <c r="BS714" s="29"/>
      <c r="BT714" s="29"/>
      <c r="BU714" s="29"/>
      <c r="BV714" s="29"/>
      <c r="BW714" s="29"/>
      <c r="BX714" s="28"/>
      <c r="BY714" s="28"/>
      <c r="BZ714" s="28"/>
    </row>
    <row r="715" s="27" customFormat="1" spans="1:78">
      <c r="A715" s="28"/>
      <c r="B715" s="28"/>
      <c r="C715" s="29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30"/>
      <c r="AQ715" s="30"/>
      <c r="AR715" s="30"/>
      <c r="AS715" s="30"/>
      <c r="AT715" s="28"/>
      <c r="AU715" s="28"/>
      <c r="AV715" s="28"/>
      <c r="AW715" s="30"/>
      <c r="AX715" s="28"/>
      <c r="AY715" s="28"/>
      <c r="AZ715" s="28"/>
      <c r="BA715" s="28"/>
      <c r="BB715" s="28"/>
      <c r="BC715" s="28"/>
      <c r="BD715" s="28"/>
      <c r="BE715" s="28"/>
      <c r="BF715" s="28"/>
      <c r="BG715" s="30"/>
      <c r="BH715" s="28"/>
      <c r="BI715" s="28"/>
      <c r="BJ715" s="28"/>
      <c r="BK715" s="28"/>
      <c r="BL715" s="28"/>
      <c r="BM715" s="28"/>
      <c r="BN715" s="28"/>
      <c r="BO715" s="28"/>
      <c r="BP715" s="28"/>
      <c r="BQ715" s="28"/>
      <c r="BR715" s="29"/>
      <c r="BS715" s="29"/>
      <c r="BT715" s="29"/>
      <c r="BU715" s="29"/>
      <c r="BV715" s="29"/>
      <c r="BW715" s="29"/>
      <c r="BX715" s="28"/>
      <c r="BY715" s="28"/>
      <c r="BZ715" s="28"/>
    </row>
    <row r="716" s="27" customFormat="1" spans="1:78">
      <c r="A716" s="28"/>
      <c r="B716" s="28"/>
      <c r="C716" s="29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30"/>
      <c r="AQ716" s="30"/>
      <c r="AR716" s="30"/>
      <c r="AS716" s="30"/>
      <c r="AT716" s="28"/>
      <c r="AU716" s="28"/>
      <c r="AV716" s="28"/>
      <c r="AW716" s="30"/>
      <c r="AX716" s="28"/>
      <c r="AY716" s="28"/>
      <c r="AZ716" s="28"/>
      <c r="BA716" s="28"/>
      <c r="BB716" s="28"/>
      <c r="BC716" s="28"/>
      <c r="BD716" s="28"/>
      <c r="BE716" s="28"/>
      <c r="BF716" s="28"/>
      <c r="BG716" s="30"/>
      <c r="BH716" s="28"/>
      <c r="BI716" s="28"/>
      <c r="BJ716" s="28"/>
      <c r="BK716" s="28"/>
      <c r="BL716" s="28"/>
      <c r="BM716" s="28"/>
      <c r="BN716" s="28"/>
      <c r="BO716" s="28"/>
      <c r="BP716" s="28"/>
      <c r="BQ716" s="28"/>
      <c r="BR716" s="29"/>
      <c r="BS716" s="29"/>
      <c r="BT716" s="29"/>
      <c r="BU716" s="28"/>
      <c r="BV716" s="29"/>
      <c r="BW716" s="28"/>
      <c r="BX716" s="28"/>
      <c r="BY716" s="28"/>
      <c r="BZ716" s="28"/>
    </row>
    <row r="717" s="27" customFormat="1" spans="1:78">
      <c r="A717" s="28"/>
      <c r="B717" s="28"/>
      <c r="C717" s="29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30"/>
      <c r="AQ717" s="30"/>
      <c r="AR717" s="30"/>
      <c r="AS717" s="30"/>
      <c r="AT717" s="28"/>
      <c r="AU717" s="28"/>
      <c r="AV717" s="28"/>
      <c r="AW717" s="30"/>
      <c r="AX717" s="28"/>
      <c r="AY717" s="28"/>
      <c r="AZ717" s="28"/>
      <c r="BA717" s="28"/>
      <c r="BB717" s="28"/>
      <c r="BC717" s="28"/>
      <c r="BD717" s="28"/>
      <c r="BE717" s="28"/>
      <c r="BF717" s="28"/>
      <c r="BG717" s="30"/>
      <c r="BH717" s="28"/>
      <c r="BI717" s="28"/>
      <c r="BJ717" s="28"/>
      <c r="BK717" s="28"/>
      <c r="BL717" s="28"/>
      <c r="BM717" s="28"/>
      <c r="BN717" s="28"/>
      <c r="BO717" s="28"/>
      <c r="BP717" s="28"/>
      <c r="BQ717" s="28"/>
      <c r="BR717" s="29"/>
      <c r="BS717" s="29"/>
      <c r="BT717" s="29"/>
      <c r="BU717" s="29"/>
      <c r="BV717" s="29"/>
      <c r="BW717" s="28"/>
      <c r="BX717" s="28"/>
      <c r="BY717" s="28"/>
      <c r="BZ717" s="28"/>
    </row>
    <row r="718" s="27" customFormat="1" spans="1:78">
      <c r="A718" s="28"/>
      <c r="B718" s="28"/>
      <c r="C718" s="29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30"/>
      <c r="AQ718" s="30"/>
      <c r="AR718" s="30"/>
      <c r="AS718" s="30"/>
      <c r="AT718" s="28"/>
      <c r="AU718" s="28"/>
      <c r="AV718" s="28"/>
      <c r="AW718" s="30"/>
      <c r="AX718" s="28"/>
      <c r="AY718" s="28"/>
      <c r="AZ718" s="28"/>
      <c r="BA718" s="28"/>
      <c r="BB718" s="28"/>
      <c r="BC718" s="28"/>
      <c r="BD718" s="28"/>
      <c r="BE718" s="28"/>
      <c r="BF718" s="28"/>
      <c r="BG718" s="30"/>
      <c r="BH718" s="28"/>
      <c r="BI718" s="28"/>
      <c r="BJ718" s="28"/>
      <c r="BK718" s="28"/>
      <c r="BL718" s="28"/>
      <c r="BM718" s="28"/>
      <c r="BN718" s="28"/>
      <c r="BO718" s="28"/>
      <c r="BP718" s="28"/>
      <c r="BQ718" s="28"/>
      <c r="BR718" s="29"/>
      <c r="BS718" s="29"/>
      <c r="BT718" s="29"/>
      <c r="BU718" s="29"/>
      <c r="BV718" s="29"/>
      <c r="BW718" s="28"/>
      <c r="BX718" s="28"/>
      <c r="BY718" s="28"/>
      <c r="BZ718" s="28"/>
    </row>
    <row r="719" s="27" customFormat="1" spans="1:78">
      <c r="A719" s="28"/>
      <c r="B719" s="28"/>
      <c r="C719" s="29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30"/>
      <c r="AQ719" s="30"/>
      <c r="AR719" s="30"/>
      <c r="AS719" s="30"/>
      <c r="AT719" s="28"/>
      <c r="AU719" s="28"/>
      <c r="AV719" s="28"/>
      <c r="AW719" s="30"/>
      <c r="AX719" s="28"/>
      <c r="AY719" s="28"/>
      <c r="AZ719" s="28"/>
      <c r="BA719" s="28"/>
      <c r="BB719" s="28"/>
      <c r="BC719" s="28"/>
      <c r="BD719" s="28"/>
      <c r="BE719" s="28"/>
      <c r="BF719" s="28"/>
      <c r="BG719" s="30"/>
      <c r="BH719" s="28"/>
      <c r="BI719" s="28"/>
      <c r="BJ719" s="28"/>
      <c r="BK719" s="28"/>
      <c r="BL719" s="28"/>
      <c r="BM719" s="28"/>
      <c r="BN719" s="28"/>
      <c r="BO719" s="28"/>
      <c r="BP719" s="28"/>
      <c r="BQ719" s="28"/>
      <c r="BR719" s="29"/>
      <c r="BS719" s="29"/>
      <c r="BT719" s="29"/>
      <c r="BU719" s="29"/>
      <c r="BV719" s="29"/>
      <c r="BW719" s="29"/>
      <c r="BX719" s="28"/>
      <c r="BY719" s="28"/>
      <c r="BZ719" s="28"/>
    </row>
    <row r="720" s="27" customFormat="1" spans="1:78">
      <c r="A720" s="28"/>
      <c r="B720" s="28"/>
      <c r="C720" s="29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30"/>
      <c r="AQ720" s="30"/>
      <c r="AR720" s="30"/>
      <c r="AS720" s="30"/>
      <c r="AT720" s="28"/>
      <c r="AU720" s="28"/>
      <c r="AV720" s="28"/>
      <c r="AW720" s="30"/>
      <c r="AX720" s="28"/>
      <c r="AY720" s="28"/>
      <c r="AZ720" s="28"/>
      <c r="BA720" s="28"/>
      <c r="BB720" s="28"/>
      <c r="BC720" s="28"/>
      <c r="BD720" s="28"/>
      <c r="BE720" s="28"/>
      <c r="BF720" s="28"/>
      <c r="BG720" s="30"/>
      <c r="BH720" s="28"/>
      <c r="BI720" s="28"/>
      <c r="BJ720" s="28"/>
      <c r="BK720" s="28"/>
      <c r="BL720" s="28"/>
      <c r="BM720" s="28"/>
      <c r="BN720" s="28"/>
      <c r="BO720" s="28"/>
      <c r="BP720" s="28"/>
      <c r="BQ720" s="28"/>
      <c r="BR720" s="29"/>
      <c r="BS720" s="29"/>
      <c r="BT720" s="29"/>
      <c r="BU720" s="29"/>
      <c r="BV720" s="29"/>
      <c r="BW720" s="29"/>
      <c r="BX720" s="28"/>
      <c r="BY720" s="28"/>
      <c r="BZ720" s="28"/>
    </row>
    <row r="721" s="27" customFormat="1" spans="1:78">
      <c r="A721" s="28"/>
      <c r="B721" s="28"/>
      <c r="C721" s="29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30"/>
      <c r="AQ721" s="30"/>
      <c r="AR721" s="30"/>
      <c r="AS721" s="30"/>
      <c r="AT721" s="28"/>
      <c r="AU721" s="28"/>
      <c r="AV721" s="28"/>
      <c r="AW721" s="30"/>
      <c r="AX721" s="28"/>
      <c r="AY721" s="28"/>
      <c r="AZ721" s="28"/>
      <c r="BA721" s="28"/>
      <c r="BB721" s="28"/>
      <c r="BC721" s="28"/>
      <c r="BD721" s="28"/>
      <c r="BE721" s="28"/>
      <c r="BF721" s="28"/>
      <c r="BG721" s="30"/>
      <c r="BH721" s="28"/>
      <c r="BI721" s="28"/>
      <c r="BJ721" s="28"/>
      <c r="BK721" s="28"/>
      <c r="BL721" s="28"/>
      <c r="BM721" s="28"/>
      <c r="BN721" s="28"/>
      <c r="BO721" s="28"/>
      <c r="BP721" s="28"/>
      <c r="BQ721" s="28"/>
      <c r="BR721" s="29"/>
      <c r="BS721" s="29"/>
      <c r="BT721" s="29"/>
      <c r="BU721" s="28"/>
      <c r="BV721" s="29"/>
      <c r="BW721" s="28"/>
      <c r="BX721" s="28"/>
      <c r="BY721" s="28"/>
      <c r="BZ721" s="28"/>
    </row>
    <row r="722" s="27" customFormat="1" spans="1:78">
      <c r="A722" s="28"/>
      <c r="B722" s="28"/>
      <c r="C722" s="29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30"/>
      <c r="AQ722" s="30"/>
      <c r="AR722" s="30"/>
      <c r="AS722" s="30"/>
      <c r="AT722" s="28"/>
      <c r="AU722" s="28"/>
      <c r="AV722" s="28"/>
      <c r="AW722" s="30"/>
      <c r="AX722" s="28"/>
      <c r="AY722" s="28"/>
      <c r="AZ722" s="28"/>
      <c r="BA722" s="28"/>
      <c r="BB722" s="28"/>
      <c r="BC722" s="28"/>
      <c r="BD722" s="28"/>
      <c r="BE722" s="28"/>
      <c r="BF722" s="28"/>
      <c r="BG722" s="30"/>
      <c r="BH722" s="28"/>
      <c r="BI722" s="28"/>
      <c r="BJ722" s="28"/>
      <c r="BK722" s="28"/>
      <c r="BL722" s="28"/>
      <c r="BM722" s="28"/>
      <c r="BN722" s="28"/>
      <c r="BO722" s="28"/>
      <c r="BP722" s="28"/>
      <c r="BQ722" s="28"/>
      <c r="BR722" s="29"/>
      <c r="BS722" s="29"/>
      <c r="BT722" s="28"/>
      <c r="BU722" s="28"/>
      <c r="BV722" s="29"/>
      <c r="BW722" s="28"/>
      <c r="BX722" s="28"/>
      <c r="BY722" s="28"/>
      <c r="BZ722" s="28"/>
    </row>
    <row r="723" s="27" customFormat="1" spans="1:78">
      <c r="A723" s="28"/>
      <c r="B723" s="28"/>
      <c r="C723" s="29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30"/>
      <c r="AQ723" s="30"/>
      <c r="AR723" s="30"/>
      <c r="AS723" s="30"/>
      <c r="AT723" s="28"/>
      <c r="AU723" s="28"/>
      <c r="AV723" s="28"/>
      <c r="AW723" s="30"/>
      <c r="AX723" s="28"/>
      <c r="AY723" s="28"/>
      <c r="AZ723" s="28"/>
      <c r="BA723" s="28"/>
      <c r="BB723" s="28"/>
      <c r="BC723" s="28"/>
      <c r="BD723" s="28"/>
      <c r="BE723" s="28"/>
      <c r="BF723" s="28"/>
      <c r="BG723" s="30"/>
      <c r="BH723" s="28"/>
      <c r="BI723" s="28"/>
      <c r="BJ723" s="28"/>
      <c r="BK723" s="28"/>
      <c r="BL723" s="28"/>
      <c r="BM723" s="28"/>
      <c r="BN723" s="28"/>
      <c r="BO723" s="28"/>
      <c r="BP723" s="28"/>
      <c r="BQ723" s="28"/>
      <c r="BR723" s="29"/>
      <c r="BS723" s="28"/>
      <c r="BT723" s="28"/>
      <c r="BU723" s="28"/>
      <c r="BV723" s="29"/>
      <c r="BW723" s="28"/>
      <c r="BX723" s="28"/>
      <c r="BY723" s="28"/>
      <c r="BZ723" s="28"/>
    </row>
    <row r="724" s="27" customFormat="1" spans="1:78">
      <c r="A724" s="28"/>
      <c r="B724" s="28"/>
      <c r="C724" s="29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30"/>
      <c r="AQ724" s="30"/>
      <c r="AR724" s="30"/>
      <c r="AS724" s="30"/>
      <c r="AT724" s="28"/>
      <c r="AU724" s="28"/>
      <c r="AV724" s="28"/>
      <c r="AW724" s="30"/>
      <c r="AX724" s="28"/>
      <c r="AY724" s="28"/>
      <c r="AZ724" s="28"/>
      <c r="BA724" s="28"/>
      <c r="BB724" s="28"/>
      <c r="BC724" s="28"/>
      <c r="BD724" s="28"/>
      <c r="BE724" s="28"/>
      <c r="BF724" s="28"/>
      <c r="BG724" s="30"/>
      <c r="BH724" s="28"/>
      <c r="BI724" s="28"/>
      <c r="BJ724" s="28"/>
      <c r="BK724" s="28"/>
      <c r="BL724" s="28"/>
      <c r="BM724" s="28"/>
      <c r="BN724" s="28"/>
      <c r="BO724" s="28"/>
      <c r="BP724" s="28"/>
      <c r="BQ724" s="28"/>
      <c r="BR724" s="29"/>
      <c r="BS724" s="29"/>
      <c r="BT724" s="29"/>
      <c r="BU724" s="29"/>
      <c r="BV724" s="29"/>
      <c r="BW724" s="29"/>
      <c r="BX724" s="28"/>
      <c r="BY724" s="28"/>
      <c r="BZ724" s="28"/>
    </row>
    <row r="725" s="27" customFormat="1" spans="1:78">
      <c r="A725" s="28"/>
      <c r="B725" s="28"/>
      <c r="C725" s="29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30"/>
      <c r="AQ725" s="30"/>
      <c r="AR725" s="30"/>
      <c r="AS725" s="30"/>
      <c r="AT725" s="28"/>
      <c r="AU725" s="28"/>
      <c r="AV725" s="28"/>
      <c r="AW725" s="30"/>
      <c r="AX725" s="28"/>
      <c r="AY725" s="28"/>
      <c r="AZ725" s="28"/>
      <c r="BA725" s="28"/>
      <c r="BB725" s="28"/>
      <c r="BC725" s="28"/>
      <c r="BD725" s="28"/>
      <c r="BE725" s="28"/>
      <c r="BF725" s="28"/>
      <c r="BG725" s="30"/>
      <c r="BH725" s="28"/>
      <c r="BI725" s="28"/>
      <c r="BJ725" s="28"/>
      <c r="BK725" s="28"/>
      <c r="BL725" s="28"/>
      <c r="BM725" s="28"/>
      <c r="BN725" s="28"/>
      <c r="BO725" s="28"/>
      <c r="BP725" s="28"/>
      <c r="BQ725" s="28"/>
      <c r="BR725" s="29"/>
      <c r="BS725" s="29"/>
      <c r="BT725" s="29"/>
      <c r="BU725" s="28"/>
      <c r="BV725" s="29"/>
      <c r="BW725" s="28"/>
      <c r="BX725" s="28"/>
      <c r="BY725" s="28"/>
      <c r="BZ725" s="28"/>
    </row>
    <row r="726" s="27" customFormat="1" spans="1:78">
      <c r="A726" s="28"/>
      <c r="B726" s="28"/>
      <c r="C726" s="29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30"/>
      <c r="AQ726" s="30"/>
      <c r="AR726" s="30"/>
      <c r="AS726" s="30"/>
      <c r="AT726" s="28"/>
      <c r="AU726" s="28"/>
      <c r="AV726" s="28"/>
      <c r="AW726" s="30"/>
      <c r="AX726" s="28"/>
      <c r="AY726" s="28"/>
      <c r="AZ726" s="28"/>
      <c r="BA726" s="28"/>
      <c r="BB726" s="28"/>
      <c r="BC726" s="28"/>
      <c r="BD726" s="28"/>
      <c r="BE726" s="28"/>
      <c r="BF726" s="28"/>
      <c r="BG726" s="30"/>
      <c r="BH726" s="28"/>
      <c r="BI726" s="28"/>
      <c r="BJ726" s="28"/>
      <c r="BK726" s="28"/>
      <c r="BL726" s="28"/>
      <c r="BM726" s="28"/>
      <c r="BN726" s="28"/>
      <c r="BO726" s="28"/>
      <c r="BP726" s="28"/>
      <c r="BQ726" s="28"/>
      <c r="BR726" s="29"/>
      <c r="BS726" s="29"/>
      <c r="BT726" s="29"/>
      <c r="BU726" s="28"/>
      <c r="BV726" s="29"/>
      <c r="BW726" s="28"/>
      <c r="BX726" s="28"/>
      <c r="BY726" s="28"/>
      <c r="BZ726" s="28"/>
    </row>
    <row r="727" s="27" customFormat="1" spans="1:78">
      <c r="A727" s="28"/>
      <c r="B727" s="28"/>
      <c r="C727" s="29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30"/>
      <c r="AQ727" s="30"/>
      <c r="AR727" s="30"/>
      <c r="AS727" s="30"/>
      <c r="AT727" s="28"/>
      <c r="AU727" s="29"/>
      <c r="AV727" s="30"/>
      <c r="AW727" s="30"/>
      <c r="AX727" s="28"/>
      <c r="AY727" s="28"/>
      <c r="AZ727" s="28"/>
      <c r="BA727" s="28"/>
      <c r="BB727" s="28"/>
      <c r="BC727" s="28"/>
      <c r="BD727" s="28"/>
      <c r="BE727" s="28"/>
      <c r="BF727" s="28"/>
      <c r="BG727" s="30"/>
      <c r="BH727" s="28"/>
      <c r="BI727" s="28"/>
      <c r="BJ727" s="28"/>
      <c r="BK727" s="28"/>
      <c r="BL727" s="28"/>
      <c r="BM727" s="28"/>
      <c r="BN727" s="28"/>
      <c r="BO727" s="28"/>
      <c r="BP727" s="28"/>
      <c r="BQ727" s="28"/>
      <c r="BR727" s="29"/>
      <c r="BS727" s="29"/>
      <c r="BT727" s="29"/>
      <c r="BU727" s="29"/>
      <c r="BV727" s="29"/>
      <c r="BW727" s="29"/>
      <c r="BX727" s="28"/>
      <c r="BY727" s="28"/>
      <c r="BZ727" s="28"/>
    </row>
    <row r="728" s="27" customFormat="1" spans="1:78">
      <c r="A728" s="28"/>
      <c r="B728" s="28"/>
      <c r="C728" s="29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30"/>
      <c r="AQ728" s="30"/>
      <c r="AR728" s="30"/>
      <c r="AS728" s="30"/>
      <c r="AT728" s="28"/>
      <c r="AU728" s="28"/>
      <c r="AV728" s="28"/>
      <c r="AW728" s="30"/>
      <c r="AX728" s="28"/>
      <c r="AY728" s="28"/>
      <c r="AZ728" s="28"/>
      <c r="BA728" s="28"/>
      <c r="BB728" s="28"/>
      <c r="BC728" s="28"/>
      <c r="BD728" s="28"/>
      <c r="BE728" s="28"/>
      <c r="BF728" s="28"/>
      <c r="BG728" s="30"/>
      <c r="BH728" s="28"/>
      <c r="BI728" s="28"/>
      <c r="BJ728" s="28"/>
      <c r="BK728" s="28"/>
      <c r="BL728" s="28"/>
      <c r="BM728" s="28"/>
      <c r="BN728" s="28"/>
      <c r="BO728" s="28"/>
      <c r="BP728" s="28"/>
      <c r="BQ728" s="28"/>
      <c r="BR728" s="29"/>
      <c r="BS728" s="29"/>
      <c r="BT728" s="29"/>
      <c r="BU728" s="29"/>
      <c r="BV728" s="29"/>
      <c r="BW728" s="29"/>
      <c r="BX728" s="28"/>
      <c r="BY728" s="28"/>
      <c r="BZ728" s="28"/>
    </row>
    <row r="729" s="27" customFormat="1" spans="1:78">
      <c r="A729" s="28"/>
      <c r="B729" s="28"/>
      <c r="C729" s="29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30"/>
      <c r="AQ729" s="30"/>
      <c r="AR729" s="30"/>
      <c r="AS729" s="30"/>
      <c r="AT729" s="28"/>
      <c r="AU729" s="28"/>
      <c r="AV729" s="28"/>
      <c r="AW729" s="30"/>
      <c r="AX729" s="28"/>
      <c r="AY729" s="28"/>
      <c r="AZ729" s="28"/>
      <c r="BA729" s="28"/>
      <c r="BB729" s="28"/>
      <c r="BC729" s="28"/>
      <c r="BD729" s="28"/>
      <c r="BE729" s="28"/>
      <c r="BF729" s="28"/>
      <c r="BG729" s="30"/>
      <c r="BH729" s="28"/>
      <c r="BI729" s="28"/>
      <c r="BJ729" s="28"/>
      <c r="BK729" s="28"/>
      <c r="BL729" s="28"/>
      <c r="BM729" s="28"/>
      <c r="BN729" s="28"/>
      <c r="BO729" s="28"/>
      <c r="BP729" s="28"/>
      <c r="BQ729" s="28"/>
      <c r="BR729" s="29"/>
      <c r="BS729" s="29"/>
      <c r="BT729" s="29"/>
      <c r="BU729" s="29"/>
      <c r="BV729" s="29"/>
      <c r="BW729" s="29"/>
      <c r="BX729" s="28"/>
      <c r="BY729" s="28"/>
      <c r="BZ729" s="28"/>
    </row>
    <row r="730" s="27" customFormat="1" spans="1:78">
      <c r="A730" s="28"/>
      <c r="B730" s="28"/>
      <c r="C730" s="29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30"/>
      <c r="AQ730" s="30"/>
      <c r="AR730" s="30"/>
      <c r="AS730" s="30"/>
      <c r="AT730" s="28"/>
      <c r="AU730" s="28"/>
      <c r="AV730" s="28"/>
      <c r="AW730" s="30"/>
      <c r="AX730" s="28"/>
      <c r="AY730" s="28"/>
      <c r="AZ730" s="28"/>
      <c r="BA730" s="28"/>
      <c r="BB730" s="28"/>
      <c r="BC730" s="28"/>
      <c r="BD730" s="28"/>
      <c r="BE730" s="28"/>
      <c r="BF730" s="28"/>
      <c r="BG730" s="30"/>
      <c r="BH730" s="28"/>
      <c r="BI730" s="28"/>
      <c r="BJ730" s="28"/>
      <c r="BK730" s="28"/>
      <c r="BL730" s="28"/>
      <c r="BM730" s="28"/>
      <c r="BN730" s="28"/>
      <c r="BO730" s="28"/>
      <c r="BP730" s="28"/>
      <c r="BQ730" s="28"/>
      <c r="BR730" s="29"/>
      <c r="BS730" s="29"/>
      <c r="BT730" s="29"/>
      <c r="BU730" s="29"/>
      <c r="BV730" s="29"/>
      <c r="BW730" s="29"/>
      <c r="BX730" s="28"/>
      <c r="BY730" s="28"/>
      <c r="BZ730" s="28"/>
    </row>
    <row r="731" s="27" customFormat="1" spans="1:78">
      <c r="A731" s="28"/>
      <c r="B731" s="28"/>
      <c r="C731" s="29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30"/>
      <c r="AQ731" s="30"/>
      <c r="AR731" s="30"/>
      <c r="AS731" s="30"/>
      <c r="AT731" s="28"/>
      <c r="AU731" s="28"/>
      <c r="AV731" s="28"/>
      <c r="AW731" s="30"/>
      <c r="AX731" s="28"/>
      <c r="AY731" s="28"/>
      <c r="AZ731" s="28"/>
      <c r="BA731" s="28"/>
      <c r="BB731" s="28"/>
      <c r="BC731" s="28"/>
      <c r="BD731" s="28"/>
      <c r="BE731" s="28"/>
      <c r="BF731" s="28"/>
      <c r="BG731" s="30"/>
      <c r="BH731" s="28"/>
      <c r="BI731" s="28"/>
      <c r="BJ731" s="28"/>
      <c r="BK731" s="28"/>
      <c r="BL731" s="28"/>
      <c r="BM731" s="28"/>
      <c r="BN731" s="28"/>
      <c r="BO731" s="28"/>
      <c r="BP731" s="28"/>
      <c r="BQ731" s="28"/>
      <c r="BR731" s="29"/>
      <c r="BS731" s="29"/>
      <c r="BT731" s="28"/>
      <c r="BU731" s="28"/>
      <c r="BV731" s="29"/>
      <c r="BW731" s="28"/>
      <c r="BX731" s="28"/>
      <c r="BY731" s="28"/>
      <c r="BZ731" s="28"/>
    </row>
    <row r="732" s="27" customFormat="1" spans="1:78">
      <c r="A732" s="28"/>
      <c r="B732" s="28"/>
      <c r="C732" s="29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30"/>
      <c r="AQ732" s="30"/>
      <c r="AR732" s="30"/>
      <c r="AS732" s="30"/>
      <c r="AT732" s="28"/>
      <c r="AU732" s="29"/>
      <c r="AV732" s="30"/>
      <c r="AW732" s="30"/>
      <c r="AX732" s="28"/>
      <c r="AY732" s="28"/>
      <c r="AZ732" s="28"/>
      <c r="BA732" s="28"/>
      <c r="BB732" s="28"/>
      <c r="BC732" s="28"/>
      <c r="BD732" s="28"/>
      <c r="BE732" s="28"/>
      <c r="BF732" s="28"/>
      <c r="BG732" s="30"/>
      <c r="BH732" s="28"/>
      <c r="BI732" s="28"/>
      <c r="BJ732" s="28"/>
      <c r="BK732" s="28"/>
      <c r="BL732" s="28"/>
      <c r="BM732" s="28"/>
      <c r="BN732" s="28"/>
      <c r="BO732" s="28"/>
      <c r="BP732" s="28"/>
      <c r="BQ732" s="28"/>
      <c r="BR732" s="29"/>
      <c r="BS732" s="29"/>
      <c r="BT732" s="29"/>
      <c r="BU732" s="29"/>
      <c r="BV732" s="29"/>
      <c r="BW732" s="29"/>
      <c r="BX732" s="28"/>
      <c r="BY732" s="28"/>
      <c r="BZ732" s="28"/>
    </row>
    <row r="733" s="27" customFormat="1" spans="1:78">
      <c r="A733" s="28"/>
      <c r="B733" s="28"/>
      <c r="C733" s="29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30"/>
      <c r="AQ733" s="30"/>
      <c r="AR733" s="30"/>
      <c r="AS733" s="30"/>
      <c r="AT733" s="28"/>
      <c r="AU733" s="28"/>
      <c r="AV733" s="28"/>
      <c r="AW733" s="30"/>
      <c r="AX733" s="28"/>
      <c r="AY733" s="28"/>
      <c r="AZ733" s="28"/>
      <c r="BA733" s="28"/>
      <c r="BB733" s="28"/>
      <c r="BC733" s="28"/>
      <c r="BD733" s="28"/>
      <c r="BE733" s="28"/>
      <c r="BF733" s="28"/>
      <c r="BG733" s="30"/>
      <c r="BH733" s="28"/>
      <c r="BI733" s="28"/>
      <c r="BJ733" s="28"/>
      <c r="BK733" s="28"/>
      <c r="BL733" s="28"/>
      <c r="BM733" s="28"/>
      <c r="BN733" s="28"/>
      <c r="BO733" s="28"/>
      <c r="BP733" s="28"/>
      <c r="BQ733" s="28"/>
      <c r="BR733" s="29"/>
      <c r="BS733" s="29"/>
      <c r="BT733" s="29"/>
      <c r="BU733" s="29"/>
      <c r="BV733" s="29"/>
      <c r="BW733" s="29"/>
      <c r="BX733" s="28"/>
      <c r="BY733" s="28"/>
      <c r="BZ733" s="28"/>
    </row>
    <row r="734" s="27" customFormat="1" spans="1:78">
      <c r="A734" s="28"/>
      <c r="B734" s="28"/>
      <c r="C734" s="29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30"/>
      <c r="AQ734" s="30"/>
      <c r="AR734" s="30"/>
      <c r="AS734" s="30"/>
      <c r="AT734" s="28"/>
      <c r="AU734" s="28"/>
      <c r="AV734" s="28"/>
      <c r="AW734" s="30"/>
      <c r="AX734" s="28"/>
      <c r="AY734" s="28"/>
      <c r="AZ734" s="28"/>
      <c r="BA734" s="28"/>
      <c r="BB734" s="28"/>
      <c r="BC734" s="28"/>
      <c r="BD734" s="28"/>
      <c r="BE734" s="28"/>
      <c r="BF734" s="28"/>
      <c r="BG734" s="30"/>
      <c r="BH734" s="28"/>
      <c r="BI734" s="28"/>
      <c r="BJ734" s="28"/>
      <c r="BK734" s="28"/>
      <c r="BL734" s="28"/>
      <c r="BM734" s="28"/>
      <c r="BN734" s="28"/>
      <c r="BO734" s="28"/>
      <c r="BP734" s="28"/>
      <c r="BQ734" s="28"/>
      <c r="BR734" s="29"/>
      <c r="BS734" s="29"/>
      <c r="BT734" s="29"/>
      <c r="BU734" s="28"/>
      <c r="BV734" s="29"/>
      <c r="BW734" s="28"/>
      <c r="BX734" s="28"/>
      <c r="BY734" s="28"/>
      <c r="BZ734" s="28"/>
    </row>
    <row r="735" s="27" customFormat="1" spans="1:78">
      <c r="A735" s="28"/>
      <c r="B735" s="28"/>
      <c r="C735" s="29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30"/>
      <c r="AQ735" s="30"/>
      <c r="AR735" s="30"/>
      <c r="AS735" s="30"/>
      <c r="AT735" s="28"/>
      <c r="AU735" s="28"/>
      <c r="AV735" s="28"/>
      <c r="AW735" s="30"/>
      <c r="AX735" s="28"/>
      <c r="AY735" s="28"/>
      <c r="AZ735" s="28"/>
      <c r="BA735" s="28"/>
      <c r="BB735" s="28"/>
      <c r="BC735" s="28"/>
      <c r="BD735" s="28"/>
      <c r="BE735" s="28"/>
      <c r="BF735" s="28"/>
      <c r="BG735" s="30"/>
      <c r="BH735" s="28"/>
      <c r="BI735" s="28"/>
      <c r="BJ735" s="28"/>
      <c r="BK735" s="28"/>
      <c r="BL735" s="28"/>
      <c r="BM735" s="28"/>
      <c r="BN735" s="28"/>
      <c r="BO735" s="28"/>
      <c r="BP735" s="28"/>
      <c r="BQ735" s="28"/>
      <c r="BR735" s="29"/>
      <c r="BS735" s="29"/>
      <c r="BT735" s="28"/>
      <c r="BU735" s="28"/>
      <c r="BV735" s="29"/>
      <c r="BW735" s="28"/>
      <c r="BX735" s="28"/>
      <c r="BY735" s="28"/>
      <c r="BZ735" s="28"/>
    </row>
    <row r="736" s="27" customFormat="1" spans="1:78">
      <c r="A736" s="28"/>
      <c r="B736" s="28"/>
      <c r="C736" s="29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30"/>
      <c r="AQ736" s="30"/>
      <c r="AR736" s="30"/>
      <c r="AS736" s="30"/>
      <c r="AT736" s="28"/>
      <c r="AU736" s="28"/>
      <c r="AV736" s="28"/>
      <c r="AW736" s="30"/>
      <c r="AX736" s="28"/>
      <c r="AY736" s="28"/>
      <c r="AZ736" s="28"/>
      <c r="BA736" s="28"/>
      <c r="BB736" s="28"/>
      <c r="BC736" s="28"/>
      <c r="BD736" s="28"/>
      <c r="BE736" s="28"/>
      <c r="BF736" s="28"/>
      <c r="BG736" s="30"/>
      <c r="BH736" s="28"/>
      <c r="BI736" s="28"/>
      <c r="BJ736" s="28"/>
      <c r="BK736" s="28"/>
      <c r="BL736" s="28"/>
      <c r="BM736" s="28"/>
      <c r="BN736" s="28"/>
      <c r="BO736" s="28"/>
      <c r="BP736" s="28"/>
      <c r="BQ736" s="28"/>
      <c r="BR736" s="29"/>
      <c r="BS736" s="29"/>
      <c r="BT736" s="29"/>
      <c r="BU736" s="29"/>
      <c r="BV736" s="29"/>
      <c r="BW736" s="29"/>
      <c r="BX736" s="28"/>
      <c r="BY736" s="28"/>
      <c r="BZ736" s="28"/>
    </row>
    <row r="737" s="27" customFormat="1" spans="1:78">
      <c r="A737" s="28"/>
      <c r="B737" s="28"/>
      <c r="C737" s="29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30"/>
      <c r="AQ737" s="30"/>
      <c r="AR737" s="30"/>
      <c r="AS737" s="30"/>
      <c r="AT737" s="28"/>
      <c r="AU737" s="28"/>
      <c r="AV737" s="28"/>
      <c r="AW737" s="30"/>
      <c r="AX737" s="28"/>
      <c r="AY737" s="28"/>
      <c r="AZ737" s="28"/>
      <c r="BA737" s="28"/>
      <c r="BB737" s="28"/>
      <c r="BC737" s="28"/>
      <c r="BD737" s="28"/>
      <c r="BE737" s="28"/>
      <c r="BF737" s="28"/>
      <c r="BG737" s="30"/>
      <c r="BH737" s="28"/>
      <c r="BI737" s="28"/>
      <c r="BJ737" s="28"/>
      <c r="BK737" s="28"/>
      <c r="BL737" s="28"/>
      <c r="BM737" s="28"/>
      <c r="BN737" s="28"/>
      <c r="BO737" s="28"/>
      <c r="BP737" s="28"/>
      <c r="BQ737" s="28"/>
      <c r="BR737" s="29"/>
      <c r="BS737" s="29"/>
      <c r="BT737" s="29"/>
      <c r="BU737" s="29"/>
      <c r="BV737" s="29"/>
      <c r="BW737" s="29"/>
      <c r="BX737" s="28"/>
      <c r="BY737" s="28"/>
      <c r="BZ737" s="28"/>
    </row>
    <row r="738" s="27" customFormat="1" spans="1:78">
      <c r="A738" s="28"/>
      <c r="B738" s="28"/>
      <c r="C738" s="29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30"/>
      <c r="AQ738" s="30"/>
      <c r="AR738" s="30"/>
      <c r="AS738" s="30"/>
      <c r="AT738" s="28"/>
      <c r="AU738" s="28"/>
      <c r="AV738" s="28"/>
      <c r="AW738" s="30"/>
      <c r="AX738" s="28"/>
      <c r="AY738" s="28"/>
      <c r="AZ738" s="28"/>
      <c r="BA738" s="28"/>
      <c r="BB738" s="28"/>
      <c r="BC738" s="28"/>
      <c r="BD738" s="28"/>
      <c r="BE738" s="28"/>
      <c r="BF738" s="28"/>
      <c r="BG738" s="30"/>
      <c r="BH738" s="28"/>
      <c r="BI738" s="28"/>
      <c r="BJ738" s="28"/>
      <c r="BK738" s="28"/>
      <c r="BL738" s="28"/>
      <c r="BM738" s="28"/>
      <c r="BN738" s="28"/>
      <c r="BO738" s="28"/>
      <c r="BP738" s="28"/>
      <c r="BQ738" s="28"/>
      <c r="BR738" s="29"/>
      <c r="BS738" s="29"/>
      <c r="BT738" s="29"/>
      <c r="BU738" s="29"/>
      <c r="BV738" s="29"/>
      <c r="BW738" s="29"/>
      <c r="BX738" s="28"/>
      <c r="BY738" s="28"/>
      <c r="BZ738" s="28"/>
    </row>
    <row r="739" s="27" customFormat="1" spans="1:78">
      <c r="A739" s="28"/>
      <c r="B739" s="28"/>
      <c r="C739" s="29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30"/>
      <c r="AQ739" s="30"/>
      <c r="AR739" s="30"/>
      <c r="AS739" s="30"/>
      <c r="AT739" s="28"/>
      <c r="AU739" s="28"/>
      <c r="AV739" s="28"/>
      <c r="AW739" s="30"/>
      <c r="AX739" s="28"/>
      <c r="AY739" s="28"/>
      <c r="AZ739" s="28"/>
      <c r="BA739" s="28"/>
      <c r="BB739" s="28"/>
      <c r="BC739" s="28"/>
      <c r="BD739" s="28"/>
      <c r="BE739" s="28"/>
      <c r="BF739" s="28"/>
      <c r="BG739" s="30"/>
      <c r="BH739" s="28"/>
      <c r="BI739" s="28"/>
      <c r="BJ739" s="28"/>
      <c r="BK739" s="28"/>
      <c r="BL739" s="28"/>
      <c r="BM739" s="28"/>
      <c r="BN739" s="28"/>
      <c r="BO739" s="28"/>
      <c r="BP739" s="28"/>
      <c r="BQ739" s="28"/>
      <c r="BR739" s="29"/>
      <c r="BS739" s="29"/>
      <c r="BT739" s="29"/>
      <c r="BU739" s="29"/>
      <c r="BV739" s="29"/>
      <c r="BW739" s="28"/>
      <c r="BX739" s="28"/>
      <c r="BY739" s="28"/>
      <c r="BZ739" s="28"/>
    </row>
    <row r="740" s="27" customFormat="1" spans="1:78">
      <c r="A740" s="28"/>
      <c r="B740" s="28"/>
      <c r="C740" s="29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30"/>
      <c r="AQ740" s="30"/>
      <c r="AR740" s="30"/>
      <c r="AS740" s="30"/>
      <c r="AT740" s="28"/>
      <c r="AU740" s="28"/>
      <c r="AV740" s="28"/>
      <c r="AW740" s="30"/>
      <c r="AX740" s="28"/>
      <c r="AY740" s="28"/>
      <c r="AZ740" s="28"/>
      <c r="BA740" s="28"/>
      <c r="BB740" s="28"/>
      <c r="BC740" s="28"/>
      <c r="BD740" s="28"/>
      <c r="BE740" s="28"/>
      <c r="BF740" s="28"/>
      <c r="BG740" s="30"/>
      <c r="BH740" s="28"/>
      <c r="BI740" s="28"/>
      <c r="BJ740" s="28"/>
      <c r="BK740" s="28"/>
      <c r="BL740" s="28"/>
      <c r="BM740" s="28"/>
      <c r="BN740" s="28"/>
      <c r="BO740" s="28"/>
      <c r="BP740" s="28"/>
      <c r="BQ740" s="28"/>
      <c r="BR740" s="29"/>
      <c r="BS740" s="29"/>
      <c r="BT740" s="29"/>
      <c r="BU740" s="29"/>
      <c r="BV740" s="29"/>
      <c r="BW740" s="29"/>
      <c r="BX740" s="28"/>
      <c r="BY740" s="28"/>
      <c r="BZ740" s="28"/>
    </row>
    <row r="741" s="27" customFormat="1" spans="1:78">
      <c r="A741" s="28"/>
      <c r="B741" s="28"/>
      <c r="C741" s="29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30"/>
      <c r="AQ741" s="30"/>
      <c r="AR741" s="30"/>
      <c r="AS741" s="30"/>
      <c r="AT741" s="28"/>
      <c r="AU741" s="28"/>
      <c r="AV741" s="28"/>
      <c r="AW741" s="30"/>
      <c r="AX741" s="28"/>
      <c r="AY741" s="28"/>
      <c r="AZ741" s="28"/>
      <c r="BA741" s="28"/>
      <c r="BB741" s="28"/>
      <c r="BC741" s="28"/>
      <c r="BD741" s="28"/>
      <c r="BE741" s="28"/>
      <c r="BF741" s="28"/>
      <c r="BG741" s="30"/>
      <c r="BH741" s="28"/>
      <c r="BI741" s="28"/>
      <c r="BJ741" s="28"/>
      <c r="BK741" s="28"/>
      <c r="BL741" s="28"/>
      <c r="BM741" s="28"/>
      <c r="BN741" s="28"/>
      <c r="BO741" s="28"/>
      <c r="BP741" s="28"/>
      <c r="BQ741" s="28"/>
      <c r="BR741" s="29"/>
      <c r="BS741" s="29"/>
      <c r="BT741" s="29"/>
      <c r="BU741" s="29"/>
      <c r="BV741" s="29"/>
      <c r="BW741" s="29"/>
      <c r="BX741" s="28"/>
      <c r="BY741" s="28"/>
      <c r="BZ741" s="28"/>
    </row>
    <row r="742" s="27" customFormat="1" spans="1:78">
      <c r="A742" s="28"/>
      <c r="B742" s="28"/>
      <c r="C742" s="29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30"/>
      <c r="AQ742" s="30"/>
      <c r="AR742" s="30"/>
      <c r="AS742" s="30"/>
      <c r="AT742" s="28"/>
      <c r="AU742" s="28"/>
      <c r="AV742" s="28"/>
      <c r="AW742" s="30"/>
      <c r="AX742" s="28"/>
      <c r="AY742" s="28"/>
      <c r="AZ742" s="28"/>
      <c r="BA742" s="28"/>
      <c r="BB742" s="28"/>
      <c r="BC742" s="28"/>
      <c r="BD742" s="28"/>
      <c r="BE742" s="28"/>
      <c r="BF742" s="28"/>
      <c r="BG742" s="30"/>
      <c r="BH742" s="28"/>
      <c r="BI742" s="28"/>
      <c r="BJ742" s="28"/>
      <c r="BK742" s="28"/>
      <c r="BL742" s="28"/>
      <c r="BM742" s="28"/>
      <c r="BN742" s="28"/>
      <c r="BO742" s="28"/>
      <c r="BP742" s="28"/>
      <c r="BQ742" s="28"/>
      <c r="BR742" s="29"/>
      <c r="BS742" s="29"/>
      <c r="BT742" s="29"/>
      <c r="BU742" s="29"/>
      <c r="BV742" s="29"/>
      <c r="BW742" s="29"/>
      <c r="BX742" s="28"/>
      <c r="BY742" s="28"/>
      <c r="BZ742" s="28"/>
    </row>
    <row r="743" s="27" customFormat="1" spans="1:78">
      <c r="A743" s="28"/>
      <c r="B743" s="28"/>
      <c r="C743" s="29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30"/>
      <c r="AQ743" s="30"/>
      <c r="AR743" s="30"/>
      <c r="AS743" s="30"/>
      <c r="AT743" s="28"/>
      <c r="AU743" s="28"/>
      <c r="AV743" s="28"/>
      <c r="AW743" s="30"/>
      <c r="AX743" s="28"/>
      <c r="AY743" s="28"/>
      <c r="AZ743" s="28"/>
      <c r="BA743" s="28"/>
      <c r="BB743" s="28"/>
      <c r="BC743" s="28"/>
      <c r="BD743" s="28"/>
      <c r="BE743" s="28"/>
      <c r="BF743" s="28"/>
      <c r="BG743" s="30"/>
      <c r="BH743" s="28"/>
      <c r="BI743" s="28"/>
      <c r="BJ743" s="28"/>
      <c r="BK743" s="28"/>
      <c r="BL743" s="28"/>
      <c r="BM743" s="28"/>
      <c r="BN743" s="28"/>
      <c r="BO743" s="28"/>
      <c r="BP743" s="28"/>
      <c r="BQ743" s="28"/>
      <c r="BR743" s="29"/>
      <c r="BS743" s="29"/>
      <c r="BT743" s="29"/>
      <c r="BU743" s="29"/>
      <c r="BV743" s="29"/>
      <c r="BW743" s="29"/>
      <c r="BX743" s="28"/>
      <c r="BY743" s="28"/>
      <c r="BZ743" s="28"/>
    </row>
    <row r="744" s="27" customFormat="1" spans="1:78">
      <c r="A744" s="28"/>
      <c r="B744" s="28"/>
      <c r="C744" s="29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30"/>
      <c r="AQ744" s="30"/>
      <c r="AR744" s="30"/>
      <c r="AS744" s="30"/>
      <c r="AT744" s="28"/>
      <c r="AU744" s="28"/>
      <c r="AV744" s="28"/>
      <c r="AW744" s="30"/>
      <c r="AX744" s="28"/>
      <c r="AY744" s="28"/>
      <c r="AZ744" s="28"/>
      <c r="BA744" s="28"/>
      <c r="BB744" s="28"/>
      <c r="BC744" s="28"/>
      <c r="BD744" s="28"/>
      <c r="BE744" s="28"/>
      <c r="BF744" s="28"/>
      <c r="BG744" s="30"/>
      <c r="BH744" s="28"/>
      <c r="BI744" s="28"/>
      <c r="BJ744" s="28"/>
      <c r="BK744" s="28"/>
      <c r="BL744" s="28"/>
      <c r="BM744" s="28"/>
      <c r="BN744" s="28"/>
      <c r="BO744" s="28"/>
      <c r="BP744" s="28"/>
      <c r="BQ744" s="28"/>
      <c r="BR744" s="29"/>
      <c r="BS744" s="29"/>
      <c r="BT744" s="29"/>
      <c r="BU744" s="29"/>
      <c r="BV744" s="29"/>
      <c r="BW744" s="29"/>
      <c r="BX744" s="28"/>
      <c r="BY744" s="28"/>
      <c r="BZ744" s="28"/>
    </row>
    <row r="745" s="27" customFormat="1" spans="1:78">
      <c r="A745" s="28"/>
      <c r="B745" s="28"/>
      <c r="C745" s="29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30"/>
      <c r="AQ745" s="30"/>
      <c r="AR745" s="30"/>
      <c r="AS745" s="30"/>
      <c r="AT745" s="28"/>
      <c r="AU745" s="28"/>
      <c r="AV745" s="28"/>
      <c r="AW745" s="30"/>
      <c r="AX745" s="28"/>
      <c r="AY745" s="28"/>
      <c r="AZ745" s="28"/>
      <c r="BA745" s="28"/>
      <c r="BB745" s="28"/>
      <c r="BC745" s="28"/>
      <c r="BD745" s="28"/>
      <c r="BE745" s="28"/>
      <c r="BF745" s="28"/>
      <c r="BG745" s="30"/>
      <c r="BH745" s="28"/>
      <c r="BI745" s="28"/>
      <c r="BJ745" s="28"/>
      <c r="BK745" s="28"/>
      <c r="BL745" s="28"/>
      <c r="BM745" s="28"/>
      <c r="BN745" s="28"/>
      <c r="BO745" s="28"/>
      <c r="BP745" s="28"/>
      <c r="BQ745" s="28"/>
      <c r="BR745" s="29"/>
      <c r="BS745" s="28"/>
      <c r="BT745" s="28"/>
      <c r="BU745" s="28"/>
      <c r="BV745" s="29"/>
      <c r="BW745" s="28"/>
      <c r="BX745" s="28"/>
      <c r="BY745" s="28"/>
      <c r="BZ745" s="28"/>
    </row>
    <row r="746" s="27" customFormat="1" spans="1:78">
      <c r="A746" s="28"/>
      <c r="B746" s="28"/>
      <c r="C746" s="29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30"/>
      <c r="AQ746" s="30"/>
      <c r="AR746" s="30"/>
      <c r="AS746" s="30"/>
      <c r="AT746" s="28"/>
      <c r="AU746" s="28"/>
      <c r="AV746" s="28"/>
      <c r="AW746" s="30"/>
      <c r="AX746" s="28"/>
      <c r="AY746" s="28"/>
      <c r="AZ746" s="28"/>
      <c r="BA746" s="28"/>
      <c r="BB746" s="28"/>
      <c r="BC746" s="28"/>
      <c r="BD746" s="28"/>
      <c r="BE746" s="28"/>
      <c r="BF746" s="28"/>
      <c r="BG746" s="30"/>
      <c r="BH746" s="28"/>
      <c r="BI746" s="28"/>
      <c r="BJ746" s="28"/>
      <c r="BK746" s="28"/>
      <c r="BL746" s="28"/>
      <c r="BM746" s="28"/>
      <c r="BN746" s="28"/>
      <c r="BO746" s="28"/>
      <c r="BP746" s="28"/>
      <c r="BQ746" s="28"/>
      <c r="BR746" s="29"/>
      <c r="BS746" s="29"/>
      <c r="BT746" s="29"/>
      <c r="BU746" s="29"/>
      <c r="BV746" s="29"/>
      <c r="BW746" s="29"/>
      <c r="BX746" s="28"/>
      <c r="BY746" s="28"/>
      <c r="BZ746" s="28"/>
    </row>
    <row r="747" s="27" customFormat="1" spans="1:78">
      <c r="A747" s="28"/>
      <c r="B747" s="28"/>
      <c r="C747" s="29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30"/>
      <c r="AQ747" s="30"/>
      <c r="AR747" s="30"/>
      <c r="AS747" s="30"/>
      <c r="AT747" s="28"/>
      <c r="AU747" s="28"/>
      <c r="AV747" s="28"/>
      <c r="AW747" s="30"/>
      <c r="AX747" s="28"/>
      <c r="AY747" s="28"/>
      <c r="AZ747" s="28"/>
      <c r="BA747" s="28"/>
      <c r="BB747" s="28"/>
      <c r="BC747" s="28"/>
      <c r="BD747" s="28"/>
      <c r="BE747" s="28"/>
      <c r="BF747" s="28"/>
      <c r="BG747" s="30"/>
      <c r="BH747" s="28"/>
      <c r="BI747" s="28"/>
      <c r="BJ747" s="28"/>
      <c r="BK747" s="28"/>
      <c r="BL747" s="28"/>
      <c r="BM747" s="28"/>
      <c r="BN747" s="28"/>
      <c r="BO747" s="28"/>
      <c r="BP747" s="28"/>
      <c r="BQ747" s="28"/>
      <c r="BR747" s="29"/>
      <c r="BS747" s="29"/>
      <c r="BT747" s="29"/>
      <c r="BU747" s="28"/>
      <c r="BV747" s="29"/>
      <c r="BW747" s="28"/>
      <c r="BX747" s="28"/>
      <c r="BY747" s="28"/>
      <c r="BZ747" s="28"/>
    </row>
    <row r="748" s="27" customFormat="1" spans="1:78">
      <c r="A748" s="28"/>
      <c r="B748" s="28"/>
      <c r="C748" s="29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30"/>
      <c r="AQ748" s="30"/>
      <c r="AR748" s="30"/>
      <c r="AS748" s="30"/>
      <c r="AT748" s="28"/>
      <c r="AU748" s="28"/>
      <c r="AV748" s="28"/>
      <c r="AW748" s="30"/>
      <c r="AX748" s="28"/>
      <c r="AY748" s="28"/>
      <c r="AZ748" s="28"/>
      <c r="BA748" s="28"/>
      <c r="BB748" s="28"/>
      <c r="BC748" s="28"/>
      <c r="BD748" s="28"/>
      <c r="BE748" s="28"/>
      <c r="BF748" s="28"/>
      <c r="BG748" s="30"/>
      <c r="BH748" s="28"/>
      <c r="BI748" s="28"/>
      <c r="BJ748" s="28"/>
      <c r="BK748" s="28"/>
      <c r="BL748" s="28"/>
      <c r="BM748" s="28"/>
      <c r="BN748" s="28"/>
      <c r="BO748" s="28"/>
      <c r="BP748" s="28"/>
      <c r="BQ748" s="28"/>
      <c r="BR748" s="29"/>
      <c r="BS748" s="29"/>
      <c r="BT748" s="29"/>
      <c r="BU748" s="29"/>
      <c r="BV748" s="29"/>
      <c r="BW748" s="29"/>
      <c r="BX748" s="28"/>
      <c r="BY748" s="28"/>
      <c r="BZ748" s="28"/>
    </row>
    <row r="749" s="27" customFormat="1" spans="1:78">
      <c r="A749" s="28"/>
      <c r="B749" s="28"/>
      <c r="C749" s="29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30"/>
      <c r="AQ749" s="30"/>
      <c r="AR749" s="30"/>
      <c r="AS749" s="30"/>
      <c r="AT749" s="28"/>
      <c r="AU749" s="28"/>
      <c r="AV749" s="28"/>
      <c r="AW749" s="30"/>
      <c r="AX749" s="28"/>
      <c r="AY749" s="28"/>
      <c r="AZ749" s="28"/>
      <c r="BA749" s="28"/>
      <c r="BB749" s="28"/>
      <c r="BC749" s="28"/>
      <c r="BD749" s="28"/>
      <c r="BE749" s="28"/>
      <c r="BF749" s="28"/>
      <c r="BG749" s="30"/>
      <c r="BH749" s="28"/>
      <c r="BI749" s="28"/>
      <c r="BJ749" s="28"/>
      <c r="BK749" s="28"/>
      <c r="BL749" s="28"/>
      <c r="BM749" s="28"/>
      <c r="BN749" s="28"/>
      <c r="BO749" s="28"/>
      <c r="BP749" s="28"/>
      <c r="BQ749" s="28"/>
      <c r="BR749" s="29"/>
      <c r="BS749" s="29"/>
      <c r="BT749" s="29"/>
      <c r="BU749" s="29"/>
      <c r="BV749" s="29"/>
      <c r="BW749" s="29"/>
      <c r="BX749" s="28"/>
      <c r="BY749" s="28"/>
      <c r="BZ749" s="28"/>
    </row>
    <row r="750" s="27" customFormat="1" spans="1:78">
      <c r="A750" s="28"/>
      <c r="B750" s="28"/>
      <c r="C750" s="29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30"/>
      <c r="AQ750" s="30"/>
      <c r="AR750" s="30"/>
      <c r="AS750" s="30"/>
      <c r="AT750" s="28"/>
      <c r="AU750" s="28"/>
      <c r="AV750" s="28"/>
      <c r="AW750" s="30"/>
      <c r="AX750" s="28"/>
      <c r="AY750" s="28"/>
      <c r="AZ750" s="28"/>
      <c r="BA750" s="28"/>
      <c r="BB750" s="28"/>
      <c r="BC750" s="28"/>
      <c r="BD750" s="28"/>
      <c r="BE750" s="28"/>
      <c r="BF750" s="28"/>
      <c r="BG750" s="30"/>
      <c r="BH750" s="28"/>
      <c r="BI750" s="28"/>
      <c r="BJ750" s="28"/>
      <c r="BK750" s="28"/>
      <c r="BL750" s="28"/>
      <c r="BM750" s="28"/>
      <c r="BN750" s="28"/>
      <c r="BO750" s="28"/>
      <c r="BP750" s="28"/>
      <c r="BQ750" s="28"/>
      <c r="BR750" s="29"/>
      <c r="BS750" s="29"/>
      <c r="BT750" s="29"/>
      <c r="BU750" s="29"/>
      <c r="BV750" s="29"/>
      <c r="BW750" s="29"/>
      <c r="BX750" s="28"/>
      <c r="BY750" s="28"/>
      <c r="BZ750" s="28"/>
    </row>
    <row r="751" s="27" customFormat="1" spans="1:78">
      <c r="A751" s="28"/>
      <c r="B751" s="28"/>
      <c r="C751" s="29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30"/>
      <c r="AQ751" s="30"/>
      <c r="AR751" s="30"/>
      <c r="AS751" s="30"/>
      <c r="AT751" s="28"/>
      <c r="AU751" s="28"/>
      <c r="AV751" s="28"/>
      <c r="AW751" s="30"/>
      <c r="AX751" s="28"/>
      <c r="AY751" s="28"/>
      <c r="AZ751" s="28"/>
      <c r="BA751" s="28"/>
      <c r="BB751" s="28"/>
      <c r="BC751" s="28"/>
      <c r="BD751" s="28"/>
      <c r="BE751" s="28"/>
      <c r="BF751" s="28"/>
      <c r="BG751" s="30"/>
      <c r="BH751" s="28"/>
      <c r="BI751" s="28"/>
      <c r="BJ751" s="28"/>
      <c r="BK751" s="28"/>
      <c r="BL751" s="28"/>
      <c r="BM751" s="28"/>
      <c r="BN751" s="28"/>
      <c r="BO751" s="28"/>
      <c r="BP751" s="28"/>
      <c r="BQ751" s="28"/>
      <c r="BR751" s="29"/>
      <c r="BS751" s="29"/>
      <c r="BT751" s="29"/>
      <c r="BU751" s="29"/>
      <c r="BV751" s="29"/>
      <c r="BW751" s="29"/>
      <c r="BX751" s="28"/>
      <c r="BY751" s="28"/>
      <c r="BZ751" s="28"/>
    </row>
    <row r="752" s="27" customFormat="1" spans="1:78">
      <c r="A752" s="28"/>
      <c r="B752" s="28"/>
      <c r="C752" s="29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30"/>
      <c r="AQ752" s="30"/>
      <c r="AR752" s="30"/>
      <c r="AS752" s="30"/>
      <c r="AT752" s="28"/>
      <c r="AU752" s="28"/>
      <c r="AV752" s="28"/>
      <c r="AW752" s="30"/>
      <c r="AX752" s="28"/>
      <c r="AY752" s="28"/>
      <c r="AZ752" s="28"/>
      <c r="BA752" s="28"/>
      <c r="BB752" s="28"/>
      <c r="BC752" s="28"/>
      <c r="BD752" s="28"/>
      <c r="BE752" s="28"/>
      <c r="BF752" s="28"/>
      <c r="BG752" s="30"/>
      <c r="BH752" s="28"/>
      <c r="BI752" s="28"/>
      <c r="BJ752" s="28"/>
      <c r="BK752" s="28"/>
      <c r="BL752" s="28"/>
      <c r="BM752" s="28"/>
      <c r="BN752" s="28"/>
      <c r="BO752" s="28"/>
      <c r="BP752" s="28"/>
      <c r="BQ752" s="28"/>
      <c r="BR752" s="29"/>
      <c r="BS752" s="29"/>
      <c r="BT752" s="29"/>
      <c r="BU752" s="29"/>
      <c r="BV752" s="29"/>
      <c r="BW752" s="28"/>
      <c r="BX752" s="28"/>
      <c r="BY752" s="28"/>
      <c r="BZ752" s="28"/>
    </row>
    <row r="753" s="27" customFormat="1" spans="1:78">
      <c r="A753" s="28"/>
      <c r="B753" s="28"/>
      <c r="C753" s="29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30"/>
      <c r="AQ753" s="30"/>
      <c r="AR753" s="30"/>
      <c r="AS753" s="30"/>
      <c r="AT753" s="28"/>
      <c r="AU753" s="28"/>
      <c r="AV753" s="28"/>
      <c r="AW753" s="30"/>
      <c r="AX753" s="28"/>
      <c r="AY753" s="28"/>
      <c r="AZ753" s="28"/>
      <c r="BA753" s="28"/>
      <c r="BB753" s="28"/>
      <c r="BC753" s="28"/>
      <c r="BD753" s="28"/>
      <c r="BE753" s="28"/>
      <c r="BF753" s="28"/>
      <c r="BG753" s="30"/>
      <c r="BH753" s="28"/>
      <c r="BI753" s="28"/>
      <c r="BJ753" s="28"/>
      <c r="BK753" s="28"/>
      <c r="BL753" s="28"/>
      <c r="BM753" s="28"/>
      <c r="BN753" s="28"/>
      <c r="BO753" s="28"/>
      <c r="BP753" s="28"/>
      <c r="BQ753" s="28"/>
      <c r="BR753" s="29"/>
      <c r="BS753" s="29"/>
      <c r="BT753" s="29"/>
      <c r="BU753" s="29"/>
      <c r="BV753" s="29"/>
      <c r="BW753" s="29"/>
      <c r="BX753" s="28"/>
      <c r="BY753" s="28"/>
      <c r="BZ753" s="28"/>
    </row>
    <row r="754" s="27" customFormat="1" spans="1:78">
      <c r="A754" s="28"/>
      <c r="B754" s="28"/>
      <c r="C754" s="29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30"/>
      <c r="AQ754" s="30"/>
      <c r="AR754" s="30"/>
      <c r="AS754" s="30"/>
      <c r="AT754" s="28"/>
      <c r="AU754" s="28"/>
      <c r="AV754" s="28"/>
      <c r="AW754" s="30"/>
      <c r="AX754" s="28"/>
      <c r="AY754" s="28"/>
      <c r="AZ754" s="28"/>
      <c r="BA754" s="28"/>
      <c r="BB754" s="28"/>
      <c r="BC754" s="28"/>
      <c r="BD754" s="28"/>
      <c r="BE754" s="28"/>
      <c r="BF754" s="28"/>
      <c r="BG754" s="30"/>
      <c r="BH754" s="28"/>
      <c r="BI754" s="28"/>
      <c r="BJ754" s="28"/>
      <c r="BK754" s="28"/>
      <c r="BL754" s="28"/>
      <c r="BM754" s="28"/>
      <c r="BN754" s="28"/>
      <c r="BO754" s="28"/>
      <c r="BP754" s="28"/>
      <c r="BQ754" s="28"/>
      <c r="BR754" s="29"/>
      <c r="BS754" s="29"/>
      <c r="BT754" s="29"/>
      <c r="BU754" s="28"/>
      <c r="BV754" s="29"/>
      <c r="BW754" s="28"/>
      <c r="BX754" s="28"/>
      <c r="BY754" s="28"/>
      <c r="BZ754" s="28"/>
    </row>
    <row r="755" s="27" customFormat="1" spans="1:78">
      <c r="A755" s="28"/>
      <c r="B755" s="28"/>
      <c r="C755" s="29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30"/>
      <c r="AQ755" s="30"/>
      <c r="AR755" s="30"/>
      <c r="AS755" s="30"/>
      <c r="AT755" s="28"/>
      <c r="AU755" s="28"/>
      <c r="AV755" s="28"/>
      <c r="AW755" s="30"/>
      <c r="AX755" s="28"/>
      <c r="AY755" s="28"/>
      <c r="AZ755" s="28"/>
      <c r="BA755" s="28"/>
      <c r="BB755" s="28"/>
      <c r="BC755" s="28"/>
      <c r="BD755" s="28"/>
      <c r="BE755" s="28"/>
      <c r="BF755" s="28"/>
      <c r="BG755" s="30"/>
      <c r="BH755" s="28"/>
      <c r="BI755" s="28"/>
      <c r="BJ755" s="28"/>
      <c r="BK755" s="28"/>
      <c r="BL755" s="28"/>
      <c r="BM755" s="28"/>
      <c r="BN755" s="28"/>
      <c r="BO755" s="28"/>
      <c r="BP755" s="28"/>
      <c r="BQ755" s="28"/>
      <c r="BR755" s="29"/>
      <c r="BS755" s="29"/>
      <c r="BT755" s="29"/>
      <c r="BU755" s="29"/>
      <c r="BV755" s="29"/>
      <c r="BW755" s="29"/>
      <c r="BX755" s="28"/>
      <c r="BY755" s="28"/>
      <c r="BZ755" s="28"/>
    </row>
    <row r="756" s="27" customFormat="1" spans="1:78">
      <c r="A756" s="28"/>
      <c r="B756" s="28"/>
      <c r="C756" s="29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30"/>
      <c r="AQ756" s="30"/>
      <c r="AR756" s="30"/>
      <c r="AS756" s="30"/>
      <c r="AT756" s="28"/>
      <c r="AU756" s="28"/>
      <c r="AV756" s="28"/>
      <c r="AW756" s="30"/>
      <c r="AX756" s="28"/>
      <c r="AY756" s="28"/>
      <c r="AZ756" s="28"/>
      <c r="BA756" s="28"/>
      <c r="BB756" s="28"/>
      <c r="BC756" s="28"/>
      <c r="BD756" s="28"/>
      <c r="BE756" s="28"/>
      <c r="BF756" s="28"/>
      <c r="BG756" s="30"/>
      <c r="BH756" s="28"/>
      <c r="BI756" s="28"/>
      <c r="BJ756" s="28"/>
      <c r="BK756" s="28"/>
      <c r="BL756" s="28"/>
      <c r="BM756" s="28"/>
      <c r="BN756" s="28"/>
      <c r="BO756" s="28"/>
      <c r="BP756" s="28"/>
      <c r="BQ756" s="28"/>
      <c r="BR756" s="29"/>
      <c r="BS756" s="29"/>
      <c r="BT756" s="29"/>
      <c r="BU756" s="29"/>
      <c r="BV756" s="29"/>
      <c r="BW756" s="29"/>
      <c r="BX756" s="28"/>
      <c r="BY756" s="28"/>
      <c r="BZ756" s="28"/>
    </row>
    <row r="757" s="27" customFormat="1" spans="1:78">
      <c r="A757" s="28"/>
      <c r="B757" s="28"/>
      <c r="C757" s="29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30"/>
      <c r="AQ757" s="30"/>
      <c r="AR757" s="30"/>
      <c r="AS757" s="30"/>
      <c r="AT757" s="28"/>
      <c r="AU757" s="28"/>
      <c r="AV757" s="28"/>
      <c r="AW757" s="30"/>
      <c r="AX757" s="28"/>
      <c r="AY757" s="28"/>
      <c r="AZ757" s="28"/>
      <c r="BA757" s="28"/>
      <c r="BB757" s="28"/>
      <c r="BC757" s="28"/>
      <c r="BD757" s="28"/>
      <c r="BE757" s="28"/>
      <c r="BF757" s="28"/>
      <c r="BG757" s="30"/>
      <c r="BH757" s="28"/>
      <c r="BI757" s="28"/>
      <c r="BJ757" s="28"/>
      <c r="BK757" s="28"/>
      <c r="BL757" s="28"/>
      <c r="BM757" s="28"/>
      <c r="BN757" s="28"/>
      <c r="BO757" s="28"/>
      <c r="BP757" s="28"/>
      <c r="BQ757" s="28"/>
      <c r="BR757" s="29"/>
      <c r="BS757" s="29"/>
      <c r="BT757" s="29"/>
      <c r="BU757" s="29"/>
      <c r="BV757" s="29"/>
      <c r="BW757" s="29"/>
      <c r="BX757" s="28"/>
      <c r="BY757" s="28"/>
      <c r="BZ757" s="28"/>
    </row>
    <row r="758" s="27" customFormat="1" spans="1:78">
      <c r="A758" s="28"/>
      <c r="B758" s="28"/>
      <c r="C758" s="29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30"/>
      <c r="AQ758" s="30"/>
      <c r="AR758" s="30"/>
      <c r="AS758" s="30"/>
      <c r="AT758" s="28"/>
      <c r="AU758" s="28"/>
      <c r="AV758" s="28"/>
      <c r="AW758" s="30"/>
      <c r="AX758" s="28"/>
      <c r="AY758" s="28"/>
      <c r="AZ758" s="28"/>
      <c r="BA758" s="28"/>
      <c r="BB758" s="28"/>
      <c r="BC758" s="28"/>
      <c r="BD758" s="28"/>
      <c r="BE758" s="28"/>
      <c r="BF758" s="28"/>
      <c r="BG758" s="30"/>
      <c r="BH758" s="28"/>
      <c r="BI758" s="28"/>
      <c r="BJ758" s="28"/>
      <c r="BK758" s="28"/>
      <c r="BL758" s="28"/>
      <c r="BM758" s="28"/>
      <c r="BN758" s="28"/>
      <c r="BO758" s="28"/>
      <c r="BP758" s="28"/>
      <c r="BQ758" s="28"/>
      <c r="BR758" s="29"/>
      <c r="BS758" s="29"/>
      <c r="BT758" s="29"/>
      <c r="BU758" s="29"/>
      <c r="BV758" s="29"/>
      <c r="BW758" s="29"/>
      <c r="BX758" s="28"/>
      <c r="BY758" s="28"/>
      <c r="BZ758" s="28"/>
    </row>
    <row r="759" s="27" customFormat="1" spans="1:78">
      <c r="A759" s="28"/>
      <c r="B759" s="28"/>
      <c r="C759" s="29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30"/>
      <c r="AQ759" s="30"/>
      <c r="AR759" s="30"/>
      <c r="AS759" s="30"/>
      <c r="AT759" s="28"/>
      <c r="AU759" s="28"/>
      <c r="AV759" s="28"/>
      <c r="AW759" s="30"/>
      <c r="AX759" s="28"/>
      <c r="AY759" s="28"/>
      <c r="AZ759" s="28"/>
      <c r="BA759" s="28"/>
      <c r="BB759" s="28"/>
      <c r="BC759" s="28"/>
      <c r="BD759" s="28"/>
      <c r="BE759" s="28"/>
      <c r="BF759" s="28"/>
      <c r="BG759" s="30"/>
      <c r="BH759" s="28"/>
      <c r="BI759" s="28"/>
      <c r="BJ759" s="28"/>
      <c r="BK759" s="28"/>
      <c r="BL759" s="28"/>
      <c r="BM759" s="28"/>
      <c r="BN759" s="28"/>
      <c r="BO759" s="28"/>
      <c r="BP759" s="28"/>
      <c r="BQ759" s="28"/>
      <c r="BR759" s="29"/>
      <c r="BS759" s="29"/>
      <c r="BT759" s="29"/>
      <c r="BU759" s="29"/>
      <c r="BV759" s="29"/>
      <c r="BW759" s="29"/>
      <c r="BX759" s="28"/>
      <c r="BY759" s="28"/>
      <c r="BZ759" s="28"/>
    </row>
    <row r="760" s="27" customFormat="1" spans="1:78">
      <c r="A760" s="28"/>
      <c r="B760" s="28"/>
      <c r="C760" s="29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30"/>
      <c r="AQ760" s="30"/>
      <c r="AR760" s="30"/>
      <c r="AS760" s="30"/>
      <c r="AT760" s="28"/>
      <c r="AU760" s="28"/>
      <c r="AV760" s="28"/>
      <c r="AW760" s="30"/>
      <c r="AX760" s="28"/>
      <c r="AY760" s="28"/>
      <c r="AZ760" s="28"/>
      <c r="BA760" s="28"/>
      <c r="BB760" s="28"/>
      <c r="BC760" s="28"/>
      <c r="BD760" s="28"/>
      <c r="BE760" s="28"/>
      <c r="BF760" s="28"/>
      <c r="BG760" s="30"/>
      <c r="BH760" s="28"/>
      <c r="BI760" s="28"/>
      <c r="BJ760" s="28"/>
      <c r="BK760" s="28"/>
      <c r="BL760" s="28"/>
      <c r="BM760" s="28"/>
      <c r="BN760" s="28"/>
      <c r="BO760" s="28"/>
      <c r="BP760" s="28"/>
      <c r="BQ760" s="28"/>
      <c r="BR760" s="29"/>
      <c r="BS760" s="29"/>
      <c r="BT760" s="29"/>
      <c r="BU760" s="29"/>
      <c r="BV760" s="29"/>
      <c r="BW760" s="28"/>
      <c r="BX760" s="28"/>
      <c r="BY760" s="28"/>
      <c r="BZ760" s="28"/>
    </row>
    <row r="761" s="27" customFormat="1" spans="1:78">
      <c r="A761" s="28"/>
      <c r="B761" s="28"/>
      <c r="C761" s="29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30"/>
      <c r="AQ761" s="30"/>
      <c r="AR761" s="30"/>
      <c r="AS761" s="30"/>
      <c r="AT761" s="28"/>
      <c r="AU761" s="28"/>
      <c r="AV761" s="28"/>
      <c r="AW761" s="30"/>
      <c r="AX761" s="28"/>
      <c r="AY761" s="28"/>
      <c r="AZ761" s="28"/>
      <c r="BA761" s="28"/>
      <c r="BB761" s="28"/>
      <c r="BC761" s="28"/>
      <c r="BD761" s="28"/>
      <c r="BE761" s="28"/>
      <c r="BF761" s="28"/>
      <c r="BG761" s="30"/>
      <c r="BH761" s="28"/>
      <c r="BI761" s="28"/>
      <c r="BJ761" s="28"/>
      <c r="BK761" s="28"/>
      <c r="BL761" s="28"/>
      <c r="BM761" s="28"/>
      <c r="BN761" s="28"/>
      <c r="BO761" s="28"/>
      <c r="BP761" s="28"/>
      <c r="BQ761" s="28"/>
      <c r="BR761" s="29"/>
      <c r="BS761" s="29"/>
      <c r="BT761" s="29"/>
      <c r="BU761" s="29"/>
      <c r="BV761" s="29"/>
      <c r="BW761" s="29"/>
      <c r="BX761" s="28"/>
      <c r="BY761" s="28"/>
      <c r="BZ761" s="28"/>
    </row>
    <row r="762" s="27" customFormat="1" spans="1:78">
      <c r="A762" s="28"/>
      <c r="B762" s="28"/>
      <c r="C762" s="29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30"/>
      <c r="AQ762" s="30"/>
      <c r="AR762" s="30"/>
      <c r="AS762" s="30"/>
      <c r="AT762" s="28"/>
      <c r="AU762" s="28"/>
      <c r="AV762" s="28"/>
      <c r="AW762" s="30"/>
      <c r="AX762" s="28"/>
      <c r="AY762" s="28"/>
      <c r="AZ762" s="28"/>
      <c r="BA762" s="28"/>
      <c r="BB762" s="28"/>
      <c r="BC762" s="28"/>
      <c r="BD762" s="28"/>
      <c r="BE762" s="28"/>
      <c r="BF762" s="28"/>
      <c r="BG762" s="30"/>
      <c r="BH762" s="28"/>
      <c r="BI762" s="28"/>
      <c r="BJ762" s="28"/>
      <c r="BK762" s="28"/>
      <c r="BL762" s="28"/>
      <c r="BM762" s="28"/>
      <c r="BN762" s="28"/>
      <c r="BO762" s="28"/>
      <c r="BP762" s="28"/>
      <c r="BQ762" s="28"/>
      <c r="BR762" s="29"/>
      <c r="BS762" s="29"/>
      <c r="BT762" s="29"/>
      <c r="BU762" s="29"/>
      <c r="BV762" s="29"/>
      <c r="BW762" s="29"/>
      <c r="BX762" s="28"/>
      <c r="BY762" s="28"/>
      <c r="BZ762" s="28"/>
    </row>
    <row r="763" s="27" customFormat="1" spans="1:78">
      <c r="A763" s="28"/>
      <c r="B763" s="28"/>
      <c r="C763" s="29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30"/>
      <c r="AQ763" s="30"/>
      <c r="AR763" s="30"/>
      <c r="AS763" s="30"/>
      <c r="AT763" s="28"/>
      <c r="AU763" s="28"/>
      <c r="AV763" s="28"/>
      <c r="AW763" s="30"/>
      <c r="AX763" s="28"/>
      <c r="AY763" s="28"/>
      <c r="AZ763" s="28"/>
      <c r="BA763" s="28"/>
      <c r="BB763" s="28"/>
      <c r="BC763" s="28"/>
      <c r="BD763" s="28"/>
      <c r="BE763" s="28"/>
      <c r="BF763" s="28"/>
      <c r="BG763" s="30"/>
      <c r="BH763" s="28"/>
      <c r="BI763" s="28"/>
      <c r="BJ763" s="28"/>
      <c r="BK763" s="28"/>
      <c r="BL763" s="28"/>
      <c r="BM763" s="28"/>
      <c r="BN763" s="28"/>
      <c r="BO763" s="28"/>
      <c r="BP763" s="28"/>
      <c r="BQ763" s="28"/>
      <c r="BR763" s="29"/>
      <c r="BS763" s="29"/>
      <c r="BT763" s="29"/>
      <c r="BU763" s="29"/>
      <c r="BV763" s="29"/>
      <c r="BW763" s="29"/>
      <c r="BX763" s="28"/>
      <c r="BY763" s="28"/>
      <c r="BZ763" s="28"/>
    </row>
    <row r="764" s="27" customFormat="1" spans="1:78">
      <c r="A764" s="28"/>
      <c r="B764" s="28"/>
      <c r="C764" s="29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30"/>
      <c r="AQ764" s="30"/>
      <c r="AR764" s="30"/>
      <c r="AS764" s="30"/>
      <c r="AT764" s="28"/>
      <c r="AU764" s="28"/>
      <c r="AV764" s="28"/>
      <c r="AW764" s="30"/>
      <c r="AX764" s="28"/>
      <c r="AY764" s="28"/>
      <c r="AZ764" s="28"/>
      <c r="BA764" s="28"/>
      <c r="BB764" s="28"/>
      <c r="BC764" s="28"/>
      <c r="BD764" s="28"/>
      <c r="BE764" s="28"/>
      <c r="BF764" s="28"/>
      <c r="BG764" s="30"/>
      <c r="BH764" s="28"/>
      <c r="BI764" s="28"/>
      <c r="BJ764" s="28"/>
      <c r="BK764" s="28"/>
      <c r="BL764" s="28"/>
      <c r="BM764" s="28"/>
      <c r="BN764" s="28"/>
      <c r="BO764" s="28"/>
      <c r="BP764" s="28"/>
      <c r="BQ764" s="28"/>
      <c r="BR764" s="29"/>
      <c r="BS764" s="29"/>
      <c r="BT764" s="29"/>
      <c r="BU764" s="29"/>
      <c r="BV764" s="29"/>
      <c r="BW764" s="29"/>
      <c r="BX764" s="28"/>
      <c r="BY764" s="28"/>
      <c r="BZ764" s="28"/>
    </row>
    <row r="765" s="27" customFormat="1" spans="1:78">
      <c r="A765" s="28"/>
      <c r="B765" s="28"/>
      <c r="C765" s="29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30"/>
      <c r="AQ765" s="30"/>
      <c r="AR765" s="30"/>
      <c r="AS765" s="30"/>
      <c r="AT765" s="28"/>
      <c r="AU765" s="28"/>
      <c r="AV765" s="28"/>
      <c r="AW765" s="30"/>
      <c r="AX765" s="28"/>
      <c r="AY765" s="28"/>
      <c r="AZ765" s="28"/>
      <c r="BA765" s="28"/>
      <c r="BB765" s="28"/>
      <c r="BC765" s="28"/>
      <c r="BD765" s="28"/>
      <c r="BE765" s="28"/>
      <c r="BF765" s="28"/>
      <c r="BG765" s="30"/>
      <c r="BH765" s="28"/>
      <c r="BI765" s="28"/>
      <c r="BJ765" s="28"/>
      <c r="BK765" s="28"/>
      <c r="BL765" s="28"/>
      <c r="BM765" s="28"/>
      <c r="BN765" s="28"/>
      <c r="BO765" s="28"/>
      <c r="BP765" s="28"/>
      <c r="BQ765" s="28"/>
      <c r="BR765" s="29"/>
      <c r="BS765" s="29"/>
      <c r="BT765" s="29"/>
      <c r="BU765" s="28"/>
      <c r="BV765" s="29"/>
      <c r="BW765" s="28"/>
      <c r="BX765" s="28"/>
      <c r="BY765" s="28"/>
      <c r="BZ765" s="28"/>
    </row>
    <row r="766" s="27" customFormat="1" spans="1:78">
      <c r="A766" s="28"/>
      <c r="B766" s="28"/>
      <c r="C766" s="29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30"/>
      <c r="AQ766" s="30"/>
      <c r="AR766" s="30"/>
      <c r="AS766" s="30"/>
      <c r="AT766" s="28"/>
      <c r="AU766" s="28"/>
      <c r="AV766" s="28"/>
      <c r="AW766" s="30"/>
      <c r="AX766" s="28"/>
      <c r="AY766" s="28"/>
      <c r="AZ766" s="28"/>
      <c r="BA766" s="28"/>
      <c r="BB766" s="28"/>
      <c r="BC766" s="28"/>
      <c r="BD766" s="28"/>
      <c r="BE766" s="28"/>
      <c r="BF766" s="28"/>
      <c r="BG766" s="30"/>
      <c r="BH766" s="28"/>
      <c r="BI766" s="28"/>
      <c r="BJ766" s="28"/>
      <c r="BK766" s="28"/>
      <c r="BL766" s="28"/>
      <c r="BM766" s="28"/>
      <c r="BN766" s="28"/>
      <c r="BO766" s="28"/>
      <c r="BP766" s="28"/>
      <c r="BQ766" s="28"/>
      <c r="BR766" s="29"/>
      <c r="BS766" s="29"/>
      <c r="BT766" s="29"/>
      <c r="BU766" s="29"/>
      <c r="BV766" s="29"/>
      <c r="BW766" s="29"/>
      <c r="BX766" s="28"/>
      <c r="BY766" s="28"/>
      <c r="BZ766" s="28"/>
    </row>
    <row r="767" s="27" customFormat="1" spans="1:78">
      <c r="A767" s="28"/>
      <c r="B767" s="28"/>
      <c r="C767" s="29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30"/>
      <c r="AQ767" s="30"/>
      <c r="AR767" s="30"/>
      <c r="AS767" s="30"/>
      <c r="AT767" s="28"/>
      <c r="AU767" s="28"/>
      <c r="AV767" s="28"/>
      <c r="AW767" s="30"/>
      <c r="AX767" s="28"/>
      <c r="AY767" s="28"/>
      <c r="AZ767" s="28"/>
      <c r="BA767" s="28"/>
      <c r="BB767" s="28"/>
      <c r="BC767" s="28"/>
      <c r="BD767" s="28"/>
      <c r="BE767" s="28"/>
      <c r="BF767" s="28"/>
      <c r="BG767" s="30"/>
      <c r="BH767" s="28"/>
      <c r="BI767" s="28"/>
      <c r="BJ767" s="28"/>
      <c r="BK767" s="28"/>
      <c r="BL767" s="28"/>
      <c r="BM767" s="28"/>
      <c r="BN767" s="28"/>
      <c r="BO767" s="28"/>
      <c r="BP767" s="28"/>
      <c r="BQ767" s="28"/>
      <c r="BR767" s="29"/>
      <c r="BS767" s="29"/>
      <c r="BT767" s="29"/>
      <c r="BU767" s="29"/>
      <c r="BV767" s="29"/>
      <c r="BW767" s="29"/>
      <c r="BX767" s="28"/>
      <c r="BY767" s="28"/>
      <c r="BZ767" s="28"/>
    </row>
    <row r="768" s="27" customFormat="1" spans="1:78">
      <c r="A768" s="28"/>
      <c r="B768" s="28"/>
      <c r="C768" s="29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30"/>
      <c r="AQ768" s="30"/>
      <c r="AR768" s="30"/>
      <c r="AS768" s="30"/>
      <c r="AT768" s="28"/>
      <c r="AU768" s="28"/>
      <c r="AV768" s="28"/>
      <c r="AW768" s="30"/>
      <c r="AX768" s="28"/>
      <c r="AY768" s="28"/>
      <c r="AZ768" s="28"/>
      <c r="BA768" s="28"/>
      <c r="BB768" s="28"/>
      <c r="BC768" s="28"/>
      <c r="BD768" s="28"/>
      <c r="BE768" s="28"/>
      <c r="BF768" s="28"/>
      <c r="BG768" s="30"/>
      <c r="BH768" s="28"/>
      <c r="BI768" s="28"/>
      <c r="BJ768" s="28"/>
      <c r="BK768" s="28"/>
      <c r="BL768" s="28"/>
      <c r="BM768" s="28"/>
      <c r="BN768" s="28"/>
      <c r="BO768" s="28"/>
      <c r="BP768" s="28"/>
      <c r="BQ768" s="28"/>
      <c r="BR768" s="29"/>
      <c r="BS768" s="29"/>
      <c r="BT768" s="29"/>
      <c r="BU768" s="29"/>
      <c r="BV768" s="29"/>
      <c r="BW768" s="29"/>
      <c r="BX768" s="28"/>
      <c r="BY768" s="28"/>
      <c r="BZ768" s="28"/>
    </row>
    <row r="769" s="27" customFormat="1" spans="1:78">
      <c r="A769" s="28"/>
      <c r="B769" s="28"/>
      <c r="C769" s="29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30"/>
      <c r="AQ769" s="30"/>
      <c r="AR769" s="30"/>
      <c r="AS769" s="30"/>
      <c r="AT769" s="28"/>
      <c r="AU769" s="28"/>
      <c r="AV769" s="28"/>
      <c r="AW769" s="30"/>
      <c r="AX769" s="28"/>
      <c r="AY769" s="28"/>
      <c r="AZ769" s="28"/>
      <c r="BA769" s="28"/>
      <c r="BB769" s="28"/>
      <c r="BC769" s="28"/>
      <c r="BD769" s="28"/>
      <c r="BE769" s="28"/>
      <c r="BF769" s="28"/>
      <c r="BG769" s="30"/>
      <c r="BH769" s="28"/>
      <c r="BI769" s="28"/>
      <c r="BJ769" s="28"/>
      <c r="BK769" s="28"/>
      <c r="BL769" s="28"/>
      <c r="BM769" s="28"/>
      <c r="BN769" s="28"/>
      <c r="BO769" s="28"/>
      <c r="BP769" s="28"/>
      <c r="BQ769" s="28"/>
      <c r="BR769" s="29"/>
      <c r="BS769" s="29"/>
      <c r="BT769" s="29"/>
      <c r="BU769" s="29"/>
      <c r="BV769" s="29"/>
      <c r="BW769" s="29"/>
      <c r="BX769" s="28"/>
      <c r="BY769" s="28"/>
      <c r="BZ769" s="28"/>
    </row>
    <row r="770" s="27" customFormat="1" spans="1:78">
      <c r="A770" s="28"/>
      <c r="B770" s="28"/>
      <c r="C770" s="29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30"/>
      <c r="AQ770" s="30"/>
      <c r="AR770" s="30"/>
      <c r="AS770" s="30"/>
      <c r="AT770" s="28"/>
      <c r="AU770" s="28"/>
      <c r="AV770" s="28"/>
      <c r="AW770" s="30"/>
      <c r="AX770" s="28"/>
      <c r="AY770" s="28"/>
      <c r="AZ770" s="28"/>
      <c r="BA770" s="28"/>
      <c r="BB770" s="28"/>
      <c r="BC770" s="28"/>
      <c r="BD770" s="28"/>
      <c r="BE770" s="28"/>
      <c r="BF770" s="28"/>
      <c r="BG770" s="30"/>
      <c r="BH770" s="28"/>
      <c r="BI770" s="28"/>
      <c r="BJ770" s="28"/>
      <c r="BK770" s="28"/>
      <c r="BL770" s="28"/>
      <c r="BM770" s="28"/>
      <c r="BN770" s="28"/>
      <c r="BO770" s="28"/>
      <c r="BP770" s="28"/>
      <c r="BQ770" s="28"/>
      <c r="BR770" s="29"/>
      <c r="BS770" s="29"/>
      <c r="BT770" s="29"/>
      <c r="BU770" s="29"/>
      <c r="BV770" s="29"/>
      <c r="BW770" s="29"/>
      <c r="BX770" s="28"/>
      <c r="BY770" s="28"/>
      <c r="BZ770" s="28"/>
    </row>
    <row r="771" s="27" customFormat="1" spans="1:78">
      <c r="A771" s="28"/>
      <c r="B771" s="28"/>
      <c r="C771" s="29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30"/>
      <c r="AQ771" s="30"/>
      <c r="AR771" s="30"/>
      <c r="AS771" s="30"/>
      <c r="AT771" s="28"/>
      <c r="AU771" s="28"/>
      <c r="AV771" s="28"/>
      <c r="AW771" s="30"/>
      <c r="AX771" s="28"/>
      <c r="AY771" s="28"/>
      <c r="AZ771" s="28"/>
      <c r="BA771" s="28"/>
      <c r="BB771" s="28"/>
      <c r="BC771" s="28"/>
      <c r="BD771" s="28"/>
      <c r="BE771" s="28"/>
      <c r="BF771" s="28"/>
      <c r="BG771" s="30"/>
      <c r="BH771" s="28"/>
      <c r="BI771" s="28"/>
      <c r="BJ771" s="28"/>
      <c r="BK771" s="28"/>
      <c r="BL771" s="28"/>
      <c r="BM771" s="28"/>
      <c r="BN771" s="28"/>
      <c r="BO771" s="28"/>
      <c r="BP771" s="28"/>
      <c r="BQ771" s="28"/>
      <c r="BR771" s="29"/>
      <c r="BS771" s="29"/>
      <c r="BT771" s="29"/>
      <c r="BU771" s="29"/>
      <c r="BV771" s="29"/>
      <c r="BW771" s="28"/>
      <c r="BX771" s="28"/>
      <c r="BY771" s="28"/>
      <c r="BZ771" s="28"/>
    </row>
    <row r="772" s="27" customFormat="1" spans="1:78">
      <c r="A772" s="28"/>
      <c r="B772" s="28"/>
      <c r="C772" s="29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30"/>
      <c r="AQ772" s="30"/>
      <c r="AR772" s="30"/>
      <c r="AS772" s="30"/>
      <c r="AT772" s="28"/>
      <c r="AU772" s="28"/>
      <c r="AV772" s="28"/>
      <c r="AW772" s="30"/>
      <c r="AX772" s="28"/>
      <c r="AY772" s="28"/>
      <c r="AZ772" s="28"/>
      <c r="BA772" s="28"/>
      <c r="BB772" s="28"/>
      <c r="BC772" s="28"/>
      <c r="BD772" s="28"/>
      <c r="BE772" s="28"/>
      <c r="BF772" s="28"/>
      <c r="BG772" s="30"/>
      <c r="BH772" s="28"/>
      <c r="BI772" s="28"/>
      <c r="BJ772" s="28"/>
      <c r="BK772" s="28"/>
      <c r="BL772" s="28"/>
      <c r="BM772" s="28"/>
      <c r="BN772" s="28"/>
      <c r="BO772" s="28"/>
      <c r="BP772" s="28"/>
      <c r="BQ772" s="28"/>
      <c r="BR772" s="29"/>
      <c r="BS772" s="29"/>
      <c r="BT772" s="29"/>
      <c r="BU772" s="29"/>
      <c r="BV772" s="29"/>
      <c r="BW772" s="29"/>
      <c r="BX772" s="28"/>
      <c r="BY772" s="28"/>
      <c r="BZ772" s="28"/>
    </row>
    <row r="773" s="27" customFormat="1" spans="1:78">
      <c r="A773" s="28"/>
      <c r="B773" s="28"/>
      <c r="C773" s="29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30"/>
      <c r="AQ773" s="30"/>
      <c r="AR773" s="30"/>
      <c r="AS773" s="30"/>
      <c r="AT773" s="28"/>
      <c r="AU773" s="28"/>
      <c r="AV773" s="28"/>
      <c r="AW773" s="30"/>
      <c r="AX773" s="28"/>
      <c r="AY773" s="28"/>
      <c r="AZ773" s="28"/>
      <c r="BA773" s="28"/>
      <c r="BB773" s="28"/>
      <c r="BC773" s="28"/>
      <c r="BD773" s="28"/>
      <c r="BE773" s="28"/>
      <c r="BF773" s="28"/>
      <c r="BG773" s="30"/>
      <c r="BH773" s="28"/>
      <c r="BI773" s="28"/>
      <c r="BJ773" s="28"/>
      <c r="BK773" s="28"/>
      <c r="BL773" s="28"/>
      <c r="BM773" s="28"/>
      <c r="BN773" s="28"/>
      <c r="BO773" s="28"/>
      <c r="BP773" s="28"/>
      <c r="BQ773" s="28"/>
      <c r="BR773" s="29"/>
      <c r="BS773" s="29"/>
      <c r="BT773" s="29"/>
      <c r="BU773" s="29"/>
      <c r="BV773" s="29"/>
      <c r="BW773" s="29"/>
      <c r="BX773" s="28"/>
      <c r="BY773" s="28"/>
      <c r="BZ773" s="28"/>
    </row>
    <row r="774" s="27" customFormat="1" spans="1:78">
      <c r="A774" s="28"/>
      <c r="B774" s="28"/>
      <c r="C774" s="29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30"/>
      <c r="AQ774" s="30"/>
      <c r="AR774" s="30"/>
      <c r="AS774" s="30"/>
      <c r="AT774" s="28"/>
      <c r="AU774" s="28"/>
      <c r="AV774" s="28"/>
      <c r="AW774" s="30"/>
      <c r="AX774" s="28"/>
      <c r="AY774" s="28"/>
      <c r="AZ774" s="28"/>
      <c r="BA774" s="28"/>
      <c r="BB774" s="28"/>
      <c r="BC774" s="28"/>
      <c r="BD774" s="28"/>
      <c r="BE774" s="28"/>
      <c r="BF774" s="28"/>
      <c r="BG774" s="30"/>
      <c r="BH774" s="28"/>
      <c r="BI774" s="28"/>
      <c r="BJ774" s="28"/>
      <c r="BK774" s="28"/>
      <c r="BL774" s="28"/>
      <c r="BM774" s="28"/>
      <c r="BN774" s="28"/>
      <c r="BO774" s="28"/>
      <c r="BP774" s="28"/>
      <c r="BQ774" s="28"/>
      <c r="BR774" s="29"/>
      <c r="BS774" s="29"/>
      <c r="BT774" s="29"/>
      <c r="BU774" s="28"/>
      <c r="BV774" s="29"/>
      <c r="BW774" s="28"/>
      <c r="BX774" s="28"/>
      <c r="BY774" s="28"/>
      <c r="BZ774" s="28"/>
    </row>
    <row r="775" s="27" customFormat="1" spans="1:78">
      <c r="A775" s="28"/>
      <c r="B775" s="28"/>
      <c r="C775" s="29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30"/>
      <c r="AQ775" s="30"/>
      <c r="AR775" s="30"/>
      <c r="AS775" s="30"/>
      <c r="AT775" s="28"/>
      <c r="AU775" s="28"/>
      <c r="AV775" s="28"/>
      <c r="AW775" s="30"/>
      <c r="AX775" s="28"/>
      <c r="AY775" s="28"/>
      <c r="AZ775" s="28"/>
      <c r="BA775" s="28"/>
      <c r="BB775" s="28"/>
      <c r="BC775" s="28"/>
      <c r="BD775" s="28"/>
      <c r="BE775" s="28"/>
      <c r="BF775" s="28"/>
      <c r="BG775" s="30"/>
      <c r="BH775" s="28"/>
      <c r="BI775" s="28"/>
      <c r="BJ775" s="28"/>
      <c r="BK775" s="28"/>
      <c r="BL775" s="28"/>
      <c r="BM775" s="28"/>
      <c r="BN775" s="28"/>
      <c r="BO775" s="28"/>
      <c r="BP775" s="28"/>
      <c r="BQ775" s="28"/>
      <c r="BR775" s="29"/>
      <c r="BS775" s="29"/>
      <c r="BT775" s="29"/>
      <c r="BU775" s="29"/>
      <c r="BV775" s="29"/>
      <c r="BW775" s="29"/>
      <c r="BX775" s="28"/>
      <c r="BY775" s="28"/>
      <c r="BZ775" s="28"/>
    </row>
    <row r="776" s="27" customFormat="1" spans="1:78">
      <c r="A776" s="28"/>
      <c r="B776" s="28"/>
      <c r="C776" s="29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30"/>
      <c r="AQ776" s="30"/>
      <c r="AR776" s="30"/>
      <c r="AS776" s="30"/>
      <c r="AT776" s="28"/>
      <c r="AU776" s="28"/>
      <c r="AV776" s="28"/>
      <c r="AW776" s="30"/>
      <c r="AX776" s="28"/>
      <c r="AY776" s="28"/>
      <c r="AZ776" s="28"/>
      <c r="BA776" s="28"/>
      <c r="BB776" s="28"/>
      <c r="BC776" s="28"/>
      <c r="BD776" s="28"/>
      <c r="BE776" s="28"/>
      <c r="BF776" s="28"/>
      <c r="BG776" s="30"/>
      <c r="BH776" s="28"/>
      <c r="BI776" s="28"/>
      <c r="BJ776" s="28"/>
      <c r="BK776" s="28"/>
      <c r="BL776" s="28"/>
      <c r="BM776" s="28"/>
      <c r="BN776" s="28"/>
      <c r="BO776" s="28"/>
      <c r="BP776" s="28"/>
      <c r="BQ776" s="28"/>
      <c r="BR776" s="29"/>
      <c r="BS776" s="29"/>
      <c r="BT776" s="29"/>
      <c r="BU776" s="29"/>
      <c r="BV776" s="29"/>
      <c r="BW776" s="29"/>
      <c r="BX776" s="28"/>
      <c r="BY776" s="28"/>
      <c r="BZ776" s="28"/>
    </row>
    <row r="777" s="27" customFormat="1" spans="1:78">
      <c r="A777" s="28"/>
      <c r="B777" s="28"/>
      <c r="C777" s="29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30"/>
      <c r="AQ777" s="30"/>
      <c r="AR777" s="30"/>
      <c r="AS777" s="30"/>
      <c r="AT777" s="28"/>
      <c r="AU777" s="28"/>
      <c r="AV777" s="28"/>
      <c r="AW777" s="30"/>
      <c r="AX777" s="28"/>
      <c r="AY777" s="28"/>
      <c r="AZ777" s="28"/>
      <c r="BA777" s="28"/>
      <c r="BB777" s="28"/>
      <c r="BC777" s="28"/>
      <c r="BD777" s="28"/>
      <c r="BE777" s="28"/>
      <c r="BF777" s="28"/>
      <c r="BG777" s="30"/>
      <c r="BH777" s="28"/>
      <c r="BI777" s="28"/>
      <c r="BJ777" s="28"/>
      <c r="BK777" s="28"/>
      <c r="BL777" s="28"/>
      <c r="BM777" s="28"/>
      <c r="BN777" s="28"/>
      <c r="BO777" s="28"/>
      <c r="BP777" s="28"/>
      <c r="BQ777" s="28"/>
      <c r="BR777" s="29"/>
      <c r="BS777" s="29"/>
      <c r="BT777" s="29"/>
      <c r="BU777" s="29"/>
      <c r="BV777" s="29"/>
      <c r="BW777" s="29"/>
      <c r="BX777" s="28"/>
      <c r="BY777" s="28"/>
      <c r="BZ777" s="28"/>
    </row>
    <row r="778" s="27" customFormat="1" spans="1:78">
      <c r="A778" s="28"/>
      <c r="B778" s="28"/>
      <c r="C778" s="29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30"/>
      <c r="AQ778" s="30"/>
      <c r="AR778" s="30"/>
      <c r="AS778" s="30"/>
      <c r="AT778" s="28"/>
      <c r="AU778" s="28"/>
      <c r="AV778" s="28"/>
      <c r="AW778" s="30"/>
      <c r="AX778" s="28"/>
      <c r="AY778" s="28"/>
      <c r="AZ778" s="28"/>
      <c r="BA778" s="28"/>
      <c r="BB778" s="28"/>
      <c r="BC778" s="28"/>
      <c r="BD778" s="28"/>
      <c r="BE778" s="28"/>
      <c r="BF778" s="28"/>
      <c r="BG778" s="30"/>
      <c r="BH778" s="28"/>
      <c r="BI778" s="28"/>
      <c r="BJ778" s="28"/>
      <c r="BK778" s="28"/>
      <c r="BL778" s="28"/>
      <c r="BM778" s="28"/>
      <c r="BN778" s="28"/>
      <c r="BO778" s="28"/>
      <c r="BP778" s="28"/>
      <c r="BQ778" s="28"/>
      <c r="BR778" s="29"/>
      <c r="BS778" s="29"/>
      <c r="BT778" s="29"/>
      <c r="BU778" s="28"/>
      <c r="BV778" s="29"/>
      <c r="BW778" s="28"/>
      <c r="BX778" s="28"/>
      <c r="BY778" s="28"/>
      <c r="BZ778" s="28"/>
    </row>
    <row r="779" s="27" customFormat="1" spans="1:78">
      <c r="A779" s="28"/>
      <c r="B779" s="28"/>
      <c r="C779" s="29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30"/>
      <c r="AQ779" s="30"/>
      <c r="AR779" s="30"/>
      <c r="AS779" s="30"/>
      <c r="AT779" s="28"/>
      <c r="AU779" s="28"/>
      <c r="AV779" s="28"/>
      <c r="AW779" s="30"/>
      <c r="AX779" s="28"/>
      <c r="AY779" s="28"/>
      <c r="AZ779" s="28"/>
      <c r="BA779" s="28"/>
      <c r="BB779" s="28"/>
      <c r="BC779" s="28"/>
      <c r="BD779" s="28"/>
      <c r="BE779" s="28"/>
      <c r="BF779" s="28"/>
      <c r="BG779" s="30"/>
      <c r="BH779" s="28"/>
      <c r="BI779" s="28"/>
      <c r="BJ779" s="28"/>
      <c r="BK779" s="28"/>
      <c r="BL779" s="28"/>
      <c r="BM779" s="28"/>
      <c r="BN779" s="28"/>
      <c r="BO779" s="28"/>
      <c r="BP779" s="28"/>
      <c r="BQ779" s="28"/>
      <c r="BR779" s="29"/>
      <c r="BS779" s="29"/>
      <c r="BT779" s="29"/>
      <c r="BU779" s="29"/>
      <c r="BV779" s="29"/>
      <c r="BW779" s="29"/>
      <c r="BX779" s="28"/>
      <c r="BY779" s="28"/>
      <c r="BZ779" s="28"/>
    </row>
    <row r="780" s="27" customFormat="1" spans="1:78">
      <c r="A780" s="28"/>
      <c r="B780" s="28"/>
      <c r="C780" s="29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30"/>
      <c r="AQ780" s="30"/>
      <c r="AR780" s="30"/>
      <c r="AS780" s="30"/>
      <c r="AT780" s="28"/>
      <c r="AU780" s="28"/>
      <c r="AV780" s="28"/>
      <c r="AW780" s="30"/>
      <c r="AX780" s="28"/>
      <c r="AY780" s="28"/>
      <c r="AZ780" s="28"/>
      <c r="BA780" s="28"/>
      <c r="BB780" s="28"/>
      <c r="BC780" s="28"/>
      <c r="BD780" s="28"/>
      <c r="BE780" s="28"/>
      <c r="BF780" s="28"/>
      <c r="BG780" s="30"/>
      <c r="BH780" s="28"/>
      <c r="BI780" s="28"/>
      <c r="BJ780" s="28"/>
      <c r="BK780" s="28"/>
      <c r="BL780" s="28"/>
      <c r="BM780" s="28"/>
      <c r="BN780" s="28"/>
      <c r="BO780" s="28"/>
      <c r="BP780" s="28"/>
      <c r="BQ780" s="28"/>
      <c r="BR780" s="29"/>
      <c r="BS780" s="29"/>
      <c r="BT780" s="29"/>
      <c r="BU780" s="29"/>
      <c r="BV780" s="29"/>
      <c r="BW780" s="29"/>
      <c r="BX780" s="28"/>
      <c r="BY780" s="28"/>
      <c r="BZ780" s="28"/>
    </row>
    <row r="781" s="27" customFormat="1" spans="1:78">
      <c r="A781" s="28"/>
      <c r="B781" s="28"/>
      <c r="C781" s="29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30"/>
      <c r="AQ781" s="30"/>
      <c r="AR781" s="30"/>
      <c r="AS781" s="30"/>
      <c r="AT781" s="28"/>
      <c r="AU781" s="29"/>
      <c r="AV781" s="30"/>
      <c r="AW781" s="30"/>
      <c r="AX781" s="28"/>
      <c r="AY781" s="28"/>
      <c r="AZ781" s="28"/>
      <c r="BA781" s="28"/>
      <c r="BB781" s="28"/>
      <c r="BC781" s="28"/>
      <c r="BD781" s="28"/>
      <c r="BE781" s="28"/>
      <c r="BF781" s="28"/>
      <c r="BG781" s="30"/>
      <c r="BH781" s="28"/>
      <c r="BI781" s="28"/>
      <c r="BJ781" s="28"/>
      <c r="BK781" s="28"/>
      <c r="BL781" s="28"/>
      <c r="BM781" s="28"/>
      <c r="BN781" s="28"/>
      <c r="BO781" s="28"/>
      <c r="BP781" s="28"/>
      <c r="BQ781" s="28"/>
      <c r="BR781" s="29"/>
      <c r="BS781" s="29"/>
      <c r="BT781" s="29"/>
      <c r="BU781" s="29"/>
      <c r="BV781" s="29"/>
      <c r="BW781" s="29"/>
      <c r="BX781" s="28"/>
      <c r="BY781" s="28"/>
      <c r="BZ781" s="28"/>
    </row>
    <row r="782" s="27" customFormat="1" spans="1:78">
      <c r="A782" s="28"/>
      <c r="B782" s="28"/>
      <c r="C782" s="29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30"/>
      <c r="AQ782" s="30"/>
      <c r="AR782" s="30"/>
      <c r="AS782" s="30"/>
      <c r="AT782" s="28"/>
      <c r="AU782" s="28"/>
      <c r="AV782" s="28"/>
      <c r="AW782" s="30"/>
      <c r="AX782" s="28"/>
      <c r="AY782" s="28"/>
      <c r="AZ782" s="28"/>
      <c r="BA782" s="28"/>
      <c r="BB782" s="28"/>
      <c r="BC782" s="28"/>
      <c r="BD782" s="28"/>
      <c r="BE782" s="28"/>
      <c r="BF782" s="28"/>
      <c r="BG782" s="30"/>
      <c r="BH782" s="28"/>
      <c r="BI782" s="28"/>
      <c r="BJ782" s="28"/>
      <c r="BK782" s="28"/>
      <c r="BL782" s="28"/>
      <c r="BM782" s="28"/>
      <c r="BN782" s="28"/>
      <c r="BO782" s="28"/>
      <c r="BP782" s="28"/>
      <c r="BQ782" s="28"/>
      <c r="BR782" s="29"/>
      <c r="BS782" s="29"/>
      <c r="BT782" s="29"/>
      <c r="BU782" s="29"/>
      <c r="BV782" s="29"/>
      <c r="BW782" s="29"/>
      <c r="BX782" s="28"/>
      <c r="BY782" s="28"/>
      <c r="BZ782" s="28"/>
    </row>
    <row r="783" s="27" customFormat="1" spans="1:78">
      <c r="A783" s="28"/>
      <c r="B783" s="28"/>
      <c r="C783" s="29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30"/>
      <c r="AQ783" s="30"/>
      <c r="AR783" s="30"/>
      <c r="AS783" s="30"/>
      <c r="AT783" s="28"/>
      <c r="AU783" s="28"/>
      <c r="AV783" s="28"/>
      <c r="AW783" s="30"/>
      <c r="AX783" s="28"/>
      <c r="AY783" s="28"/>
      <c r="AZ783" s="28"/>
      <c r="BA783" s="28"/>
      <c r="BB783" s="28"/>
      <c r="BC783" s="28"/>
      <c r="BD783" s="28"/>
      <c r="BE783" s="28"/>
      <c r="BF783" s="28"/>
      <c r="BG783" s="30"/>
      <c r="BH783" s="28"/>
      <c r="BI783" s="28"/>
      <c r="BJ783" s="28"/>
      <c r="BK783" s="28"/>
      <c r="BL783" s="28"/>
      <c r="BM783" s="28"/>
      <c r="BN783" s="28"/>
      <c r="BO783" s="28"/>
      <c r="BP783" s="28"/>
      <c r="BQ783" s="28"/>
      <c r="BR783" s="29"/>
      <c r="BS783" s="29"/>
      <c r="BT783" s="29"/>
      <c r="BU783" s="29"/>
      <c r="BV783" s="29"/>
      <c r="BW783" s="29"/>
      <c r="BX783" s="28"/>
      <c r="BY783" s="28"/>
      <c r="BZ783" s="28"/>
    </row>
    <row r="784" s="27" customFormat="1" spans="1:78">
      <c r="A784" s="28"/>
      <c r="B784" s="28"/>
      <c r="C784" s="29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30"/>
      <c r="AQ784" s="30"/>
      <c r="AR784" s="30"/>
      <c r="AS784" s="30"/>
      <c r="AT784" s="28"/>
      <c r="AU784" s="28"/>
      <c r="AV784" s="28"/>
      <c r="AW784" s="30"/>
      <c r="AX784" s="28"/>
      <c r="AY784" s="28"/>
      <c r="AZ784" s="28"/>
      <c r="BA784" s="28"/>
      <c r="BB784" s="28"/>
      <c r="BC784" s="28"/>
      <c r="BD784" s="28"/>
      <c r="BE784" s="28"/>
      <c r="BF784" s="28"/>
      <c r="BG784" s="30"/>
      <c r="BH784" s="28"/>
      <c r="BI784" s="28"/>
      <c r="BJ784" s="28"/>
      <c r="BK784" s="28"/>
      <c r="BL784" s="28"/>
      <c r="BM784" s="28"/>
      <c r="BN784" s="28"/>
      <c r="BO784" s="28"/>
      <c r="BP784" s="28"/>
      <c r="BQ784" s="28"/>
      <c r="BR784" s="29"/>
      <c r="BS784" s="29"/>
      <c r="BT784" s="29"/>
      <c r="BU784" s="29"/>
      <c r="BV784" s="29"/>
      <c r="BW784" s="29"/>
      <c r="BX784" s="28"/>
      <c r="BY784" s="28"/>
      <c r="BZ784" s="28"/>
    </row>
    <row r="785" s="27" customFormat="1" spans="1:78">
      <c r="A785" s="28"/>
      <c r="B785" s="28"/>
      <c r="C785" s="29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30"/>
      <c r="AQ785" s="30"/>
      <c r="AR785" s="30"/>
      <c r="AS785" s="30"/>
      <c r="AT785" s="28"/>
      <c r="AU785" s="28"/>
      <c r="AV785" s="28"/>
      <c r="AW785" s="30"/>
      <c r="AX785" s="28"/>
      <c r="AY785" s="28"/>
      <c r="AZ785" s="28"/>
      <c r="BA785" s="28"/>
      <c r="BB785" s="28"/>
      <c r="BC785" s="28"/>
      <c r="BD785" s="28"/>
      <c r="BE785" s="28"/>
      <c r="BF785" s="28"/>
      <c r="BG785" s="30"/>
      <c r="BH785" s="28"/>
      <c r="BI785" s="28"/>
      <c r="BJ785" s="28"/>
      <c r="BK785" s="28"/>
      <c r="BL785" s="28"/>
      <c r="BM785" s="28"/>
      <c r="BN785" s="28"/>
      <c r="BO785" s="28"/>
      <c r="BP785" s="28"/>
      <c r="BQ785" s="28"/>
      <c r="BR785" s="29"/>
      <c r="BS785" s="29"/>
      <c r="BT785" s="29"/>
      <c r="BU785" s="28"/>
      <c r="BV785" s="29"/>
      <c r="BW785" s="28"/>
      <c r="BX785" s="28"/>
      <c r="BY785" s="28"/>
      <c r="BZ785" s="28"/>
    </row>
    <row r="786" s="27" customFormat="1" spans="1:78">
      <c r="A786" s="28"/>
      <c r="B786" s="28"/>
      <c r="C786" s="29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30"/>
      <c r="AQ786" s="30"/>
      <c r="AR786" s="30"/>
      <c r="AS786" s="30"/>
      <c r="AT786" s="28"/>
      <c r="AU786" s="28"/>
      <c r="AV786" s="28"/>
      <c r="AW786" s="30"/>
      <c r="AX786" s="28"/>
      <c r="AY786" s="28"/>
      <c r="AZ786" s="28"/>
      <c r="BA786" s="28"/>
      <c r="BB786" s="28"/>
      <c r="BC786" s="28"/>
      <c r="BD786" s="28"/>
      <c r="BE786" s="28"/>
      <c r="BF786" s="28"/>
      <c r="BG786" s="30"/>
      <c r="BH786" s="28"/>
      <c r="BI786" s="28"/>
      <c r="BJ786" s="28"/>
      <c r="BK786" s="28"/>
      <c r="BL786" s="28"/>
      <c r="BM786" s="28"/>
      <c r="BN786" s="28"/>
      <c r="BO786" s="28"/>
      <c r="BP786" s="28"/>
      <c r="BQ786" s="28"/>
      <c r="BR786" s="29"/>
      <c r="BS786" s="29"/>
      <c r="BT786" s="29"/>
      <c r="BU786" s="29"/>
      <c r="BV786" s="29"/>
      <c r="BW786" s="29"/>
      <c r="BX786" s="28"/>
      <c r="BY786" s="28"/>
      <c r="BZ786" s="28"/>
    </row>
    <row r="787" s="27" customFormat="1" spans="1:78">
      <c r="A787" s="28"/>
      <c r="B787" s="28"/>
      <c r="C787" s="29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30"/>
      <c r="AQ787" s="30"/>
      <c r="AR787" s="30"/>
      <c r="AS787" s="30"/>
      <c r="AT787" s="28"/>
      <c r="AU787" s="28"/>
      <c r="AV787" s="28"/>
      <c r="AW787" s="30"/>
      <c r="AX787" s="28"/>
      <c r="AY787" s="28"/>
      <c r="AZ787" s="28"/>
      <c r="BA787" s="28"/>
      <c r="BB787" s="28"/>
      <c r="BC787" s="28"/>
      <c r="BD787" s="28"/>
      <c r="BE787" s="28"/>
      <c r="BF787" s="28"/>
      <c r="BG787" s="30"/>
      <c r="BH787" s="28"/>
      <c r="BI787" s="28"/>
      <c r="BJ787" s="28"/>
      <c r="BK787" s="28"/>
      <c r="BL787" s="28"/>
      <c r="BM787" s="28"/>
      <c r="BN787" s="28"/>
      <c r="BO787" s="28"/>
      <c r="BP787" s="28"/>
      <c r="BQ787" s="28"/>
      <c r="BR787" s="29"/>
      <c r="BS787" s="29"/>
      <c r="BT787" s="29"/>
      <c r="BU787" s="29"/>
      <c r="BV787" s="29"/>
      <c r="BW787" s="29"/>
      <c r="BX787" s="28"/>
      <c r="BY787" s="28"/>
      <c r="BZ787" s="28"/>
    </row>
    <row r="788" s="27" customFormat="1" spans="1:78">
      <c r="A788" s="28"/>
      <c r="B788" s="28"/>
      <c r="C788" s="29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30"/>
      <c r="AQ788" s="30"/>
      <c r="AR788" s="30"/>
      <c r="AS788" s="30"/>
      <c r="AT788" s="28"/>
      <c r="AU788" s="28"/>
      <c r="AV788" s="28"/>
      <c r="AW788" s="30"/>
      <c r="AX788" s="28"/>
      <c r="AY788" s="28"/>
      <c r="AZ788" s="28"/>
      <c r="BA788" s="28"/>
      <c r="BB788" s="28"/>
      <c r="BC788" s="28"/>
      <c r="BD788" s="28"/>
      <c r="BE788" s="28"/>
      <c r="BF788" s="28"/>
      <c r="BG788" s="30"/>
      <c r="BH788" s="28"/>
      <c r="BI788" s="28"/>
      <c r="BJ788" s="28"/>
      <c r="BK788" s="28"/>
      <c r="BL788" s="28"/>
      <c r="BM788" s="28"/>
      <c r="BN788" s="28"/>
      <c r="BO788" s="28"/>
      <c r="BP788" s="28"/>
      <c r="BQ788" s="28"/>
      <c r="BR788" s="29"/>
      <c r="BS788" s="29"/>
      <c r="BT788" s="29"/>
      <c r="BU788" s="28"/>
      <c r="BV788" s="29"/>
      <c r="BW788" s="28"/>
      <c r="BX788" s="28"/>
      <c r="BY788" s="28"/>
      <c r="BZ788" s="28"/>
    </row>
    <row r="789" s="27" customFormat="1" spans="1:78">
      <c r="A789" s="28"/>
      <c r="B789" s="28"/>
      <c r="C789" s="29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30"/>
      <c r="AQ789" s="30"/>
      <c r="AR789" s="30"/>
      <c r="AS789" s="30"/>
      <c r="AT789" s="28"/>
      <c r="AU789" s="28"/>
      <c r="AV789" s="28"/>
      <c r="AW789" s="30"/>
      <c r="AX789" s="28"/>
      <c r="AY789" s="28"/>
      <c r="AZ789" s="28"/>
      <c r="BA789" s="28"/>
      <c r="BB789" s="28"/>
      <c r="BC789" s="28"/>
      <c r="BD789" s="28"/>
      <c r="BE789" s="28"/>
      <c r="BF789" s="28"/>
      <c r="BG789" s="30"/>
      <c r="BH789" s="28"/>
      <c r="BI789" s="28"/>
      <c r="BJ789" s="28"/>
      <c r="BK789" s="28"/>
      <c r="BL789" s="28"/>
      <c r="BM789" s="28"/>
      <c r="BN789" s="28"/>
      <c r="BO789" s="28"/>
      <c r="BP789" s="28"/>
      <c r="BQ789" s="28"/>
      <c r="BR789" s="29"/>
      <c r="BS789" s="29"/>
      <c r="BT789" s="29"/>
      <c r="BU789" s="29"/>
      <c r="BV789" s="29"/>
      <c r="BW789" s="29"/>
      <c r="BX789" s="28"/>
      <c r="BY789" s="28"/>
      <c r="BZ789" s="28"/>
    </row>
    <row r="790" s="27" customFormat="1" spans="1:78">
      <c r="A790" s="28"/>
      <c r="B790" s="28"/>
      <c r="C790" s="29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30"/>
      <c r="AQ790" s="30"/>
      <c r="AR790" s="30"/>
      <c r="AS790" s="30"/>
      <c r="AT790" s="28"/>
      <c r="AU790" s="28"/>
      <c r="AV790" s="28"/>
      <c r="AW790" s="30"/>
      <c r="AX790" s="28"/>
      <c r="AY790" s="28"/>
      <c r="AZ790" s="28"/>
      <c r="BA790" s="28"/>
      <c r="BB790" s="28"/>
      <c r="BC790" s="28"/>
      <c r="BD790" s="28"/>
      <c r="BE790" s="28"/>
      <c r="BF790" s="28"/>
      <c r="BG790" s="30"/>
      <c r="BH790" s="28"/>
      <c r="BI790" s="28"/>
      <c r="BJ790" s="28"/>
      <c r="BK790" s="28"/>
      <c r="BL790" s="28"/>
      <c r="BM790" s="28"/>
      <c r="BN790" s="28"/>
      <c r="BO790" s="28"/>
      <c r="BP790" s="28"/>
      <c r="BQ790" s="28"/>
      <c r="BR790" s="29"/>
      <c r="BS790" s="29"/>
      <c r="BT790" s="29"/>
      <c r="BU790" s="29"/>
      <c r="BV790" s="29"/>
      <c r="BW790" s="28"/>
      <c r="BX790" s="28"/>
      <c r="BY790" s="28"/>
      <c r="BZ790" s="28"/>
    </row>
    <row r="791" s="27" customFormat="1" spans="1:78">
      <c r="A791" s="28"/>
      <c r="B791" s="28"/>
      <c r="C791" s="29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30"/>
      <c r="AQ791" s="30"/>
      <c r="AR791" s="30"/>
      <c r="AS791" s="30"/>
      <c r="AT791" s="28"/>
      <c r="AU791" s="28"/>
      <c r="AV791" s="28"/>
      <c r="AW791" s="30"/>
      <c r="AX791" s="28"/>
      <c r="AY791" s="28"/>
      <c r="AZ791" s="28"/>
      <c r="BA791" s="28"/>
      <c r="BB791" s="28"/>
      <c r="BC791" s="28"/>
      <c r="BD791" s="28"/>
      <c r="BE791" s="28"/>
      <c r="BF791" s="28"/>
      <c r="BG791" s="30"/>
      <c r="BH791" s="28"/>
      <c r="BI791" s="28"/>
      <c r="BJ791" s="28"/>
      <c r="BK791" s="28"/>
      <c r="BL791" s="28"/>
      <c r="BM791" s="28"/>
      <c r="BN791" s="28"/>
      <c r="BO791" s="28"/>
      <c r="BP791" s="28"/>
      <c r="BQ791" s="28"/>
      <c r="BR791" s="29"/>
      <c r="BS791" s="29"/>
      <c r="BT791" s="29"/>
      <c r="BU791" s="29"/>
      <c r="BV791" s="29"/>
      <c r="BW791" s="29"/>
      <c r="BX791" s="28"/>
      <c r="BY791" s="28"/>
      <c r="BZ791" s="28"/>
    </row>
    <row r="792" s="27" customFormat="1" spans="1:78">
      <c r="A792" s="28"/>
      <c r="B792" s="28"/>
      <c r="C792" s="29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30"/>
      <c r="AQ792" s="30"/>
      <c r="AR792" s="30"/>
      <c r="AS792" s="30"/>
      <c r="AT792" s="28"/>
      <c r="AU792" s="28"/>
      <c r="AV792" s="28"/>
      <c r="AW792" s="30"/>
      <c r="AX792" s="28"/>
      <c r="AY792" s="28"/>
      <c r="AZ792" s="28"/>
      <c r="BA792" s="28"/>
      <c r="BB792" s="28"/>
      <c r="BC792" s="28"/>
      <c r="BD792" s="28"/>
      <c r="BE792" s="28"/>
      <c r="BF792" s="28"/>
      <c r="BG792" s="30"/>
      <c r="BH792" s="28"/>
      <c r="BI792" s="28"/>
      <c r="BJ792" s="28"/>
      <c r="BK792" s="28"/>
      <c r="BL792" s="28"/>
      <c r="BM792" s="28"/>
      <c r="BN792" s="28"/>
      <c r="BO792" s="28"/>
      <c r="BP792" s="28"/>
      <c r="BQ792" s="28"/>
      <c r="BR792" s="29"/>
      <c r="BS792" s="29"/>
      <c r="BT792" s="28"/>
      <c r="BU792" s="28"/>
      <c r="BV792" s="29"/>
      <c r="BW792" s="28"/>
      <c r="BX792" s="28"/>
      <c r="BY792" s="28"/>
      <c r="BZ792" s="28"/>
    </row>
    <row r="793" s="27" customFormat="1" spans="1:78">
      <c r="A793" s="28"/>
      <c r="B793" s="28"/>
      <c r="C793" s="29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30"/>
      <c r="AQ793" s="30"/>
      <c r="AR793" s="30"/>
      <c r="AS793" s="30"/>
      <c r="AT793" s="28"/>
      <c r="AU793" s="28"/>
      <c r="AV793" s="28"/>
      <c r="AW793" s="30"/>
      <c r="AX793" s="28"/>
      <c r="AY793" s="28"/>
      <c r="AZ793" s="28"/>
      <c r="BA793" s="28"/>
      <c r="BB793" s="28"/>
      <c r="BC793" s="28"/>
      <c r="BD793" s="28"/>
      <c r="BE793" s="28"/>
      <c r="BF793" s="28"/>
      <c r="BG793" s="30"/>
      <c r="BH793" s="28"/>
      <c r="BI793" s="28"/>
      <c r="BJ793" s="28"/>
      <c r="BK793" s="28"/>
      <c r="BL793" s="28"/>
      <c r="BM793" s="28"/>
      <c r="BN793" s="28"/>
      <c r="BO793" s="28"/>
      <c r="BP793" s="28"/>
      <c r="BQ793" s="28"/>
      <c r="BR793" s="29"/>
      <c r="BS793" s="29"/>
      <c r="BT793" s="29"/>
      <c r="BU793" s="28"/>
      <c r="BV793" s="29"/>
      <c r="BW793" s="28"/>
      <c r="BX793" s="28"/>
      <c r="BY793" s="28"/>
      <c r="BZ793" s="28"/>
    </row>
    <row r="794" s="27" customFormat="1" spans="1:78">
      <c r="A794" s="28"/>
      <c r="B794" s="28"/>
      <c r="C794" s="29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30"/>
      <c r="AQ794" s="30"/>
      <c r="AR794" s="30"/>
      <c r="AS794" s="30"/>
      <c r="AT794" s="28"/>
      <c r="AU794" s="28"/>
      <c r="AV794" s="28"/>
      <c r="AW794" s="30"/>
      <c r="AX794" s="28"/>
      <c r="AY794" s="28"/>
      <c r="AZ794" s="28"/>
      <c r="BA794" s="28"/>
      <c r="BB794" s="28"/>
      <c r="BC794" s="28"/>
      <c r="BD794" s="28"/>
      <c r="BE794" s="28"/>
      <c r="BF794" s="28"/>
      <c r="BG794" s="30"/>
      <c r="BH794" s="28"/>
      <c r="BI794" s="28"/>
      <c r="BJ794" s="28"/>
      <c r="BK794" s="28"/>
      <c r="BL794" s="28"/>
      <c r="BM794" s="28"/>
      <c r="BN794" s="28"/>
      <c r="BO794" s="28"/>
      <c r="BP794" s="28"/>
      <c r="BQ794" s="28"/>
      <c r="BR794" s="29"/>
      <c r="BS794" s="29"/>
      <c r="BT794" s="29"/>
      <c r="BU794" s="28"/>
      <c r="BV794" s="29"/>
      <c r="BW794" s="28"/>
      <c r="BX794" s="28"/>
      <c r="BY794" s="28"/>
      <c r="BZ794" s="28"/>
    </row>
    <row r="795" s="27" customFormat="1" spans="1:78">
      <c r="A795" s="28"/>
      <c r="B795" s="28"/>
      <c r="C795" s="29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30"/>
      <c r="AQ795" s="30"/>
      <c r="AR795" s="30"/>
      <c r="AS795" s="30"/>
      <c r="AT795" s="28"/>
      <c r="AU795" s="28"/>
      <c r="AV795" s="28"/>
      <c r="AW795" s="30"/>
      <c r="AX795" s="28"/>
      <c r="AY795" s="28"/>
      <c r="AZ795" s="28"/>
      <c r="BA795" s="28"/>
      <c r="BB795" s="28"/>
      <c r="BC795" s="28"/>
      <c r="BD795" s="28"/>
      <c r="BE795" s="28"/>
      <c r="BF795" s="28"/>
      <c r="BG795" s="30"/>
      <c r="BH795" s="28"/>
      <c r="BI795" s="28"/>
      <c r="BJ795" s="28"/>
      <c r="BK795" s="28"/>
      <c r="BL795" s="28"/>
      <c r="BM795" s="28"/>
      <c r="BN795" s="28"/>
      <c r="BO795" s="28"/>
      <c r="BP795" s="28"/>
      <c r="BQ795" s="28"/>
      <c r="BR795" s="29"/>
      <c r="BS795" s="29"/>
      <c r="BT795" s="29"/>
      <c r="BU795" s="29"/>
      <c r="BV795" s="29"/>
      <c r="BW795" s="29"/>
      <c r="BX795" s="28"/>
      <c r="BY795" s="28"/>
      <c r="BZ795" s="28"/>
    </row>
    <row r="796" s="27" customFormat="1" spans="1:78">
      <c r="A796" s="28"/>
      <c r="B796" s="28"/>
      <c r="C796" s="29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30"/>
      <c r="AQ796" s="30"/>
      <c r="AR796" s="30"/>
      <c r="AS796" s="30"/>
      <c r="AT796" s="28"/>
      <c r="AU796" s="28"/>
      <c r="AV796" s="28"/>
      <c r="AW796" s="30"/>
      <c r="AX796" s="28"/>
      <c r="AY796" s="28"/>
      <c r="AZ796" s="28"/>
      <c r="BA796" s="28"/>
      <c r="BB796" s="28"/>
      <c r="BC796" s="28"/>
      <c r="BD796" s="28"/>
      <c r="BE796" s="28"/>
      <c r="BF796" s="28"/>
      <c r="BG796" s="30"/>
      <c r="BH796" s="28"/>
      <c r="BI796" s="28"/>
      <c r="BJ796" s="28"/>
      <c r="BK796" s="28"/>
      <c r="BL796" s="28"/>
      <c r="BM796" s="28"/>
      <c r="BN796" s="28"/>
      <c r="BO796" s="28"/>
      <c r="BP796" s="28"/>
      <c r="BQ796" s="28"/>
      <c r="BR796" s="29"/>
      <c r="BS796" s="29"/>
      <c r="BT796" s="28"/>
      <c r="BU796" s="28"/>
      <c r="BV796" s="29"/>
      <c r="BW796" s="28"/>
      <c r="BX796" s="28"/>
      <c r="BY796" s="28"/>
      <c r="BZ796" s="28"/>
    </row>
    <row r="797" s="27" customFormat="1" spans="1:78">
      <c r="A797" s="28"/>
      <c r="B797" s="28"/>
      <c r="C797" s="29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30"/>
      <c r="AQ797" s="30"/>
      <c r="AR797" s="30"/>
      <c r="AS797" s="30"/>
      <c r="AT797" s="28"/>
      <c r="AU797" s="28"/>
      <c r="AV797" s="28"/>
      <c r="AW797" s="30"/>
      <c r="AX797" s="28"/>
      <c r="AY797" s="28"/>
      <c r="AZ797" s="28"/>
      <c r="BA797" s="28"/>
      <c r="BB797" s="28"/>
      <c r="BC797" s="28"/>
      <c r="BD797" s="28"/>
      <c r="BE797" s="28"/>
      <c r="BF797" s="28"/>
      <c r="BG797" s="30"/>
      <c r="BH797" s="28"/>
      <c r="BI797" s="28"/>
      <c r="BJ797" s="28"/>
      <c r="BK797" s="28"/>
      <c r="BL797" s="28"/>
      <c r="BM797" s="28"/>
      <c r="BN797" s="28"/>
      <c r="BO797" s="28"/>
      <c r="BP797" s="28"/>
      <c r="BQ797" s="28"/>
      <c r="BR797" s="29"/>
      <c r="BS797" s="29"/>
      <c r="BT797" s="29"/>
      <c r="BU797" s="29"/>
      <c r="BV797" s="29"/>
      <c r="BW797" s="29"/>
      <c r="BX797" s="28"/>
      <c r="BY797" s="28"/>
      <c r="BZ797" s="28"/>
    </row>
    <row r="798" s="27" customFormat="1" spans="1:78">
      <c r="A798" s="28"/>
      <c r="B798" s="28"/>
      <c r="C798" s="29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30"/>
      <c r="AQ798" s="30"/>
      <c r="AR798" s="30"/>
      <c r="AS798" s="30"/>
      <c r="AT798" s="28"/>
      <c r="AU798" s="28"/>
      <c r="AV798" s="28"/>
      <c r="AW798" s="30"/>
      <c r="AX798" s="28"/>
      <c r="AY798" s="28"/>
      <c r="AZ798" s="28"/>
      <c r="BA798" s="28"/>
      <c r="BB798" s="28"/>
      <c r="BC798" s="28"/>
      <c r="BD798" s="28"/>
      <c r="BE798" s="28"/>
      <c r="BF798" s="28"/>
      <c r="BG798" s="30"/>
      <c r="BH798" s="28"/>
      <c r="BI798" s="28"/>
      <c r="BJ798" s="28"/>
      <c r="BK798" s="28"/>
      <c r="BL798" s="28"/>
      <c r="BM798" s="28"/>
      <c r="BN798" s="28"/>
      <c r="BO798" s="28"/>
      <c r="BP798" s="28"/>
      <c r="BQ798" s="28"/>
      <c r="BR798" s="29"/>
      <c r="BS798" s="29"/>
      <c r="BT798" s="29"/>
      <c r="BU798" s="28"/>
      <c r="BV798" s="29"/>
      <c r="BW798" s="28"/>
      <c r="BX798" s="28"/>
      <c r="BY798" s="28"/>
      <c r="BZ798" s="28"/>
    </row>
    <row r="799" s="27" customFormat="1" spans="1:78">
      <c r="A799" s="28"/>
      <c r="B799" s="28"/>
      <c r="C799" s="29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30"/>
      <c r="AQ799" s="30"/>
      <c r="AR799" s="30"/>
      <c r="AS799" s="30"/>
      <c r="AT799" s="28"/>
      <c r="AU799" s="28"/>
      <c r="AV799" s="28"/>
      <c r="AW799" s="30"/>
      <c r="AX799" s="28"/>
      <c r="AY799" s="28"/>
      <c r="AZ799" s="28"/>
      <c r="BA799" s="28"/>
      <c r="BB799" s="28"/>
      <c r="BC799" s="28"/>
      <c r="BD799" s="28"/>
      <c r="BE799" s="28"/>
      <c r="BF799" s="28"/>
      <c r="BG799" s="30"/>
      <c r="BH799" s="28"/>
      <c r="BI799" s="28"/>
      <c r="BJ799" s="28"/>
      <c r="BK799" s="28"/>
      <c r="BL799" s="28"/>
      <c r="BM799" s="28"/>
      <c r="BN799" s="28"/>
      <c r="BO799" s="28"/>
      <c r="BP799" s="28"/>
      <c r="BQ799" s="28"/>
      <c r="BR799" s="29"/>
      <c r="BS799" s="29"/>
      <c r="BT799" s="29"/>
      <c r="BU799" s="29"/>
      <c r="BV799" s="29"/>
      <c r="BW799" s="29"/>
      <c r="BX799" s="28"/>
      <c r="BY799" s="28"/>
      <c r="BZ799" s="28"/>
    </row>
    <row r="800" s="27" customFormat="1" spans="1:78">
      <c r="A800" s="28"/>
      <c r="B800" s="28"/>
      <c r="C800" s="29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30"/>
      <c r="AQ800" s="30"/>
      <c r="AR800" s="30"/>
      <c r="AS800" s="30"/>
      <c r="AT800" s="28"/>
      <c r="AU800" s="28"/>
      <c r="AV800" s="28"/>
      <c r="AW800" s="30"/>
      <c r="AX800" s="28"/>
      <c r="AY800" s="28"/>
      <c r="AZ800" s="28"/>
      <c r="BA800" s="28"/>
      <c r="BB800" s="28"/>
      <c r="BC800" s="28"/>
      <c r="BD800" s="28"/>
      <c r="BE800" s="28"/>
      <c r="BF800" s="28"/>
      <c r="BG800" s="30"/>
      <c r="BH800" s="28"/>
      <c r="BI800" s="28"/>
      <c r="BJ800" s="28"/>
      <c r="BK800" s="28"/>
      <c r="BL800" s="28"/>
      <c r="BM800" s="28"/>
      <c r="BN800" s="28"/>
      <c r="BO800" s="28"/>
      <c r="BP800" s="28"/>
      <c r="BQ800" s="28"/>
      <c r="BR800" s="29"/>
      <c r="BS800" s="29"/>
      <c r="BT800" s="29"/>
      <c r="BU800" s="29"/>
      <c r="BV800" s="29"/>
      <c r="BW800" s="29"/>
      <c r="BX800" s="28"/>
      <c r="BY800" s="28"/>
      <c r="BZ800" s="28"/>
    </row>
    <row r="801" s="27" customFormat="1" spans="1:78">
      <c r="A801" s="28"/>
      <c r="B801" s="28"/>
      <c r="C801" s="29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30"/>
      <c r="AQ801" s="30"/>
      <c r="AR801" s="30"/>
      <c r="AS801" s="30"/>
      <c r="AT801" s="28"/>
      <c r="AU801" s="29"/>
      <c r="AV801" s="30"/>
      <c r="AW801" s="30"/>
      <c r="AX801" s="28"/>
      <c r="AY801" s="28"/>
      <c r="AZ801" s="28"/>
      <c r="BA801" s="28"/>
      <c r="BB801" s="28"/>
      <c r="BC801" s="28"/>
      <c r="BD801" s="28"/>
      <c r="BE801" s="28"/>
      <c r="BF801" s="28"/>
      <c r="BG801" s="30"/>
      <c r="BH801" s="28"/>
      <c r="BI801" s="28"/>
      <c r="BJ801" s="28"/>
      <c r="BK801" s="28"/>
      <c r="BL801" s="28"/>
      <c r="BM801" s="28"/>
      <c r="BN801" s="28"/>
      <c r="BO801" s="28"/>
      <c r="BP801" s="28"/>
      <c r="BQ801" s="28"/>
      <c r="BR801" s="29"/>
      <c r="BS801" s="29"/>
      <c r="BT801" s="29"/>
      <c r="BU801" s="29"/>
      <c r="BV801" s="29"/>
      <c r="BW801" s="29"/>
      <c r="BX801" s="28"/>
      <c r="BY801" s="28"/>
      <c r="BZ801" s="28"/>
    </row>
    <row r="802" s="27" customFormat="1" spans="1:78">
      <c r="A802" s="28"/>
      <c r="B802" s="28"/>
      <c r="C802" s="29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30"/>
      <c r="AQ802" s="30"/>
      <c r="AR802" s="30"/>
      <c r="AS802" s="30"/>
      <c r="AT802" s="28"/>
      <c r="AU802" s="28"/>
      <c r="AV802" s="28"/>
      <c r="AW802" s="30"/>
      <c r="AX802" s="28"/>
      <c r="AY802" s="28"/>
      <c r="AZ802" s="28"/>
      <c r="BA802" s="28"/>
      <c r="BB802" s="28"/>
      <c r="BC802" s="28"/>
      <c r="BD802" s="28"/>
      <c r="BE802" s="28"/>
      <c r="BF802" s="28"/>
      <c r="BG802" s="30"/>
      <c r="BH802" s="28"/>
      <c r="BI802" s="28"/>
      <c r="BJ802" s="28"/>
      <c r="BK802" s="28"/>
      <c r="BL802" s="28"/>
      <c r="BM802" s="28"/>
      <c r="BN802" s="28"/>
      <c r="BO802" s="28"/>
      <c r="BP802" s="28"/>
      <c r="BQ802" s="28"/>
      <c r="BR802" s="29"/>
      <c r="BS802" s="29"/>
      <c r="BT802" s="29"/>
      <c r="BU802" s="29"/>
      <c r="BV802" s="29"/>
      <c r="BW802" s="29"/>
      <c r="BX802" s="28"/>
      <c r="BY802" s="28"/>
      <c r="BZ802" s="28"/>
    </row>
    <row r="803" s="27" customFormat="1" spans="1:78">
      <c r="A803" s="28"/>
      <c r="B803" s="28"/>
      <c r="C803" s="29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30"/>
      <c r="AQ803" s="30"/>
      <c r="AR803" s="30"/>
      <c r="AS803" s="30"/>
      <c r="AT803" s="28"/>
      <c r="AU803" s="28"/>
      <c r="AV803" s="28"/>
      <c r="AW803" s="30"/>
      <c r="AX803" s="28"/>
      <c r="AY803" s="28"/>
      <c r="AZ803" s="28"/>
      <c r="BA803" s="28"/>
      <c r="BB803" s="28"/>
      <c r="BC803" s="28"/>
      <c r="BD803" s="28"/>
      <c r="BE803" s="28"/>
      <c r="BF803" s="28"/>
      <c r="BG803" s="30"/>
      <c r="BH803" s="28"/>
      <c r="BI803" s="28"/>
      <c r="BJ803" s="28"/>
      <c r="BK803" s="28"/>
      <c r="BL803" s="28"/>
      <c r="BM803" s="28"/>
      <c r="BN803" s="28"/>
      <c r="BO803" s="28"/>
      <c r="BP803" s="28"/>
      <c r="BQ803" s="28"/>
      <c r="BR803" s="29"/>
      <c r="BS803" s="29"/>
      <c r="BT803" s="29"/>
      <c r="BU803" s="29"/>
      <c r="BV803" s="29"/>
      <c r="BW803" s="28"/>
      <c r="BX803" s="28"/>
      <c r="BY803" s="28"/>
      <c r="BZ803" s="28"/>
    </row>
    <row r="804" s="27" customFormat="1" spans="1:78">
      <c r="A804" s="28"/>
      <c r="B804" s="28"/>
      <c r="C804" s="29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30"/>
      <c r="AQ804" s="30"/>
      <c r="AR804" s="30"/>
      <c r="AS804" s="30"/>
      <c r="AT804" s="28"/>
      <c r="AU804" s="28"/>
      <c r="AV804" s="28"/>
      <c r="AW804" s="30"/>
      <c r="AX804" s="28"/>
      <c r="AY804" s="28"/>
      <c r="AZ804" s="28"/>
      <c r="BA804" s="28"/>
      <c r="BB804" s="28"/>
      <c r="BC804" s="28"/>
      <c r="BD804" s="28"/>
      <c r="BE804" s="28"/>
      <c r="BF804" s="28"/>
      <c r="BG804" s="30"/>
      <c r="BH804" s="28"/>
      <c r="BI804" s="28"/>
      <c r="BJ804" s="28"/>
      <c r="BK804" s="28"/>
      <c r="BL804" s="28"/>
      <c r="BM804" s="28"/>
      <c r="BN804" s="28"/>
      <c r="BO804" s="28"/>
      <c r="BP804" s="28"/>
      <c r="BQ804" s="28"/>
      <c r="BR804" s="29"/>
      <c r="BS804" s="29"/>
      <c r="BT804" s="29"/>
      <c r="BU804" s="28"/>
      <c r="BV804" s="29"/>
      <c r="BW804" s="28"/>
      <c r="BX804" s="28"/>
      <c r="BY804" s="28"/>
      <c r="BZ804" s="28"/>
    </row>
    <row r="805" s="27" customFormat="1" spans="1:78">
      <c r="A805" s="28"/>
      <c r="B805" s="28"/>
      <c r="C805" s="29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30"/>
      <c r="AQ805" s="30"/>
      <c r="AR805" s="30"/>
      <c r="AS805" s="30"/>
      <c r="AT805" s="28"/>
      <c r="AU805" s="28"/>
      <c r="AV805" s="28"/>
      <c r="AW805" s="30"/>
      <c r="AX805" s="28"/>
      <c r="AY805" s="28"/>
      <c r="AZ805" s="28"/>
      <c r="BA805" s="28"/>
      <c r="BB805" s="28"/>
      <c r="BC805" s="28"/>
      <c r="BD805" s="28"/>
      <c r="BE805" s="28"/>
      <c r="BF805" s="28"/>
      <c r="BG805" s="30"/>
      <c r="BH805" s="28"/>
      <c r="BI805" s="28"/>
      <c r="BJ805" s="28"/>
      <c r="BK805" s="28"/>
      <c r="BL805" s="28"/>
      <c r="BM805" s="28"/>
      <c r="BN805" s="28"/>
      <c r="BO805" s="28"/>
      <c r="BP805" s="28"/>
      <c r="BQ805" s="28"/>
      <c r="BR805" s="29"/>
      <c r="BS805" s="29"/>
      <c r="BT805" s="29"/>
      <c r="BU805" s="29"/>
      <c r="BV805" s="29"/>
      <c r="BW805" s="29"/>
      <c r="BX805" s="28"/>
      <c r="BY805" s="28"/>
      <c r="BZ805" s="28"/>
    </row>
    <row r="806" s="27" customFormat="1" spans="1:78">
      <c r="A806" s="28"/>
      <c r="B806" s="28"/>
      <c r="C806" s="29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30"/>
      <c r="AQ806" s="30"/>
      <c r="AR806" s="30"/>
      <c r="AS806" s="30"/>
      <c r="AT806" s="28"/>
      <c r="AU806" s="28"/>
      <c r="AV806" s="28"/>
      <c r="AW806" s="30"/>
      <c r="AX806" s="28"/>
      <c r="AY806" s="28"/>
      <c r="AZ806" s="28"/>
      <c r="BA806" s="28"/>
      <c r="BB806" s="28"/>
      <c r="BC806" s="28"/>
      <c r="BD806" s="28"/>
      <c r="BE806" s="28"/>
      <c r="BF806" s="28"/>
      <c r="BG806" s="30"/>
      <c r="BH806" s="28"/>
      <c r="BI806" s="28"/>
      <c r="BJ806" s="28"/>
      <c r="BK806" s="28"/>
      <c r="BL806" s="28"/>
      <c r="BM806" s="28"/>
      <c r="BN806" s="28"/>
      <c r="BO806" s="28"/>
      <c r="BP806" s="28"/>
      <c r="BQ806" s="28"/>
      <c r="BR806" s="29"/>
      <c r="BS806" s="29"/>
      <c r="BT806" s="29"/>
      <c r="BU806" s="29"/>
      <c r="BV806" s="29"/>
      <c r="BW806" s="29"/>
      <c r="BX806" s="28"/>
      <c r="BY806" s="28"/>
      <c r="BZ806" s="28"/>
    </row>
    <row r="807" s="27" customFormat="1" spans="1:78">
      <c r="A807" s="28"/>
      <c r="B807" s="28"/>
      <c r="C807" s="29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30"/>
      <c r="AQ807" s="30"/>
      <c r="AR807" s="30"/>
      <c r="AS807" s="30"/>
      <c r="AT807" s="28"/>
      <c r="AU807" s="28"/>
      <c r="AV807" s="28"/>
      <c r="AW807" s="30"/>
      <c r="AX807" s="28"/>
      <c r="AY807" s="28"/>
      <c r="AZ807" s="28"/>
      <c r="BA807" s="28"/>
      <c r="BB807" s="28"/>
      <c r="BC807" s="28"/>
      <c r="BD807" s="28"/>
      <c r="BE807" s="28"/>
      <c r="BF807" s="28"/>
      <c r="BG807" s="30"/>
      <c r="BH807" s="28"/>
      <c r="BI807" s="28"/>
      <c r="BJ807" s="28"/>
      <c r="BK807" s="28"/>
      <c r="BL807" s="28"/>
      <c r="BM807" s="28"/>
      <c r="BN807" s="28"/>
      <c r="BO807" s="28"/>
      <c r="BP807" s="28"/>
      <c r="BQ807" s="28"/>
      <c r="BR807" s="29"/>
      <c r="BS807" s="28"/>
      <c r="BT807" s="28"/>
      <c r="BU807" s="28"/>
      <c r="BV807" s="29"/>
      <c r="BW807" s="28"/>
      <c r="BX807" s="28"/>
      <c r="BY807" s="28"/>
      <c r="BZ807" s="28"/>
    </row>
    <row r="808" s="27" customFormat="1" spans="1:78">
      <c r="A808" s="28"/>
      <c r="B808" s="28"/>
      <c r="C808" s="29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30"/>
      <c r="AQ808" s="30"/>
      <c r="AR808" s="30"/>
      <c r="AS808" s="30"/>
      <c r="AT808" s="28"/>
      <c r="AU808" s="28"/>
      <c r="AV808" s="28"/>
      <c r="AW808" s="30"/>
      <c r="AX808" s="28"/>
      <c r="AY808" s="28"/>
      <c r="AZ808" s="28"/>
      <c r="BA808" s="28"/>
      <c r="BB808" s="28"/>
      <c r="BC808" s="28"/>
      <c r="BD808" s="28"/>
      <c r="BE808" s="28"/>
      <c r="BF808" s="28"/>
      <c r="BG808" s="30"/>
      <c r="BH808" s="28"/>
      <c r="BI808" s="28"/>
      <c r="BJ808" s="28"/>
      <c r="BK808" s="28"/>
      <c r="BL808" s="28"/>
      <c r="BM808" s="28"/>
      <c r="BN808" s="28"/>
      <c r="BO808" s="28"/>
      <c r="BP808" s="28"/>
      <c r="BQ808" s="28"/>
      <c r="BR808" s="29"/>
      <c r="BS808" s="29"/>
      <c r="BT808" s="29"/>
      <c r="BU808" s="29"/>
      <c r="BV808" s="29"/>
      <c r="BW808" s="29"/>
      <c r="BX808" s="28"/>
      <c r="BY808" s="28"/>
      <c r="BZ808" s="28"/>
    </row>
    <row r="809" s="27" customFormat="1" spans="1:78">
      <c r="A809" s="28"/>
      <c r="B809" s="28"/>
      <c r="C809" s="29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30"/>
      <c r="AQ809" s="30"/>
      <c r="AR809" s="30"/>
      <c r="AS809" s="30"/>
      <c r="AT809" s="28"/>
      <c r="AU809" s="28"/>
      <c r="AV809" s="28"/>
      <c r="AW809" s="30"/>
      <c r="AX809" s="28"/>
      <c r="AY809" s="28"/>
      <c r="AZ809" s="28"/>
      <c r="BA809" s="28"/>
      <c r="BB809" s="28"/>
      <c r="BC809" s="28"/>
      <c r="BD809" s="28"/>
      <c r="BE809" s="28"/>
      <c r="BF809" s="28"/>
      <c r="BG809" s="30"/>
      <c r="BH809" s="28"/>
      <c r="BI809" s="28"/>
      <c r="BJ809" s="28"/>
      <c r="BK809" s="28"/>
      <c r="BL809" s="28"/>
      <c r="BM809" s="28"/>
      <c r="BN809" s="28"/>
      <c r="BO809" s="28"/>
      <c r="BP809" s="28"/>
      <c r="BQ809" s="28"/>
      <c r="BR809" s="29"/>
      <c r="BS809" s="29"/>
      <c r="BT809" s="29"/>
      <c r="BU809" s="28"/>
      <c r="BV809" s="29"/>
      <c r="BW809" s="28"/>
      <c r="BX809" s="28"/>
      <c r="BY809" s="28"/>
      <c r="BZ809" s="28"/>
    </row>
    <row r="810" s="27" customFormat="1" spans="1:78">
      <c r="A810" s="28"/>
      <c r="B810" s="28"/>
      <c r="C810" s="29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30"/>
      <c r="AQ810" s="30"/>
      <c r="AR810" s="30"/>
      <c r="AS810" s="30"/>
      <c r="AT810" s="28"/>
      <c r="AU810" s="28"/>
      <c r="AV810" s="28"/>
      <c r="AW810" s="30"/>
      <c r="AX810" s="28"/>
      <c r="AY810" s="28"/>
      <c r="AZ810" s="28"/>
      <c r="BA810" s="28"/>
      <c r="BB810" s="28"/>
      <c r="BC810" s="28"/>
      <c r="BD810" s="28"/>
      <c r="BE810" s="28"/>
      <c r="BF810" s="28"/>
      <c r="BG810" s="30"/>
      <c r="BH810" s="28"/>
      <c r="BI810" s="28"/>
      <c r="BJ810" s="28"/>
      <c r="BK810" s="28"/>
      <c r="BL810" s="28"/>
      <c r="BM810" s="28"/>
      <c r="BN810" s="28"/>
      <c r="BO810" s="28"/>
      <c r="BP810" s="28"/>
      <c r="BQ810" s="28"/>
      <c r="BR810" s="29"/>
      <c r="BS810" s="29"/>
      <c r="BT810" s="29"/>
      <c r="BU810" s="29"/>
      <c r="BV810" s="29"/>
      <c r="BW810" s="29"/>
      <c r="BX810" s="28"/>
      <c r="BY810" s="28"/>
      <c r="BZ810" s="28"/>
    </row>
    <row r="811" s="27" customFormat="1" spans="1:78">
      <c r="A811" s="28"/>
      <c r="B811" s="28"/>
      <c r="C811" s="29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30"/>
      <c r="AQ811" s="30"/>
      <c r="AR811" s="30"/>
      <c r="AS811" s="30"/>
      <c r="AT811" s="28"/>
      <c r="AU811" s="29"/>
      <c r="AV811" s="30"/>
      <c r="AW811" s="30"/>
      <c r="AX811" s="28"/>
      <c r="AY811" s="28"/>
      <c r="AZ811" s="28"/>
      <c r="BA811" s="28"/>
      <c r="BB811" s="28"/>
      <c r="BC811" s="28"/>
      <c r="BD811" s="28"/>
      <c r="BE811" s="28"/>
      <c r="BF811" s="28"/>
      <c r="BG811" s="30"/>
      <c r="BH811" s="28"/>
      <c r="BI811" s="28"/>
      <c r="BJ811" s="28"/>
      <c r="BK811" s="28"/>
      <c r="BL811" s="28"/>
      <c r="BM811" s="28"/>
      <c r="BN811" s="28"/>
      <c r="BO811" s="28"/>
      <c r="BP811" s="28"/>
      <c r="BQ811" s="28"/>
      <c r="BR811" s="29"/>
      <c r="BS811" s="29"/>
      <c r="BT811" s="29"/>
      <c r="BU811" s="29"/>
      <c r="BV811" s="29"/>
      <c r="BW811" s="29"/>
      <c r="BX811" s="28"/>
      <c r="BY811" s="28"/>
      <c r="BZ811" s="28"/>
    </row>
    <row r="812" s="27" customFormat="1" spans="1:78">
      <c r="A812" s="28"/>
      <c r="B812" s="28"/>
      <c r="C812" s="29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30"/>
      <c r="AQ812" s="30"/>
      <c r="AR812" s="30"/>
      <c r="AS812" s="30"/>
      <c r="AT812" s="28"/>
      <c r="AU812" s="28"/>
      <c r="AV812" s="28"/>
      <c r="AW812" s="30"/>
      <c r="AX812" s="28"/>
      <c r="AY812" s="28"/>
      <c r="AZ812" s="28"/>
      <c r="BA812" s="28"/>
      <c r="BB812" s="28"/>
      <c r="BC812" s="28"/>
      <c r="BD812" s="28"/>
      <c r="BE812" s="28"/>
      <c r="BF812" s="28"/>
      <c r="BG812" s="30"/>
      <c r="BH812" s="28"/>
      <c r="BI812" s="28"/>
      <c r="BJ812" s="28"/>
      <c r="BK812" s="28"/>
      <c r="BL812" s="28"/>
      <c r="BM812" s="28"/>
      <c r="BN812" s="28"/>
      <c r="BO812" s="28"/>
      <c r="BP812" s="28"/>
      <c r="BQ812" s="28"/>
      <c r="BR812" s="29"/>
      <c r="BS812" s="29"/>
      <c r="BT812" s="28"/>
      <c r="BU812" s="28"/>
      <c r="BV812" s="29"/>
      <c r="BW812" s="28"/>
      <c r="BX812" s="28"/>
      <c r="BY812" s="28"/>
      <c r="BZ812" s="28"/>
    </row>
    <row r="813" s="27" customFormat="1" spans="1:78">
      <c r="A813" s="28"/>
      <c r="B813" s="28"/>
      <c r="C813" s="29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30"/>
      <c r="AQ813" s="30"/>
      <c r="AR813" s="30"/>
      <c r="AS813" s="30"/>
      <c r="AT813" s="28"/>
      <c r="AU813" s="29"/>
      <c r="AV813" s="30"/>
      <c r="AW813" s="30"/>
      <c r="AX813" s="28"/>
      <c r="AY813" s="28"/>
      <c r="AZ813" s="28"/>
      <c r="BA813" s="28"/>
      <c r="BB813" s="28"/>
      <c r="BC813" s="28"/>
      <c r="BD813" s="28"/>
      <c r="BE813" s="28"/>
      <c r="BF813" s="28"/>
      <c r="BG813" s="30"/>
      <c r="BH813" s="28"/>
      <c r="BI813" s="28"/>
      <c r="BJ813" s="28"/>
      <c r="BK813" s="28"/>
      <c r="BL813" s="28"/>
      <c r="BM813" s="28"/>
      <c r="BN813" s="28"/>
      <c r="BO813" s="28"/>
      <c r="BP813" s="28"/>
      <c r="BQ813" s="28"/>
      <c r="BR813" s="29"/>
      <c r="BS813" s="29"/>
      <c r="BT813" s="29"/>
      <c r="BU813" s="29"/>
      <c r="BV813" s="29"/>
      <c r="BW813" s="29"/>
      <c r="BX813" s="28"/>
      <c r="BY813" s="28"/>
      <c r="BZ813" s="28"/>
    </row>
    <row r="814" s="27" customFormat="1" spans="1:78">
      <c r="A814" s="28"/>
      <c r="B814" s="28"/>
      <c r="C814" s="29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30"/>
      <c r="AQ814" s="30"/>
      <c r="AR814" s="30"/>
      <c r="AS814" s="30"/>
      <c r="AT814" s="28"/>
      <c r="AU814" s="28"/>
      <c r="AV814" s="28"/>
      <c r="AW814" s="30"/>
      <c r="AX814" s="28"/>
      <c r="AY814" s="28"/>
      <c r="AZ814" s="28"/>
      <c r="BA814" s="28"/>
      <c r="BB814" s="28"/>
      <c r="BC814" s="28"/>
      <c r="BD814" s="28"/>
      <c r="BE814" s="28"/>
      <c r="BF814" s="28"/>
      <c r="BG814" s="30"/>
      <c r="BH814" s="28"/>
      <c r="BI814" s="28"/>
      <c r="BJ814" s="28"/>
      <c r="BK814" s="28"/>
      <c r="BL814" s="28"/>
      <c r="BM814" s="28"/>
      <c r="BN814" s="28"/>
      <c r="BO814" s="28"/>
      <c r="BP814" s="28"/>
      <c r="BQ814" s="28"/>
      <c r="BR814" s="29"/>
      <c r="BS814" s="29"/>
      <c r="BT814" s="29"/>
      <c r="BU814" s="29"/>
      <c r="BV814" s="29"/>
      <c r="BW814" s="28"/>
      <c r="BX814" s="28"/>
      <c r="BY814" s="28"/>
      <c r="BZ814" s="28"/>
    </row>
    <row r="815" s="27" customFormat="1" spans="1:78">
      <c r="A815" s="28"/>
      <c r="B815" s="28"/>
      <c r="C815" s="29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30"/>
      <c r="AQ815" s="30"/>
      <c r="AR815" s="30"/>
      <c r="AS815" s="30"/>
      <c r="AT815" s="28"/>
      <c r="AU815" s="28"/>
      <c r="AV815" s="28"/>
      <c r="AW815" s="30"/>
      <c r="AX815" s="28"/>
      <c r="AY815" s="28"/>
      <c r="AZ815" s="28"/>
      <c r="BA815" s="28"/>
      <c r="BB815" s="28"/>
      <c r="BC815" s="28"/>
      <c r="BD815" s="28"/>
      <c r="BE815" s="28"/>
      <c r="BF815" s="28"/>
      <c r="BG815" s="30"/>
      <c r="BH815" s="28"/>
      <c r="BI815" s="28"/>
      <c r="BJ815" s="28"/>
      <c r="BK815" s="28"/>
      <c r="BL815" s="28"/>
      <c r="BM815" s="28"/>
      <c r="BN815" s="28"/>
      <c r="BO815" s="28"/>
      <c r="BP815" s="28"/>
      <c r="BQ815" s="28"/>
      <c r="BR815" s="29"/>
      <c r="BS815" s="29"/>
      <c r="BT815" s="29"/>
      <c r="BU815" s="29"/>
      <c r="BV815" s="29"/>
      <c r="BW815" s="29"/>
      <c r="BX815" s="28"/>
      <c r="BY815" s="28"/>
      <c r="BZ815" s="28"/>
    </row>
    <row r="816" s="27" customFormat="1" spans="1:78">
      <c r="A816" s="28"/>
      <c r="B816" s="28"/>
      <c r="C816" s="29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30"/>
      <c r="AQ816" s="30"/>
      <c r="AR816" s="30"/>
      <c r="AS816" s="30"/>
      <c r="AT816" s="28"/>
      <c r="AU816" s="28"/>
      <c r="AV816" s="28"/>
      <c r="AW816" s="30"/>
      <c r="AX816" s="28"/>
      <c r="AY816" s="28"/>
      <c r="AZ816" s="28"/>
      <c r="BA816" s="28"/>
      <c r="BB816" s="28"/>
      <c r="BC816" s="28"/>
      <c r="BD816" s="28"/>
      <c r="BE816" s="28"/>
      <c r="BF816" s="28"/>
      <c r="BG816" s="30"/>
      <c r="BH816" s="28"/>
      <c r="BI816" s="28"/>
      <c r="BJ816" s="28"/>
      <c r="BK816" s="28"/>
      <c r="BL816" s="28"/>
      <c r="BM816" s="28"/>
      <c r="BN816" s="28"/>
      <c r="BO816" s="28"/>
      <c r="BP816" s="28"/>
      <c r="BQ816" s="28"/>
      <c r="BR816" s="29"/>
      <c r="BS816" s="29"/>
      <c r="BT816" s="29"/>
      <c r="BU816" s="29"/>
      <c r="BV816" s="29"/>
      <c r="BW816" s="29"/>
      <c r="BX816" s="28"/>
      <c r="BY816" s="28"/>
      <c r="BZ816" s="28"/>
    </row>
    <row r="817" s="27" customFormat="1" spans="1:78">
      <c r="A817" s="28"/>
      <c r="B817" s="28"/>
      <c r="C817" s="29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30"/>
      <c r="AQ817" s="30"/>
      <c r="AR817" s="30"/>
      <c r="AS817" s="30"/>
      <c r="AT817" s="28"/>
      <c r="AU817" s="28"/>
      <c r="AV817" s="28"/>
      <c r="AW817" s="30"/>
      <c r="AX817" s="28"/>
      <c r="AY817" s="28"/>
      <c r="AZ817" s="28"/>
      <c r="BA817" s="28"/>
      <c r="BB817" s="28"/>
      <c r="BC817" s="28"/>
      <c r="BD817" s="28"/>
      <c r="BE817" s="28"/>
      <c r="BF817" s="28"/>
      <c r="BG817" s="30"/>
      <c r="BH817" s="28"/>
      <c r="BI817" s="28"/>
      <c r="BJ817" s="28"/>
      <c r="BK817" s="28"/>
      <c r="BL817" s="28"/>
      <c r="BM817" s="28"/>
      <c r="BN817" s="28"/>
      <c r="BO817" s="28"/>
      <c r="BP817" s="28"/>
      <c r="BQ817" s="28"/>
      <c r="BR817" s="29"/>
      <c r="BS817" s="29"/>
      <c r="BT817" s="29"/>
      <c r="BU817" s="29"/>
      <c r="BV817" s="29"/>
      <c r="BW817" s="28"/>
      <c r="BX817" s="28"/>
      <c r="BY817" s="28"/>
      <c r="BZ817" s="28"/>
    </row>
    <row r="818" s="27" customFormat="1" spans="1:78">
      <c r="A818" s="28"/>
      <c r="B818" s="28"/>
      <c r="C818" s="29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30"/>
      <c r="AQ818" s="30"/>
      <c r="AR818" s="30"/>
      <c r="AS818" s="30"/>
      <c r="AT818" s="28"/>
      <c r="AU818" s="28"/>
      <c r="AV818" s="28"/>
      <c r="AW818" s="30"/>
      <c r="AX818" s="28"/>
      <c r="AY818" s="28"/>
      <c r="AZ818" s="28"/>
      <c r="BA818" s="28"/>
      <c r="BB818" s="28"/>
      <c r="BC818" s="28"/>
      <c r="BD818" s="28"/>
      <c r="BE818" s="28"/>
      <c r="BF818" s="28"/>
      <c r="BG818" s="30"/>
      <c r="BH818" s="28"/>
      <c r="BI818" s="28"/>
      <c r="BJ818" s="28"/>
      <c r="BK818" s="28"/>
      <c r="BL818" s="28"/>
      <c r="BM818" s="28"/>
      <c r="BN818" s="28"/>
      <c r="BO818" s="28"/>
      <c r="BP818" s="28"/>
      <c r="BQ818" s="28"/>
      <c r="BR818" s="29"/>
      <c r="BS818" s="29"/>
      <c r="BT818" s="29"/>
      <c r="BU818" s="29"/>
      <c r="BV818" s="29"/>
      <c r="BW818" s="28"/>
      <c r="BX818" s="28"/>
      <c r="BY818" s="28"/>
      <c r="BZ818" s="28"/>
    </row>
    <row r="819" s="27" customFormat="1" spans="1:78">
      <c r="A819" s="28"/>
      <c r="B819" s="28"/>
      <c r="C819" s="29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30"/>
      <c r="AQ819" s="30"/>
      <c r="AR819" s="30"/>
      <c r="AS819" s="30"/>
      <c r="AT819" s="28"/>
      <c r="AU819" s="28"/>
      <c r="AV819" s="28"/>
      <c r="AW819" s="30"/>
      <c r="AX819" s="28"/>
      <c r="AY819" s="28"/>
      <c r="AZ819" s="28"/>
      <c r="BA819" s="28"/>
      <c r="BB819" s="28"/>
      <c r="BC819" s="28"/>
      <c r="BD819" s="28"/>
      <c r="BE819" s="28"/>
      <c r="BF819" s="28"/>
      <c r="BG819" s="30"/>
      <c r="BH819" s="28"/>
      <c r="BI819" s="28"/>
      <c r="BJ819" s="28"/>
      <c r="BK819" s="28"/>
      <c r="BL819" s="28"/>
      <c r="BM819" s="28"/>
      <c r="BN819" s="28"/>
      <c r="BO819" s="28"/>
      <c r="BP819" s="28"/>
      <c r="BQ819" s="28"/>
      <c r="BR819" s="29"/>
      <c r="BS819" s="29"/>
      <c r="BT819" s="28"/>
      <c r="BU819" s="28"/>
      <c r="BV819" s="29"/>
      <c r="BW819" s="28"/>
      <c r="BX819" s="28"/>
      <c r="BY819" s="28"/>
      <c r="BZ819" s="28"/>
    </row>
    <row r="820" s="27" customFormat="1" spans="1:78">
      <c r="A820" s="28"/>
      <c r="B820" s="28"/>
      <c r="C820" s="29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30"/>
      <c r="AQ820" s="30"/>
      <c r="AR820" s="30"/>
      <c r="AS820" s="30"/>
      <c r="AT820" s="28"/>
      <c r="AU820" s="28"/>
      <c r="AV820" s="28"/>
      <c r="AW820" s="30"/>
      <c r="AX820" s="28"/>
      <c r="AY820" s="28"/>
      <c r="AZ820" s="28"/>
      <c r="BA820" s="28"/>
      <c r="BB820" s="28"/>
      <c r="BC820" s="28"/>
      <c r="BD820" s="28"/>
      <c r="BE820" s="28"/>
      <c r="BF820" s="28"/>
      <c r="BG820" s="30"/>
      <c r="BH820" s="28"/>
      <c r="BI820" s="28"/>
      <c r="BJ820" s="28"/>
      <c r="BK820" s="28"/>
      <c r="BL820" s="28"/>
      <c r="BM820" s="28"/>
      <c r="BN820" s="28"/>
      <c r="BO820" s="28"/>
      <c r="BP820" s="28"/>
      <c r="BQ820" s="28"/>
      <c r="BR820" s="29"/>
      <c r="BS820" s="29"/>
      <c r="BT820" s="29"/>
      <c r="BU820" s="29"/>
      <c r="BV820" s="29"/>
      <c r="BW820" s="29"/>
      <c r="BX820" s="28"/>
      <c r="BY820" s="28"/>
      <c r="BZ820" s="28"/>
    </row>
    <row r="821" s="27" customFormat="1" spans="1:78">
      <c r="A821" s="28"/>
      <c r="B821" s="28"/>
      <c r="C821" s="29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30"/>
      <c r="AQ821" s="30"/>
      <c r="AR821" s="30"/>
      <c r="AS821" s="30"/>
      <c r="AT821" s="28"/>
      <c r="AU821" s="29"/>
      <c r="AV821" s="30"/>
      <c r="AW821" s="30"/>
      <c r="AX821" s="28"/>
      <c r="AY821" s="28"/>
      <c r="AZ821" s="28"/>
      <c r="BA821" s="28"/>
      <c r="BB821" s="28"/>
      <c r="BC821" s="28"/>
      <c r="BD821" s="28"/>
      <c r="BE821" s="28"/>
      <c r="BF821" s="28"/>
      <c r="BG821" s="30"/>
      <c r="BH821" s="28"/>
      <c r="BI821" s="28"/>
      <c r="BJ821" s="28"/>
      <c r="BK821" s="28"/>
      <c r="BL821" s="28"/>
      <c r="BM821" s="28"/>
      <c r="BN821" s="28"/>
      <c r="BO821" s="28"/>
      <c r="BP821" s="28"/>
      <c r="BQ821" s="28"/>
      <c r="BR821" s="29"/>
      <c r="BS821" s="29"/>
      <c r="BT821" s="29"/>
      <c r="BU821" s="29"/>
      <c r="BV821" s="29"/>
      <c r="BW821" s="29"/>
      <c r="BX821" s="28"/>
      <c r="BY821" s="28"/>
      <c r="BZ821" s="28"/>
    </row>
    <row r="822" s="27" customFormat="1" spans="1:78">
      <c r="A822" s="28"/>
      <c r="B822" s="28"/>
      <c r="C822" s="29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30"/>
      <c r="AQ822" s="30"/>
      <c r="AR822" s="30"/>
      <c r="AS822" s="30"/>
      <c r="AT822" s="28"/>
      <c r="AU822" s="28"/>
      <c r="AV822" s="28"/>
      <c r="AW822" s="30"/>
      <c r="AX822" s="28"/>
      <c r="AY822" s="28"/>
      <c r="AZ822" s="28"/>
      <c r="BA822" s="28"/>
      <c r="BB822" s="28"/>
      <c r="BC822" s="28"/>
      <c r="BD822" s="28"/>
      <c r="BE822" s="28"/>
      <c r="BF822" s="28"/>
      <c r="BG822" s="30"/>
      <c r="BH822" s="28"/>
      <c r="BI822" s="28"/>
      <c r="BJ822" s="28"/>
      <c r="BK822" s="28"/>
      <c r="BL822" s="28"/>
      <c r="BM822" s="28"/>
      <c r="BN822" s="28"/>
      <c r="BO822" s="28"/>
      <c r="BP822" s="28"/>
      <c r="BQ822" s="28"/>
      <c r="BR822" s="29"/>
      <c r="BS822" s="29"/>
      <c r="BT822" s="29"/>
      <c r="BU822" s="29"/>
      <c r="BV822" s="29"/>
      <c r="BW822" s="29"/>
      <c r="BX822" s="28"/>
      <c r="BY822" s="28"/>
      <c r="BZ822" s="28"/>
    </row>
    <row r="823" s="27" customFormat="1" spans="1:78">
      <c r="A823" s="28"/>
      <c r="B823" s="28"/>
      <c r="C823" s="29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30"/>
      <c r="AQ823" s="30"/>
      <c r="AR823" s="30"/>
      <c r="AS823" s="30"/>
      <c r="AT823" s="28"/>
      <c r="AU823" s="28"/>
      <c r="AV823" s="28"/>
      <c r="AW823" s="30"/>
      <c r="AX823" s="28"/>
      <c r="AY823" s="28"/>
      <c r="AZ823" s="28"/>
      <c r="BA823" s="28"/>
      <c r="BB823" s="28"/>
      <c r="BC823" s="28"/>
      <c r="BD823" s="28"/>
      <c r="BE823" s="28"/>
      <c r="BF823" s="28"/>
      <c r="BG823" s="30"/>
      <c r="BH823" s="28"/>
      <c r="BI823" s="28"/>
      <c r="BJ823" s="28"/>
      <c r="BK823" s="28"/>
      <c r="BL823" s="28"/>
      <c r="BM823" s="28"/>
      <c r="BN823" s="28"/>
      <c r="BO823" s="28"/>
      <c r="BP823" s="28"/>
      <c r="BQ823" s="28"/>
      <c r="BR823" s="29"/>
      <c r="BS823" s="29"/>
      <c r="BT823" s="29"/>
      <c r="BU823" s="29"/>
      <c r="BV823" s="29"/>
      <c r="BW823" s="29"/>
      <c r="BX823" s="28"/>
      <c r="BY823" s="28"/>
      <c r="BZ823" s="28"/>
    </row>
    <row r="824" s="27" customFormat="1" spans="1:78">
      <c r="A824" s="28"/>
      <c r="B824" s="28"/>
      <c r="C824" s="29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30"/>
      <c r="AQ824" s="30"/>
      <c r="AR824" s="30"/>
      <c r="AS824" s="30"/>
      <c r="AT824" s="28"/>
      <c r="AU824" s="28"/>
      <c r="AV824" s="28"/>
      <c r="AW824" s="30"/>
      <c r="AX824" s="28"/>
      <c r="AY824" s="28"/>
      <c r="AZ824" s="28"/>
      <c r="BA824" s="28"/>
      <c r="BB824" s="28"/>
      <c r="BC824" s="28"/>
      <c r="BD824" s="28"/>
      <c r="BE824" s="28"/>
      <c r="BF824" s="28"/>
      <c r="BG824" s="30"/>
      <c r="BH824" s="28"/>
      <c r="BI824" s="28"/>
      <c r="BJ824" s="28"/>
      <c r="BK824" s="28"/>
      <c r="BL824" s="28"/>
      <c r="BM824" s="28"/>
      <c r="BN824" s="28"/>
      <c r="BO824" s="28"/>
      <c r="BP824" s="28"/>
      <c r="BQ824" s="28"/>
      <c r="BR824" s="29"/>
      <c r="BS824" s="29"/>
      <c r="BT824" s="29"/>
      <c r="BU824" s="28"/>
      <c r="BV824" s="29"/>
      <c r="BW824" s="28"/>
      <c r="BX824" s="28"/>
      <c r="BY824" s="28"/>
      <c r="BZ824" s="28"/>
    </row>
    <row r="825" s="27" customFormat="1" spans="1:78">
      <c r="A825" s="28"/>
      <c r="B825" s="28"/>
      <c r="C825" s="29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30"/>
      <c r="AQ825" s="30"/>
      <c r="AR825" s="30"/>
      <c r="AS825" s="30"/>
      <c r="AT825" s="28"/>
      <c r="AU825" s="28"/>
      <c r="AV825" s="28"/>
      <c r="AW825" s="30"/>
      <c r="AX825" s="28"/>
      <c r="AY825" s="28"/>
      <c r="AZ825" s="28"/>
      <c r="BA825" s="28"/>
      <c r="BB825" s="28"/>
      <c r="BC825" s="28"/>
      <c r="BD825" s="28"/>
      <c r="BE825" s="28"/>
      <c r="BF825" s="28"/>
      <c r="BG825" s="30"/>
      <c r="BH825" s="28"/>
      <c r="BI825" s="28"/>
      <c r="BJ825" s="28"/>
      <c r="BK825" s="28"/>
      <c r="BL825" s="28"/>
      <c r="BM825" s="28"/>
      <c r="BN825" s="28"/>
      <c r="BO825" s="28"/>
      <c r="BP825" s="28"/>
      <c r="BQ825" s="28"/>
      <c r="BR825" s="29"/>
      <c r="BS825" s="29"/>
      <c r="BT825" s="29"/>
      <c r="BU825" s="29"/>
      <c r="BV825" s="29"/>
      <c r="BW825" s="29"/>
      <c r="BX825" s="28"/>
      <c r="BY825" s="28"/>
      <c r="BZ825" s="28"/>
    </row>
    <row r="826" s="27" customFormat="1" spans="1:78">
      <c r="A826" s="28"/>
      <c r="B826" s="28"/>
      <c r="C826" s="29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30"/>
      <c r="AQ826" s="30"/>
      <c r="AR826" s="30"/>
      <c r="AS826" s="30"/>
      <c r="AT826" s="28"/>
      <c r="AU826" s="28"/>
      <c r="AV826" s="28"/>
      <c r="AW826" s="30"/>
      <c r="AX826" s="28"/>
      <c r="AY826" s="28"/>
      <c r="AZ826" s="28"/>
      <c r="BA826" s="28"/>
      <c r="BB826" s="28"/>
      <c r="BC826" s="28"/>
      <c r="BD826" s="28"/>
      <c r="BE826" s="28"/>
      <c r="BF826" s="28"/>
      <c r="BG826" s="30"/>
      <c r="BH826" s="28"/>
      <c r="BI826" s="28"/>
      <c r="BJ826" s="28"/>
      <c r="BK826" s="28"/>
      <c r="BL826" s="28"/>
      <c r="BM826" s="28"/>
      <c r="BN826" s="28"/>
      <c r="BO826" s="28"/>
      <c r="BP826" s="28"/>
      <c r="BQ826" s="28"/>
      <c r="BR826" s="29"/>
      <c r="BS826" s="29"/>
      <c r="BT826" s="28"/>
      <c r="BU826" s="28"/>
      <c r="BV826" s="29"/>
      <c r="BW826" s="28"/>
      <c r="BX826" s="28"/>
      <c r="BY826" s="28"/>
      <c r="BZ826" s="28"/>
    </row>
    <row r="827" s="27" customFormat="1" spans="1:78">
      <c r="A827" s="28"/>
      <c r="B827" s="28"/>
      <c r="C827" s="29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30"/>
      <c r="AQ827" s="30"/>
      <c r="AR827" s="30"/>
      <c r="AS827" s="30"/>
      <c r="AT827" s="28"/>
      <c r="AU827" s="28"/>
      <c r="AV827" s="28"/>
      <c r="AW827" s="30"/>
      <c r="AX827" s="28"/>
      <c r="AY827" s="28"/>
      <c r="AZ827" s="28"/>
      <c r="BA827" s="28"/>
      <c r="BB827" s="28"/>
      <c r="BC827" s="28"/>
      <c r="BD827" s="28"/>
      <c r="BE827" s="28"/>
      <c r="BF827" s="28"/>
      <c r="BG827" s="30"/>
      <c r="BH827" s="28"/>
      <c r="BI827" s="28"/>
      <c r="BJ827" s="28"/>
      <c r="BK827" s="28"/>
      <c r="BL827" s="28"/>
      <c r="BM827" s="28"/>
      <c r="BN827" s="28"/>
      <c r="BO827" s="28"/>
      <c r="BP827" s="28"/>
      <c r="BQ827" s="28"/>
      <c r="BR827" s="29"/>
      <c r="BS827" s="29"/>
      <c r="BT827" s="29"/>
      <c r="BU827" s="29"/>
      <c r="BV827" s="29"/>
      <c r="BW827" s="29"/>
      <c r="BX827" s="28"/>
      <c r="BY827" s="28"/>
      <c r="BZ827" s="28"/>
    </row>
    <row r="828" s="27" customFormat="1" spans="1:78">
      <c r="A828" s="28"/>
      <c r="B828" s="28"/>
      <c r="C828" s="29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30"/>
      <c r="AQ828" s="30"/>
      <c r="AR828" s="30"/>
      <c r="AS828" s="30"/>
      <c r="AT828" s="28"/>
      <c r="AU828" s="28"/>
      <c r="AV828" s="28"/>
      <c r="AW828" s="30"/>
      <c r="AX828" s="28"/>
      <c r="AY828" s="28"/>
      <c r="AZ828" s="28"/>
      <c r="BA828" s="28"/>
      <c r="BB828" s="28"/>
      <c r="BC828" s="28"/>
      <c r="BD828" s="28"/>
      <c r="BE828" s="28"/>
      <c r="BF828" s="28"/>
      <c r="BG828" s="30"/>
      <c r="BH828" s="28"/>
      <c r="BI828" s="28"/>
      <c r="BJ828" s="28"/>
      <c r="BK828" s="28"/>
      <c r="BL828" s="28"/>
      <c r="BM828" s="28"/>
      <c r="BN828" s="28"/>
      <c r="BO828" s="28"/>
      <c r="BP828" s="28"/>
      <c r="BQ828" s="28"/>
      <c r="BR828" s="29"/>
      <c r="BS828" s="29"/>
      <c r="BT828" s="28"/>
      <c r="BU828" s="28"/>
      <c r="BV828" s="29"/>
      <c r="BW828" s="28"/>
      <c r="BX828" s="28"/>
      <c r="BY828" s="28"/>
      <c r="BZ828" s="28"/>
    </row>
    <row r="829" s="27" customFormat="1" spans="1:78">
      <c r="A829" s="28"/>
      <c r="B829" s="28"/>
      <c r="C829" s="29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30"/>
      <c r="AQ829" s="30"/>
      <c r="AR829" s="30"/>
      <c r="AS829" s="30"/>
      <c r="AT829" s="28"/>
      <c r="AU829" s="28"/>
      <c r="AV829" s="28"/>
      <c r="AW829" s="30"/>
      <c r="AX829" s="28"/>
      <c r="AY829" s="28"/>
      <c r="AZ829" s="28"/>
      <c r="BA829" s="28"/>
      <c r="BB829" s="28"/>
      <c r="BC829" s="28"/>
      <c r="BD829" s="28"/>
      <c r="BE829" s="28"/>
      <c r="BF829" s="28"/>
      <c r="BG829" s="30"/>
      <c r="BH829" s="28"/>
      <c r="BI829" s="28"/>
      <c r="BJ829" s="28"/>
      <c r="BK829" s="28"/>
      <c r="BL829" s="28"/>
      <c r="BM829" s="28"/>
      <c r="BN829" s="28"/>
      <c r="BO829" s="28"/>
      <c r="BP829" s="28"/>
      <c r="BQ829" s="28"/>
      <c r="BR829" s="29"/>
      <c r="BS829" s="29"/>
      <c r="BT829" s="29"/>
      <c r="BU829" s="29"/>
      <c r="BV829" s="29"/>
      <c r="BW829" s="29"/>
      <c r="BX829" s="28"/>
      <c r="BY829" s="28"/>
      <c r="BZ829" s="28"/>
    </row>
    <row r="830" s="27" customFormat="1" spans="1:78">
      <c r="A830" s="28"/>
      <c r="B830" s="28"/>
      <c r="C830" s="29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30"/>
      <c r="AQ830" s="30"/>
      <c r="AR830" s="30"/>
      <c r="AS830" s="30"/>
      <c r="AT830" s="28"/>
      <c r="AU830" s="28"/>
      <c r="AV830" s="28"/>
      <c r="AW830" s="30"/>
      <c r="AX830" s="28"/>
      <c r="AY830" s="28"/>
      <c r="AZ830" s="28"/>
      <c r="BA830" s="28"/>
      <c r="BB830" s="28"/>
      <c r="BC830" s="28"/>
      <c r="BD830" s="28"/>
      <c r="BE830" s="28"/>
      <c r="BF830" s="28"/>
      <c r="BG830" s="30"/>
      <c r="BH830" s="28"/>
      <c r="BI830" s="28"/>
      <c r="BJ830" s="28"/>
      <c r="BK830" s="28"/>
      <c r="BL830" s="28"/>
      <c r="BM830" s="28"/>
      <c r="BN830" s="28"/>
      <c r="BO830" s="28"/>
      <c r="BP830" s="28"/>
      <c r="BQ830" s="28"/>
      <c r="BR830" s="29"/>
      <c r="BS830" s="29"/>
      <c r="BT830" s="29"/>
      <c r="BU830" s="29"/>
      <c r="BV830" s="29"/>
      <c r="BW830" s="28"/>
      <c r="BX830" s="28"/>
      <c r="BY830" s="28"/>
      <c r="BZ830" s="28"/>
    </row>
    <row r="831" s="27" customFormat="1" spans="1:78">
      <c r="A831" s="28"/>
      <c r="B831" s="28"/>
      <c r="C831" s="29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30"/>
      <c r="AQ831" s="30"/>
      <c r="AR831" s="30"/>
      <c r="AS831" s="30"/>
      <c r="AT831" s="28"/>
      <c r="AU831" s="28"/>
      <c r="AV831" s="28"/>
      <c r="AW831" s="30"/>
      <c r="AX831" s="28"/>
      <c r="AY831" s="28"/>
      <c r="AZ831" s="28"/>
      <c r="BA831" s="28"/>
      <c r="BB831" s="28"/>
      <c r="BC831" s="28"/>
      <c r="BD831" s="28"/>
      <c r="BE831" s="28"/>
      <c r="BF831" s="28"/>
      <c r="BG831" s="30"/>
      <c r="BH831" s="28"/>
      <c r="BI831" s="28"/>
      <c r="BJ831" s="28"/>
      <c r="BK831" s="28"/>
      <c r="BL831" s="28"/>
      <c r="BM831" s="28"/>
      <c r="BN831" s="28"/>
      <c r="BO831" s="28"/>
      <c r="BP831" s="28"/>
      <c r="BQ831" s="28"/>
      <c r="BR831" s="29"/>
      <c r="BS831" s="29"/>
      <c r="BT831" s="29"/>
      <c r="BU831" s="29"/>
      <c r="BV831" s="29"/>
      <c r="BW831" s="29"/>
      <c r="BX831" s="28"/>
      <c r="BY831" s="28"/>
      <c r="BZ831" s="28"/>
    </row>
    <row r="832" s="27" customFormat="1" spans="1:78">
      <c r="A832" s="28"/>
      <c r="B832" s="28"/>
      <c r="C832" s="29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30"/>
      <c r="AQ832" s="30"/>
      <c r="AR832" s="30"/>
      <c r="AS832" s="30"/>
      <c r="AT832" s="28"/>
      <c r="AU832" s="29"/>
      <c r="AV832" s="30"/>
      <c r="AW832" s="30"/>
      <c r="AX832" s="28"/>
      <c r="AY832" s="28"/>
      <c r="AZ832" s="28"/>
      <c r="BA832" s="28"/>
      <c r="BB832" s="28"/>
      <c r="BC832" s="28"/>
      <c r="BD832" s="28"/>
      <c r="BE832" s="28"/>
      <c r="BF832" s="28"/>
      <c r="BG832" s="30"/>
      <c r="BH832" s="28"/>
      <c r="BI832" s="28"/>
      <c r="BJ832" s="28"/>
      <c r="BK832" s="28"/>
      <c r="BL832" s="28"/>
      <c r="BM832" s="28"/>
      <c r="BN832" s="28"/>
      <c r="BO832" s="28"/>
      <c r="BP832" s="28"/>
      <c r="BQ832" s="28"/>
      <c r="BR832" s="29"/>
      <c r="BS832" s="29"/>
      <c r="BT832" s="29"/>
      <c r="BU832" s="29"/>
      <c r="BV832" s="29"/>
      <c r="BW832" s="29"/>
      <c r="BX832" s="28"/>
      <c r="BY832" s="28"/>
      <c r="BZ832" s="28"/>
    </row>
    <row r="833" s="27" customFormat="1" spans="1:78">
      <c r="A833" s="28"/>
      <c r="B833" s="28"/>
      <c r="C833" s="29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30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30"/>
      <c r="AQ833" s="30"/>
      <c r="AR833" s="30"/>
      <c r="AS833" s="30"/>
      <c r="AT833" s="28"/>
      <c r="AU833" s="28"/>
      <c r="AV833" s="28"/>
      <c r="AW833" s="30"/>
      <c r="AX833" s="28"/>
      <c r="AY833" s="28"/>
      <c r="AZ833" s="28"/>
      <c r="BA833" s="28"/>
      <c r="BB833" s="28"/>
      <c r="BC833" s="28"/>
      <c r="BD833" s="28"/>
      <c r="BE833" s="28"/>
      <c r="BF833" s="28"/>
      <c r="BG833" s="30"/>
      <c r="BH833" s="28"/>
      <c r="BI833" s="28"/>
      <c r="BJ833" s="28"/>
      <c r="BK833" s="28"/>
      <c r="BL833" s="28"/>
      <c r="BM833" s="28"/>
      <c r="BN833" s="28"/>
      <c r="BO833" s="28"/>
      <c r="BP833" s="28"/>
      <c r="BQ833" s="28"/>
      <c r="BR833" s="29"/>
      <c r="BS833" s="29"/>
      <c r="BT833" s="29"/>
      <c r="BU833" s="29"/>
      <c r="BV833" s="29"/>
      <c r="BW833" s="29"/>
      <c r="BX833" s="28"/>
      <c r="BY833" s="28"/>
      <c r="BZ833" s="28"/>
    </row>
    <row r="834" s="27" customFormat="1" spans="1:78">
      <c r="A834" s="28"/>
      <c r="B834" s="28"/>
      <c r="C834" s="29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30"/>
      <c r="AQ834" s="30"/>
      <c r="AR834" s="30"/>
      <c r="AS834" s="30"/>
      <c r="AT834" s="28"/>
      <c r="AU834" s="28"/>
      <c r="AV834" s="28"/>
      <c r="AW834" s="30"/>
      <c r="AX834" s="28"/>
      <c r="AY834" s="28"/>
      <c r="AZ834" s="28"/>
      <c r="BA834" s="28"/>
      <c r="BB834" s="28"/>
      <c r="BC834" s="28"/>
      <c r="BD834" s="28"/>
      <c r="BE834" s="28"/>
      <c r="BF834" s="28"/>
      <c r="BG834" s="30"/>
      <c r="BH834" s="28"/>
      <c r="BI834" s="28"/>
      <c r="BJ834" s="28"/>
      <c r="BK834" s="28"/>
      <c r="BL834" s="28"/>
      <c r="BM834" s="28"/>
      <c r="BN834" s="28"/>
      <c r="BO834" s="28"/>
      <c r="BP834" s="28"/>
      <c r="BQ834" s="28"/>
      <c r="BR834" s="29"/>
      <c r="BS834" s="29"/>
      <c r="BT834" s="29"/>
      <c r="BU834" s="28"/>
      <c r="BV834" s="29"/>
      <c r="BW834" s="28"/>
      <c r="BX834" s="28"/>
      <c r="BY834" s="28"/>
      <c r="BZ834" s="28"/>
    </row>
    <row r="835" s="27" customFormat="1" spans="1:78">
      <c r="A835" s="28"/>
      <c r="B835" s="28"/>
      <c r="C835" s="29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30"/>
      <c r="AQ835" s="30"/>
      <c r="AR835" s="30"/>
      <c r="AS835" s="30"/>
      <c r="AT835" s="28"/>
      <c r="AU835" s="28"/>
      <c r="AV835" s="28"/>
      <c r="AW835" s="30"/>
      <c r="AX835" s="28"/>
      <c r="AY835" s="28"/>
      <c r="AZ835" s="28"/>
      <c r="BA835" s="28"/>
      <c r="BB835" s="28"/>
      <c r="BC835" s="28"/>
      <c r="BD835" s="28"/>
      <c r="BE835" s="28"/>
      <c r="BF835" s="28"/>
      <c r="BG835" s="30"/>
      <c r="BH835" s="28"/>
      <c r="BI835" s="28"/>
      <c r="BJ835" s="28"/>
      <c r="BK835" s="28"/>
      <c r="BL835" s="28"/>
      <c r="BM835" s="28"/>
      <c r="BN835" s="28"/>
      <c r="BO835" s="28"/>
      <c r="BP835" s="28"/>
      <c r="BQ835" s="28"/>
      <c r="BR835" s="29"/>
      <c r="BS835" s="29"/>
      <c r="BT835" s="29"/>
      <c r="BU835" s="28"/>
      <c r="BV835" s="29"/>
      <c r="BW835" s="28"/>
      <c r="BX835" s="28"/>
      <c r="BY835" s="28"/>
      <c r="BZ835" s="28"/>
    </row>
    <row r="836" s="27" customFormat="1" spans="1:78">
      <c r="A836" s="28"/>
      <c r="B836" s="28"/>
      <c r="C836" s="29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30"/>
      <c r="AQ836" s="30"/>
      <c r="AR836" s="30"/>
      <c r="AS836" s="30"/>
      <c r="AT836" s="28"/>
      <c r="AU836" s="28"/>
      <c r="AV836" s="28"/>
      <c r="AW836" s="30"/>
      <c r="AX836" s="28"/>
      <c r="AY836" s="28"/>
      <c r="AZ836" s="28"/>
      <c r="BA836" s="28"/>
      <c r="BB836" s="28"/>
      <c r="BC836" s="28"/>
      <c r="BD836" s="28"/>
      <c r="BE836" s="28"/>
      <c r="BF836" s="28"/>
      <c r="BG836" s="30"/>
      <c r="BH836" s="28"/>
      <c r="BI836" s="28"/>
      <c r="BJ836" s="28"/>
      <c r="BK836" s="28"/>
      <c r="BL836" s="28"/>
      <c r="BM836" s="28"/>
      <c r="BN836" s="28"/>
      <c r="BO836" s="28"/>
      <c r="BP836" s="28"/>
      <c r="BQ836" s="28"/>
      <c r="BR836" s="29"/>
      <c r="BS836" s="29"/>
      <c r="BT836" s="29"/>
      <c r="BU836" s="29"/>
      <c r="BV836" s="29"/>
      <c r="BW836" s="29"/>
      <c r="BX836" s="28"/>
      <c r="BY836" s="28"/>
      <c r="BZ836" s="28"/>
    </row>
    <row r="837" s="27" customFormat="1" spans="1:78">
      <c r="A837" s="28"/>
      <c r="B837" s="28"/>
      <c r="C837" s="29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30"/>
      <c r="AQ837" s="30"/>
      <c r="AR837" s="30"/>
      <c r="AS837" s="30"/>
      <c r="AT837" s="28"/>
      <c r="AU837" s="28"/>
      <c r="AV837" s="28"/>
      <c r="AW837" s="30"/>
      <c r="AX837" s="28"/>
      <c r="AY837" s="28"/>
      <c r="AZ837" s="28"/>
      <c r="BA837" s="28"/>
      <c r="BB837" s="28"/>
      <c r="BC837" s="28"/>
      <c r="BD837" s="28"/>
      <c r="BE837" s="28"/>
      <c r="BF837" s="28"/>
      <c r="BG837" s="30"/>
      <c r="BH837" s="28"/>
      <c r="BI837" s="28"/>
      <c r="BJ837" s="28"/>
      <c r="BK837" s="28"/>
      <c r="BL837" s="28"/>
      <c r="BM837" s="28"/>
      <c r="BN837" s="28"/>
      <c r="BO837" s="28"/>
      <c r="BP837" s="28"/>
      <c r="BQ837" s="28"/>
      <c r="BR837" s="29"/>
      <c r="BS837" s="28"/>
      <c r="BT837" s="28"/>
      <c r="BU837" s="28"/>
      <c r="BV837" s="29"/>
      <c r="BW837" s="28"/>
      <c r="BX837" s="28"/>
      <c r="BY837" s="28"/>
      <c r="BZ837" s="28"/>
    </row>
    <row r="838" s="27" customFormat="1" spans="1:78">
      <c r="A838" s="28"/>
      <c r="B838" s="28"/>
      <c r="C838" s="29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30"/>
      <c r="AQ838" s="30"/>
      <c r="AR838" s="30"/>
      <c r="AS838" s="30"/>
      <c r="AT838" s="28"/>
      <c r="AU838" s="28"/>
      <c r="AV838" s="28"/>
      <c r="AW838" s="30"/>
      <c r="AX838" s="28"/>
      <c r="AY838" s="28"/>
      <c r="AZ838" s="28"/>
      <c r="BA838" s="28"/>
      <c r="BB838" s="28"/>
      <c r="BC838" s="28"/>
      <c r="BD838" s="28"/>
      <c r="BE838" s="28"/>
      <c r="BF838" s="28"/>
      <c r="BG838" s="30"/>
      <c r="BH838" s="28"/>
      <c r="BI838" s="28"/>
      <c r="BJ838" s="28"/>
      <c r="BK838" s="28"/>
      <c r="BL838" s="28"/>
      <c r="BM838" s="28"/>
      <c r="BN838" s="28"/>
      <c r="BO838" s="28"/>
      <c r="BP838" s="28"/>
      <c r="BQ838" s="28"/>
      <c r="BR838" s="29"/>
      <c r="BS838" s="29"/>
      <c r="BT838" s="28"/>
      <c r="BU838" s="28"/>
      <c r="BV838" s="29"/>
      <c r="BW838" s="28"/>
      <c r="BX838" s="28"/>
      <c r="BY838" s="28"/>
      <c r="BZ838" s="28"/>
    </row>
    <row r="839" s="27" customFormat="1" spans="1:78">
      <c r="A839" s="28"/>
      <c r="B839" s="28"/>
      <c r="C839" s="29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30"/>
      <c r="AQ839" s="30"/>
      <c r="AR839" s="30"/>
      <c r="AS839" s="30"/>
      <c r="AT839" s="28"/>
      <c r="AU839" s="28"/>
      <c r="AV839" s="28"/>
      <c r="AW839" s="30"/>
      <c r="AX839" s="28"/>
      <c r="AY839" s="28"/>
      <c r="AZ839" s="28"/>
      <c r="BA839" s="28"/>
      <c r="BB839" s="28"/>
      <c r="BC839" s="28"/>
      <c r="BD839" s="28"/>
      <c r="BE839" s="28"/>
      <c r="BF839" s="28"/>
      <c r="BG839" s="30"/>
      <c r="BH839" s="28"/>
      <c r="BI839" s="28"/>
      <c r="BJ839" s="28"/>
      <c r="BK839" s="28"/>
      <c r="BL839" s="28"/>
      <c r="BM839" s="28"/>
      <c r="BN839" s="28"/>
      <c r="BO839" s="28"/>
      <c r="BP839" s="28"/>
      <c r="BQ839" s="28"/>
      <c r="BR839" s="29"/>
      <c r="BS839" s="29"/>
      <c r="BT839" s="29"/>
      <c r="BU839" s="28"/>
      <c r="BV839" s="29"/>
      <c r="BW839" s="28"/>
      <c r="BX839" s="28"/>
      <c r="BY839" s="28"/>
      <c r="BZ839" s="28"/>
    </row>
    <row r="840" s="27" customFormat="1" spans="1:78">
      <c r="A840" s="28"/>
      <c r="B840" s="28"/>
      <c r="C840" s="29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30"/>
      <c r="AQ840" s="30"/>
      <c r="AR840" s="30"/>
      <c r="AS840" s="30"/>
      <c r="AT840" s="28"/>
      <c r="AU840" s="28"/>
      <c r="AV840" s="28"/>
      <c r="AW840" s="30"/>
      <c r="AX840" s="28"/>
      <c r="AY840" s="28"/>
      <c r="AZ840" s="28"/>
      <c r="BA840" s="28"/>
      <c r="BB840" s="28"/>
      <c r="BC840" s="28"/>
      <c r="BD840" s="28"/>
      <c r="BE840" s="28"/>
      <c r="BF840" s="28"/>
      <c r="BG840" s="30"/>
      <c r="BH840" s="28"/>
      <c r="BI840" s="28"/>
      <c r="BJ840" s="28"/>
      <c r="BK840" s="28"/>
      <c r="BL840" s="28"/>
      <c r="BM840" s="28"/>
      <c r="BN840" s="28"/>
      <c r="BO840" s="28"/>
      <c r="BP840" s="28"/>
      <c r="BQ840" s="28"/>
      <c r="BR840" s="29"/>
      <c r="BS840" s="29"/>
      <c r="BT840" s="28"/>
      <c r="BU840" s="28"/>
      <c r="BV840" s="29"/>
      <c r="BW840" s="28"/>
      <c r="BX840" s="28"/>
      <c r="BY840" s="28"/>
      <c r="BZ840" s="28"/>
    </row>
    <row r="841" s="27" customFormat="1" spans="1:78">
      <c r="A841" s="28"/>
      <c r="B841" s="28"/>
      <c r="C841" s="29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30"/>
      <c r="AQ841" s="30"/>
      <c r="AR841" s="30"/>
      <c r="AS841" s="30"/>
      <c r="AT841" s="28"/>
      <c r="AU841" s="28"/>
      <c r="AV841" s="28"/>
      <c r="AW841" s="30"/>
      <c r="AX841" s="28"/>
      <c r="AY841" s="28"/>
      <c r="AZ841" s="28"/>
      <c r="BA841" s="28"/>
      <c r="BB841" s="28"/>
      <c r="BC841" s="28"/>
      <c r="BD841" s="28"/>
      <c r="BE841" s="28"/>
      <c r="BF841" s="28"/>
      <c r="BG841" s="30"/>
      <c r="BH841" s="28"/>
      <c r="BI841" s="28"/>
      <c r="BJ841" s="28"/>
      <c r="BK841" s="28"/>
      <c r="BL841" s="28"/>
      <c r="BM841" s="28"/>
      <c r="BN841" s="28"/>
      <c r="BO841" s="28"/>
      <c r="BP841" s="28"/>
      <c r="BQ841" s="28"/>
      <c r="BR841" s="29"/>
      <c r="BS841" s="29"/>
      <c r="BT841" s="29"/>
      <c r="BU841" s="29"/>
      <c r="BV841" s="29"/>
      <c r="BW841" s="29"/>
      <c r="BX841" s="28"/>
      <c r="BY841" s="28"/>
      <c r="BZ841" s="28"/>
    </row>
    <row r="842" s="27" customFormat="1" spans="1:78">
      <c r="A842" s="28"/>
      <c r="B842" s="28"/>
      <c r="C842" s="29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30"/>
      <c r="AQ842" s="30"/>
      <c r="AR842" s="30"/>
      <c r="AS842" s="30"/>
      <c r="AT842" s="28"/>
      <c r="AU842" s="28"/>
      <c r="AV842" s="28"/>
      <c r="AW842" s="30"/>
      <c r="AX842" s="28"/>
      <c r="AY842" s="28"/>
      <c r="AZ842" s="28"/>
      <c r="BA842" s="28"/>
      <c r="BB842" s="28"/>
      <c r="BC842" s="28"/>
      <c r="BD842" s="28"/>
      <c r="BE842" s="28"/>
      <c r="BF842" s="28"/>
      <c r="BG842" s="30"/>
      <c r="BH842" s="28"/>
      <c r="BI842" s="28"/>
      <c r="BJ842" s="28"/>
      <c r="BK842" s="28"/>
      <c r="BL842" s="28"/>
      <c r="BM842" s="28"/>
      <c r="BN842" s="28"/>
      <c r="BO842" s="28"/>
      <c r="BP842" s="28"/>
      <c r="BQ842" s="28"/>
      <c r="BR842" s="29"/>
      <c r="BS842" s="29"/>
      <c r="BT842" s="28"/>
      <c r="BU842" s="28"/>
      <c r="BV842" s="29"/>
      <c r="BW842" s="28"/>
      <c r="BX842" s="28"/>
      <c r="BY842" s="28"/>
      <c r="BZ842" s="28"/>
    </row>
    <row r="843" s="27" customFormat="1" spans="1:78">
      <c r="A843" s="28"/>
      <c r="B843" s="28"/>
      <c r="C843" s="29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30"/>
      <c r="AQ843" s="30"/>
      <c r="AR843" s="30"/>
      <c r="AS843" s="30"/>
      <c r="AT843" s="28"/>
      <c r="AU843" s="28"/>
      <c r="AV843" s="28"/>
      <c r="AW843" s="30"/>
      <c r="AX843" s="28"/>
      <c r="AY843" s="28"/>
      <c r="AZ843" s="28"/>
      <c r="BA843" s="28"/>
      <c r="BB843" s="28"/>
      <c r="BC843" s="28"/>
      <c r="BD843" s="28"/>
      <c r="BE843" s="28"/>
      <c r="BF843" s="28"/>
      <c r="BG843" s="30"/>
      <c r="BH843" s="28"/>
      <c r="BI843" s="28"/>
      <c r="BJ843" s="28"/>
      <c r="BK843" s="28"/>
      <c r="BL843" s="28"/>
      <c r="BM843" s="28"/>
      <c r="BN843" s="28"/>
      <c r="BO843" s="28"/>
      <c r="BP843" s="28"/>
      <c r="BQ843" s="28"/>
      <c r="BR843" s="29"/>
      <c r="BS843" s="29"/>
      <c r="BT843" s="29"/>
      <c r="BU843" s="29"/>
      <c r="BV843" s="29"/>
      <c r="BW843" s="29"/>
      <c r="BX843" s="28"/>
      <c r="BY843" s="28"/>
      <c r="BZ843" s="28"/>
    </row>
    <row r="844" s="27" customFormat="1" spans="1:78">
      <c r="A844" s="28"/>
      <c r="B844" s="28"/>
      <c r="C844" s="29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30"/>
      <c r="AQ844" s="30"/>
      <c r="AR844" s="30"/>
      <c r="AS844" s="30"/>
      <c r="AT844" s="28"/>
      <c r="AU844" s="28"/>
      <c r="AV844" s="28"/>
      <c r="AW844" s="30"/>
      <c r="AX844" s="28"/>
      <c r="AY844" s="28"/>
      <c r="AZ844" s="28"/>
      <c r="BA844" s="28"/>
      <c r="BB844" s="28"/>
      <c r="BC844" s="28"/>
      <c r="BD844" s="28"/>
      <c r="BE844" s="28"/>
      <c r="BF844" s="28"/>
      <c r="BG844" s="30"/>
      <c r="BH844" s="28"/>
      <c r="BI844" s="28"/>
      <c r="BJ844" s="28"/>
      <c r="BK844" s="28"/>
      <c r="BL844" s="28"/>
      <c r="BM844" s="28"/>
      <c r="BN844" s="28"/>
      <c r="BO844" s="28"/>
      <c r="BP844" s="28"/>
      <c r="BQ844" s="28"/>
      <c r="BR844" s="29"/>
      <c r="BS844" s="29"/>
      <c r="BT844" s="29"/>
      <c r="BU844" s="28"/>
      <c r="BV844" s="29"/>
      <c r="BW844" s="28"/>
      <c r="BX844" s="28"/>
      <c r="BY844" s="28"/>
      <c r="BZ844" s="28"/>
    </row>
    <row r="845" s="27" customFormat="1" spans="1:78">
      <c r="A845" s="28"/>
      <c r="B845" s="28"/>
      <c r="C845" s="29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30"/>
      <c r="AQ845" s="30"/>
      <c r="AR845" s="30"/>
      <c r="AS845" s="30"/>
      <c r="AT845" s="28"/>
      <c r="AU845" s="28"/>
      <c r="AV845" s="28"/>
      <c r="AW845" s="30"/>
      <c r="AX845" s="28"/>
      <c r="AY845" s="28"/>
      <c r="AZ845" s="28"/>
      <c r="BA845" s="28"/>
      <c r="BB845" s="28"/>
      <c r="BC845" s="28"/>
      <c r="BD845" s="28"/>
      <c r="BE845" s="28"/>
      <c r="BF845" s="28"/>
      <c r="BG845" s="30"/>
      <c r="BH845" s="28"/>
      <c r="BI845" s="28"/>
      <c r="BJ845" s="28"/>
      <c r="BK845" s="28"/>
      <c r="BL845" s="28"/>
      <c r="BM845" s="28"/>
      <c r="BN845" s="28"/>
      <c r="BO845" s="28"/>
      <c r="BP845" s="28"/>
      <c r="BQ845" s="28"/>
      <c r="BR845" s="29"/>
      <c r="BS845" s="28"/>
      <c r="BT845" s="28"/>
      <c r="BU845" s="28"/>
      <c r="BV845" s="29"/>
      <c r="BW845" s="28"/>
      <c r="BX845" s="28"/>
      <c r="BY845" s="28"/>
      <c r="BZ845" s="28"/>
    </row>
    <row r="846" s="27" customFormat="1" spans="1:78">
      <c r="A846" s="28"/>
      <c r="B846" s="28"/>
      <c r="C846" s="29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30"/>
      <c r="AQ846" s="30"/>
      <c r="AR846" s="30"/>
      <c r="AS846" s="30"/>
      <c r="AT846" s="28"/>
      <c r="AU846" s="28"/>
      <c r="AV846" s="28"/>
      <c r="AW846" s="30"/>
      <c r="AX846" s="28"/>
      <c r="AY846" s="28"/>
      <c r="AZ846" s="28"/>
      <c r="BA846" s="28"/>
      <c r="BB846" s="28"/>
      <c r="BC846" s="28"/>
      <c r="BD846" s="28"/>
      <c r="BE846" s="28"/>
      <c r="BF846" s="28"/>
      <c r="BG846" s="30"/>
      <c r="BH846" s="28"/>
      <c r="BI846" s="28"/>
      <c r="BJ846" s="28"/>
      <c r="BK846" s="28"/>
      <c r="BL846" s="28"/>
      <c r="BM846" s="28"/>
      <c r="BN846" s="28"/>
      <c r="BO846" s="28"/>
      <c r="BP846" s="28"/>
      <c r="BQ846" s="28"/>
      <c r="BR846" s="29"/>
      <c r="BS846" s="29"/>
      <c r="BT846" s="29"/>
      <c r="BU846" s="29"/>
      <c r="BV846" s="29"/>
      <c r="BW846" s="29"/>
      <c r="BX846" s="28"/>
      <c r="BY846" s="28"/>
      <c r="BZ846" s="28"/>
    </row>
    <row r="847" s="27" customFormat="1" spans="1:78">
      <c r="A847" s="28"/>
      <c r="B847" s="28"/>
      <c r="C847" s="29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30"/>
      <c r="AQ847" s="30"/>
      <c r="AR847" s="30"/>
      <c r="AS847" s="30"/>
      <c r="AT847" s="28"/>
      <c r="AU847" s="28"/>
      <c r="AV847" s="28"/>
      <c r="AW847" s="30"/>
      <c r="AX847" s="28"/>
      <c r="AY847" s="28"/>
      <c r="AZ847" s="28"/>
      <c r="BA847" s="28"/>
      <c r="BB847" s="28"/>
      <c r="BC847" s="28"/>
      <c r="BD847" s="28"/>
      <c r="BE847" s="28"/>
      <c r="BF847" s="28"/>
      <c r="BG847" s="30"/>
      <c r="BH847" s="28"/>
      <c r="BI847" s="28"/>
      <c r="BJ847" s="28"/>
      <c r="BK847" s="28"/>
      <c r="BL847" s="28"/>
      <c r="BM847" s="28"/>
      <c r="BN847" s="28"/>
      <c r="BO847" s="28"/>
      <c r="BP847" s="28"/>
      <c r="BQ847" s="28"/>
      <c r="BR847" s="29"/>
      <c r="BS847" s="29"/>
      <c r="BT847" s="29"/>
      <c r="BU847" s="29"/>
      <c r="BV847" s="29"/>
      <c r="BW847" s="29"/>
      <c r="BX847" s="28"/>
      <c r="BY847" s="28"/>
      <c r="BZ847" s="28"/>
    </row>
    <row r="848" s="27" customFormat="1" spans="1:78">
      <c r="A848" s="28"/>
      <c r="B848" s="28"/>
      <c r="C848" s="29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30"/>
      <c r="AQ848" s="30"/>
      <c r="AR848" s="30"/>
      <c r="AS848" s="30"/>
      <c r="AT848" s="28"/>
      <c r="AU848" s="28"/>
      <c r="AV848" s="28"/>
      <c r="AW848" s="30"/>
      <c r="AX848" s="28"/>
      <c r="AY848" s="28"/>
      <c r="AZ848" s="28"/>
      <c r="BA848" s="28"/>
      <c r="BB848" s="28"/>
      <c r="BC848" s="28"/>
      <c r="BD848" s="28"/>
      <c r="BE848" s="28"/>
      <c r="BF848" s="28"/>
      <c r="BG848" s="30"/>
      <c r="BH848" s="28"/>
      <c r="BI848" s="28"/>
      <c r="BJ848" s="28"/>
      <c r="BK848" s="28"/>
      <c r="BL848" s="28"/>
      <c r="BM848" s="28"/>
      <c r="BN848" s="28"/>
      <c r="BO848" s="28"/>
      <c r="BP848" s="28"/>
      <c r="BQ848" s="28"/>
      <c r="BR848" s="29"/>
      <c r="BS848" s="29"/>
      <c r="BT848" s="29"/>
      <c r="BU848" s="29"/>
      <c r="BV848" s="29"/>
      <c r="BW848" s="29"/>
      <c r="BX848" s="28"/>
      <c r="BY848" s="28"/>
      <c r="BZ848" s="28"/>
    </row>
    <row r="849" s="27" customFormat="1" spans="1:78">
      <c r="A849" s="28"/>
      <c r="B849" s="28"/>
      <c r="C849" s="29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30"/>
      <c r="AQ849" s="30"/>
      <c r="AR849" s="30"/>
      <c r="AS849" s="30"/>
      <c r="AT849" s="28"/>
      <c r="AU849" s="28"/>
      <c r="AV849" s="28"/>
      <c r="AW849" s="28"/>
      <c r="AX849" s="28"/>
      <c r="AY849" s="28"/>
      <c r="AZ849" s="28"/>
      <c r="BA849" s="28"/>
      <c r="BB849" s="28"/>
      <c r="BC849" s="28"/>
      <c r="BD849" s="28"/>
      <c r="BE849" s="28"/>
      <c r="BF849" s="28"/>
      <c r="BG849" s="30"/>
      <c r="BH849" s="28"/>
      <c r="BI849" s="28"/>
      <c r="BJ849" s="28"/>
      <c r="BK849" s="28"/>
      <c r="BL849" s="28"/>
      <c r="BM849" s="28"/>
      <c r="BN849" s="28"/>
      <c r="BO849" s="28"/>
      <c r="BP849" s="28"/>
      <c r="BQ849" s="28"/>
      <c r="BR849" s="28"/>
      <c r="BS849" s="28"/>
      <c r="BT849" s="28"/>
      <c r="BU849" s="28"/>
      <c r="BV849" s="29"/>
      <c r="BW849" s="28"/>
      <c r="BX849" s="28"/>
      <c r="BY849" s="28"/>
      <c r="BZ849" s="28"/>
    </row>
    <row r="850" s="27" customFormat="1" spans="1:78">
      <c r="A850" s="28"/>
      <c r="B850" s="28"/>
      <c r="C850" s="29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30"/>
      <c r="AQ850" s="30"/>
      <c r="AR850" s="30"/>
      <c r="AS850" s="30"/>
      <c r="AT850" s="28"/>
      <c r="AU850" s="28"/>
      <c r="AV850" s="28"/>
      <c r="AW850" s="30"/>
      <c r="AX850" s="28"/>
      <c r="AY850" s="28"/>
      <c r="AZ850" s="28"/>
      <c r="BA850" s="28"/>
      <c r="BB850" s="28"/>
      <c r="BC850" s="28"/>
      <c r="BD850" s="28"/>
      <c r="BE850" s="28"/>
      <c r="BF850" s="28"/>
      <c r="BG850" s="30"/>
      <c r="BH850" s="28"/>
      <c r="BI850" s="28"/>
      <c r="BJ850" s="28"/>
      <c r="BK850" s="28"/>
      <c r="BL850" s="28"/>
      <c r="BM850" s="28"/>
      <c r="BN850" s="28"/>
      <c r="BO850" s="28"/>
      <c r="BP850" s="28"/>
      <c r="BQ850" s="28"/>
      <c r="BR850" s="29"/>
      <c r="BS850" s="29"/>
      <c r="BT850" s="29"/>
      <c r="BU850" s="29"/>
      <c r="BV850" s="29"/>
      <c r="BW850" s="29"/>
      <c r="BX850" s="28"/>
      <c r="BY850" s="28"/>
      <c r="BZ850" s="28"/>
    </row>
    <row r="851" s="27" customFormat="1" spans="1:78">
      <c r="A851" s="28"/>
      <c r="B851" s="28"/>
      <c r="C851" s="29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30"/>
      <c r="AQ851" s="30"/>
      <c r="AR851" s="30"/>
      <c r="AS851" s="30"/>
      <c r="AT851" s="28"/>
      <c r="AU851" s="28"/>
      <c r="AV851" s="28"/>
      <c r="AW851" s="30"/>
      <c r="AX851" s="28"/>
      <c r="AY851" s="28"/>
      <c r="AZ851" s="28"/>
      <c r="BA851" s="28"/>
      <c r="BB851" s="28"/>
      <c r="BC851" s="28"/>
      <c r="BD851" s="28"/>
      <c r="BE851" s="28"/>
      <c r="BF851" s="28"/>
      <c r="BG851" s="30"/>
      <c r="BH851" s="28"/>
      <c r="BI851" s="28"/>
      <c r="BJ851" s="28"/>
      <c r="BK851" s="28"/>
      <c r="BL851" s="28"/>
      <c r="BM851" s="28"/>
      <c r="BN851" s="28"/>
      <c r="BO851" s="28"/>
      <c r="BP851" s="28"/>
      <c r="BQ851" s="28"/>
      <c r="BR851" s="29"/>
      <c r="BS851" s="29"/>
      <c r="BT851" s="29"/>
      <c r="BU851" s="29"/>
      <c r="BV851" s="29"/>
      <c r="BW851" s="28"/>
      <c r="BX851" s="28"/>
      <c r="BY851" s="28"/>
      <c r="BZ851" s="28"/>
    </row>
    <row r="852" s="27" customFormat="1" spans="1:78">
      <c r="A852" s="28"/>
      <c r="B852" s="28"/>
      <c r="C852" s="29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30"/>
      <c r="AQ852" s="30"/>
      <c r="AR852" s="30"/>
      <c r="AS852" s="30"/>
      <c r="AT852" s="28"/>
      <c r="AU852" s="28"/>
      <c r="AV852" s="28"/>
      <c r="AW852" s="30"/>
      <c r="AX852" s="28"/>
      <c r="AY852" s="28"/>
      <c r="AZ852" s="28"/>
      <c r="BA852" s="28"/>
      <c r="BB852" s="28"/>
      <c r="BC852" s="28"/>
      <c r="BD852" s="28"/>
      <c r="BE852" s="28"/>
      <c r="BF852" s="28"/>
      <c r="BG852" s="30"/>
      <c r="BH852" s="28"/>
      <c r="BI852" s="28"/>
      <c r="BJ852" s="28"/>
      <c r="BK852" s="28"/>
      <c r="BL852" s="28"/>
      <c r="BM852" s="28"/>
      <c r="BN852" s="28"/>
      <c r="BO852" s="28"/>
      <c r="BP852" s="28"/>
      <c r="BQ852" s="28"/>
      <c r="BR852" s="29"/>
      <c r="BS852" s="29"/>
      <c r="BT852" s="29"/>
      <c r="BU852" s="29"/>
      <c r="BV852" s="29"/>
      <c r="BW852" s="29"/>
      <c r="BX852" s="28"/>
      <c r="BY852" s="28"/>
      <c r="BZ852" s="28"/>
    </row>
    <row r="853" s="27" customFormat="1" spans="1:78">
      <c r="A853" s="28"/>
      <c r="B853" s="28"/>
      <c r="C853" s="29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30"/>
      <c r="AQ853" s="30"/>
      <c r="AR853" s="30"/>
      <c r="AS853" s="30"/>
      <c r="AT853" s="28"/>
      <c r="AU853" s="28"/>
      <c r="AV853" s="28"/>
      <c r="AW853" s="30"/>
      <c r="AX853" s="28"/>
      <c r="AY853" s="28"/>
      <c r="AZ853" s="28"/>
      <c r="BA853" s="28"/>
      <c r="BB853" s="28"/>
      <c r="BC853" s="28"/>
      <c r="BD853" s="28"/>
      <c r="BE853" s="28"/>
      <c r="BF853" s="28"/>
      <c r="BG853" s="30"/>
      <c r="BH853" s="28"/>
      <c r="BI853" s="28"/>
      <c r="BJ853" s="28"/>
      <c r="BK853" s="28"/>
      <c r="BL853" s="28"/>
      <c r="BM853" s="28"/>
      <c r="BN853" s="28"/>
      <c r="BO853" s="28"/>
      <c r="BP853" s="28"/>
      <c r="BQ853" s="28"/>
      <c r="BR853" s="29"/>
      <c r="BS853" s="29"/>
      <c r="BT853" s="29"/>
      <c r="BU853" s="29"/>
      <c r="BV853" s="29"/>
      <c r="BW853" s="28"/>
      <c r="BX853" s="28"/>
      <c r="BY853" s="28"/>
      <c r="BZ853" s="28"/>
    </row>
    <row r="854" s="27" customFormat="1" spans="1:78">
      <c r="A854" s="28"/>
      <c r="B854" s="28"/>
      <c r="C854" s="29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30"/>
      <c r="AQ854" s="30"/>
      <c r="AR854" s="30"/>
      <c r="AS854" s="30"/>
      <c r="AT854" s="28"/>
      <c r="AU854" s="28"/>
      <c r="AV854" s="28"/>
      <c r="AW854" s="30"/>
      <c r="AX854" s="28"/>
      <c r="AY854" s="28"/>
      <c r="AZ854" s="28"/>
      <c r="BA854" s="28"/>
      <c r="BB854" s="28"/>
      <c r="BC854" s="28"/>
      <c r="BD854" s="28"/>
      <c r="BE854" s="28"/>
      <c r="BF854" s="28"/>
      <c r="BG854" s="30"/>
      <c r="BH854" s="28"/>
      <c r="BI854" s="28"/>
      <c r="BJ854" s="28"/>
      <c r="BK854" s="28"/>
      <c r="BL854" s="28"/>
      <c r="BM854" s="28"/>
      <c r="BN854" s="28"/>
      <c r="BO854" s="28"/>
      <c r="BP854" s="28"/>
      <c r="BQ854" s="28"/>
      <c r="BR854" s="29"/>
      <c r="BS854" s="29"/>
      <c r="BT854" s="29"/>
      <c r="BU854" s="29"/>
      <c r="BV854" s="29"/>
      <c r="BW854" s="29"/>
      <c r="BX854" s="28"/>
      <c r="BY854" s="28"/>
      <c r="BZ854" s="28"/>
    </row>
    <row r="855" s="27" customFormat="1" spans="1:78">
      <c r="A855" s="28"/>
      <c r="B855" s="28"/>
      <c r="C855" s="29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30"/>
      <c r="AQ855" s="30"/>
      <c r="AR855" s="30"/>
      <c r="AS855" s="30"/>
      <c r="AT855" s="28"/>
      <c r="AU855" s="28"/>
      <c r="AV855" s="28"/>
      <c r="AW855" s="30"/>
      <c r="AX855" s="28"/>
      <c r="AY855" s="28"/>
      <c r="AZ855" s="28"/>
      <c r="BA855" s="28"/>
      <c r="BB855" s="28"/>
      <c r="BC855" s="28"/>
      <c r="BD855" s="28"/>
      <c r="BE855" s="28"/>
      <c r="BF855" s="28"/>
      <c r="BG855" s="30"/>
      <c r="BH855" s="28"/>
      <c r="BI855" s="28"/>
      <c r="BJ855" s="28"/>
      <c r="BK855" s="28"/>
      <c r="BL855" s="28"/>
      <c r="BM855" s="28"/>
      <c r="BN855" s="28"/>
      <c r="BO855" s="28"/>
      <c r="BP855" s="28"/>
      <c r="BQ855" s="28"/>
      <c r="BR855" s="29"/>
      <c r="BS855" s="29"/>
      <c r="BT855" s="29"/>
      <c r="BU855" s="29"/>
      <c r="BV855" s="29"/>
      <c r="BW855" s="29"/>
      <c r="BX855" s="28"/>
      <c r="BY855" s="28"/>
      <c r="BZ855" s="28"/>
    </row>
    <row r="856" s="27" customFormat="1" spans="1:78">
      <c r="A856" s="28"/>
      <c r="B856" s="28"/>
      <c r="C856" s="29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30"/>
      <c r="AQ856" s="30"/>
      <c r="AR856" s="30"/>
      <c r="AS856" s="30"/>
      <c r="AT856" s="28"/>
      <c r="AU856" s="28"/>
      <c r="AV856" s="28"/>
      <c r="AW856" s="30"/>
      <c r="AX856" s="28"/>
      <c r="AY856" s="28"/>
      <c r="AZ856" s="28"/>
      <c r="BA856" s="28"/>
      <c r="BB856" s="28"/>
      <c r="BC856" s="28"/>
      <c r="BD856" s="28"/>
      <c r="BE856" s="28"/>
      <c r="BF856" s="28"/>
      <c r="BG856" s="30"/>
      <c r="BH856" s="28"/>
      <c r="BI856" s="28"/>
      <c r="BJ856" s="28"/>
      <c r="BK856" s="28"/>
      <c r="BL856" s="28"/>
      <c r="BM856" s="28"/>
      <c r="BN856" s="28"/>
      <c r="BO856" s="28"/>
      <c r="BP856" s="28"/>
      <c r="BQ856" s="28"/>
      <c r="BR856" s="29"/>
      <c r="BS856" s="29"/>
      <c r="BT856" s="29"/>
      <c r="BU856" s="29"/>
      <c r="BV856" s="29"/>
      <c r="BW856" s="29"/>
      <c r="BX856" s="28"/>
      <c r="BY856" s="28"/>
      <c r="BZ856" s="28"/>
    </row>
    <row r="857" s="27" customFormat="1" spans="1:78">
      <c r="A857" s="28"/>
      <c r="B857" s="28"/>
      <c r="C857" s="29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30"/>
      <c r="AQ857" s="30"/>
      <c r="AR857" s="30"/>
      <c r="AS857" s="30"/>
      <c r="AT857" s="28"/>
      <c r="AU857" s="28"/>
      <c r="AV857" s="28"/>
      <c r="AW857" s="30"/>
      <c r="AX857" s="28"/>
      <c r="AY857" s="28"/>
      <c r="AZ857" s="28"/>
      <c r="BA857" s="28"/>
      <c r="BB857" s="28"/>
      <c r="BC857" s="28"/>
      <c r="BD857" s="28"/>
      <c r="BE857" s="28"/>
      <c r="BF857" s="28"/>
      <c r="BG857" s="30"/>
      <c r="BH857" s="28"/>
      <c r="BI857" s="28"/>
      <c r="BJ857" s="28"/>
      <c r="BK857" s="28"/>
      <c r="BL857" s="28"/>
      <c r="BM857" s="28"/>
      <c r="BN857" s="28"/>
      <c r="BO857" s="28"/>
      <c r="BP857" s="28"/>
      <c r="BQ857" s="28"/>
      <c r="BR857" s="29"/>
      <c r="BS857" s="29"/>
      <c r="BT857" s="29"/>
      <c r="BU857" s="29"/>
      <c r="BV857" s="29"/>
      <c r="BW857" s="29"/>
      <c r="BX857" s="28"/>
      <c r="BY857" s="28"/>
      <c r="BZ857" s="28"/>
    </row>
    <row r="858" s="27" customFormat="1" spans="1:78">
      <c r="A858" s="28"/>
      <c r="B858" s="28"/>
      <c r="C858" s="29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30"/>
      <c r="AQ858" s="30"/>
      <c r="AR858" s="30"/>
      <c r="AS858" s="30"/>
      <c r="AT858" s="28"/>
      <c r="AU858" s="28"/>
      <c r="AV858" s="28"/>
      <c r="AW858" s="30"/>
      <c r="AX858" s="28"/>
      <c r="AY858" s="28"/>
      <c r="AZ858" s="28"/>
      <c r="BA858" s="28"/>
      <c r="BB858" s="28"/>
      <c r="BC858" s="28"/>
      <c r="BD858" s="28"/>
      <c r="BE858" s="28"/>
      <c r="BF858" s="28"/>
      <c r="BG858" s="30"/>
      <c r="BH858" s="28"/>
      <c r="BI858" s="28"/>
      <c r="BJ858" s="28"/>
      <c r="BK858" s="28"/>
      <c r="BL858" s="28"/>
      <c r="BM858" s="28"/>
      <c r="BN858" s="28"/>
      <c r="BO858" s="28"/>
      <c r="BP858" s="28"/>
      <c r="BQ858" s="28"/>
      <c r="BR858" s="29"/>
      <c r="BS858" s="29"/>
      <c r="BT858" s="29"/>
      <c r="BU858" s="29"/>
      <c r="BV858" s="29"/>
      <c r="BW858" s="29"/>
      <c r="BX858" s="28"/>
      <c r="BY858" s="28"/>
      <c r="BZ858" s="28"/>
    </row>
    <row r="859" s="27" customFormat="1" spans="1:78">
      <c r="A859" s="28"/>
      <c r="B859" s="28"/>
      <c r="C859" s="29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30"/>
      <c r="AQ859" s="30"/>
      <c r="AR859" s="30"/>
      <c r="AS859" s="30"/>
      <c r="AT859" s="28"/>
      <c r="AU859" s="28"/>
      <c r="AV859" s="28"/>
      <c r="AW859" s="30"/>
      <c r="AX859" s="28"/>
      <c r="AY859" s="28"/>
      <c r="AZ859" s="28"/>
      <c r="BA859" s="28"/>
      <c r="BB859" s="28"/>
      <c r="BC859" s="28"/>
      <c r="BD859" s="28"/>
      <c r="BE859" s="28"/>
      <c r="BF859" s="28"/>
      <c r="BG859" s="30"/>
      <c r="BH859" s="28"/>
      <c r="BI859" s="28"/>
      <c r="BJ859" s="28"/>
      <c r="BK859" s="28"/>
      <c r="BL859" s="28"/>
      <c r="BM859" s="28"/>
      <c r="BN859" s="28"/>
      <c r="BO859" s="28"/>
      <c r="BP859" s="28"/>
      <c r="BQ859" s="28"/>
      <c r="BR859" s="29"/>
      <c r="BS859" s="29"/>
      <c r="BT859" s="29"/>
      <c r="BU859" s="29"/>
      <c r="BV859" s="29"/>
      <c r="BW859" s="29"/>
      <c r="BX859" s="28"/>
      <c r="BY859" s="28"/>
      <c r="BZ859" s="28"/>
    </row>
    <row r="860" s="27" customFormat="1" spans="1:78">
      <c r="A860" s="28"/>
      <c r="B860" s="28"/>
      <c r="C860" s="29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30"/>
      <c r="AQ860" s="30"/>
      <c r="AR860" s="30"/>
      <c r="AS860" s="30"/>
      <c r="AT860" s="28"/>
      <c r="AU860" s="28"/>
      <c r="AV860" s="28"/>
      <c r="AW860" s="30"/>
      <c r="AX860" s="28"/>
      <c r="AY860" s="28"/>
      <c r="AZ860" s="28"/>
      <c r="BA860" s="28"/>
      <c r="BB860" s="28"/>
      <c r="BC860" s="28"/>
      <c r="BD860" s="28"/>
      <c r="BE860" s="28"/>
      <c r="BF860" s="28"/>
      <c r="BG860" s="30"/>
      <c r="BH860" s="28"/>
      <c r="BI860" s="28"/>
      <c r="BJ860" s="28"/>
      <c r="BK860" s="28"/>
      <c r="BL860" s="28"/>
      <c r="BM860" s="28"/>
      <c r="BN860" s="28"/>
      <c r="BO860" s="28"/>
      <c r="BP860" s="28"/>
      <c r="BQ860" s="28"/>
      <c r="BR860" s="29"/>
      <c r="BS860" s="29"/>
      <c r="BT860" s="29"/>
      <c r="BU860" s="29"/>
      <c r="BV860" s="29"/>
      <c r="BW860" s="28"/>
      <c r="BX860" s="28"/>
      <c r="BY860" s="28"/>
      <c r="BZ860" s="28"/>
    </row>
    <row r="861" s="27" customFormat="1" spans="1:78">
      <c r="A861" s="28"/>
      <c r="B861" s="28"/>
      <c r="C861" s="29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30"/>
      <c r="AQ861" s="30"/>
      <c r="AR861" s="30"/>
      <c r="AS861" s="30"/>
      <c r="AT861" s="28"/>
      <c r="AU861" s="28"/>
      <c r="AV861" s="28"/>
      <c r="AW861" s="30"/>
      <c r="AX861" s="28"/>
      <c r="AY861" s="28"/>
      <c r="AZ861" s="28"/>
      <c r="BA861" s="28"/>
      <c r="BB861" s="28"/>
      <c r="BC861" s="28"/>
      <c r="BD861" s="28"/>
      <c r="BE861" s="28"/>
      <c r="BF861" s="28"/>
      <c r="BG861" s="30"/>
      <c r="BH861" s="28"/>
      <c r="BI861" s="28"/>
      <c r="BJ861" s="28"/>
      <c r="BK861" s="28"/>
      <c r="BL861" s="28"/>
      <c r="BM861" s="28"/>
      <c r="BN861" s="28"/>
      <c r="BO861" s="28"/>
      <c r="BP861" s="28"/>
      <c r="BQ861" s="28"/>
      <c r="BR861" s="29"/>
      <c r="BS861" s="29"/>
      <c r="BT861" s="29"/>
      <c r="BU861" s="29"/>
      <c r="BV861" s="29"/>
      <c r="BW861" s="29"/>
      <c r="BX861" s="28"/>
      <c r="BY861" s="28"/>
      <c r="BZ861" s="28"/>
    </row>
    <row r="862" s="27" customFormat="1" spans="1:78">
      <c r="A862" s="28"/>
      <c r="B862" s="28"/>
      <c r="C862" s="29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30"/>
      <c r="AQ862" s="30"/>
      <c r="AR862" s="30"/>
      <c r="AS862" s="30"/>
      <c r="AT862" s="28"/>
      <c r="AU862" s="28"/>
      <c r="AV862" s="28"/>
      <c r="AW862" s="30"/>
      <c r="AX862" s="28"/>
      <c r="AY862" s="28"/>
      <c r="AZ862" s="28"/>
      <c r="BA862" s="28"/>
      <c r="BB862" s="28"/>
      <c r="BC862" s="28"/>
      <c r="BD862" s="28"/>
      <c r="BE862" s="28"/>
      <c r="BF862" s="28"/>
      <c r="BG862" s="30"/>
      <c r="BH862" s="28"/>
      <c r="BI862" s="28"/>
      <c r="BJ862" s="28"/>
      <c r="BK862" s="28"/>
      <c r="BL862" s="28"/>
      <c r="BM862" s="28"/>
      <c r="BN862" s="28"/>
      <c r="BO862" s="28"/>
      <c r="BP862" s="28"/>
      <c r="BQ862" s="28"/>
      <c r="BR862" s="29"/>
      <c r="BS862" s="29"/>
      <c r="BT862" s="29"/>
      <c r="BU862" s="29"/>
      <c r="BV862" s="29"/>
      <c r="BW862" s="28"/>
      <c r="BX862" s="28"/>
      <c r="BY862" s="28"/>
      <c r="BZ862" s="28"/>
    </row>
    <row r="863" s="27" customFormat="1" spans="1:78">
      <c r="A863" s="28"/>
      <c r="B863" s="28"/>
      <c r="C863" s="29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30"/>
      <c r="AQ863" s="30"/>
      <c r="AR863" s="30"/>
      <c r="AS863" s="30"/>
      <c r="AT863" s="28"/>
      <c r="AU863" s="28"/>
      <c r="AV863" s="28"/>
      <c r="AW863" s="30"/>
      <c r="AX863" s="28"/>
      <c r="AY863" s="28"/>
      <c r="AZ863" s="28"/>
      <c r="BA863" s="28"/>
      <c r="BB863" s="28"/>
      <c r="BC863" s="28"/>
      <c r="BD863" s="28"/>
      <c r="BE863" s="28"/>
      <c r="BF863" s="28"/>
      <c r="BG863" s="30"/>
      <c r="BH863" s="28"/>
      <c r="BI863" s="28"/>
      <c r="BJ863" s="28"/>
      <c r="BK863" s="28"/>
      <c r="BL863" s="28"/>
      <c r="BM863" s="28"/>
      <c r="BN863" s="28"/>
      <c r="BO863" s="28"/>
      <c r="BP863" s="28"/>
      <c r="BQ863" s="28"/>
      <c r="BR863" s="29"/>
      <c r="BS863" s="29"/>
      <c r="BT863" s="29"/>
      <c r="BU863" s="29"/>
      <c r="BV863" s="29"/>
      <c r="BW863" s="29"/>
      <c r="BX863" s="28"/>
      <c r="BY863" s="28"/>
      <c r="BZ863" s="28"/>
    </row>
    <row r="864" s="27" customFormat="1" spans="1:78">
      <c r="A864" s="28"/>
      <c r="B864" s="28"/>
      <c r="C864" s="29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30"/>
      <c r="AQ864" s="30"/>
      <c r="AR864" s="30"/>
      <c r="AS864" s="30"/>
      <c r="AT864" s="28"/>
      <c r="AU864" s="28"/>
      <c r="AV864" s="28"/>
      <c r="AW864" s="30"/>
      <c r="AX864" s="28"/>
      <c r="AY864" s="28"/>
      <c r="AZ864" s="28"/>
      <c r="BA864" s="28"/>
      <c r="BB864" s="28"/>
      <c r="BC864" s="28"/>
      <c r="BD864" s="28"/>
      <c r="BE864" s="28"/>
      <c r="BF864" s="28"/>
      <c r="BG864" s="30"/>
      <c r="BH864" s="28"/>
      <c r="BI864" s="28"/>
      <c r="BJ864" s="28"/>
      <c r="BK864" s="28"/>
      <c r="BL864" s="28"/>
      <c r="BM864" s="28"/>
      <c r="BN864" s="28"/>
      <c r="BO864" s="28"/>
      <c r="BP864" s="28"/>
      <c r="BQ864" s="28"/>
      <c r="BR864" s="29"/>
      <c r="BS864" s="29"/>
      <c r="BT864" s="29"/>
      <c r="BU864" s="28"/>
      <c r="BV864" s="29"/>
      <c r="BW864" s="28"/>
      <c r="BX864" s="28"/>
      <c r="BY864" s="28"/>
      <c r="BZ864" s="28"/>
    </row>
    <row r="865" s="27" customFormat="1" spans="1:78">
      <c r="A865" s="28"/>
      <c r="B865" s="28"/>
      <c r="C865" s="29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30"/>
      <c r="AQ865" s="30"/>
      <c r="AR865" s="30"/>
      <c r="AS865" s="30"/>
      <c r="AT865" s="28"/>
      <c r="AU865" s="28"/>
      <c r="AV865" s="28"/>
      <c r="AW865" s="30"/>
      <c r="AX865" s="28"/>
      <c r="AY865" s="28"/>
      <c r="AZ865" s="28"/>
      <c r="BA865" s="28"/>
      <c r="BB865" s="28"/>
      <c r="BC865" s="28"/>
      <c r="BD865" s="28"/>
      <c r="BE865" s="28"/>
      <c r="BF865" s="28"/>
      <c r="BG865" s="30"/>
      <c r="BH865" s="28"/>
      <c r="BI865" s="28"/>
      <c r="BJ865" s="28"/>
      <c r="BK865" s="28"/>
      <c r="BL865" s="28"/>
      <c r="BM865" s="28"/>
      <c r="BN865" s="28"/>
      <c r="BO865" s="28"/>
      <c r="BP865" s="28"/>
      <c r="BQ865" s="28"/>
      <c r="BR865" s="29"/>
      <c r="BS865" s="29"/>
      <c r="BT865" s="29"/>
      <c r="BU865" s="29"/>
      <c r="BV865" s="29"/>
      <c r="BW865" s="29"/>
      <c r="BX865" s="28"/>
      <c r="BY865" s="28"/>
      <c r="BZ865" s="28"/>
    </row>
    <row r="866" s="27" customFormat="1" spans="1:78">
      <c r="A866" s="28"/>
      <c r="B866" s="28"/>
      <c r="C866" s="29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30"/>
      <c r="AQ866" s="30"/>
      <c r="AR866" s="30"/>
      <c r="AS866" s="30"/>
      <c r="AT866" s="28"/>
      <c r="AU866" s="28"/>
      <c r="AV866" s="28"/>
      <c r="AW866" s="30"/>
      <c r="AX866" s="28"/>
      <c r="AY866" s="28"/>
      <c r="AZ866" s="28"/>
      <c r="BA866" s="28"/>
      <c r="BB866" s="28"/>
      <c r="BC866" s="28"/>
      <c r="BD866" s="28"/>
      <c r="BE866" s="28"/>
      <c r="BF866" s="28"/>
      <c r="BG866" s="30"/>
      <c r="BH866" s="28"/>
      <c r="BI866" s="28"/>
      <c r="BJ866" s="28"/>
      <c r="BK866" s="28"/>
      <c r="BL866" s="28"/>
      <c r="BM866" s="28"/>
      <c r="BN866" s="28"/>
      <c r="BO866" s="28"/>
      <c r="BP866" s="28"/>
      <c r="BQ866" s="28"/>
      <c r="BR866" s="29"/>
      <c r="BS866" s="29"/>
      <c r="BT866" s="29"/>
      <c r="BU866" s="29"/>
      <c r="BV866" s="29"/>
      <c r="BW866" s="29"/>
      <c r="BX866" s="28"/>
      <c r="BY866" s="28"/>
      <c r="BZ866" s="28"/>
    </row>
    <row r="867" s="27" customFormat="1" spans="1:78">
      <c r="A867" s="28"/>
      <c r="B867" s="28"/>
      <c r="C867" s="29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30"/>
      <c r="AQ867" s="30"/>
      <c r="AR867" s="30"/>
      <c r="AS867" s="30"/>
      <c r="AT867" s="28"/>
      <c r="AU867" s="28"/>
      <c r="AV867" s="28"/>
      <c r="AW867" s="30"/>
      <c r="AX867" s="28"/>
      <c r="AY867" s="28"/>
      <c r="AZ867" s="28"/>
      <c r="BA867" s="28"/>
      <c r="BB867" s="28"/>
      <c r="BC867" s="28"/>
      <c r="BD867" s="28"/>
      <c r="BE867" s="28"/>
      <c r="BF867" s="28"/>
      <c r="BG867" s="30"/>
      <c r="BH867" s="28"/>
      <c r="BI867" s="28"/>
      <c r="BJ867" s="28"/>
      <c r="BK867" s="28"/>
      <c r="BL867" s="28"/>
      <c r="BM867" s="28"/>
      <c r="BN867" s="28"/>
      <c r="BO867" s="28"/>
      <c r="BP867" s="28"/>
      <c r="BQ867" s="28"/>
      <c r="BR867" s="29"/>
      <c r="BS867" s="29"/>
      <c r="BT867" s="29"/>
      <c r="BU867" s="28"/>
      <c r="BV867" s="29"/>
      <c r="BW867" s="28"/>
      <c r="BX867" s="28"/>
      <c r="BY867" s="28"/>
      <c r="BZ867" s="28"/>
    </row>
    <row r="868" s="27" customFormat="1" spans="1:78">
      <c r="A868" s="28"/>
      <c r="B868" s="28"/>
      <c r="C868" s="29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30"/>
      <c r="AQ868" s="30"/>
      <c r="AR868" s="30"/>
      <c r="AS868" s="30"/>
      <c r="AT868" s="28"/>
      <c r="AU868" s="28"/>
      <c r="AV868" s="28"/>
      <c r="AW868" s="30"/>
      <c r="AX868" s="28"/>
      <c r="AY868" s="28"/>
      <c r="AZ868" s="28"/>
      <c r="BA868" s="28"/>
      <c r="BB868" s="28"/>
      <c r="BC868" s="28"/>
      <c r="BD868" s="28"/>
      <c r="BE868" s="28"/>
      <c r="BF868" s="28"/>
      <c r="BG868" s="30"/>
      <c r="BH868" s="28"/>
      <c r="BI868" s="28"/>
      <c r="BJ868" s="28"/>
      <c r="BK868" s="28"/>
      <c r="BL868" s="28"/>
      <c r="BM868" s="28"/>
      <c r="BN868" s="28"/>
      <c r="BO868" s="28"/>
      <c r="BP868" s="28"/>
      <c r="BQ868" s="28"/>
      <c r="BR868" s="29"/>
      <c r="BS868" s="29"/>
      <c r="BT868" s="29"/>
      <c r="BU868" s="29"/>
      <c r="BV868" s="29"/>
      <c r="BW868" s="29"/>
      <c r="BX868" s="28"/>
      <c r="BY868" s="28"/>
      <c r="BZ868" s="28"/>
    </row>
    <row r="869" s="27" customFormat="1" spans="1:78">
      <c r="A869" s="28"/>
      <c r="B869" s="28"/>
      <c r="C869" s="29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30"/>
      <c r="AQ869" s="30"/>
      <c r="AR869" s="30"/>
      <c r="AS869" s="30"/>
      <c r="AT869" s="28"/>
      <c r="AU869" s="28"/>
      <c r="AV869" s="28"/>
      <c r="AW869" s="30"/>
      <c r="AX869" s="28"/>
      <c r="AY869" s="28"/>
      <c r="AZ869" s="28"/>
      <c r="BA869" s="28"/>
      <c r="BB869" s="28"/>
      <c r="BC869" s="28"/>
      <c r="BD869" s="28"/>
      <c r="BE869" s="28"/>
      <c r="BF869" s="28"/>
      <c r="BG869" s="30"/>
      <c r="BH869" s="28"/>
      <c r="BI869" s="28"/>
      <c r="BJ869" s="28"/>
      <c r="BK869" s="28"/>
      <c r="BL869" s="28"/>
      <c r="BM869" s="28"/>
      <c r="BN869" s="28"/>
      <c r="BO869" s="28"/>
      <c r="BP869" s="28"/>
      <c r="BQ869" s="28"/>
      <c r="BR869" s="29"/>
      <c r="BS869" s="29"/>
      <c r="BT869" s="29"/>
      <c r="BU869" s="28"/>
      <c r="BV869" s="29"/>
      <c r="BW869" s="28"/>
      <c r="BX869" s="28"/>
      <c r="BY869" s="28"/>
      <c r="BZ869" s="28"/>
    </row>
    <row r="870" s="27" customFormat="1" spans="1:78">
      <c r="A870" s="28"/>
      <c r="B870" s="28"/>
      <c r="C870" s="29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30"/>
      <c r="AQ870" s="30"/>
      <c r="AR870" s="30"/>
      <c r="AS870" s="30"/>
      <c r="AT870" s="28"/>
      <c r="AU870" s="28"/>
      <c r="AV870" s="28"/>
      <c r="AW870" s="30"/>
      <c r="AX870" s="28"/>
      <c r="AY870" s="28"/>
      <c r="AZ870" s="28"/>
      <c r="BA870" s="28"/>
      <c r="BB870" s="28"/>
      <c r="BC870" s="28"/>
      <c r="BD870" s="28"/>
      <c r="BE870" s="28"/>
      <c r="BF870" s="28"/>
      <c r="BG870" s="30"/>
      <c r="BH870" s="28"/>
      <c r="BI870" s="28"/>
      <c r="BJ870" s="28"/>
      <c r="BK870" s="28"/>
      <c r="BL870" s="28"/>
      <c r="BM870" s="28"/>
      <c r="BN870" s="28"/>
      <c r="BO870" s="28"/>
      <c r="BP870" s="28"/>
      <c r="BQ870" s="28"/>
      <c r="BR870" s="29"/>
      <c r="BS870" s="29"/>
      <c r="BT870" s="29"/>
      <c r="BU870" s="29"/>
      <c r="BV870" s="29"/>
      <c r="BW870" s="29"/>
      <c r="BX870" s="28"/>
      <c r="BY870" s="28"/>
      <c r="BZ870" s="28"/>
    </row>
    <row r="871" s="27" customFormat="1" spans="1:78">
      <c r="A871" s="28"/>
      <c r="B871" s="28"/>
      <c r="C871" s="29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30"/>
      <c r="AQ871" s="30"/>
      <c r="AR871" s="30"/>
      <c r="AS871" s="30"/>
      <c r="AT871" s="28"/>
      <c r="AU871" s="29"/>
      <c r="AV871" s="30"/>
      <c r="AW871" s="30"/>
      <c r="AX871" s="28"/>
      <c r="AY871" s="28"/>
      <c r="AZ871" s="28"/>
      <c r="BA871" s="28"/>
      <c r="BB871" s="28"/>
      <c r="BC871" s="28"/>
      <c r="BD871" s="28"/>
      <c r="BE871" s="28"/>
      <c r="BF871" s="28"/>
      <c r="BG871" s="30"/>
      <c r="BH871" s="28"/>
      <c r="BI871" s="28"/>
      <c r="BJ871" s="28"/>
      <c r="BK871" s="28"/>
      <c r="BL871" s="28"/>
      <c r="BM871" s="28"/>
      <c r="BN871" s="28"/>
      <c r="BO871" s="28"/>
      <c r="BP871" s="28"/>
      <c r="BQ871" s="28"/>
      <c r="BR871" s="29"/>
      <c r="BS871" s="29"/>
      <c r="BT871" s="29"/>
      <c r="BU871" s="29"/>
      <c r="BV871" s="29"/>
      <c r="BW871" s="29"/>
      <c r="BX871" s="28"/>
      <c r="BY871" s="28"/>
      <c r="BZ871" s="28"/>
    </row>
    <row r="872" s="27" customFormat="1" spans="1:78">
      <c r="A872" s="28"/>
      <c r="B872" s="28"/>
      <c r="C872" s="29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30"/>
      <c r="AQ872" s="30"/>
      <c r="AR872" s="30"/>
      <c r="AS872" s="30"/>
      <c r="AT872" s="28"/>
      <c r="AU872" s="28"/>
      <c r="AV872" s="28"/>
      <c r="AW872" s="30"/>
      <c r="AX872" s="28"/>
      <c r="AY872" s="28"/>
      <c r="AZ872" s="28"/>
      <c r="BA872" s="28"/>
      <c r="BB872" s="28"/>
      <c r="BC872" s="28"/>
      <c r="BD872" s="28"/>
      <c r="BE872" s="28"/>
      <c r="BF872" s="28"/>
      <c r="BG872" s="30"/>
      <c r="BH872" s="28"/>
      <c r="BI872" s="28"/>
      <c r="BJ872" s="28"/>
      <c r="BK872" s="28"/>
      <c r="BL872" s="28"/>
      <c r="BM872" s="28"/>
      <c r="BN872" s="28"/>
      <c r="BO872" s="28"/>
      <c r="BP872" s="28"/>
      <c r="BQ872" s="28"/>
      <c r="BR872" s="29"/>
      <c r="BS872" s="29"/>
      <c r="BT872" s="29"/>
      <c r="BU872" s="29"/>
      <c r="BV872" s="29"/>
      <c r="BW872" s="28"/>
      <c r="BX872" s="28"/>
      <c r="BY872" s="28"/>
      <c r="BZ872" s="28"/>
    </row>
    <row r="873" s="27" customFormat="1" spans="1:78">
      <c r="A873" s="28"/>
      <c r="B873" s="28"/>
      <c r="C873" s="29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30"/>
      <c r="AQ873" s="30"/>
      <c r="AR873" s="30"/>
      <c r="AS873" s="30"/>
      <c r="AT873" s="28"/>
      <c r="AU873" s="28"/>
      <c r="AV873" s="28"/>
      <c r="AW873" s="30"/>
      <c r="AX873" s="28"/>
      <c r="AY873" s="28"/>
      <c r="AZ873" s="28"/>
      <c r="BA873" s="28"/>
      <c r="BB873" s="28"/>
      <c r="BC873" s="28"/>
      <c r="BD873" s="28"/>
      <c r="BE873" s="28"/>
      <c r="BF873" s="28"/>
      <c r="BG873" s="30"/>
      <c r="BH873" s="28"/>
      <c r="BI873" s="28"/>
      <c r="BJ873" s="28"/>
      <c r="BK873" s="28"/>
      <c r="BL873" s="28"/>
      <c r="BM873" s="28"/>
      <c r="BN873" s="28"/>
      <c r="BO873" s="28"/>
      <c r="BP873" s="28"/>
      <c r="BQ873" s="28"/>
      <c r="BR873" s="29"/>
      <c r="BS873" s="29"/>
      <c r="BT873" s="28"/>
      <c r="BU873" s="28"/>
      <c r="BV873" s="29"/>
      <c r="BW873" s="28"/>
      <c r="BX873" s="28"/>
      <c r="BY873" s="28"/>
      <c r="BZ873" s="28"/>
    </row>
  </sheetData>
  <sheetProtection sheet="1" objects="1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S19"/>
  <sheetViews>
    <sheetView topLeftCell="P1" workbookViewId="0">
      <selection activeCell="P1" sqref="$A1:$XFD1048576"/>
    </sheetView>
  </sheetViews>
  <sheetFormatPr defaultColWidth="46.9416666666667" defaultRowHeight="28.8"/>
  <cols>
    <col min="1" max="1" width="56.6666666666667" style="22" customWidth="1"/>
    <col min="2" max="2" width="39.7333333333333" style="22" customWidth="1"/>
    <col min="3" max="3" width="70.6" style="22" customWidth="1"/>
    <col min="4" max="4" width="15.9333333333333" style="22" customWidth="1"/>
    <col min="5" max="5" width="23.3333333333333" style="22" customWidth="1"/>
    <col min="6" max="6" width="15.9333333333333" style="22" customWidth="1"/>
    <col min="7" max="7" width="46.6" style="22" customWidth="1"/>
    <col min="8" max="8" width="36.2" style="22" customWidth="1"/>
    <col min="9" max="9" width="18.2" style="22" customWidth="1"/>
    <col min="10" max="10" width="86.5333333333333" style="22" customWidth="1"/>
    <col min="11" max="11" width="23.3333333333333" style="22" customWidth="1"/>
    <col min="12" max="12" width="38.1333333333333" style="22" customWidth="1"/>
    <col min="13" max="13" width="130.666666666667" style="22" customWidth="1"/>
    <col min="14" max="14" width="41.9333333333333" style="22" customWidth="1"/>
    <col min="15" max="15" width="15.9333333333333" style="22" customWidth="1"/>
    <col min="16" max="16" width="165.866666666667" style="22" customWidth="1"/>
    <col min="17" max="18" width="15.9333333333333" style="22" customWidth="1"/>
    <col min="19" max="19" width="1.46666666666667" style="22" customWidth="1"/>
    <col min="20" max="16382" width="46.9416666666667" style="22" customWidth="1"/>
    <col min="16383" max="16384" width="46.9416666666667" style="23" customWidth="1"/>
  </cols>
  <sheetData>
    <row r="1" spans="1:19">
      <c r="A1" s="22" vm="2" t="e" cm="1">
        <f t="array" ref="A1">_xlfn.UNIQUE(_xlfn._xlws.FILTER(问单数据源!AN:AN,问单数据源!AN:AN&lt;&gt;""))</f>
        <v>#VALUE!</v>
      </c>
      <c r="B1" s="22" t="s">
        <v>42</v>
      </c>
      <c r="C1" s="22" t="s">
        <v>43</v>
      </c>
      <c r="D1" s="22" t="s">
        <v>44</v>
      </c>
      <c r="E1" s="22" t="s">
        <v>45</v>
      </c>
      <c r="F1" s="22" t="s">
        <v>46</v>
      </c>
      <c r="G1" s="22" t="str">
        <f>SUBSTITUTE(问单展示板!A1,"店","冷链化冻核实:")</f>
        <v>苏州盛博广场冷链化冻核实:</v>
      </c>
      <c r="H1" s="22" vm="2" t="e" cm="1">
        <f t="array" ref="H1">TRANSPOSE(_xlfn.UNIQUE(_xlfn._xlws.FILTER(问单数据源!A1:CC1,问单数据源!A1:CC1&lt;&gt;"")))</f>
        <v>#VALUE!</v>
      </c>
      <c r="I1" s="22" t="s">
        <v>47</v>
      </c>
      <c r="J1" s="22" t="s">
        <v>48</v>
      </c>
      <c r="K1" s="22" t="s">
        <v>49</v>
      </c>
      <c r="L1" s="22" t="s">
        <v>50</v>
      </c>
      <c r="M1" s="22" t="s">
        <v>51</v>
      </c>
      <c r="N1" s="22" t="s">
        <v>52</v>
      </c>
      <c r="O1" s="22" t="s">
        <v>53</v>
      </c>
      <c r="P1" s="22" t="s">
        <v>54</v>
      </c>
      <c r="Q1" s="22" t="s">
        <v>55</v>
      </c>
      <c r="R1" s="22" t="s">
        <v>56</v>
      </c>
    </row>
    <row r="2" ht="58" spans="1:19">
      <c r="B2" s="22" vm="1" t="e" cm="1">
        <f t="array" ref="B2">_xlfn._xlws.FILTER(问单数据源!BG:BG,(问单数据源!H:H=B1)*(问单数据源!AN:AN=问单展示板!A1))</f>
        <v>#VALUE!</v>
      </c>
      <c r="C2" s="22" vm="1" t="e" cm="1">
        <f t="array" ref="C2">_xlfn._xlws.FILTER(问单数据源!N:N,(问单数据源!H:H=B1)*(问单数据源!AN:AN=问单展示板!A1))</f>
        <v>#VALUE!</v>
      </c>
      <c r="D2" s="22" t="s">
        <v>57</v>
      </c>
      <c r="E2" s="22" t="s">
        <v>58</v>
      </c>
      <c r="F2" s="22" t="s">
        <v>59</v>
      </c>
      <c r="I2" s="24" t="str" cm="1">
        <f t="array" ref="I2">_xlfn.LET(_xlpm.数据源,问单数据源!$A$1:$BZ$10000,_xlpm.标题行,问单数据源!$A$1:$BZ$1,_xlpm.筛选列,MATCH(I1,_xlpm.标题行,0),_xlpm.筛选条件列,问单数据源!$AN$1:$AN$10000,_xlpm.条件值,问单展示板!$A1,_xlpm.匹配数据,INDEX(_xlpm.数据源,,_xlpm.筛选列),IFERROR(_xlfn._xlws.FILTER(_xlpm.匹配数据,_xlpm.筛选条件列=_xlpm.条件值),"未找到匹配项"))</f>
        <v>未找到匹配项</v>
      </c>
      <c r="J2" s="24" t="str" cm="1">
        <f t="array" ref="J2">_xlfn.LET(_xlpm.数据源,问单数据源!$A$1:$BZ$10000,_xlpm.标题行,问单数据源!$A$1:$BZ$1,_xlpm.筛选列,MATCH(J1,_xlpm.标题行,0),_xlpm.筛选条件列,问单数据源!$AN$1:$AN$10000,_xlpm.条件值,问单展示板!$A1,_xlpm.匹配数据,INDEX(_xlpm.数据源,,_xlpm.筛选列),IFERROR(_xlfn._xlws.FILTER(_xlpm.匹配数据,_xlpm.筛选条件列=_xlpm.条件值),"未找到匹配项"))</f>
        <v>未找到匹配项</v>
      </c>
      <c r="K2" s="24" t="str" cm="1">
        <f t="array" ref="K2">_xlfn.LET(_xlpm.数据源,问单数据源!$A$1:$BZ$10000,_xlpm.标题行,问单数据源!$A$1:$BZ$1,_xlpm.筛选列,MATCH(K1,_xlpm.标题行,0),_xlpm.筛选条件列,问单数据源!$AN$1:$AN$10000,_xlpm.条件值,问单展示板!$A1,_xlpm.匹配数据,INDEX(_xlpm.数据源,,_xlpm.筛选列),IFERROR(_xlfn._xlws.FILTER(_xlpm.匹配数据,_xlpm.筛选条件列=_xlpm.条件值),"未找到匹配项"))</f>
        <v>未找到匹配项</v>
      </c>
      <c r="L2" s="24" t="str" cm="1">
        <f t="array" ref="L2">_xlfn.LET(_xlpm.数据源,问单数据源!$A$1:$BZ$10000,_xlpm.标题行,问单数据源!$A$1:$BZ$1,_xlpm.筛选列,MATCH(L1,_xlpm.标题行,0),_xlpm.筛选条件列,问单数据源!$AN$1:$AN$10000,_xlpm.条件值,问单展示板!$A1,_xlpm.匹配数据,INDEX(_xlpm.数据源,,_xlpm.筛选列),IFERROR(_xlfn._xlws.FILTER(_xlpm.匹配数据,_xlpm.筛选条件列=_xlpm.条件值),"未找到匹配项"))</f>
        <v>未找到匹配项</v>
      </c>
      <c r="M2" s="24" t="str" cm="1">
        <f t="array" ref="M2">_xlfn.LET(_xlpm.数据源,问单数据源!$A$1:$BZ$10000,_xlpm.标题行,问单数据源!$A$1:$BZ$1,_xlpm.筛选列,MATCH(M1,_xlpm.标题行,0),_xlpm.筛选条件列,问单数据源!$AN$1:$AN$10000,_xlpm.条件值,问单展示板!$A1,_xlpm.匹配数据,INDEX(_xlpm.数据源,,_xlpm.筛选列),IFERROR(_xlfn._xlws.FILTER(_xlpm.匹配数据,_xlpm.筛选条件列=_xlpm.条件值),"未找到匹配项"))</f>
        <v>未找到匹配项</v>
      </c>
      <c r="N2" s="24" t="str" cm="1">
        <f t="array" ref="N2">_xlfn.LET(_xlpm.数据源,问单数据源!$A$1:$BZ$10000,_xlpm.标题行,问单数据源!$A$1:$BZ$1,_xlpm.筛选列,MATCH(N1,_xlpm.标题行,0),_xlpm.筛选条件列,问单数据源!$AN$1:$AN$10000,_xlpm.条件值,问单展示板!$A1,_xlpm.匹配数据,INDEX(_xlpm.数据源,,_xlpm.筛选列),IFERROR(_xlfn._xlws.FILTER(_xlpm.匹配数据,_xlpm.筛选条件列=_xlpm.条件值),"未找到匹配项"))</f>
        <v>未找到匹配项</v>
      </c>
      <c r="O2" s="24" t="str" cm="1">
        <f t="array" ref="O2">_xlfn.LET(_xlpm.数据源,问单数据源!$A$1:$BZ$10000,_xlpm.标题行,问单数据源!$A$1:$BZ$1,_xlpm.筛选列,MATCH(O1,_xlpm.标题行,0),_xlpm.筛选条件列,问单数据源!$AN$1:$AN$10000,_xlpm.条件值,问单展示板!$A1,_xlpm.匹配数据,INDEX(_xlpm.数据源,,_xlpm.筛选列),IFERROR(_xlfn._xlws.FILTER(_xlpm.匹配数据,_xlpm.筛选条件列=_xlpm.条件值),"未找到匹配项"))</f>
        <v>未找到匹配项</v>
      </c>
      <c r="P2" s="24" t="str" cm="1">
        <f t="array" ref="P2">_xlfn.LET(_xlpm.数据源,问单数据源!$A$1:$BZ$10000,_xlpm.标题行,问单数据源!$A$1:$BZ$1,_xlpm.筛选列,MATCH(P1,_xlpm.标题行,0),_xlpm.筛选条件列,问单数据源!$AN$1:$AN$10000,_xlpm.条件值,问单展示板!$A1,_xlpm.匹配数据,INDEX(_xlpm.数据源,,_xlpm.筛选列),IFERROR(_xlfn._xlws.FILTER(_xlpm.匹配数据,_xlpm.筛选条件列=_xlpm.条件值),"未找到匹配项"))</f>
        <v>未找到匹配项</v>
      </c>
      <c r="Q2" s="24" t="str" cm="1">
        <f t="array" ref="Q2">_xlfn.LET(_xlpm.数据源,问单数据源!$A$1:$BZ$10000,_xlpm.标题行,问单数据源!$A$1:$BZ$1,_xlpm.筛选列,MATCH(Q1,_xlpm.标题行,0),_xlpm.筛选条件列,问单数据源!$AN$1:$AN$10000,_xlpm.条件值,问单展示板!$A1,_xlpm.匹配数据,INDEX(_xlpm.数据源,,_xlpm.筛选列),IFERROR(_xlfn._xlws.FILTER(_xlpm.匹配数据,_xlpm.筛选条件列=_xlpm.条件值),"未找到匹配项"))</f>
        <v>未找到匹配项</v>
      </c>
      <c r="R2" s="24" t="str" cm="1">
        <f t="array" ref="R2">_xlfn.LET(_xlpm.数据源,问单数据源!$A$1:$BZ$10000,_xlpm.标题行,问单数据源!$A$1:$BZ$1,_xlpm.筛选列,MATCH(R1,_xlpm.标题行,0),_xlpm.筛选条件列,问单数据源!$AN$1:$AN$10000,_xlpm.条件值,问单展示板!$A1,_xlpm.匹配数据,INDEX(_xlpm.数据源,,_xlpm.筛选列),IFERROR(_xlfn._xlws.FILTER(_xlpm.匹配数据,_xlpm.筛选条件列=_xlpm.条件值),"未找到匹配项"))</f>
        <v>未找到匹配项</v>
      </c>
      <c r="S2" s="25" t="str">
        <f>IF(OR(LEFT(P2,7)="http://",LEFT(P2,8)="https://"),HYPERLINK(P2,"查看图片"),"")</f>
        <v/>
      </c>
    </row>
    <row r="3" spans="1:19">
      <c r="D3" s="22" t="s">
        <v>60</v>
      </c>
      <c r="E3" s="22" t="s">
        <v>61</v>
      </c>
      <c r="F3" s="22" t="s">
        <v>62</v>
      </c>
      <c r="S3" s="25"/>
    </row>
    <row r="4" spans="1:19">
      <c r="D4" s="22" t="s">
        <v>63</v>
      </c>
      <c r="S4" s="25"/>
    </row>
    <row r="5" spans="1:19">
      <c r="D5" s="22" t="s">
        <v>64</v>
      </c>
      <c r="S5" s="25"/>
    </row>
    <row r="6" spans="1:19">
      <c r="S6" s="25"/>
    </row>
    <row r="7" spans="1:19">
      <c r="S7" s="25"/>
    </row>
    <row r="8" spans="1:19">
      <c r="S8" s="25"/>
    </row>
    <row r="9" spans="1:19">
      <c r="S9" s="25"/>
    </row>
    <row r="10" spans="1:19">
      <c r="S10" s="25"/>
    </row>
    <row r="11" spans="1:19">
      <c r="S11" s="25"/>
    </row>
    <row r="12" spans="1:19">
      <c r="S12" s="25"/>
    </row>
    <row r="13" spans="1:19">
      <c r="S13" s="25"/>
    </row>
    <row r="14" spans="1:19">
      <c r="S14" s="25"/>
    </row>
    <row r="15" spans="1:19">
      <c r="S15" s="25"/>
    </row>
    <row r="16" spans="1:19">
      <c r="S16" s="25"/>
    </row>
    <row r="17" spans="19:19">
      <c r="S17" s="25"/>
    </row>
    <row r="18" spans="19:19">
      <c r="S18" s="25"/>
    </row>
    <row r="19" spans="19:19">
      <c r="S19" s="25"/>
    </row>
  </sheetData>
  <sheetProtection sheet="1" objects="1"/>
  <dataValidations count="1">
    <dataValidation type="list" allowBlank="1" showInputMessage="1" showErrorMessage="1" sqref="I1:R1">
      <formula1>$H:$H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20"/>
  <sheetViews>
    <sheetView workbookViewId="0">
      <selection activeCell="A1" sqref="A1"/>
    </sheetView>
  </sheetViews>
  <sheetFormatPr defaultColWidth="10.6666666666667" defaultRowHeight="14.25" customHeight="1"/>
  <cols>
    <col min="1" max="1" width="29.8333333333333" style="2" customWidth="1"/>
    <col min="2" max="2" width="14.5" style="2" customWidth="1"/>
    <col min="3" max="3" width="12.8333333333333" style="2" customWidth="1"/>
    <col min="4" max="4" width="17.3333333333333" style="2" customWidth="1"/>
    <col min="5" max="5" width="15.3333333333333" style="2" customWidth="1"/>
    <col min="6" max="6" width="11.1666666666667" style="2" customWidth="1"/>
    <col min="7" max="7" width="21.5" style="2" customWidth="1"/>
    <col min="8" max="8" width="29.8333333333333" style="2" customWidth="1"/>
    <col min="9" max="9" width="22.6666666666667" style="2" customWidth="1"/>
    <col min="10" max="22" width="10.6666666666667" style="2"/>
    <col min="23" max="40" width="10.6666666666667" style="4"/>
  </cols>
  <sheetData>
    <row r="1" s="1" customFormat="1" customHeight="1" spans="1:9">
      <c r="A1" s="5" t="s">
        <v>65</v>
      </c>
      <c r="B1" s="6" t="s">
        <v>66</v>
      </c>
      <c r="C1" s="6" t="s">
        <v>67</v>
      </c>
      <c r="D1" s="7" t="s">
        <v>68</v>
      </c>
      <c r="E1" s="7" t="s">
        <v>69</v>
      </c>
      <c r="F1" s="7" t="s">
        <v>70</v>
      </c>
      <c r="G1" s="8" t="s">
        <v>71</v>
      </c>
      <c r="H1" s="1" t="s">
        <v>72</v>
      </c>
      <c r="I1" s="1" t="s">
        <v>73</v>
      </c>
    </row>
    <row r="2" s="2" customFormat="1" ht="14" customHeight="1" spans="1:9">
      <c r="A2" s="9" t="s">
        <v>22</v>
      </c>
      <c r="B2" s="10"/>
      <c r="C2" s="11"/>
      <c r="D2" s="12"/>
      <c r="E2" s="12"/>
      <c r="F2" s="12"/>
      <c r="G2" s="13"/>
      <c r="I2" s="14"/>
    </row>
    <row r="3" s="2" customFormat="1" customHeight="1" spans="1:9">
      <c r="A3" s="15" t="s">
        <v>15</v>
      </c>
      <c r="B3" s="10"/>
      <c r="C3" s="16"/>
      <c r="D3" s="12"/>
      <c r="E3" s="12"/>
      <c r="F3" s="12"/>
      <c r="G3" s="13"/>
    </row>
    <row r="4" s="2" customFormat="1" customHeight="1" spans="1:9">
      <c r="A4" s="15" t="s">
        <v>27</v>
      </c>
      <c r="B4" s="10"/>
      <c r="C4" s="16"/>
      <c r="D4" s="12"/>
      <c r="E4" s="12"/>
      <c r="F4" s="12"/>
      <c r="G4" s="13"/>
    </row>
    <row r="5" s="2" customFormat="1" customHeight="1" spans="1:9">
      <c r="A5" s="15" t="s">
        <v>17</v>
      </c>
      <c r="B5" s="10"/>
      <c r="C5" s="16"/>
      <c r="D5" s="12"/>
      <c r="E5" s="12"/>
      <c r="F5" s="12"/>
      <c r="G5" s="13"/>
    </row>
    <row r="6" s="2" customFormat="1" customHeight="1" spans="1:9">
      <c r="A6" s="15" t="s">
        <v>13</v>
      </c>
      <c r="B6" s="10"/>
      <c r="C6" s="11"/>
      <c r="D6" s="12"/>
      <c r="E6" s="17"/>
      <c r="F6" s="17"/>
      <c r="G6" s="13"/>
    </row>
    <row r="7" s="2" customFormat="1" ht="17" customHeight="1" spans="1:9">
      <c r="A7" s="15" t="s">
        <v>11</v>
      </c>
      <c r="B7" s="10"/>
      <c r="C7" s="16"/>
      <c r="D7" s="12"/>
      <c r="E7" s="12"/>
      <c r="F7" s="12"/>
      <c r="G7" s="13"/>
    </row>
    <row r="8" s="2" customFormat="1" ht="15" customHeight="1" spans="1:9">
      <c r="A8" s="15" t="s">
        <v>24</v>
      </c>
      <c r="B8" s="10"/>
      <c r="C8" s="16"/>
      <c r="D8" s="12"/>
      <c r="E8" s="12"/>
      <c r="F8" s="12"/>
      <c r="G8" s="13"/>
    </row>
    <row r="9" s="2" customFormat="1" customHeight="1" spans="1:9">
      <c r="A9" s="15" t="s">
        <v>12</v>
      </c>
      <c r="B9" s="10"/>
      <c r="C9" s="16"/>
      <c r="D9" s="12"/>
      <c r="E9" s="12"/>
      <c r="F9" s="12"/>
      <c r="G9" s="13"/>
    </row>
    <row r="10" s="2" customFormat="1" customHeight="1" spans="1:9">
      <c r="A10" s="15" t="s">
        <v>21</v>
      </c>
      <c r="B10" s="10"/>
      <c r="C10" s="16"/>
      <c r="D10" s="12"/>
      <c r="E10" s="12"/>
      <c r="F10" s="12"/>
      <c r="G10" s="13"/>
    </row>
    <row r="11" s="2" customFormat="1" customHeight="1" spans="1:9">
      <c r="A11" s="15" t="s">
        <v>20</v>
      </c>
      <c r="B11" s="10"/>
      <c r="C11" s="11"/>
      <c r="D11" s="12"/>
      <c r="E11" s="12"/>
      <c r="F11" s="12"/>
      <c r="G11" s="13"/>
    </row>
    <row r="12" s="2" customFormat="1" customHeight="1" spans="1:9">
      <c r="A12" s="15" t="s">
        <v>23</v>
      </c>
      <c r="B12" s="10"/>
      <c r="C12" s="16"/>
      <c r="D12" s="12"/>
      <c r="E12" s="12"/>
      <c r="F12" s="12"/>
      <c r="G12" s="13"/>
    </row>
    <row r="13" s="2" customFormat="1" customHeight="1" spans="1:9">
      <c r="A13" s="15" t="s">
        <v>14</v>
      </c>
      <c r="B13" s="10"/>
      <c r="C13" s="16"/>
      <c r="D13" s="12"/>
      <c r="E13" s="12"/>
      <c r="F13" s="12"/>
      <c r="G13" s="13"/>
    </row>
    <row r="14" s="2" customFormat="1" ht="14" customHeight="1" spans="1:9">
      <c r="A14" s="15" t="s">
        <v>26</v>
      </c>
      <c r="B14" s="10"/>
      <c r="C14" s="16"/>
      <c r="D14" s="12"/>
      <c r="E14" s="12"/>
      <c r="F14" s="12"/>
      <c r="G14" s="13"/>
      <c r="H14" s="14"/>
    </row>
    <row r="15" s="2" customFormat="1" customHeight="1" spans="1:9">
      <c r="A15" s="15" t="s">
        <v>19</v>
      </c>
      <c r="B15" s="10"/>
      <c r="C15" s="16"/>
      <c r="D15" s="12"/>
      <c r="E15" s="12"/>
      <c r="F15" s="12"/>
      <c r="G15" s="13"/>
    </row>
    <row r="16" s="2" customFormat="1" customHeight="1" spans="1:9">
      <c r="A16" s="15" t="s">
        <v>28</v>
      </c>
      <c r="B16" s="10"/>
      <c r="C16" s="16"/>
      <c r="D16" s="12"/>
      <c r="E16" s="12"/>
      <c r="F16" s="12"/>
      <c r="G16" s="13"/>
    </row>
    <row r="17" s="2" customFormat="1" customHeight="1" spans="1:7">
      <c r="A17" s="15" t="s">
        <v>18</v>
      </c>
      <c r="B17" s="10"/>
      <c r="C17" s="16"/>
      <c r="D17" s="12"/>
      <c r="E17" s="12"/>
      <c r="F17" s="12"/>
      <c r="G17" s="13"/>
    </row>
    <row r="18" s="2" customFormat="1" customHeight="1" spans="1:7">
      <c r="A18" s="15" t="s">
        <v>25</v>
      </c>
      <c r="B18" s="10"/>
      <c r="C18" s="16"/>
      <c r="D18" s="12"/>
      <c r="E18" s="12"/>
      <c r="F18" s="12"/>
      <c r="G18" s="13"/>
    </row>
    <row r="19" s="2" customFormat="1" customHeight="1" spans="1:7">
      <c r="A19" s="15" t="s">
        <v>10</v>
      </c>
      <c r="B19" s="10"/>
      <c r="C19" s="16"/>
      <c r="D19" s="12"/>
      <c r="E19" s="12"/>
      <c r="F19" s="12"/>
      <c r="G19" s="13"/>
    </row>
    <row r="20" s="3" customFormat="1" customHeight="1" spans="1:7">
      <c r="A20" s="5" t="s">
        <v>74</v>
      </c>
      <c r="B20" s="18"/>
      <c r="C20" s="19"/>
      <c r="D20" s="20"/>
      <c r="E20" s="20"/>
      <c r="F20" s="20"/>
      <c r="G20" s="21"/>
    </row>
  </sheetData>
  <conditionalFormatting sqref="B2">
    <cfRule type="colorScale" priority="2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">
    <cfRule type="colorScale" priority="204">
      <colorScale>
        <cfvo type="min"/>
        <cfvo type="max"/>
        <color rgb="FF63BE7B"/>
        <color rgb="FFFCFCFF"/>
      </colorScale>
    </cfRule>
    <cfRule type="colorScale" priority="2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">
    <cfRule type="colorScale" priority="2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">
    <cfRule type="colorScale" priority="2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8">
    <cfRule type="colorScale" priority="2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8">
    <cfRule type="colorScale" priority="2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:B19">
    <cfRule type="colorScale" priority="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:B19">
    <cfRule type="colorScale" priority="2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C19"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D19">
    <cfRule type="colorScale" priority="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19">
    <cfRule type="colorScale" priority="1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9"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9">
    <cfRule type="colorScale" priority="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:G19">
    <cfRule type="colorScale" priority="214">
      <colorScale>
        <cfvo type="min"/>
        <cfvo type="max"/>
        <color rgb="FF63BE7B"/>
        <color rgb="FFFCFCFF"/>
      </colorScale>
    </cfRule>
    <cfRule type="colorScale" priority="2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:B5 B7:B17 B19">
    <cfRule type="colorScale" priority="2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7:G17 G3:G5 G19">
    <cfRule type="colorScale" priority="2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14" master="" otherUserPermission="visible"/>
  <rangeList sheetStid="18" master="" otherUserPermission="visible"/>
  <rangeList sheetStid="12" master="" otherUserPermission="visible"/>
  <rangeList sheetStid="16" master="" otherUserPermission="visible"/>
  <rangeList sheetStid="1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服务排名</vt:lpstr>
      <vt:lpstr>问单展示板</vt:lpstr>
      <vt:lpstr>冷链化冻</vt:lpstr>
      <vt:lpstr>问单数据源</vt:lpstr>
      <vt:lpstr>代码</vt:lpstr>
      <vt:lpstr>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少星</cp:lastModifiedBy>
  <dcterms:created xsi:type="dcterms:W3CDTF">2006-09-28T00:00:00Z</dcterms:created>
  <dcterms:modified xsi:type="dcterms:W3CDTF">2026-01-08T14:11:06Z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5E2C74912C8BF797B8C66068985D4902_43</vt:lpwstr>
  </property>
  <property fmtid="{D5CDD505-2E9C-101B-9397-08002B2CF9AE}" pid="3" name="KSOProductBuildVer">
    <vt:lpwstr>2052-12.1.24031.24031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