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480"/>
  </bookViews>
  <sheets>
    <sheet name="时段出勤" sheetId="1" r:id="rId1"/>
    <sheet name="员工信息表" sheetId="3" r:id="rId2"/>
    <sheet name="员工流水" sheetId="4" r:id="rId3"/>
    <sheet name="排班表" sheetId="7" r:id="rId4"/>
    <sheet name="入转离" sheetId="5" r:id="rId5"/>
    <sheet name="代码" sheetId="6" r:id="rId6"/>
    <sheet name="代码记录" sheetId="2" r:id="rId7"/>
    <sheet name="使用说明" sheetId="8" r:id="rId8"/>
  </sheets>
  <definedNames>
    <definedName name="_xlnm._FilterDatabase" localSheetId="2" hidden="1">员工流水!$A$1:$S$31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<sst xmlns="http://schemas.openxmlformats.org/spreadsheetml/2006/main" count="61" uniqueCount="55">
  <si>
    <t>压力值</t>
  </si>
  <si>
    <t>时段人数</t>
  </si>
  <si>
    <t>排休</t>
  </si>
  <si>
    <t>出勤</t>
  </si>
  <si>
    <t>时段</t>
  </si>
  <si>
    <t>总运力</t>
  </si>
  <si>
    <t>全职</t>
  </si>
  <si>
    <t>盒心</t>
  </si>
  <si>
    <t>灵活</t>
  </si>
  <si>
    <t>空</t>
  </si>
  <si>
    <t>请假</t>
  </si>
  <si>
    <t>离职</t>
  </si>
  <si>
    <t>有工作</t>
  </si>
  <si>
    <t>支援</t>
  </si>
  <si>
    <t>自定义</t>
  </si>
  <si>
    <t>类型</t>
  </si>
  <si>
    <t>备注</t>
  </si>
  <si>
    <t>时间</t>
  </si>
  <si>
    <t>配送员</t>
  </si>
  <si>
    <t>备注标签</t>
  </si>
  <si>
    <t>周嘉顺</t>
  </si>
  <si>
    <t>07:30-20:30</t>
  </si>
  <si>
    <t>休假</t>
  </si>
  <si>
    <t>出勤人数</t>
  </si>
  <si>
    <t>星期</t>
  </si>
  <si>
    <t>未排班</t>
  </si>
  <si>
    <t>姓名</t>
  </si>
  <si>
    <t>是否出勤</t>
  </si>
  <si>
    <t>出勤时段拆分</t>
  </si>
  <si>
    <t>是</t>
  </si>
  <si>
    <t>开始时间</t>
  </si>
  <si>
    <t>结束时间</t>
  </si>
  <si>
    <t>假</t>
  </si>
  <si>
    <t>时间段条件格式</t>
  </si>
  <si>
    <t>AND(C$1&gt;=$A2,C$1&lt;=$B2)</t>
  </si>
  <si>
    <t>判断是</t>
  </si>
  <si>
    <t>IF(AND(C$2&gt;=$A3, C$2&lt;=$B3), "是", "否")</t>
  </si>
  <si>
    <t>提取开始时间</t>
  </si>
  <si>
    <t>IFERROR(TIMEVALUE(LEFT(B3,FIND("-",B3)-1)),"")</t>
  </si>
  <si>
    <t>提取结束时间</t>
  </si>
  <si>
    <t>IFERROR(TIMEVALUE(RIGHT(B3,LEN(B3)-FIND("-",B3))),"")</t>
  </si>
  <si>
    <t>时段出勤人数</t>
  </si>
  <si>
    <t>COUNTIF(E3:E150,"是")</t>
  </si>
  <si>
    <t>获得姓名其他列</t>
  </si>
  <si>
    <t>IFERROR(VLOOKUP(A3,员工分层!A:B,2,FALSE),"0")</t>
  </si>
  <si>
    <t>获得出勤模版</t>
  </si>
  <si>
    <t>FILTER(Sheet1!A2:A100,INDEX(Sheet1!B2:J100,,MATCH(Sheet2!A1,Sheet1!B1:J1,0))="是","无匹配结果")</t>
  </si>
  <si>
    <t>获得出勤名单</t>
  </si>
  <si>
    <t>FILTER(排班表!A3:A150,INDEX(排班表!B3:AF150,,MATCH(A1,排班表!B2:AF2,0))="是","无匹配结果")</t>
  </si>
  <si>
    <t>获得最新员工数据</t>
  </si>
  <si>
    <t>XLOOKUP(1,(员工流水!$B:$B=$A2)*(员工流水!$A:$A=MAX(IF(员工流水!$B:$B=$A2,员工流水!$A:$A))),员工流水!C:C,"未知")</t>
  </si>
  <si>
    <t>提取AB两列唯一值</t>
  </si>
  <si>
    <t>UNIQUE(VSTACK(入转离!A2:A150,B4:B150),,TRUE)</t>
  </si>
  <si>
    <t>所有加密1234密码仅防止误操作，防呆加密</t>
  </si>
  <si>
    <t>支持排班表，员工信息，时段热力图，未排班明细等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</si>
</sst>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_ "/>
    <numFmt numFmtId="178" formatCode="yyyy&quot;年&quot;m&quot;月&quot;;@"/>
    <numFmt numFmtId="179" formatCode="[$-804]aaa;@"/>
    <numFmt numFmtId="180" formatCode="d&quot;号&quot;"/>
    <numFmt numFmtId="181" formatCode="yyyy&quot;年&quot;m&quot;月&quot;d&quot;日&quot;;@"/>
  </numFmts>
  <fonts count="31">
    <font>
      <sz val="11"/>
      <color theme="1"/>
      <name val="等线"/>
      <charset val="134"/>
      <scheme val="minor"/>
    </font>
    <font>
      <sz val="20"/>
      <color theme="1"/>
      <name val="Kaiti SC Regular"/>
      <charset val="134"/>
    </font>
    <font>
      <sz val="20"/>
      <color theme="1"/>
      <name val="Kaiti SC Black"/>
      <charset val="134"/>
    </font>
    <font>
      <sz val="11"/>
      <color indexed="8"/>
      <name val="等线"/>
      <charset val="134"/>
      <scheme val="minor"/>
    </font>
    <font>
      <sz val="16"/>
      <color theme="1"/>
      <name val="Kaiti SC Regular"/>
      <charset val="134"/>
    </font>
    <font>
      <b/>
      <sz val="12"/>
      <name val="等线"/>
      <charset val="134"/>
    </font>
    <font>
      <sz val="10"/>
      <name val="等线"/>
      <charset val="134"/>
    </font>
    <font>
      <b/>
      <sz val="14"/>
      <name val="Microsoft YaHei"/>
      <charset val="134"/>
    </font>
    <font>
      <b/>
      <sz val="14"/>
      <name val="等线"/>
      <charset val="134"/>
    </font>
    <font>
      <b/>
      <sz val="10"/>
      <name val="等线"/>
      <charset val="134"/>
    </font>
    <font>
      <b/>
      <sz val="10"/>
      <color rgb="FFFE0300"/>
      <name val="等线"/>
      <charset val="134"/>
    </font>
    <font>
      <b/>
      <sz val="16"/>
      <color theme="1"/>
      <name val="Kaiti SC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8" borderId="4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NumberFormat="1" applyFont="1" applyAlignment="1" applyProtection="1">
      <alignment horizontal="center" vertical="center" shrinkToFit="1"/>
      <protection hidden="1"/>
    </xf>
    <xf numFmtId="0" fontId="4" fillId="0" borderId="0" xfId="0" applyNumberFormat="1" applyFont="1" applyAlignment="1" applyProtection="1">
      <alignment horizontal="center" vertical="center" shrinkToFit="1"/>
      <protection locked="0"/>
    </xf>
    <xf numFmtId="177" fontId="4" fillId="2" borderId="0" xfId="0" applyNumberFormat="1" applyFont="1" applyFill="1" applyAlignment="1" applyProtection="1">
      <alignment vertical="center" shrinkToFit="1"/>
      <protection locked="0"/>
    </xf>
    <xf numFmtId="0" fontId="4" fillId="2" borderId="0" xfId="0" applyNumberFormat="1" applyFont="1" applyFill="1" applyAlignment="1" applyProtection="1">
      <alignment horizontal="center" vertical="center" shrinkToFit="1"/>
      <protection hidden="1"/>
    </xf>
    <xf numFmtId="178" fontId="4" fillId="2" borderId="0" xfId="0" applyNumberFormat="1" applyFont="1" applyFill="1" applyAlignment="1" applyProtection="1">
      <alignment vertical="center" shrinkToFit="1"/>
      <protection hidden="1"/>
    </xf>
    <xf numFmtId="0" fontId="4" fillId="3" borderId="0" xfId="0" applyNumberFormat="1" applyFont="1" applyFill="1" applyAlignment="1" applyProtection="1">
      <alignment horizontal="center" vertical="center" shrinkToFit="1"/>
      <protection hidden="1"/>
    </xf>
    <xf numFmtId="179" fontId="4" fillId="3" borderId="0" xfId="0" applyNumberFormat="1" applyFont="1" applyFill="1" applyAlignment="1" applyProtection="1">
      <alignment horizontal="center" vertical="center" shrinkToFit="1"/>
      <protection hidden="1"/>
    </xf>
    <xf numFmtId="180" fontId="4" fillId="2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Alignment="1">
      <alignment horizontal="center" vertical="center" shrinkToFit="1"/>
    </xf>
    <xf numFmtId="58" fontId="1" fillId="0" borderId="0" xfId="0" applyNumberFormat="1" applyFont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shrinkToFit="1"/>
      <protection hidden="1"/>
    </xf>
    <xf numFmtId="0" fontId="1" fillId="0" borderId="0" xfId="0" applyFont="1" applyAlignment="1" applyProtection="1">
      <alignment horizontal="left" vertical="center" shrinkToFit="1"/>
      <protection hidden="1"/>
    </xf>
    <xf numFmtId="0" fontId="1" fillId="2" borderId="0" xfId="0" applyFont="1" applyFill="1" applyAlignment="1" applyProtection="1">
      <alignment horizontal="center" vertical="center" shrinkToFit="1"/>
      <protection hidden="1"/>
    </xf>
    <xf numFmtId="0" fontId="1" fillId="4" borderId="0" xfId="0" applyFont="1" applyFill="1" applyAlignment="1" applyProtection="1">
      <alignment horizontal="center" vertical="center" shrinkToFit="1"/>
      <protection hidden="1"/>
    </xf>
    <xf numFmtId="0" fontId="1" fillId="3" borderId="0" xfId="0" applyFont="1" applyFill="1" applyAlignment="1" applyProtection="1">
      <alignment horizontal="center" vertical="center" shrinkToFit="1"/>
      <protection locked="0"/>
    </xf>
    <xf numFmtId="0" fontId="4" fillId="0" borderId="0" xfId="0" applyFont="1" applyAlignment="1" applyProtection="1">
      <alignment horizontal="center" vertical="center" shrinkToFit="1"/>
      <protection hidden="1"/>
    </xf>
    <xf numFmtId="181" fontId="4" fillId="5" borderId="0" xfId="0" applyNumberFormat="1" applyFont="1" applyFill="1" applyAlignment="1" applyProtection="1">
      <alignment horizontal="center" vertical="center" shrinkToFit="1"/>
      <protection locked="0" hidden="1"/>
    </xf>
    <xf numFmtId="0" fontId="4" fillId="2" borderId="0" xfId="0" applyFont="1" applyFill="1" applyAlignment="1" applyProtection="1">
      <alignment horizontal="center" vertical="center" shrinkToFit="1"/>
      <protection hidden="1"/>
    </xf>
    <xf numFmtId="0" fontId="4" fillId="4" borderId="0" xfId="0" applyFont="1" applyFill="1" applyAlignment="1" applyProtection="1">
      <alignment horizontal="center" vertical="center" shrinkToFit="1"/>
      <protection hidden="1"/>
    </xf>
    <xf numFmtId="176" fontId="11" fillId="2" borderId="0" xfId="0" applyNumberFormat="1" applyFont="1" applyFill="1" applyAlignment="1" applyProtection="1">
      <alignment horizontal="center" vertical="center" shrinkToFit="1"/>
      <protection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5">
    <dxf>
      <fill>
        <patternFill patternType="solid"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35"/>
        </patternFill>
      </fill>
    </dxf>
  </dxfs>
  <tableStyles count="0" defaultTableStyle="TableStyleMedium2" defaultPivotStyle="PivotStyleLight16"/>
  <colors>
    <mruColors>
      <color rgb="00FF8F8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microsoft.com/office/2017/06/relationships/rdRichValue" Target="richData/rdrichvalue.xml"/><Relationship Id="rId13" Type="http://schemas.microsoft.com/office/2017/06/relationships/rdRichValueStructure" Target="richData/rdrichvaluestructure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Spin" dx="16" fmlaLink="$A$2" max="12" min="1" page="10" val="6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</xdr:colOff>
          <xdr:row>0</xdr:row>
          <xdr:rowOff>635</xdr:rowOff>
        </xdr:from>
        <xdr:to>
          <xdr:col>0</xdr:col>
          <xdr:colOff>432435</xdr:colOff>
          <xdr:row>2</xdr:row>
          <xdr:rowOff>11430</xdr:rowOff>
        </xdr:to>
        <xdr:sp>
          <xdr:nvSpPr>
            <xdr:cNvPr id="1027" name="Spinner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35" y="635"/>
              <a:ext cx="431800" cy="6000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4"/>
  </sheetPr>
  <dimension ref="A1:AG100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M2" sqref="M2"/>
    </sheetView>
  </sheetViews>
  <sheetFormatPr defaultColWidth="10.2589285714286" defaultRowHeight="23.2"/>
  <cols>
    <col min="1" max="2" width="10.2857142857143" style="30" customWidth="1"/>
    <col min="3" max="3" width="15.3571428571429" style="30" customWidth="1"/>
    <col min="4" max="8" width="6.42857142857143" style="30" customWidth="1"/>
    <col min="9" max="33" width="7.78571428571429" style="30" customWidth="1"/>
    <col min="34" max="16384" width="10.2589285714286" style="30" customWidth="1"/>
  </cols>
  <sheetData>
    <row r="1" spans="1:33">
      <c r="A1" s="30" t="s">
        <v>0</v>
      </c>
      <c r="B1" s="30">
        <v>2.5</v>
      </c>
      <c r="C1" s="30">
        <f>SUM(D1:AG1)</f>
        <v>0</v>
      </c>
      <c r="D1" s="30">
        <f>D2*$B$1</f>
        <v>0</v>
      </c>
      <c r="E1" s="30">
        <f t="shared" ref="E1:AG1" si="0">E2*$B$1</f>
        <v>0</v>
      </c>
      <c r="F1" s="30">
        <f t="shared" si="0"/>
        <v>0</v>
      </c>
      <c r="G1" s="30">
        <f t="shared" si="0"/>
        <v>0</v>
      </c>
      <c r="H1" s="30">
        <f t="shared" si="0"/>
        <v>0</v>
      </c>
      <c r="I1" s="30">
        <f t="shared" si="0"/>
        <v>0</v>
      </c>
      <c r="J1" s="30">
        <f t="shared" si="0"/>
        <v>0</v>
      </c>
      <c r="K1" s="33">
        <f>(K2*$B$1)/2</f>
        <v>0</v>
      </c>
      <c r="L1" s="33">
        <f>(L2*$B$1)/2</f>
        <v>0</v>
      </c>
      <c r="M1" s="33">
        <f>(M2*$B$1)/2</f>
        <v>0</v>
      </c>
      <c r="N1" s="33">
        <f>(N2*$B$1)/2</f>
        <v>0</v>
      </c>
      <c r="O1" s="33">
        <f>(O2*$B$1)/2</f>
        <v>0</v>
      </c>
      <c r="P1" s="33">
        <f>(P2*$B$1)/2</f>
        <v>0</v>
      </c>
      <c r="Q1" s="30">
        <f t="shared" si="0"/>
        <v>0</v>
      </c>
      <c r="R1" s="30">
        <f t="shared" si="0"/>
        <v>0</v>
      </c>
      <c r="S1" s="30">
        <f t="shared" si="0"/>
        <v>0</v>
      </c>
      <c r="T1" s="30">
        <f t="shared" si="0"/>
        <v>0</v>
      </c>
      <c r="U1" s="30">
        <f t="shared" si="0"/>
        <v>0</v>
      </c>
      <c r="V1" s="30">
        <f t="shared" si="0"/>
        <v>0</v>
      </c>
      <c r="W1" s="30">
        <f t="shared" si="0"/>
        <v>0</v>
      </c>
      <c r="X1" s="30">
        <f t="shared" si="0"/>
        <v>0</v>
      </c>
      <c r="Y1" s="30">
        <f t="shared" si="0"/>
        <v>0</v>
      </c>
      <c r="Z1" s="30">
        <f t="shared" si="0"/>
        <v>0</v>
      </c>
      <c r="AA1" s="30">
        <f t="shared" si="0"/>
        <v>0</v>
      </c>
      <c r="AB1" s="30">
        <f t="shared" si="0"/>
        <v>0</v>
      </c>
      <c r="AC1" s="30">
        <f t="shared" si="0"/>
        <v>0</v>
      </c>
      <c r="AD1" s="30">
        <f t="shared" si="0"/>
        <v>0</v>
      </c>
      <c r="AE1" s="30">
        <f t="shared" si="0"/>
        <v>0</v>
      </c>
      <c r="AF1" s="30">
        <f t="shared" si="0"/>
        <v>0</v>
      </c>
      <c r="AG1" s="30">
        <f t="shared" si="0"/>
        <v>0</v>
      </c>
    </row>
    <row r="2" spans="1:33">
      <c r="A2" s="31">
        <v>45809</v>
      </c>
      <c r="B2" s="31"/>
      <c r="C2" s="32" t="s">
        <v>1</v>
      </c>
      <c r="D2" s="30">
        <f>COUNTIF(D4:D151,"是")</f>
        <v>0</v>
      </c>
      <c r="E2" s="30">
        <f t="shared" ref="E2:AG2" si="1">COUNTIF(E4:E151,"是")</f>
        <v>0</v>
      </c>
      <c r="F2" s="30">
        <f t="shared" si="1"/>
        <v>0</v>
      </c>
      <c r="G2" s="30">
        <f t="shared" si="1"/>
        <v>0</v>
      </c>
      <c r="H2" s="30">
        <f t="shared" si="1"/>
        <v>0</v>
      </c>
      <c r="I2" s="30">
        <f t="shared" si="1"/>
        <v>0</v>
      </c>
      <c r="J2" s="30">
        <f t="shared" si="1"/>
        <v>0</v>
      </c>
      <c r="K2" s="30">
        <f t="shared" si="1"/>
        <v>0</v>
      </c>
      <c r="L2" s="30">
        <f t="shared" si="1"/>
        <v>0</v>
      </c>
      <c r="M2" s="30">
        <f t="shared" si="1"/>
        <v>0</v>
      </c>
      <c r="N2" s="30">
        <f t="shared" si="1"/>
        <v>0</v>
      </c>
      <c r="O2" s="30">
        <f t="shared" si="1"/>
        <v>0</v>
      </c>
      <c r="P2" s="30">
        <f t="shared" si="1"/>
        <v>0</v>
      </c>
      <c r="Q2" s="30">
        <f t="shared" si="1"/>
        <v>0</v>
      </c>
      <c r="R2" s="30">
        <f t="shared" si="1"/>
        <v>0</v>
      </c>
      <c r="S2" s="30">
        <f t="shared" si="1"/>
        <v>0</v>
      </c>
      <c r="T2" s="30">
        <f t="shared" si="1"/>
        <v>0</v>
      </c>
      <c r="U2" s="30">
        <f t="shared" si="1"/>
        <v>0</v>
      </c>
      <c r="V2" s="30">
        <f t="shared" si="1"/>
        <v>0</v>
      </c>
      <c r="W2" s="30">
        <f t="shared" si="1"/>
        <v>0</v>
      </c>
      <c r="X2" s="30">
        <f t="shared" si="1"/>
        <v>0</v>
      </c>
      <c r="Y2" s="30">
        <f t="shared" si="1"/>
        <v>0</v>
      </c>
      <c r="Z2" s="30">
        <f t="shared" si="1"/>
        <v>0</v>
      </c>
      <c r="AA2" s="30">
        <f t="shared" si="1"/>
        <v>0</v>
      </c>
      <c r="AB2" s="30">
        <f t="shared" si="1"/>
        <v>0</v>
      </c>
      <c r="AC2" s="30">
        <f t="shared" si="1"/>
        <v>0</v>
      </c>
      <c r="AD2" s="30">
        <f t="shared" si="1"/>
        <v>0</v>
      </c>
      <c r="AE2" s="30">
        <f t="shared" si="1"/>
        <v>0</v>
      </c>
      <c r="AF2" s="30">
        <f t="shared" si="1"/>
        <v>0</v>
      </c>
      <c r="AG2" s="30">
        <f t="shared" si="1"/>
        <v>0</v>
      </c>
    </row>
    <row r="3" spans="1:33">
      <c r="A3" s="33" t="s">
        <v>2</v>
      </c>
      <c r="B3" s="32" t="s">
        <v>3</v>
      </c>
      <c r="C3" s="32" t="s">
        <v>4</v>
      </c>
      <c r="D3" s="34">
        <v>0.3125</v>
      </c>
      <c r="E3" s="34">
        <v>0.333333333333333</v>
      </c>
      <c r="F3" s="34">
        <v>0.354166666666667</v>
      </c>
      <c r="G3" s="34">
        <v>0.375</v>
      </c>
      <c r="H3" s="34">
        <v>0.395833333333333</v>
      </c>
      <c r="I3" s="34">
        <v>0.416666666666667</v>
      </c>
      <c r="J3" s="34">
        <v>0.4375</v>
      </c>
      <c r="K3" s="34">
        <v>0.458333333333333</v>
      </c>
      <c r="L3" s="34">
        <v>0.479166666666667</v>
      </c>
      <c r="M3" s="34">
        <v>0.5</v>
      </c>
      <c r="N3" s="34">
        <v>0.520833333333333</v>
      </c>
      <c r="O3" s="34">
        <v>0.541666666666667</v>
      </c>
      <c r="P3" s="34">
        <v>0.5625</v>
      </c>
      <c r="Q3" s="34">
        <v>0.583333333333333</v>
      </c>
      <c r="R3" s="34">
        <v>0.604166666666667</v>
      </c>
      <c r="S3" s="34">
        <v>0.625</v>
      </c>
      <c r="T3" s="34">
        <v>0.645833333333333</v>
      </c>
      <c r="U3" s="34">
        <v>0.666666666666667</v>
      </c>
      <c r="V3" s="34">
        <v>0.6875</v>
      </c>
      <c r="W3" s="34">
        <v>0.708333333333333</v>
      </c>
      <c r="X3" s="34">
        <v>0.729166666666667</v>
      </c>
      <c r="Y3" s="34">
        <v>0.75</v>
      </c>
      <c r="Z3" s="34">
        <v>0.770833333333333</v>
      </c>
      <c r="AA3" s="34">
        <v>0.791666666666667</v>
      </c>
      <c r="AB3" s="34">
        <v>0.8125</v>
      </c>
      <c r="AC3" s="34">
        <v>0.833333333333333</v>
      </c>
      <c r="AD3" s="34">
        <v>0.854166666666667</v>
      </c>
      <c r="AE3" s="34">
        <v>0.875</v>
      </c>
      <c r="AF3" s="34">
        <v>0.895833333333333</v>
      </c>
      <c r="AG3" s="34">
        <v>0.916666666666667</v>
      </c>
    </row>
    <row r="4" spans="1:33">
      <c r="A4" s="30" t="str" cm="1">
        <f t="array" ref="A4">_xlfn._xlws.FILTER(排班表!B5:B152,INDEX(排班表!C5:AG152,,MATCH(A2,排班表!C4:AG4,0))="假","无匹配")</f>
        <v>无匹配</v>
      </c>
      <c r="B4" s="30" t="str" cm="1">
        <f t="array" ref="B4">_xlfn._xlws.FILTER(排班表!B5:B152,INDEX(排班表!C5:AG152,,MATCH(A2,排班表!C4:AG4,0))="是","无匹配")</f>
        <v>无匹配</v>
      </c>
      <c r="C4" s="30" t="str">
        <f>IFERROR(VLOOKUP(B4,员工信息表!N:O,2,FALSE),"")</f>
        <v/>
      </c>
      <c r="D4" s="30" t="str">
        <f>IF(AND(D$3&gt;=代码!$D3,D$3&lt;=代码!$E3),"是","")</f>
        <v/>
      </c>
      <c r="E4" s="30" t="str">
        <f>IF(AND(E$3&gt;=代码!$D3,E$3&lt;=代码!$E3),"是","")</f>
        <v/>
      </c>
      <c r="F4" s="30" t="str">
        <f>IF(AND(F$3&gt;=代码!$D3,F$3&lt;=代码!$E3),"是","")</f>
        <v/>
      </c>
      <c r="G4" s="30" t="str">
        <f>IF(AND(G$3&gt;=代码!$D3,G$3&lt;=代码!$E3),"是","")</f>
        <v/>
      </c>
      <c r="H4" s="30" t="str">
        <f>IF(AND(H$3&gt;=代码!$D3,H$3&lt;=代码!$E3),"是","")</f>
        <v/>
      </c>
      <c r="I4" s="30" t="str">
        <f>IF(AND(I$3&gt;=代码!$D3,I$3&lt;=代码!$E3),"是","")</f>
        <v/>
      </c>
      <c r="J4" s="30" t="str">
        <f>IF(AND(J$3&gt;=代码!$D3,J$3&lt;=代码!$E3),"是","")</f>
        <v/>
      </c>
      <c r="K4" s="30" t="str">
        <f>IF(AND(K$3&gt;=代码!$D3,K$3&lt;=代码!$E3),"是","")</f>
        <v/>
      </c>
      <c r="L4" s="30" t="str">
        <f>IF(AND(L$3&gt;=代码!$D3,L$3&lt;=代码!$E3),"是","")</f>
        <v/>
      </c>
      <c r="M4" s="30" t="str">
        <f>IF(AND(M$3&gt;=代码!$D3,M$3&lt;=代码!$E3),"是","")</f>
        <v/>
      </c>
      <c r="N4" s="30" t="str">
        <f>IF(AND(N$3&gt;=代码!$D3,N$3&lt;=代码!$E3),"是","")</f>
        <v/>
      </c>
      <c r="O4" s="30" t="str">
        <f>IF(AND(O$3&gt;=代码!$D3,O$3&lt;=代码!$E3),"是","")</f>
        <v/>
      </c>
      <c r="P4" s="30" t="str">
        <f>IF(AND(P$3&gt;=代码!$D3,P$3&lt;=代码!$E3),"是","")</f>
        <v/>
      </c>
      <c r="Q4" s="30" t="str">
        <f>IF(AND(Q$3&gt;=代码!$D3,Q$3&lt;=代码!$E3),"是","")</f>
        <v/>
      </c>
      <c r="R4" s="30" t="str">
        <f>IF(AND(R$3&gt;=代码!$D3,R$3&lt;=代码!$E3),"是","")</f>
        <v/>
      </c>
      <c r="S4" s="30" t="str">
        <f>IF(AND(S$3&gt;=代码!$D3,S$3&lt;=代码!$E3),"是","")</f>
        <v/>
      </c>
      <c r="T4" s="30" t="str">
        <f>IF(AND(T$3&gt;=代码!$D3,T$3&lt;=代码!$E3),"是","")</f>
        <v/>
      </c>
      <c r="U4" s="30" t="str">
        <f>IF(AND(U$3&gt;=代码!$D3,U$3&lt;=代码!$E3),"是","")</f>
        <v/>
      </c>
      <c r="V4" s="30" t="str">
        <f>IF(AND(V$3&gt;=代码!$D3,V$3&lt;=代码!$E3),"是","")</f>
        <v/>
      </c>
      <c r="W4" s="30" t="str">
        <f>IF(AND(W$3&gt;=代码!$D3,W$3&lt;=代码!$E3),"是","")</f>
        <v/>
      </c>
      <c r="X4" s="30" t="str">
        <f>IF(AND(X$3&gt;=代码!$D3,X$3&lt;=代码!$E3),"是","")</f>
        <v/>
      </c>
      <c r="Y4" s="30" t="str">
        <f>IF(AND(Y$3&gt;=代码!$D3,Y$3&lt;=代码!$E3),"是","")</f>
        <v/>
      </c>
      <c r="Z4" s="30" t="str">
        <f>IF(AND(Z$3&gt;=代码!$D3,Z$3&lt;=代码!$E3),"是","")</f>
        <v/>
      </c>
      <c r="AA4" s="30" t="str">
        <f>IF(AND(AA$3&gt;=代码!$D3,AA$3&lt;=代码!$E3),"是","")</f>
        <v/>
      </c>
      <c r="AB4" s="30" t="str">
        <f>IF(AND(AB$3&gt;=代码!$D3,AB$3&lt;=代码!$E3),"是","")</f>
        <v/>
      </c>
      <c r="AC4" s="30" t="str">
        <f>IF(AND(AC$3&gt;=代码!$D3,AC$3&lt;=代码!$E3),"是","")</f>
        <v/>
      </c>
      <c r="AD4" s="30" t="str">
        <f>IF(AND(AD$3&gt;=代码!$D3,AD$3&lt;=代码!$E3),"是","")</f>
        <v/>
      </c>
      <c r="AE4" s="30" t="str">
        <f>IF(AND(AE$3&gt;=代码!$D3,AE$3&lt;=代码!$E3),"是","")</f>
        <v/>
      </c>
      <c r="AF4" s="30" t="str">
        <f>IF(AND(AF$3&gt;=代码!$D3,AF$3&lt;=代码!$E3),"是","")</f>
        <v/>
      </c>
      <c r="AG4" s="30" t="str">
        <f>IF(AND(AG$3&gt;=代码!$D3,AG$3&lt;=代码!$E3),"是","")</f>
        <v/>
      </c>
    </row>
    <row r="5" spans="3:33">
      <c r="C5" s="30" t="str">
        <f>IFERROR(VLOOKUP(B5,员工信息表!N:O,2,FALSE),"")</f>
        <v>时段</v>
      </c>
      <c r="D5" s="30" t="str">
        <f>IF(AND(D$3&gt;=代码!$D4,D$3&lt;=代码!$E4),"是","")</f>
        <v/>
      </c>
      <c r="E5" s="30" t="str">
        <f>IF(AND(E$3&gt;=代码!$D4,E$3&lt;=代码!$E4),"是","")</f>
        <v/>
      </c>
      <c r="F5" s="30" t="str">
        <f>IF(AND(F$3&gt;=代码!$D4,F$3&lt;=代码!$E4),"是","")</f>
        <v/>
      </c>
      <c r="G5" s="30" t="str">
        <f>IF(AND(G$3&gt;=代码!$D4,G$3&lt;=代码!$E4),"是","")</f>
        <v/>
      </c>
      <c r="H5" s="30" t="str">
        <f>IF(AND(H$3&gt;=代码!$D4,H$3&lt;=代码!$E4),"是","")</f>
        <v/>
      </c>
      <c r="I5" s="30" t="str">
        <f>IF(AND(I$3&gt;=代码!$D4,I$3&lt;=代码!$E4),"是","")</f>
        <v/>
      </c>
      <c r="J5" s="30" t="str">
        <f>IF(AND(J$3&gt;=代码!$D4,J$3&lt;=代码!$E4),"是","")</f>
        <v/>
      </c>
      <c r="K5" s="30" t="str">
        <f>IF(AND(K$3&gt;=代码!$D4,K$3&lt;=代码!$E4),"是","")</f>
        <v/>
      </c>
      <c r="L5" s="30" t="str">
        <f>IF(AND(L$3&gt;=代码!$D4,L$3&lt;=代码!$E4),"是","")</f>
        <v/>
      </c>
      <c r="M5" s="30" t="str">
        <f>IF(AND(M$3&gt;=代码!$D4,M$3&lt;=代码!$E4),"是","")</f>
        <v/>
      </c>
      <c r="N5" s="30" t="str">
        <f>IF(AND(N$3&gt;=代码!$D4,N$3&lt;=代码!$E4),"是","")</f>
        <v/>
      </c>
      <c r="O5" s="30" t="str">
        <f>IF(AND(O$3&gt;=代码!$D4,O$3&lt;=代码!$E4),"是","")</f>
        <v/>
      </c>
      <c r="P5" s="30" t="str">
        <f>IF(AND(P$3&gt;=代码!$D4,P$3&lt;=代码!$E4),"是","")</f>
        <v/>
      </c>
      <c r="Q5" s="30" t="str">
        <f>IF(AND(Q$3&gt;=代码!$D4,Q$3&lt;=代码!$E4),"是","")</f>
        <v/>
      </c>
      <c r="R5" s="30" t="str">
        <f>IF(AND(R$3&gt;=代码!$D4,R$3&lt;=代码!$E4),"是","")</f>
        <v/>
      </c>
      <c r="S5" s="30" t="str">
        <f>IF(AND(S$3&gt;=代码!$D4,S$3&lt;=代码!$E4),"是","")</f>
        <v/>
      </c>
      <c r="T5" s="30" t="str">
        <f>IF(AND(T$3&gt;=代码!$D4,T$3&lt;=代码!$E4),"是","")</f>
        <v/>
      </c>
      <c r="U5" s="30" t="str">
        <f>IF(AND(U$3&gt;=代码!$D4,U$3&lt;=代码!$E4),"是","")</f>
        <v/>
      </c>
      <c r="V5" s="30" t="str">
        <f>IF(AND(V$3&gt;=代码!$D4,V$3&lt;=代码!$E4),"是","")</f>
        <v/>
      </c>
      <c r="W5" s="30" t="str">
        <f>IF(AND(W$3&gt;=代码!$D4,W$3&lt;=代码!$E4),"是","")</f>
        <v/>
      </c>
      <c r="X5" s="30" t="str">
        <f>IF(AND(X$3&gt;=代码!$D4,X$3&lt;=代码!$E4),"是","")</f>
        <v/>
      </c>
      <c r="Y5" s="30" t="str">
        <f>IF(AND(Y$3&gt;=代码!$D4,Y$3&lt;=代码!$E4),"是","")</f>
        <v/>
      </c>
      <c r="Z5" s="30" t="str">
        <f>IF(AND(Z$3&gt;=代码!$D4,Z$3&lt;=代码!$E4),"是","")</f>
        <v/>
      </c>
      <c r="AA5" s="30" t="str">
        <f>IF(AND(AA$3&gt;=代码!$D4,AA$3&lt;=代码!$E4),"是","")</f>
        <v/>
      </c>
      <c r="AB5" s="30" t="str">
        <f>IF(AND(AB$3&gt;=代码!$D4,AB$3&lt;=代码!$E4),"是","")</f>
        <v/>
      </c>
      <c r="AC5" s="30" t="str">
        <f>IF(AND(AC$3&gt;=代码!$D4,AC$3&lt;=代码!$E4),"是","")</f>
        <v/>
      </c>
      <c r="AD5" s="30" t="str">
        <f>IF(AND(AD$3&gt;=代码!$D4,AD$3&lt;=代码!$E4),"是","")</f>
        <v/>
      </c>
      <c r="AE5" s="30" t="str">
        <f>IF(AND(AE$3&gt;=代码!$D4,AE$3&lt;=代码!$E4),"是","")</f>
        <v/>
      </c>
      <c r="AF5" s="30" t="str">
        <f>IF(AND(AF$3&gt;=代码!$D4,AF$3&lt;=代码!$E4),"是","")</f>
        <v/>
      </c>
      <c r="AG5" s="30" t="str">
        <f>IF(AND(AG$3&gt;=代码!$D4,AG$3&lt;=代码!$E4),"是","")</f>
        <v/>
      </c>
    </row>
    <row r="6" spans="3:33">
      <c r="C6" s="30" t="str">
        <f>IFERROR(VLOOKUP(B6,员工信息表!N:O,2,FALSE),"")</f>
        <v>时段</v>
      </c>
      <c r="D6" s="30" t="str">
        <f>IF(AND(D$3&gt;=代码!$D5,D$3&lt;=代码!$E5),"是","")</f>
        <v/>
      </c>
      <c r="E6" s="30" t="str">
        <f>IF(AND(E$3&gt;=代码!$D5,E$3&lt;=代码!$E5),"是","")</f>
        <v/>
      </c>
      <c r="F6" s="30" t="str">
        <f>IF(AND(F$3&gt;=代码!$D5,F$3&lt;=代码!$E5),"是","")</f>
        <v/>
      </c>
      <c r="G6" s="30" t="str">
        <f>IF(AND(G$3&gt;=代码!$D5,G$3&lt;=代码!$E5),"是","")</f>
        <v/>
      </c>
      <c r="H6" s="30" t="str">
        <f>IF(AND(H$3&gt;=代码!$D5,H$3&lt;=代码!$E5),"是","")</f>
        <v/>
      </c>
      <c r="I6" s="30" t="str">
        <f>IF(AND(I$3&gt;=代码!$D5,I$3&lt;=代码!$E5),"是","")</f>
        <v/>
      </c>
      <c r="J6" s="30" t="str">
        <f>IF(AND(J$3&gt;=代码!$D5,J$3&lt;=代码!$E5),"是","")</f>
        <v/>
      </c>
      <c r="K6" s="30" t="str">
        <f>IF(AND(K$3&gt;=代码!$D5,K$3&lt;=代码!$E5),"是","")</f>
        <v/>
      </c>
      <c r="L6" s="30" t="str">
        <f>IF(AND(L$3&gt;=代码!$D5,L$3&lt;=代码!$E5),"是","")</f>
        <v/>
      </c>
      <c r="M6" s="30" t="str">
        <f>IF(AND(M$3&gt;=代码!$D5,M$3&lt;=代码!$E5),"是","")</f>
        <v/>
      </c>
      <c r="N6" s="30" t="str">
        <f>IF(AND(N$3&gt;=代码!$D5,N$3&lt;=代码!$E5),"是","")</f>
        <v/>
      </c>
      <c r="O6" s="30" t="str">
        <f>IF(AND(O$3&gt;=代码!$D5,O$3&lt;=代码!$E5),"是","")</f>
        <v/>
      </c>
      <c r="P6" s="30" t="str">
        <f>IF(AND(P$3&gt;=代码!$D5,P$3&lt;=代码!$E5),"是","")</f>
        <v/>
      </c>
      <c r="Q6" s="30" t="str">
        <f>IF(AND(Q$3&gt;=代码!$D5,Q$3&lt;=代码!$E5),"是","")</f>
        <v/>
      </c>
      <c r="R6" s="30" t="str">
        <f>IF(AND(R$3&gt;=代码!$D5,R$3&lt;=代码!$E5),"是","")</f>
        <v/>
      </c>
      <c r="S6" s="30" t="str">
        <f>IF(AND(S$3&gt;=代码!$D5,S$3&lt;=代码!$E5),"是","")</f>
        <v/>
      </c>
      <c r="T6" s="30" t="str">
        <f>IF(AND(T$3&gt;=代码!$D5,T$3&lt;=代码!$E5),"是","")</f>
        <v/>
      </c>
      <c r="U6" s="30" t="str">
        <f>IF(AND(U$3&gt;=代码!$D5,U$3&lt;=代码!$E5),"是","")</f>
        <v/>
      </c>
      <c r="V6" s="30" t="str">
        <f>IF(AND(V$3&gt;=代码!$D5,V$3&lt;=代码!$E5),"是","")</f>
        <v/>
      </c>
      <c r="W6" s="30" t="str">
        <f>IF(AND(W$3&gt;=代码!$D5,W$3&lt;=代码!$E5),"是","")</f>
        <v/>
      </c>
      <c r="X6" s="30" t="str">
        <f>IF(AND(X$3&gt;=代码!$D5,X$3&lt;=代码!$E5),"是","")</f>
        <v/>
      </c>
      <c r="Y6" s="30" t="str">
        <f>IF(AND(Y$3&gt;=代码!$D5,Y$3&lt;=代码!$E5),"是","")</f>
        <v/>
      </c>
      <c r="Z6" s="30" t="str">
        <f>IF(AND(Z$3&gt;=代码!$D5,Z$3&lt;=代码!$E5),"是","")</f>
        <v/>
      </c>
      <c r="AA6" s="30" t="str">
        <f>IF(AND(AA$3&gt;=代码!$D5,AA$3&lt;=代码!$E5),"是","")</f>
        <v/>
      </c>
      <c r="AB6" s="30" t="str">
        <f>IF(AND(AB$3&gt;=代码!$D5,AB$3&lt;=代码!$E5),"是","")</f>
        <v/>
      </c>
      <c r="AC6" s="30" t="str">
        <f>IF(AND(AC$3&gt;=代码!$D5,AC$3&lt;=代码!$E5),"是","")</f>
        <v/>
      </c>
      <c r="AD6" s="30" t="str">
        <f>IF(AND(AD$3&gt;=代码!$D5,AD$3&lt;=代码!$E5),"是","")</f>
        <v/>
      </c>
      <c r="AE6" s="30" t="str">
        <f>IF(AND(AE$3&gt;=代码!$D5,AE$3&lt;=代码!$E5),"是","")</f>
        <v/>
      </c>
      <c r="AF6" s="30" t="str">
        <f>IF(AND(AF$3&gt;=代码!$D5,AF$3&lt;=代码!$E5),"是","")</f>
        <v/>
      </c>
      <c r="AG6" s="30" t="str">
        <f>IF(AND(AG$3&gt;=代码!$D5,AG$3&lt;=代码!$E5),"是","")</f>
        <v/>
      </c>
    </row>
    <row r="7" spans="3:33">
      <c r="C7" s="30" t="str">
        <f>IFERROR(VLOOKUP(B7,员工信息表!N:O,2,FALSE),"")</f>
        <v>时段</v>
      </c>
      <c r="D7" s="30" t="str">
        <f>IF(AND(D$3&gt;=代码!$D6,D$3&lt;=代码!$E6),"是","")</f>
        <v/>
      </c>
      <c r="E7" s="30" t="str">
        <f>IF(AND(E$3&gt;=代码!$D6,E$3&lt;=代码!$E6),"是","")</f>
        <v/>
      </c>
      <c r="F7" s="30" t="str">
        <f>IF(AND(F$3&gt;=代码!$D6,F$3&lt;=代码!$E6),"是","")</f>
        <v/>
      </c>
      <c r="G7" s="30" t="str">
        <f>IF(AND(G$3&gt;=代码!$D6,G$3&lt;=代码!$E6),"是","")</f>
        <v/>
      </c>
      <c r="H7" s="30" t="str">
        <f>IF(AND(H$3&gt;=代码!$D6,H$3&lt;=代码!$E6),"是","")</f>
        <v/>
      </c>
      <c r="I7" s="30" t="str">
        <f>IF(AND(I$3&gt;=代码!$D6,I$3&lt;=代码!$E6),"是","")</f>
        <v/>
      </c>
      <c r="J7" s="30" t="str">
        <f>IF(AND(J$3&gt;=代码!$D6,J$3&lt;=代码!$E6),"是","")</f>
        <v/>
      </c>
      <c r="K7" s="30" t="str">
        <f>IF(AND(K$3&gt;=代码!$D6,K$3&lt;=代码!$E6),"是","")</f>
        <v/>
      </c>
      <c r="L7" s="30" t="str">
        <f>IF(AND(L$3&gt;=代码!$D6,L$3&lt;=代码!$E6),"是","")</f>
        <v/>
      </c>
      <c r="M7" s="30" t="str">
        <f>IF(AND(M$3&gt;=代码!$D6,M$3&lt;=代码!$E6),"是","")</f>
        <v/>
      </c>
      <c r="N7" s="30" t="str">
        <f>IF(AND(N$3&gt;=代码!$D6,N$3&lt;=代码!$E6),"是","")</f>
        <v/>
      </c>
      <c r="O7" s="30" t="str">
        <f>IF(AND(O$3&gt;=代码!$D6,O$3&lt;=代码!$E6),"是","")</f>
        <v/>
      </c>
      <c r="P7" s="30" t="str">
        <f>IF(AND(P$3&gt;=代码!$D6,P$3&lt;=代码!$E6),"是","")</f>
        <v/>
      </c>
      <c r="Q7" s="30" t="str">
        <f>IF(AND(Q$3&gt;=代码!$D6,Q$3&lt;=代码!$E6),"是","")</f>
        <v/>
      </c>
      <c r="R7" s="30" t="str">
        <f>IF(AND(R$3&gt;=代码!$D6,R$3&lt;=代码!$E6),"是","")</f>
        <v/>
      </c>
      <c r="S7" s="30" t="str">
        <f>IF(AND(S$3&gt;=代码!$D6,S$3&lt;=代码!$E6),"是","")</f>
        <v/>
      </c>
      <c r="T7" s="30" t="str">
        <f>IF(AND(T$3&gt;=代码!$D6,T$3&lt;=代码!$E6),"是","")</f>
        <v/>
      </c>
      <c r="U7" s="30" t="str">
        <f>IF(AND(U$3&gt;=代码!$D6,U$3&lt;=代码!$E6),"是","")</f>
        <v/>
      </c>
      <c r="V7" s="30" t="str">
        <f>IF(AND(V$3&gt;=代码!$D6,V$3&lt;=代码!$E6),"是","")</f>
        <v/>
      </c>
      <c r="W7" s="30" t="str">
        <f>IF(AND(W$3&gt;=代码!$D6,W$3&lt;=代码!$E6),"是","")</f>
        <v/>
      </c>
      <c r="X7" s="30" t="str">
        <f>IF(AND(X$3&gt;=代码!$D6,X$3&lt;=代码!$E6),"是","")</f>
        <v/>
      </c>
      <c r="Y7" s="30" t="str">
        <f>IF(AND(Y$3&gt;=代码!$D6,Y$3&lt;=代码!$E6),"是","")</f>
        <v/>
      </c>
      <c r="Z7" s="30" t="str">
        <f>IF(AND(Z$3&gt;=代码!$D6,Z$3&lt;=代码!$E6),"是","")</f>
        <v/>
      </c>
      <c r="AA7" s="30" t="str">
        <f>IF(AND(AA$3&gt;=代码!$D6,AA$3&lt;=代码!$E6),"是","")</f>
        <v/>
      </c>
      <c r="AB7" s="30" t="str">
        <f>IF(AND(AB$3&gt;=代码!$D6,AB$3&lt;=代码!$E6),"是","")</f>
        <v/>
      </c>
      <c r="AC7" s="30" t="str">
        <f>IF(AND(AC$3&gt;=代码!$D6,AC$3&lt;=代码!$E6),"是","")</f>
        <v/>
      </c>
      <c r="AD7" s="30" t="str">
        <f>IF(AND(AD$3&gt;=代码!$D6,AD$3&lt;=代码!$E6),"是","")</f>
        <v/>
      </c>
      <c r="AE7" s="30" t="str">
        <f>IF(AND(AE$3&gt;=代码!$D6,AE$3&lt;=代码!$E6),"是","")</f>
        <v/>
      </c>
      <c r="AF7" s="30" t="str">
        <f>IF(AND(AF$3&gt;=代码!$D6,AF$3&lt;=代码!$E6),"是","")</f>
        <v/>
      </c>
      <c r="AG7" s="30" t="str">
        <f>IF(AND(AG$3&gt;=代码!$D6,AG$3&lt;=代码!$E6),"是","")</f>
        <v/>
      </c>
    </row>
    <row r="8" spans="3:33">
      <c r="C8" s="30" t="str">
        <f>IFERROR(VLOOKUP(B8,员工信息表!N:O,2,FALSE),"")</f>
        <v>时段</v>
      </c>
      <c r="D8" s="30" t="str">
        <f>IF(AND(D$3&gt;=代码!$D7,D$3&lt;=代码!$E7),"是","")</f>
        <v/>
      </c>
      <c r="E8" s="30" t="str">
        <f>IF(AND(E$3&gt;=代码!$D7,E$3&lt;=代码!$E7),"是","")</f>
        <v/>
      </c>
      <c r="F8" s="30" t="str">
        <f>IF(AND(F$3&gt;=代码!$D7,F$3&lt;=代码!$E7),"是","")</f>
        <v/>
      </c>
      <c r="G8" s="30" t="str">
        <f>IF(AND(G$3&gt;=代码!$D7,G$3&lt;=代码!$E7),"是","")</f>
        <v/>
      </c>
      <c r="H8" s="30" t="str">
        <f>IF(AND(H$3&gt;=代码!$D7,H$3&lt;=代码!$E7),"是","")</f>
        <v/>
      </c>
      <c r="I8" s="30" t="str">
        <f>IF(AND(I$3&gt;=代码!$D7,I$3&lt;=代码!$E7),"是","")</f>
        <v/>
      </c>
      <c r="J8" s="30" t="str">
        <f>IF(AND(J$3&gt;=代码!$D7,J$3&lt;=代码!$E7),"是","")</f>
        <v/>
      </c>
      <c r="K8" s="30" t="str">
        <f>IF(AND(K$3&gt;=代码!$D7,K$3&lt;=代码!$E7),"是","")</f>
        <v/>
      </c>
      <c r="L8" s="30" t="str">
        <f>IF(AND(L$3&gt;=代码!$D7,L$3&lt;=代码!$E7),"是","")</f>
        <v/>
      </c>
      <c r="M8" s="30" t="str">
        <f>IF(AND(M$3&gt;=代码!$D7,M$3&lt;=代码!$E7),"是","")</f>
        <v/>
      </c>
      <c r="N8" s="30" t="str">
        <f>IF(AND(N$3&gt;=代码!$D7,N$3&lt;=代码!$E7),"是","")</f>
        <v/>
      </c>
      <c r="O8" s="30" t="str">
        <f>IF(AND(O$3&gt;=代码!$D7,O$3&lt;=代码!$E7),"是","")</f>
        <v/>
      </c>
      <c r="P8" s="30" t="str">
        <f>IF(AND(P$3&gt;=代码!$D7,P$3&lt;=代码!$E7),"是","")</f>
        <v/>
      </c>
      <c r="Q8" s="30" t="str">
        <f>IF(AND(Q$3&gt;=代码!$D7,Q$3&lt;=代码!$E7),"是","")</f>
        <v/>
      </c>
      <c r="R8" s="30" t="str">
        <f>IF(AND(R$3&gt;=代码!$D7,R$3&lt;=代码!$E7),"是","")</f>
        <v/>
      </c>
      <c r="S8" s="30" t="str">
        <f>IF(AND(S$3&gt;=代码!$D7,S$3&lt;=代码!$E7),"是","")</f>
        <v/>
      </c>
      <c r="T8" s="30" t="str">
        <f>IF(AND(T$3&gt;=代码!$D7,T$3&lt;=代码!$E7),"是","")</f>
        <v/>
      </c>
      <c r="U8" s="30" t="str">
        <f>IF(AND(U$3&gt;=代码!$D7,U$3&lt;=代码!$E7),"是","")</f>
        <v/>
      </c>
      <c r="V8" s="30" t="str">
        <f>IF(AND(V$3&gt;=代码!$D7,V$3&lt;=代码!$E7),"是","")</f>
        <v/>
      </c>
      <c r="W8" s="30" t="str">
        <f>IF(AND(W$3&gt;=代码!$D7,W$3&lt;=代码!$E7),"是","")</f>
        <v/>
      </c>
      <c r="X8" s="30" t="str">
        <f>IF(AND(X$3&gt;=代码!$D7,X$3&lt;=代码!$E7),"是","")</f>
        <v/>
      </c>
      <c r="Y8" s="30" t="str">
        <f>IF(AND(Y$3&gt;=代码!$D7,Y$3&lt;=代码!$E7),"是","")</f>
        <v/>
      </c>
      <c r="Z8" s="30" t="str">
        <f>IF(AND(Z$3&gt;=代码!$D7,Z$3&lt;=代码!$E7),"是","")</f>
        <v/>
      </c>
      <c r="AA8" s="30" t="str">
        <f>IF(AND(AA$3&gt;=代码!$D7,AA$3&lt;=代码!$E7),"是","")</f>
        <v/>
      </c>
      <c r="AB8" s="30" t="str">
        <f>IF(AND(AB$3&gt;=代码!$D7,AB$3&lt;=代码!$E7),"是","")</f>
        <v/>
      </c>
      <c r="AC8" s="30" t="str">
        <f>IF(AND(AC$3&gt;=代码!$D7,AC$3&lt;=代码!$E7),"是","")</f>
        <v/>
      </c>
      <c r="AD8" s="30" t="str">
        <f>IF(AND(AD$3&gt;=代码!$D7,AD$3&lt;=代码!$E7),"是","")</f>
        <v/>
      </c>
      <c r="AE8" s="30" t="str">
        <f>IF(AND(AE$3&gt;=代码!$D7,AE$3&lt;=代码!$E7),"是","")</f>
        <v/>
      </c>
      <c r="AF8" s="30" t="str">
        <f>IF(AND(AF$3&gt;=代码!$D7,AF$3&lt;=代码!$E7),"是","")</f>
        <v/>
      </c>
      <c r="AG8" s="30" t="str">
        <f>IF(AND(AG$3&gt;=代码!$D7,AG$3&lt;=代码!$E7),"是","")</f>
        <v/>
      </c>
    </row>
    <row r="9" spans="3:33">
      <c r="C9" s="30" t="str">
        <f>IFERROR(VLOOKUP(B9,员工信息表!N:O,2,FALSE),"")</f>
        <v>时段</v>
      </c>
      <c r="D9" s="30" t="str">
        <f>IF(AND(D$3&gt;=代码!$D8,D$3&lt;=代码!$E8),"是","")</f>
        <v/>
      </c>
      <c r="E9" s="30" t="str">
        <f>IF(AND(E$3&gt;=代码!$D8,E$3&lt;=代码!$E8),"是","")</f>
        <v/>
      </c>
      <c r="F9" s="30" t="str">
        <f>IF(AND(F$3&gt;=代码!$D8,F$3&lt;=代码!$E8),"是","")</f>
        <v/>
      </c>
      <c r="G9" s="30" t="str">
        <f>IF(AND(G$3&gt;=代码!$D8,G$3&lt;=代码!$E8),"是","")</f>
        <v/>
      </c>
      <c r="H9" s="30" t="str">
        <f>IF(AND(H$3&gt;=代码!$D8,H$3&lt;=代码!$E8),"是","")</f>
        <v/>
      </c>
      <c r="I9" s="30" t="str">
        <f>IF(AND(I$3&gt;=代码!$D8,I$3&lt;=代码!$E8),"是","")</f>
        <v/>
      </c>
      <c r="J9" s="30" t="str">
        <f>IF(AND(J$3&gt;=代码!$D8,J$3&lt;=代码!$E8),"是","")</f>
        <v/>
      </c>
      <c r="K9" s="30" t="str">
        <f>IF(AND(K$3&gt;=代码!$D8,K$3&lt;=代码!$E8),"是","")</f>
        <v/>
      </c>
      <c r="L9" s="30" t="str">
        <f>IF(AND(L$3&gt;=代码!$D8,L$3&lt;=代码!$E8),"是","")</f>
        <v/>
      </c>
      <c r="M9" s="30" t="str">
        <f>IF(AND(M$3&gt;=代码!$D8,M$3&lt;=代码!$E8),"是","")</f>
        <v/>
      </c>
      <c r="N9" s="30" t="str">
        <f>IF(AND(N$3&gt;=代码!$D8,N$3&lt;=代码!$E8),"是","")</f>
        <v/>
      </c>
      <c r="O9" s="30" t="str">
        <f>IF(AND(O$3&gt;=代码!$D8,O$3&lt;=代码!$E8),"是","")</f>
        <v/>
      </c>
      <c r="P9" s="30" t="str">
        <f>IF(AND(P$3&gt;=代码!$D8,P$3&lt;=代码!$E8),"是","")</f>
        <v/>
      </c>
      <c r="Q9" s="30" t="str">
        <f>IF(AND(Q$3&gt;=代码!$D8,Q$3&lt;=代码!$E8),"是","")</f>
        <v/>
      </c>
      <c r="R9" s="30" t="str">
        <f>IF(AND(R$3&gt;=代码!$D8,R$3&lt;=代码!$E8),"是","")</f>
        <v/>
      </c>
      <c r="S9" s="30" t="str">
        <f>IF(AND(S$3&gt;=代码!$D8,S$3&lt;=代码!$E8),"是","")</f>
        <v/>
      </c>
      <c r="T9" s="30" t="str">
        <f>IF(AND(T$3&gt;=代码!$D8,T$3&lt;=代码!$E8),"是","")</f>
        <v/>
      </c>
      <c r="U9" s="30" t="str">
        <f>IF(AND(U$3&gt;=代码!$D8,U$3&lt;=代码!$E8),"是","")</f>
        <v/>
      </c>
      <c r="V9" s="30" t="str">
        <f>IF(AND(V$3&gt;=代码!$D8,V$3&lt;=代码!$E8),"是","")</f>
        <v/>
      </c>
      <c r="W9" s="30" t="str">
        <f>IF(AND(W$3&gt;=代码!$D8,W$3&lt;=代码!$E8),"是","")</f>
        <v/>
      </c>
      <c r="X9" s="30" t="str">
        <f>IF(AND(X$3&gt;=代码!$D8,X$3&lt;=代码!$E8),"是","")</f>
        <v/>
      </c>
      <c r="Y9" s="30" t="str">
        <f>IF(AND(Y$3&gt;=代码!$D8,Y$3&lt;=代码!$E8),"是","")</f>
        <v/>
      </c>
      <c r="Z9" s="30" t="str">
        <f>IF(AND(Z$3&gt;=代码!$D8,Z$3&lt;=代码!$E8),"是","")</f>
        <v/>
      </c>
      <c r="AA9" s="30" t="str">
        <f>IF(AND(AA$3&gt;=代码!$D8,AA$3&lt;=代码!$E8),"是","")</f>
        <v/>
      </c>
      <c r="AB9" s="30" t="str">
        <f>IF(AND(AB$3&gt;=代码!$D8,AB$3&lt;=代码!$E8),"是","")</f>
        <v/>
      </c>
      <c r="AC9" s="30" t="str">
        <f>IF(AND(AC$3&gt;=代码!$D8,AC$3&lt;=代码!$E8),"是","")</f>
        <v/>
      </c>
      <c r="AD9" s="30" t="str">
        <f>IF(AND(AD$3&gt;=代码!$D8,AD$3&lt;=代码!$E8),"是","")</f>
        <v/>
      </c>
      <c r="AE9" s="30" t="str">
        <f>IF(AND(AE$3&gt;=代码!$D8,AE$3&lt;=代码!$E8),"是","")</f>
        <v/>
      </c>
      <c r="AF9" s="30" t="str">
        <f>IF(AND(AF$3&gt;=代码!$D8,AF$3&lt;=代码!$E8),"是","")</f>
        <v/>
      </c>
      <c r="AG9" s="30" t="str">
        <f>IF(AND(AG$3&gt;=代码!$D8,AG$3&lt;=代码!$E8),"是","")</f>
        <v/>
      </c>
    </row>
    <row r="10" spans="3:33">
      <c r="C10" s="30" t="str">
        <f>IFERROR(VLOOKUP(B10,员工信息表!N:O,2,FALSE),"")</f>
        <v>时段</v>
      </c>
      <c r="D10" s="30" t="str">
        <f>IF(AND(D$3&gt;=代码!$D9,D$3&lt;=代码!$E9),"是","")</f>
        <v/>
      </c>
      <c r="E10" s="30" t="str">
        <f>IF(AND(E$3&gt;=代码!$D9,E$3&lt;=代码!$E9),"是","")</f>
        <v/>
      </c>
      <c r="F10" s="30" t="str">
        <f>IF(AND(F$3&gt;=代码!$D9,F$3&lt;=代码!$E9),"是","")</f>
        <v/>
      </c>
      <c r="G10" s="30" t="str">
        <f>IF(AND(G$3&gt;=代码!$D9,G$3&lt;=代码!$E9),"是","")</f>
        <v/>
      </c>
      <c r="H10" s="30" t="str">
        <f>IF(AND(H$3&gt;=代码!$D9,H$3&lt;=代码!$E9),"是","")</f>
        <v/>
      </c>
      <c r="I10" s="30" t="str">
        <f>IF(AND(I$3&gt;=代码!$D9,I$3&lt;=代码!$E9),"是","")</f>
        <v/>
      </c>
      <c r="J10" s="30" t="str">
        <f>IF(AND(J$3&gt;=代码!$D9,J$3&lt;=代码!$E9),"是","")</f>
        <v/>
      </c>
      <c r="K10" s="30" t="str">
        <f>IF(AND(K$3&gt;=代码!$D9,K$3&lt;=代码!$E9),"是","")</f>
        <v/>
      </c>
      <c r="L10" s="30" t="str">
        <f>IF(AND(L$3&gt;=代码!$D9,L$3&lt;=代码!$E9),"是","")</f>
        <v/>
      </c>
      <c r="M10" s="30" t="str">
        <f>IF(AND(M$3&gt;=代码!$D9,M$3&lt;=代码!$E9),"是","")</f>
        <v/>
      </c>
      <c r="N10" s="30" t="str">
        <f>IF(AND(N$3&gt;=代码!$D9,N$3&lt;=代码!$E9),"是","")</f>
        <v/>
      </c>
      <c r="O10" s="30" t="str">
        <f>IF(AND(O$3&gt;=代码!$D9,O$3&lt;=代码!$E9),"是","")</f>
        <v/>
      </c>
      <c r="P10" s="30" t="str">
        <f>IF(AND(P$3&gt;=代码!$D9,P$3&lt;=代码!$E9),"是","")</f>
        <v/>
      </c>
      <c r="Q10" s="30" t="str">
        <f>IF(AND(Q$3&gt;=代码!$D9,Q$3&lt;=代码!$E9),"是","")</f>
        <v/>
      </c>
      <c r="R10" s="30" t="str">
        <f>IF(AND(R$3&gt;=代码!$D9,R$3&lt;=代码!$E9),"是","")</f>
        <v/>
      </c>
      <c r="S10" s="30" t="str">
        <f>IF(AND(S$3&gt;=代码!$D9,S$3&lt;=代码!$E9),"是","")</f>
        <v/>
      </c>
      <c r="T10" s="30" t="str">
        <f>IF(AND(T$3&gt;=代码!$D9,T$3&lt;=代码!$E9),"是","")</f>
        <v/>
      </c>
      <c r="U10" s="30" t="str">
        <f>IF(AND(U$3&gt;=代码!$D9,U$3&lt;=代码!$E9),"是","")</f>
        <v/>
      </c>
      <c r="V10" s="30" t="str">
        <f>IF(AND(V$3&gt;=代码!$D9,V$3&lt;=代码!$E9),"是","")</f>
        <v/>
      </c>
      <c r="W10" s="30" t="str">
        <f>IF(AND(W$3&gt;=代码!$D9,W$3&lt;=代码!$E9),"是","")</f>
        <v/>
      </c>
      <c r="X10" s="30" t="str">
        <f>IF(AND(X$3&gt;=代码!$D9,X$3&lt;=代码!$E9),"是","")</f>
        <v/>
      </c>
      <c r="Y10" s="30" t="str">
        <f>IF(AND(Y$3&gt;=代码!$D9,Y$3&lt;=代码!$E9),"是","")</f>
        <v/>
      </c>
      <c r="Z10" s="30" t="str">
        <f>IF(AND(Z$3&gt;=代码!$D9,Z$3&lt;=代码!$E9),"是","")</f>
        <v/>
      </c>
      <c r="AA10" s="30" t="str">
        <f>IF(AND(AA$3&gt;=代码!$D9,AA$3&lt;=代码!$E9),"是","")</f>
        <v/>
      </c>
      <c r="AB10" s="30" t="str">
        <f>IF(AND(AB$3&gt;=代码!$D9,AB$3&lt;=代码!$E9),"是","")</f>
        <v/>
      </c>
      <c r="AC10" s="30" t="str">
        <f>IF(AND(AC$3&gt;=代码!$D9,AC$3&lt;=代码!$E9),"是","")</f>
        <v/>
      </c>
      <c r="AD10" s="30" t="str">
        <f>IF(AND(AD$3&gt;=代码!$D9,AD$3&lt;=代码!$E9),"是","")</f>
        <v/>
      </c>
      <c r="AE10" s="30" t="str">
        <f>IF(AND(AE$3&gt;=代码!$D9,AE$3&lt;=代码!$E9),"是","")</f>
        <v/>
      </c>
      <c r="AF10" s="30" t="str">
        <f>IF(AND(AF$3&gt;=代码!$D9,AF$3&lt;=代码!$E9),"是","")</f>
        <v/>
      </c>
      <c r="AG10" s="30" t="str">
        <f>IF(AND(AG$3&gt;=代码!$D9,AG$3&lt;=代码!$E9),"是","")</f>
        <v/>
      </c>
    </row>
    <row r="11" spans="3:33">
      <c r="C11" s="30" t="str">
        <f>IFERROR(VLOOKUP(B11,员工信息表!N:O,2,FALSE),"")</f>
        <v>时段</v>
      </c>
      <c r="D11" s="30" t="str">
        <f>IF(AND(D$3&gt;=代码!$D10,D$3&lt;=代码!$E10),"是","")</f>
        <v/>
      </c>
      <c r="E11" s="30" t="str">
        <f>IF(AND(E$3&gt;=代码!$D10,E$3&lt;=代码!$E10),"是","")</f>
        <v/>
      </c>
      <c r="F11" s="30" t="str">
        <f>IF(AND(F$3&gt;=代码!$D10,F$3&lt;=代码!$E10),"是","")</f>
        <v/>
      </c>
      <c r="G11" s="30" t="str">
        <f>IF(AND(G$3&gt;=代码!$D10,G$3&lt;=代码!$E10),"是","")</f>
        <v/>
      </c>
      <c r="H11" s="30" t="str">
        <f>IF(AND(H$3&gt;=代码!$D10,H$3&lt;=代码!$E10),"是","")</f>
        <v/>
      </c>
      <c r="I11" s="30" t="str">
        <f>IF(AND(I$3&gt;=代码!$D10,I$3&lt;=代码!$E10),"是","")</f>
        <v/>
      </c>
      <c r="J11" s="30" t="str">
        <f>IF(AND(J$3&gt;=代码!$D10,J$3&lt;=代码!$E10),"是","")</f>
        <v/>
      </c>
      <c r="K11" s="30" t="str">
        <f>IF(AND(K$3&gt;=代码!$D10,K$3&lt;=代码!$E10),"是","")</f>
        <v/>
      </c>
      <c r="L11" s="30" t="str">
        <f>IF(AND(L$3&gt;=代码!$D10,L$3&lt;=代码!$E10),"是","")</f>
        <v/>
      </c>
      <c r="M11" s="30" t="str">
        <f>IF(AND(M$3&gt;=代码!$D10,M$3&lt;=代码!$E10),"是","")</f>
        <v/>
      </c>
      <c r="N11" s="30" t="str">
        <f>IF(AND(N$3&gt;=代码!$D10,N$3&lt;=代码!$E10),"是","")</f>
        <v/>
      </c>
      <c r="O11" s="30" t="str">
        <f>IF(AND(O$3&gt;=代码!$D10,O$3&lt;=代码!$E10),"是","")</f>
        <v/>
      </c>
      <c r="P11" s="30" t="str">
        <f>IF(AND(P$3&gt;=代码!$D10,P$3&lt;=代码!$E10),"是","")</f>
        <v/>
      </c>
      <c r="Q11" s="30" t="str">
        <f>IF(AND(Q$3&gt;=代码!$D10,Q$3&lt;=代码!$E10),"是","")</f>
        <v/>
      </c>
      <c r="R11" s="30" t="str">
        <f>IF(AND(R$3&gt;=代码!$D10,R$3&lt;=代码!$E10),"是","")</f>
        <v/>
      </c>
      <c r="S11" s="30" t="str">
        <f>IF(AND(S$3&gt;=代码!$D10,S$3&lt;=代码!$E10),"是","")</f>
        <v/>
      </c>
      <c r="T11" s="30" t="str">
        <f>IF(AND(T$3&gt;=代码!$D10,T$3&lt;=代码!$E10),"是","")</f>
        <v/>
      </c>
      <c r="U11" s="30" t="str">
        <f>IF(AND(U$3&gt;=代码!$D10,U$3&lt;=代码!$E10),"是","")</f>
        <v/>
      </c>
      <c r="V11" s="30" t="str">
        <f>IF(AND(V$3&gt;=代码!$D10,V$3&lt;=代码!$E10),"是","")</f>
        <v/>
      </c>
      <c r="W11" s="30" t="str">
        <f>IF(AND(W$3&gt;=代码!$D10,W$3&lt;=代码!$E10),"是","")</f>
        <v/>
      </c>
      <c r="X11" s="30" t="str">
        <f>IF(AND(X$3&gt;=代码!$D10,X$3&lt;=代码!$E10),"是","")</f>
        <v/>
      </c>
      <c r="Y11" s="30" t="str">
        <f>IF(AND(Y$3&gt;=代码!$D10,Y$3&lt;=代码!$E10),"是","")</f>
        <v/>
      </c>
      <c r="Z11" s="30" t="str">
        <f>IF(AND(Z$3&gt;=代码!$D10,Z$3&lt;=代码!$E10),"是","")</f>
        <v/>
      </c>
      <c r="AA11" s="30" t="str">
        <f>IF(AND(AA$3&gt;=代码!$D10,AA$3&lt;=代码!$E10),"是","")</f>
        <v/>
      </c>
      <c r="AB11" s="30" t="str">
        <f>IF(AND(AB$3&gt;=代码!$D10,AB$3&lt;=代码!$E10),"是","")</f>
        <v/>
      </c>
      <c r="AC11" s="30" t="str">
        <f>IF(AND(AC$3&gt;=代码!$D10,AC$3&lt;=代码!$E10),"是","")</f>
        <v/>
      </c>
      <c r="AD11" s="30" t="str">
        <f>IF(AND(AD$3&gt;=代码!$D10,AD$3&lt;=代码!$E10),"是","")</f>
        <v/>
      </c>
      <c r="AE11" s="30" t="str">
        <f>IF(AND(AE$3&gt;=代码!$D10,AE$3&lt;=代码!$E10),"是","")</f>
        <v/>
      </c>
      <c r="AF11" s="30" t="str">
        <f>IF(AND(AF$3&gt;=代码!$D10,AF$3&lt;=代码!$E10),"是","")</f>
        <v/>
      </c>
      <c r="AG11" s="30" t="str">
        <f>IF(AND(AG$3&gt;=代码!$D10,AG$3&lt;=代码!$E10),"是","")</f>
        <v/>
      </c>
    </row>
    <row r="12" spans="3:33">
      <c r="C12" s="30" t="str">
        <f>IFERROR(VLOOKUP(B12,员工信息表!N:O,2,FALSE),"")</f>
        <v>时段</v>
      </c>
      <c r="D12" s="30" t="str">
        <f>IF(AND(D$3&gt;=代码!$D11,D$3&lt;=代码!$E11),"是","")</f>
        <v/>
      </c>
      <c r="E12" s="30" t="str">
        <f>IF(AND(E$3&gt;=代码!$D11,E$3&lt;=代码!$E11),"是","")</f>
        <v/>
      </c>
      <c r="F12" s="30" t="str">
        <f>IF(AND(F$3&gt;=代码!$D11,F$3&lt;=代码!$E11),"是","")</f>
        <v/>
      </c>
      <c r="G12" s="30" t="str">
        <f>IF(AND(G$3&gt;=代码!$D11,G$3&lt;=代码!$E11),"是","")</f>
        <v/>
      </c>
      <c r="H12" s="30" t="str">
        <f>IF(AND(H$3&gt;=代码!$D11,H$3&lt;=代码!$E11),"是","")</f>
        <v/>
      </c>
      <c r="I12" s="30" t="str">
        <f>IF(AND(I$3&gt;=代码!$D11,I$3&lt;=代码!$E11),"是","")</f>
        <v/>
      </c>
      <c r="J12" s="30" t="str">
        <f>IF(AND(J$3&gt;=代码!$D11,J$3&lt;=代码!$E11),"是","")</f>
        <v/>
      </c>
      <c r="K12" s="30" t="str">
        <f>IF(AND(K$3&gt;=代码!$D11,K$3&lt;=代码!$E11),"是","")</f>
        <v/>
      </c>
      <c r="L12" s="30" t="str">
        <f>IF(AND(L$3&gt;=代码!$D11,L$3&lt;=代码!$E11),"是","")</f>
        <v/>
      </c>
      <c r="M12" s="30" t="str">
        <f>IF(AND(M$3&gt;=代码!$D11,M$3&lt;=代码!$E11),"是","")</f>
        <v/>
      </c>
      <c r="N12" s="30" t="str">
        <f>IF(AND(N$3&gt;=代码!$D11,N$3&lt;=代码!$E11),"是","")</f>
        <v/>
      </c>
      <c r="O12" s="30" t="str">
        <f>IF(AND(O$3&gt;=代码!$D11,O$3&lt;=代码!$E11),"是","")</f>
        <v/>
      </c>
      <c r="P12" s="30" t="str">
        <f>IF(AND(P$3&gt;=代码!$D11,P$3&lt;=代码!$E11),"是","")</f>
        <v/>
      </c>
      <c r="Q12" s="30" t="str">
        <f>IF(AND(Q$3&gt;=代码!$D11,Q$3&lt;=代码!$E11),"是","")</f>
        <v/>
      </c>
      <c r="R12" s="30" t="str">
        <f>IF(AND(R$3&gt;=代码!$D11,R$3&lt;=代码!$E11),"是","")</f>
        <v/>
      </c>
      <c r="S12" s="30" t="str">
        <f>IF(AND(S$3&gt;=代码!$D11,S$3&lt;=代码!$E11),"是","")</f>
        <v/>
      </c>
      <c r="T12" s="30" t="str">
        <f>IF(AND(T$3&gt;=代码!$D11,T$3&lt;=代码!$E11),"是","")</f>
        <v/>
      </c>
      <c r="U12" s="30" t="str">
        <f>IF(AND(U$3&gt;=代码!$D11,U$3&lt;=代码!$E11),"是","")</f>
        <v/>
      </c>
      <c r="V12" s="30" t="str">
        <f>IF(AND(V$3&gt;=代码!$D11,V$3&lt;=代码!$E11),"是","")</f>
        <v/>
      </c>
      <c r="W12" s="30" t="str">
        <f>IF(AND(W$3&gt;=代码!$D11,W$3&lt;=代码!$E11),"是","")</f>
        <v/>
      </c>
      <c r="X12" s="30" t="str">
        <f>IF(AND(X$3&gt;=代码!$D11,X$3&lt;=代码!$E11),"是","")</f>
        <v/>
      </c>
      <c r="Y12" s="30" t="str">
        <f>IF(AND(Y$3&gt;=代码!$D11,Y$3&lt;=代码!$E11),"是","")</f>
        <v/>
      </c>
      <c r="Z12" s="30" t="str">
        <f>IF(AND(Z$3&gt;=代码!$D11,Z$3&lt;=代码!$E11),"是","")</f>
        <v/>
      </c>
      <c r="AA12" s="30" t="str">
        <f>IF(AND(AA$3&gt;=代码!$D11,AA$3&lt;=代码!$E11),"是","")</f>
        <v/>
      </c>
      <c r="AB12" s="30" t="str">
        <f>IF(AND(AB$3&gt;=代码!$D11,AB$3&lt;=代码!$E11),"是","")</f>
        <v/>
      </c>
      <c r="AC12" s="30" t="str">
        <f>IF(AND(AC$3&gt;=代码!$D11,AC$3&lt;=代码!$E11),"是","")</f>
        <v/>
      </c>
      <c r="AD12" s="30" t="str">
        <f>IF(AND(AD$3&gt;=代码!$D11,AD$3&lt;=代码!$E11),"是","")</f>
        <v/>
      </c>
      <c r="AE12" s="30" t="str">
        <f>IF(AND(AE$3&gt;=代码!$D11,AE$3&lt;=代码!$E11),"是","")</f>
        <v/>
      </c>
      <c r="AF12" s="30" t="str">
        <f>IF(AND(AF$3&gt;=代码!$D11,AF$3&lt;=代码!$E11),"是","")</f>
        <v/>
      </c>
      <c r="AG12" s="30" t="str">
        <f>IF(AND(AG$3&gt;=代码!$D11,AG$3&lt;=代码!$E11),"是","")</f>
        <v/>
      </c>
    </row>
    <row r="13" spans="3:33">
      <c r="C13" s="30" t="str">
        <f>IFERROR(VLOOKUP(B13,员工信息表!N:O,2,FALSE),"")</f>
        <v>时段</v>
      </c>
      <c r="D13" s="30" t="str">
        <f>IF(AND(D$3&gt;=代码!$D12,D$3&lt;=代码!$E12),"是","")</f>
        <v/>
      </c>
      <c r="E13" s="30" t="str">
        <f>IF(AND(E$3&gt;=代码!$D12,E$3&lt;=代码!$E12),"是","")</f>
        <v/>
      </c>
      <c r="F13" s="30" t="str">
        <f>IF(AND(F$3&gt;=代码!$D12,F$3&lt;=代码!$E12),"是","")</f>
        <v/>
      </c>
      <c r="G13" s="30" t="str">
        <f>IF(AND(G$3&gt;=代码!$D12,G$3&lt;=代码!$E12),"是","")</f>
        <v/>
      </c>
      <c r="H13" s="30" t="str">
        <f>IF(AND(H$3&gt;=代码!$D12,H$3&lt;=代码!$E12),"是","")</f>
        <v/>
      </c>
      <c r="I13" s="30" t="str">
        <f>IF(AND(I$3&gt;=代码!$D12,I$3&lt;=代码!$E12),"是","")</f>
        <v/>
      </c>
      <c r="J13" s="30" t="str">
        <f>IF(AND(J$3&gt;=代码!$D12,J$3&lt;=代码!$E12),"是","")</f>
        <v/>
      </c>
      <c r="K13" s="30" t="str">
        <f>IF(AND(K$3&gt;=代码!$D12,K$3&lt;=代码!$E12),"是","")</f>
        <v/>
      </c>
      <c r="L13" s="30" t="str">
        <f>IF(AND(L$3&gt;=代码!$D12,L$3&lt;=代码!$E12),"是","")</f>
        <v/>
      </c>
      <c r="M13" s="30" t="str">
        <f>IF(AND(M$3&gt;=代码!$D12,M$3&lt;=代码!$E12),"是","")</f>
        <v/>
      </c>
      <c r="N13" s="30" t="str">
        <f>IF(AND(N$3&gt;=代码!$D12,N$3&lt;=代码!$E12),"是","")</f>
        <v/>
      </c>
      <c r="O13" s="30" t="str">
        <f>IF(AND(O$3&gt;=代码!$D12,O$3&lt;=代码!$E12),"是","")</f>
        <v/>
      </c>
      <c r="P13" s="30" t="str">
        <f>IF(AND(P$3&gt;=代码!$D12,P$3&lt;=代码!$E12),"是","")</f>
        <v/>
      </c>
      <c r="Q13" s="30" t="str">
        <f>IF(AND(Q$3&gt;=代码!$D12,Q$3&lt;=代码!$E12),"是","")</f>
        <v/>
      </c>
      <c r="R13" s="30" t="str">
        <f>IF(AND(R$3&gt;=代码!$D12,R$3&lt;=代码!$E12),"是","")</f>
        <v/>
      </c>
      <c r="S13" s="30" t="str">
        <f>IF(AND(S$3&gt;=代码!$D12,S$3&lt;=代码!$E12),"是","")</f>
        <v/>
      </c>
      <c r="T13" s="30" t="str">
        <f>IF(AND(T$3&gt;=代码!$D12,T$3&lt;=代码!$E12),"是","")</f>
        <v/>
      </c>
      <c r="U13" s="30" t="str">
        <f>IF(AND(U$3&gt;=代码!$D12,U$3&lt;=代码!$E12),"是","")</f>
        <v/>
      </c>
      <c r="V13" s="30" t="str">
        <f>IF(AND(V$3&gt;=代码!$D12,V$3&lt;=代码!$E12),"是","")</f>
        <v/>
      </c>
      <c r="W13" s="30" t="str">
        <f>IF(AND(W$3&gt;=代码!$D12,W$3&lt;=代码!$E12),"是","")</f>
        <v/>
      </c>
      <c r="X13" s="30" t="str">
        <f>IF(AND(X$3&gt;=代码!$D12,X$3&lt;=代码!$E12),"是","")</f>
        <v/>
      </c>
      <c r="Y13" s="30" t="str">
        <f>IF(AND(Y$3&gt;=代码!$D12,Y$3&lt;=代码!$E12),"是","")</f>
        <v/>
      </c>
      <c r="Z13" s="30" t="str">
        <f>IF(AND(Z$3&gt;=代码!$D12,Z$3&lt;=代码!$E12),"是","")</f>
        <v/>
      </c>
      <c r="AA13" s="30" t="str">
        <f>IF(AND(AA$3&gt;=代码!$D12,AA$3&lt;=代码!$E12),"是","")</f>
        <v/>
      </c>
      <c r="AB13" s="30" t="str">
        <f>IF(AND(AB$3&gt;=代码!$D12,AB$3&lt;=代码!$E12),"是","")</f>
        <v/>
      </c>
      <c r="AC13" s="30" t="str">
        <f>IF(AND(AC$3&gt;=代码!$D12,AC$3&lt;=代码!$E12),"是","")</f>
        <v/>
      </c>
      <c r="AD13" s="30" t="str">
        <f>IF(AND(AD$3&gt;=代码!$D12,AD$3&lt;=代码!$E12),"是","")</f>
        <v/>
      </c>
      <c r="AE13" s="30" t="str">
        <f>IF(AND(AE$3&gt;=代码!$D12,AE$3&lt;=代码!$E12),"是","")</f>
        <v/>
      </c>
      <c r="AF13" s="30" t="str">
        <f>IF(AND(AF$3&gt;=代码!$D12,AF$3&lt;=代码!$E12),"是","")</f>
        <v/>
      </c>
      <c r="AG13" s="30" t="str">
        <f>IF(AND(AG$3&gt;=代码!$D12,AG$3&lt;=代码!$E12),"是","")</f>
        <v/>
      </c>
    </row>
    <row r="14" spans="3:33">
      <c r="C14" s="30" t="str">
        <f>IFERROR(VLOOKUP(B14,员工信息表!N:O,2,FALSE),"")</f>
        <v>时段</v>
      </c>
      <c r="D14" s="30" t="str">
        <f>IF(AND(D$3&gt;=代码!$D13,D$3&lt;=代码!$E13),"是","")</f>
        <v/>
      </c>
      <c r="E14" s="30" t="str">
        <f>IF(AND(E$3&gt;=代码!$D13,E$3&lt;=代码!$E13),"是","")</f>
        <v/>
      </c>
      <c r="F14" s="30" t="str">
        <f>IF(AND(F$3&gt;=代码!$D13,F$3&lt;=代码!$E13),"是","")</f>
        <v/>
      </c>
      <c r="G14" s="30" t="str">
        <f>IF(AND(G$3&gt;=代码!$D13,G$3&lt;=代码!$E13),"是","")</f>
        <v/>
      </c>
      <c r="H14" s="30" t="str">
        <f>IF(AND(H$3&gt;=代码!$D13,H$3&lt;=代码!$E13),"是","")</f>
        <v/>
      </c>
      <c r="I14" s="30" t="str">
        <f>IF(AND(I$3&gt;=代码!$D13,I$3&lt;=代码!$E13),"是","")</f>
        <v/>
      </c>
      <c r="J14" s="30" t="str">
        <f>IF(AND(J$3&gt;=代码!$D13,J$3&lt;=代码!$E13),"是","")</f>
        <v/>
      </c>
      <c r="K14" s="30" t="str">
        <f>IF(AND(K$3&gt;=代码!$D13,K$3&lt;=代码!$E13),"是","")</f>
        <v/>
      </c>
      <c r="L14" s="30" t="str">
        <f>IF(AND(L$3&gt;=代码!$D13,L$3&lt;=代码!$E13),"是","")</f>
        <v/>
      </c>
      <c r="M14" s="30" t="str">
        <f>IF(AND(M$3&gt;=代码!$D13,M$3&lt;=代码!$E13),"是","")</f>
        <v/>
      </c>
      <c r="N14" s="30" t="str">
        <f>IF(AND(N$3&gt;=代码!$D13,N$3&lt;=代码!$E13),"是","")</f>
        <v/>
      </c>
      <c r="O14" s="30" t="str">
        <f>IF(AND(O$3&gt;=代码!$D13,O$3&lt;=代码!$E13),"是","")</f>
        <v/>
      </c>
      <c r="P14" s="30" t="str">
        <f>IF(AND(P$3&gt;=代码!$D13,P$3&lt;=代码!$E13),"是","")</f>
        <v/>
      </c>
      <c r="Q14" s="30" t="str">
        <f>IF(AND(Q$3&gt;=代码!$D13,Q$3&lt;=代码!$E13),"是","")</f>
        <v/>
      </c>
      <c r="R14" s="30" t="str">
        <f>IF(AND(R$3&gt;=代码!$D13,R$3&lt;=代码!$E13),"是","")</f>
        <v/>
      </c>
      <c r="S14" s="30" t="str">
        <f>IF(AND(S$3&gt;=代码!$D13,S$3&lt;=代码!$E13),"是","")</f>
        <v/>
      </c>
      <c r="T14" s="30" t="str">
        <f>IF(AND(T$3&gt;=代码!$D13,T$3&lt;=代码!$E13),"是","")</f>
        <v/>
      </c>
      <c r="U14" s="30" t="str">
        <f>IF(AND(U$3&gt;=代码!$D13,U$3&lt;=代码!$E13),"是","")</f>
        <v/>
      </c>
      <c r="V14" s="30" t="str">
        <f>IF(AND(V$3&gt;=代码!$D13,V$3&lt;=代码!$E13),"是","")</f>
        <v/>
      </c>
      <c r="W14" s="30" t="str">
        <f>IF(AND(W$3&gt;=代码!$D13,W$3&lt;=代码!$E13),"是","")</f>
        <v/>
      </c>
      <c r="X14" s="30" t="str">
        <f>IF(AND(X$3&gt;=代码!$D13,X$3&lt;=代码!$E13),"是","")</f>
        <v/>
      </c>
      <c r="Y14" s="30" t="str">
        <f>IF(AND(Y$3&gt;=代码!$D13,Y$3&lt;=代码!$E13),"是","")</f>
        <v/>
      </c>
      <c r="Z14" s="30" t="str">
        <f>IF(AND(Z$3&gt;=代码!$D13,Z$3&lt;=代码!$E13),"是","")</f>
        <v/>
      </c>
      <c r="AA14" s="30" t="str">
        <f>IF(AND(AA$3&gt;=代码!$D13,AA$3&lt;=代码!$E13),"是","")</f>
        <v/>
      </c>
      <c r="AB14" s="30" t="str">
        <f>IF(AND(AB$3&gt;=代码!$D13,AB$3&lt;=代码!$E13),"是","")</f>
        <v/>
      </c>
      <c r="AC14" s="30" t="str">
        <f>IF(AND(AC$3&gt;=代码!$D13,AC$3&lt;=代码!$E13),"是","")</f>
        <v/>
      </c>
      <c r="AD14" s="30" t="str">
        <f>IF(AND(AD$3&gt;=代码!$D13,AD$3&lt;=代码!$E13),"是","")</f>
        <v/>
      </c>
      <c r="AE14" s="30" t="str">
        <f>IF(AND(AE$3&gt;=代码!$D13,AE$3&lt;=代码!$E13),"是","")</f>
        <v/>
      </c>
      <c r="AF14" s="30" t="str">
        <f>IF(AND(AF$3&gt;=代码!$D13,AF$3&lt;=代码!$E13),"是","")</f>
        <v/>
      </c>
      <c r="AG14" s="30" t="str">
        <f>IF(AND(AG$3&gt;=代码!$D13,AG$3&lt;=代码!$E13),"是","")</f>
        <v/>
      </c>
    </row>
    <row r="15" spans="3:33">
      <c r="C15" s="30" t="str">
        <f>IFERROR(VLOOKUP(B15,员工信息表!N:O,2,FALSE),"")</f>
        <v>时段</v>
      </c>
      <c r="D15" s="30" t="str">
        <f>IF(AND(D$3&gt;=代码!$D14,D$3&lt;=代码!$E14),"是","")</f>
        <v/>
      </c>
      <c r="E15" s="30" t="str">
        <f>IF(AND(E$3&gt;=代码!$D14,E$3&lt;=代码!$E14),"是","")</f>
        <v/>
      </c>
      <c r="F15" s="30" t="str">
        <f>IF(AND(F$3&gt;=代码!$D14,F$3&lt;=代码!$E14),"是","")</f>
        <v/>
      </c>
      <c r="G15" s="30" t="str">
        <f>IF(AND(G$3&gt;=代码!$D14,G$3&lt;=代码!$E14),"是","")</f>
        <v/>
      </c>
      <c r="H15" s="30" t="str">
        <f>IF(AND(H$3&gt;=代码!$D14,H$3&lt;=代码!$E14),"是","")</f>
        <v/>
      </c>
      <c r="I15" s="30" t="str">
        <f>IF(AND(I$3&gt;=代码!$D14,I$3&lt;=代码!$E14),"是","")</f>
        <v/>
      </c>
      <c r="J15" s="30" t="str">
        <f>IF(AND(J$3&gt;=代码!$D14,J$3&lt;=代码!$E14),"是","")</f>
        <v/>
      </c>
      <c r="K15" s="30" t="str">
        <f>IF(AND(K$3&gt;=代码!$D14,K$3&lt;=代码!$E14),"是","")</f>
        <v/>
      </c>
      <c r="L15" s="30" t="str">
        <f>IF(AND(L$3&gt;=代码!$D14,L$3&lt;=代码!$E14),"是","")</f>
        <v/>
      </c>
      <c r="M15" s="30" t="str">
        <f>IF(AND(M$3&gt;=代码!$D14,M$3&lt;=代码!$E14),"是","")</f>
        <v/>
      </c>
      <c r="N15" s="30" t="str">
        <f>IF(AND(N$3&gt;=代码!$D14,N$3&lt;=代码!$E14),"是","")</f>
        <v/>
      </c>
      <c r="O15" s="30" t="str">
        <f>IF(AND(O$3&gt;=代码!$D14,O$3&lt;=代码!$E14),"是","")</f>
        <v/>
      </c>
      <c r="P15" s="30" t="str">
        <f>IF(AND(P$3&gt;=代码!$D14,P$3&lt;=代码!$E14),"是","")</f>
        <v/>
      </c>
      <c r="Q15" s="30" t="str">
        <f>IF(AND(Q$3&gt;=代码!$D14,Q$3&lt;=代码!$E14),"是","")</f>
        <v/>
      </c>
      <c r="R15" s="30" t="str">
        <f>IF(AND(R$3&gt;=代码!$D14,R$3&lt;=代码!$E14),"是","")</f>
        <v/>
      </c>
      <c r="S15" s="30" t="str">
        <f>IF(AND(S$3&gt;=代码!$D14,S$3&lt;=代码!$E14),"是","")</f>
        <v/>
      </c>
      <c r="T15" s="30" t="str">
        <f>IF(AND(T$3&gt;=代码!$D14,T$3&lt;=代码!$E14),"是","")</f>
        <v/>
      </c>
      <c r="U15" s="30" t="str">
        <f>IF(AND(U$3&gt;=代码!$D14,U$3&lt;=代码!$E14),"是","")</f>
        <v/>
      </c>
      <c r="V15" s="30" t="str">
        <f>IF(AND(V$3&gt;=代码!$D14,V$3&lt;=代码!$E14),"是","")</f>
        <v/>
      </c>
      <c r="W15" s="30" t="str">
        <f>IF(AND(W$3&gt;=代码!$D14,W$3&lt;=代码!$E14),"是","")</f>
        <v/>
      </c>
      <c r="X15" s="30" t="str">
        <f>IF(AND(X$3&gt;=代码!$D14,X$3&lt;=代码!$E14),"是","")</f>
        <v/>
      </c>
      <c r="Y15" s="30" t="str">
        <f>IF(AND(Y$3&gt;=代码!$D14,Y$3&lt;=代码!$E14),"是","")</f>
        <v/>
      </c>
      <c r="Z15" s="30" t="str">
        <f>IF(AND(Z$3&gt;=代码!$D14,Z$3&lt;=代码!$E14),"是","")</f>
        <v/>
      </c>
      <c r="AA15" s="30" t="str">
        <f>IF(AND(AA$3&gt;=代码!$D14,AA$3&lt;=代码!$E14),"是","")</f>
        <v/>
      </c>
      <c r="AB15" s="30" t="str">
        <f>IF(AND(AB$3&gt;=代码!$D14,AB$3&lt;=代码!$E14),"是","")</f>
        <v/>
      </c>
      <c r="AC15" s="30" t="str">
        <f>IF(AND(AC$3&gt;=代码!$D14,AC$3&lt;=代码!$E14),"是","")</f>
        <v/>
      </c>
      <c r="AD15" s="30" t="str">
        <f>IF(AND(AD$3&gt;=代码!$D14,AD$3&lt;=代码!$E14),"是","")</f>
        <v/>
      </c>
      <c r="AE15" s="30" t="str">
        <f>IF(AND(AE$3&gt;=代码!$D14,AE$3&lt;=代码!$E14),"是","")</f>
        <v/>
      </c>
      <c r="AF15" s="30" t="str">
        <f>IF(AND(AF$3&gt;=代码!$D14,AF$3&lt;=代码!$E14),"是","")</f>
        <v/>
      </c>
      <c r="AG15" s="30" t="str">
        <f>IF(AND(AG$3&gt;=代码!$D14,AG$3&lt;=代码!$E14),"是","")</f>
        <v/>
      </c>
    </row>
    <row r="16" spans="3:33">
      <c r="C16" s="30" t="str">
        <f>IFERROR(VLOOKUP(B16,员工信息表!N:O,2,FALSE),"")</f>
        <v>时段</v>
      </c>
      <c r="D16" s="30" t="str">
        <f>IF(AND(D$3&gt;=代码!$D15,D$3&lt;=代码!$E15),"是","")</f>
        <v/>
      </c>
      <c r="E16" s="30" t="str">
        <f>IF(AND(E$3&gt;=代码!$D15,E$3&lt;=代码!$E15),"是","")</f>
        <v/>
      </c>
      <c r="F16" s="30" t="str">
        <f>IF(AND(F$3&gt;=代码!$D15,F$3&lt;=代码!$E15),"是","")</f>
        <v/>
      </c>
      <c r="G16" s="30" t="str">
        <f>IF(AND(G$3&gt;=代码!$D15,G$3&lt;=代码!$E15),"是","")</f>
        <v/>
      </c>
      <c r="H16" s="30" t="str">
        <f>IF(AND(H$3&gt;=代码!$D15,H$3&lt;=代码!$E15),"是","")</f>
        <v/>
      </c>
      <c r="I16" s="30" t="str">
        <f>IF(AND(I$3&gt;=代码!$D15,I$3&lt;=代码!$E15),"是","")</f>
        <v/>
      </c>
      <c r="J16" s="30" t="str">
        <f>IF(AND(J$3&gt;=代码!$D15,J$3&lt;=代码!$E15),"是","")</f>
        <v/>
      </c>
      <c r="K16" s="30" t="str">
        <f>IF(AND(K$3&gt;=代码!$D15,K$3&lt;=代码!$E15),"是","")</f>
        <v/>
      </c>
      <c r="L16" s="30" t="str">
        <f>IF(AND(L$3&gt;=代码!$D15,L$3&lt;=代码!$E15),"是","")</f>
        <v/>
      </c>
      <c r="M16" s="30" t="str">
        <f>IF(AND(M$3&gt;=代码!$D15,M$3&lt;=代码!$E15),"是","")</f>
        <v/>
      </c>
      <c r="N16" s="30" t="str">
        <f>IF(AND(N$3&gt;=代码!$D15,N$3&lt;=代码!$E15),"是","")</f>
        <v/>
      </c>
      <c r="O16" s="30" t="str">
        <f>IF(AND(O$3&gt;=代码!$D15,O$3&lt;=代码!$E15),"是","")</f>
        <v/>
      </c>
      <c r="P16" s="30" t="str">
        <f>IF(AND(P$3&gt;=代码!$D15,P$3&lt;=代码!$E15),"是","")</f>
        <v/>
      </c>
      <c r="Q16" s="30" t="str">
        <f>IF(AND(Q$3&gt;=代码!$D15,Q$3&lt;=代码!$E15),"是","")</f>
        <v/>
      </c>
      <c r="R16" s="30" t="str">
        <f>IF(AND(R$3&gt;=代码!$D15,R$3&lt;=代码!$E15),"是","")</f>
        <v/>
      </c>
      <c r="S16" s="30" t="str">
        <f>IF(AND(S$3&gt;=代码!$D15,S$3&lt;=代码!$E15),"是","")</f>
        <v/>
      </c>
      <c r="T16" s="30" t="str">
        <f>IF(AND(T$3&gt;=代码!$D15,T$3&lt;=代码!$E15),"是","")</f>
        <v/>
      </c>
      <c r="U16" s="30" t="str">
        <f>IF(AND(U$3&gt;=代码!$D15,U$3&lt;=代码!$E15),"是","")</f>
        <v/>
      </c>
      <c r="V16" s="30" t="str">
        <f>IF(AND(V$3&gt;=代码!$D15,V$3&lt;=代码!$E15),"是","")</f>
        <v/>
      </c>
      <c r="W16" s="30" t="str">
        <f>IF(AND(W$3&gt;=代码!$D15,W$3&lt;=代码!$E15),"是","")</f>
        <v/>
      </c>
      <c r="X16" s="30" t="str">
        <f>IF(AND(X$3&gt;=代码!$D15,X$3&lt;=代码!$E15),"是","")</f>
        <v/>
      </c>
      <c r="Y16" s="30" t="str">
        <f>IF(AND(Y$3&gt;=代码!$D15,Y$3&lt;=代码!$E15),"是","")</f>
        <v/>
      </c>
      <c r="Z16" s="30" t="str">
        <f>IF(AND(Z$3&gt;=代码!$D15,Z$3&lt;=代码!$E15),"是","")</f>
        <v/>
      </c>
      <c r="AA16" s="30" t="str">
        <f>IF(AND(AA$3&gt;=代码!$D15,AA$3&lt;=代码!$E15),"是","")</f>
        <v/>
      </c>
      <c r="AB16" s="30" t="str">
        <f>IF(AND(AB$3&gt;=代码!$D15,AB$3&lt;=代码!$E15),"是","")</f>
        <v/>
      </c>
      <c r="AC16" s="30" t="str">
        <f>IF(AND(AC$3&gt;=代码!$D15,AC$3&lt;=代码!$E15),"是","")</f>
        <v/>
      </c>
      <c r="AD16" s="30" t="str">
        <f>IF(AND(AD$3&gt;=代码!$D15,AD$3&lt;=代码!$E15),"是","")</f>
        <v/>
      </c>
      <c r="AE16" s="30" t="str">
        <f>IF(AND(AE$3&gt;=代码!$D15,AE$3&lt;=代码!$E15),"是","")</f>
        <v/>
      </c>
      <c r="AF16" s="30" t="str">
        <f>IF(AND(AF$3&gt;=代码!$D15,AF$3&lt;=代码!$E15),"是","")</f>
        <v/>
      </c>
      <c r="AG16" s="30" t="str">
        <f>IF(AND(AG$3&gt;=代码!$D15,AG$3&lt;=代码!$E15),"是","")</f>
        <v/>
      </c>
    </row>
    <row r="17" spans="3:33">
      <c r="C17" s="30" t="str">
        <f>IFERROR(VLOOKUP(B17,员工信息表!N:O,2,FALSE),"")</f>
        <v>时段</v>
      </c>
      <c r="D17" s="30" t="str">
        <f>IF(AND(D$3&gt;=代码!$D16,D$3&lt;=代码!$E16),"是","")</f>
        <v/>
      </c>
      <c r="E17" s="30" t="str">
        <f>IF(AND(E$3&gt;=代码!$D16,E$3&lt;=代码!$E16),"是","")</f>
        <v/>
      </c>
      <c r="F17" s="30" t="str">
        <f>IF(AND(F$3&gt;=代码!$D16,F$3&lt;=代码!$E16),"是","")</f>
        <v/>
      </c>
      <c r="G17" s="30" t="str">
        <f>IF(AND(G$3&gt;=代码!$D16,G$3&lt;=代码!$E16),"是","")</f>
        <v/>
      </c>
      <c r="H17" s="30" t="str">
        <f>IF(AND(H$3&gt;=代码!$D16,H$3&lt;=代码!$E16),"是","")</f>
        <v/>
      </c>
      <c r="I17" s="30" t="str">
        <f>IF(AND(I$3&gt;=代码!$D16,I$3&lt;=代码!$E16),"是","")</f>
        <v/>
      </c>
      <c r="J17" s="30" t="str">
        <f>IF(AND(J$3&gt;=代码!$D16,J$3&lt;=代码!$E16),"是","")</f>
        <v/>
      </c>
      <c r="K17" s="30" t="str">
        <f>IF(AND(K$3&gt;=代码!$D16,K$3&lt;=代码!$E16),"是","")</f>
        <v/>
      </c>
      <c r="L17" s="30" t="str">
        <f>IF(AND(L$3&gt;=代码!$D16,L$3&lt;=代码!$E16),"是","")</f>
        <v/>
      </c>
      <c r="M17" s="30" t="str">
        <f>IF(AND(M$3&gt;=代码!$D16,M$3&lt;=代码!$E16),"是","")</f>
        <v/>
      </c>
      <c r="N17" s="30" t="str">
        <f>IF(AND(N$3&gt;=代码!$D16,N$3&lt;=代码!$E16),"是","")</f>
        <v/>
      </c>
      <c r="O17" s="30" t="str">
        <f>IF(AND(O$3&gt;=代码!$D16,O$3&lt;=代码!$E16),"是","")</f>
        <v/>
      </c>
      <c r="P17" s="30" t="str">
        <f>IF(AND(P$3&gt;=代码!$D16,P$3&lt;=代码!$E16),"是","")</f>
        <v/>
      </c>
      <c r="Q17" s="30" t="str">
        <f>IF(AND(Q$3&gt;=代码!$D16,Q$3&lt;=代码!$E16),"是","")</f>
        <v/>
      </c>
      <c r="R17" s="30" t="str">
        <f>IF(AND(R$3&gt;=代码!$D16,R$3&lt;=代码!$E16),"是","")</f>
        <v/>
      </c>
      <c r="S17" s="30" t="str">
        <f>IF(AND(S$3&gt;=代码!$D16,S$3&lt;=代码!$E16),"是","")</f>
        <v/>
      </c>
      <c r="T17" s="30" t="str">
        <f>IF(AND(T$3&gt;=代码!$D16,T$3&lt;=代码!$E16),"是","")</f>
        <v/>
      </c>
      <c r="U17" s="30" t="str">
        <f>IF(AND(U$3&gt;=代码!$D16,U$3&lt;=代码!$E16),"是","")</f>
        <v/>
      </c>
      <c r="V17" s="30" t="str">
        <f>IF(AND(V$3&gt;=代码!$D16,V$3&lt;=代码!$E16),"是","")</f>
        <v/>
      </c>
      <c r="W17" s="30" t="str">
        <f>IF(AND(W$3&gt;=代码!$D16,W$3&lt;=代码!$E16),"是","")</f>
        <v/>
      </c>
      <c r="X17" s="30" t="str">
        <f>IF(AND(X$3&gt;=代码!$D16,X$3&lt;=代码!$E16),"是","")</f>
        <v/>
      </c>
      <c r="Y17" s="30" t="str">
        <f>IF(AND(Y$3&gt;=代码!$D16,Y$3&lt;=代码!$E16),"是","")</f>
        <v/>
      </c>
      <c r="Z17" s="30" t="str">
        <f>IF(AND(Z$3&gt;=代码!$D16,Z$3&lt;=代码!$E16),"是","")</f>
        <v/>
      </c>
      <c r="AA17" s="30" t="str">
        <f>IF(AND(AA$3&gt;=代码!$D16,AA$3&lt;=代码!$E16),"是","")</f>
        <v/>
      </c>
      <c r="AB17" s="30" t="str">
        <f>IF(AND(AB$3&gt;=代码!$D16,AB$3&lt;=代码!$E16),"是","")</f>
        <v/>
      </c>
      <c r="AC17" s="30" t="str">
        <f>IF(AND(AC$3&gt;=代码!$D16,AC$3&lt;=代码!$E16),"是","")</f>
        <v/>
      </c>
      <c r="AD17" s="30" t="str">
        <f>IF(AND(AD$3&gt;=代码!$D16,AD$3&lt;=代码!$E16),"是","")</f>
        <v/>
      </c>
      <c r="AE17" s="30" t="str">
        <f>IF(AND(AE$3&gt;=代码!$D16,AE$3&lt;=代码!$E16),"是","")</f>
        <v/>
      </c>
      <c r="AF17" s="30" t="str">
        <f>IF(AND(AF$3&gt;=代码!$D16,AF$3&lt;=代码!$E16),"是","")</f>
        <v/>
      </c>
      <c r="AG17" s="30" t="str">
        <f>IF(AND(AG$3&gt;=代码!$D16,AG$3&lt;=代码!$E16),"是","")</f>
        <v/>
      </c>
    </row>
    <row r="18" spans="3:33">
      <c r="C18" s="30" t="str">
        <f>IFERROR(VLOOKUP(B18,员工信息表!N:O,2,FALSE),"")</f>
        <v>时段</v>
      </c>
      <c r="D18" s="30" t="str">
        <f>IF(AND(D$3&gt;=代码!$D17,D$3&lt;=代码!$E17),"是","")</f>
        <v/>
      </c>
      <c r="E18" s="30" t="str">
        <f>IF(AND(E$3&gt;=代码!$D17,E$3&lt;=代码!$E17),"是","")</f>
        <v/>
      </c>
      <c r="F18" s="30" t="str">
        <f>IF(AND(F$3&gt;=代码!$D17,F$3&lt;=代码!$E17),"是","")</f>
        <v/>
      </c>
      <c r="G18" s="30" t="str">
        <f>IF(AND(G$3&gt;=代码!$D17,G$3&lt;=代码!$E17),"是","")</f>
        <v/>
      </c>
      <c r="H18" s="30" t="str">
        <f>IF(AND(H$3&gt;=代码!$D17,H$3&lt;=代码!$E17),"是","")</f>
        <v/>
      </c>
      <c r="I18" s="30" t="str">
        <f>IF(AND(I$3&gt;=代码!$D17,I$3&lt;=代码!$E17),"是","")</f>
        <v/>
      </c>
      <c r="J18" s="30" t="str">
        <f>IF(AND(J$3&gt;=代码!$D17,J$3&lt;=代码!$E17),"是","")</f>
        <v/>
      </c>
      <c r="K18" s="30" t="str">
        <f>IF(AND(K$3&gt;=代码!$D17,K$3&lt;=代码!$E17),"是","")</f>
        <v/>
      </c>
      <c r="L18" s="30" t="str">
        <f>IF(AND(L$3&gt;=代码!$D17,L$3&lt;=代码!$E17),"是","")</f>
        <v/>
      </c>
      <c r="M18" s="30" t="str">
        <f>IF(AND(M$3&gt;=代码!$D17,M$3&lt;=代码!$E17),"是","")</f>
        <v/>
      </c>
      <c r="N18" s="30" t="str">
        <f>IF(AND(N$3&gt;=代码!$D17,N$3&lt;=代码!$E17),"是","")</f>
        <v/>
      </c>
      <c r="O18" s="30" t="str">
        <f>IF(AND(O$3&gt;=代码!$D17,O$3&lt;=代码!$E17),"是","")</f>
        <v/>
      </c>
      <c r="P18" s="30" t="str">
        <f>IF(AND(P$3&gt;=代码!$D17,P$3&lt;=代码!$E17),"是","")</f>
        <v/>
      </c>
      <c r="Q18" s="30" t="str">
        <f>IF(AND(Q$3&gt;=代码!$D17,Q$3&lt;=代码!$E17),"是","")</f>
        <v/>
      </c>
      <c r="R18" s="30" t="str">
        <f>IF(AND(R$3&gt;=代码!$D17,R$3&lt;=代码!$E17),"是","")</f>
        <v/>
      </c>
      <c r="S18" s="30" t="str">
        <f>IF(AND(S$3&gt;=代码!$D17,S$3&lt;=代码!$E17),"是","")</f>
        <v/>
      </c>
      <c r="T18" s="30" t="str">
        <f>IF(AND(T$3&gt;=代码!$D17,T$3&lt;=代码!$E17),"是","")</f>
        <v/>
      </c>
      <c r="U18" s="30" t="str">
        <f>IF(AND(U$3&gt;=代码!$D17,U$3&lt;=代码!$E17),"是","")</f>
        <v/>
      </c>
      <c r="V18" s="30" t="str">
        <f>IF(AND(V$3&gt;=代码!$D17,V$3&lt;=代码!$E17),"是","")</f>
        <v/>
      </c>
      <c r="W18" s="30" t="str">
        <f>IF(AND(W$3&gt;=代码!$D17,W$3&lt;=代码!$E17),"是","")</f>
        <v/>
      </c>
      <c r="X18" s="30" t="str">
        <f>IF(AND(X$3&gt;=代码!$D17,X$3&lt;=代码!$E17),"是","")</f>
        <v/>
      </c>
      <c r="Y18" s="30" t="str">
        <f>IF(AND(Y$3&gt;=代码!$D17,Y$3&lt;=代码!$E17),"是","")</f>
        <v/>
      </c>
      <c r="Z18" s="30" t="str">
        <f>IF(AND(Z$3&gt;=代码!$D17,Z$3&lt;=代码!$E17),"是","")</f>
        <v/>
      </c>
      <c r="AA18" s="30" t="str">
        <f>IF(AND(AA$3&gt;=代码!$D17,AA$3&lt;=代码!$E17),"是","")</f>
        <v/>
      </c>
      <c r="AB18" s="30" t="str">
        <f>IF(AND(AB$3&gt;=代码!$D17,AB$3&lt;=代码!$E17),"是","")</f>
        <v/>
      </c>
      <c r="AC18" s="30" t="str">
        <f>IF(AND(AC$3&gt;=代码!$D17,AC$3&lt;=代码!$E17),"是","")</f>
        <v/>
      </c>
      <c r="AD18" s="30" t="str">
        <f>IF(AND(AD$3&gt;=代码!$D17,AD$3&lt;=代码!$E17),"是","")</f>
        <v/>
      </c>
      <c r="AE18" s="30" t="str">
        <f>IF(AND(AE$3&gt;=代码!$D17,AE$3&lt;=代码!$E17),"是","")</f>
        <v/>
      </c>
      <c r="AF18" s="30" t="str">
        <f>IF(AND(AF$3&gt;=代码!$D17,AF$3&lt;=代码!$E17),"是","")</f>
        <v/>
      </c>
      <c r="AG18" s="30" t="str">
        <f>IF(AND(AG$3&gt;=代码!$D17,AG$3&lt;=代码!$E17),"是","")</f>
        <v/>
      </c>
    </row>
    <row r="19" spans="3:33">
      <c r="C19" s="30" t="str">
        <f>IFERROR(VLOOKUP(B19,员工信息表!N:O,2,FALSE),"")</f>
        <v>时段</v>
      </c>
      <c r="D19" s="30" t="str">
        <f>IF(AND(D$3&gt;=代码!$D18,D$3&lt;=代码!$E18),"是","")</f>
        <v/>
      </c>
      <c r="E19" s="30" t="str">
        <f>IF(AND(E$3&gt;=代码!$D18,E$3&lt;=代码!$E18),"是","")</f>
        <v/>
      </c>
      <c r="F19" s="30" t="str">
        <f>IF(AND(F$3&gt;=代码!$D18,F$3&lt;=代码!$E18),"是","")</f>
        <v/>
      </c>
      <c r="G19" s="30" t="str">
        <f>IF(AND(G$3&gt;=代码!$D18,G$3&lt;=代码!$E18),"是","")</f>
        <v/>
      </c>
      <c r="H19" s="30" t="str">
        <f>IF(AND(H$3&gt;=代码!$D18,H$3&lt;=代码!$E18),"是","")</f>
        <v/>
      </c>
      <c r="I19" s="30" t="str">
        <f>IF(AND(I$3&gt;=代码!$D18,I$3&lt;=代码!$E18),"是","")</f>
        <v/>
      </c>
      <c r="J19" s="30" t="str">
        <f>IF(AND(J$3&gt;=代码!$D18,J$3&lt;=代码!$E18),"是","")</f>
        <v/>
      </c>
      <c r="K19" s="30" t="str">
        <f>IF(AND(K$3&gt;=代码!$D18,K$3&lt;=代码!$E18),"是","")</f>
        <v/>
      </c>
      <c r="L19" s="30" t="str">
        <f>IF(AND(L$3&gt;=代码!$D18,L$3&lt;=代码!$E18),"是","")</f>
        <v/>
      </c>
      <c r="M19" s="30" t="str">
        <f>IF(AND(M$3&gt;=代码!$D18,M$3&lt;=代码!$E18),"是","")</f>
        <v/>
      </c>
      <c r="N19" s="30" t="str">
        <f>IF(AND(N$3&gt;=代码!$D18,N$3&lt;=代码!$E18),"是","")</f>
        <v/>
      </c>
      <c r="O19" s="30" t="str">
        <f>IF(AND(O$3&gt;=代码!$D18,O$3&lt;=代码!$E18),"是","")</f>
        <v/>
      </c>
      <c r="P19" s="30" t="str">
        <f>IF(AND(P$3&gt;=代码!$D18,P$3&lt;=代码!$E18),"是","")</f>
        <v/>
      </c>
      <c r="Q19" s="30" t="str">
        <f>IF(AND(Q$3&gt;=代码!$D18,Q$3&lt;=代码!$E18),"是","")</f>
        <v/>
      </c>
      <c r="R19" s="30" t="str">
        <f>IF(AND(R$3&gt;=代码!$D18,R$3&lt;=代码!$E18),"是","")</f>
        <v/>
      </c>
      <c r="S19" s="30" t="str">
        <f>IF(AND(S$3&gt;=代码!$D18,S$3&lt;=代码!$E18),"是","")</f>
        <v/>
      </c>
      <c r="T19" s="30" t="str">
        <f>IF(AND(T$3&gt;=代码!$D18,T$3&lt;=代码!$E18),"是","")</f>
        <v/>
      </c>
      <c r="U19" s="30" t="str">
        <f>IF(AND(U$3&gt;=代码!$D18,U$3&lt;=代码!$E18),"是","")</f>
        <v/>
      </c>
      <c r="V19" s="30" t="str">
        <f>IF(AND(V$3&gt;=代码!$D18,V$3&lt;=代码!$E18),"是","")</f>
        <v/>
      </c>
      <c r="W19" s="30" t="str">
        <f>IF(AND(W$3&gt;=代码!$D18,W$3&lt;=代码!$E18),"是","")</f>
        <v/>
      </c>
      <c r="X19" s="30" t="str">
        <f>IF(AND(X$3&gt;=代码!$D18,X$3&lt;=代码!$E18),"是","")</f>
        <v/>
      </c>
      <c r="Y19" s="30" t="str">
        <f>IF(AND(Y$3&gt;=代码!$D18,Y$3&lt;=代码!$E18),"是","")</f>
        <v/>
      </c>
      <c r="Z19" s="30" t="str">
        <f>IF(AND(Z$3&gt;=代码!$D18,Z$3&lt;=代码!$E18),"是","")</f>
        <v/>
      </c>
      <c r="AA19" s="30" t="str">
        <f>IF(AND(AA$3&gt;=代码!$D18,AA$3&lt;=代码!$E18),"是","")</f>
        <v/>
      </c>
      <c r="AB19" s="30" t="str">
        <f>IF(AND(AB$3&gt;=代码!$D18,AB$3&lt;=代码!$E18),"是","")</f>
        <v/>
      </c>
      <c r="AC19" s="30" t="str">
        <f>IF(AND(AC$3&gt;=代码!$D18,AC$3&lt;=代码!$E18),"是","")</f>
        <v/>
      </c>
      <c r="AD19" s="30" t="str">
        <f>IF(AND(AD$3&gt;=代码!$D18,AD$3&lt;=代码!$E18),"是","")</f>
        <v/>
      </c>
      <c r="AE19" s="30" t="str">
        <f>IF(AND(AE$3&gt;=代码!$D18,AE$3&lt;=代码!$E18),"是","")</f>
        <v/>
      </c>
      <c r="AF19" s="30" t="str">
        <f>IF(AND(AF$3&gt;=代码!$D18,AF$3&lt;=代码!$E18),"是","")</f>
        <v/>
      </c>
      <c r="AG19" s="30" t="str">
        <f>IF(AND(AG$3&gt;=代码!$D18,AG$3&lt;=代码!$E18),"是","")</f>
        <v/>
      </c>
    </row>
    <row r="20" spans="3:33">
      <c r="C20" s="30" t="str">
        <f>IFERROR(VLOOKUP(B20,员工信息表!N:O,2,FALSE),"")</f>
        <v>时段</v>
      </c>
      <c r="D20" s="30" t="str">
        <f>IF(AND(D$3&gt;=代码!$D19,D$3&lt;=代码!$E19),"是","")</f>
        <v/>
      </c>
      <c r="E20" s="30" t="str">
        <f>IF(AND(E$3&gt;=代码!$D19,E$3&lt;=代码!$E19),"是","")</f>
        <v/>
      </c>
      <c r="F20" s="30" t="str">
        <f>IF(AND(F$3&gt;=代码!$D19,F$3&lt;=代码!$E19),"是","")</f>
        <v/>
      </c>
      <c r="G20" s="30" t="str">
        <f>IF(AND(G$3&gt;=代码!$D19,G$3&lt;=代码!$E19),"是","")</f>
        <v/>
      </c>
      <c r="H20" s="30" t="str">
        <f>IF(AND(H$3&gt;=代码!$D19,H$3&lt;=代码!$E19),"是","")</f>
        <v/>
      </c>
      <c r="I20" s="30" t="str">
        <f>IF(AND(I$3&gt;=代码!$D19,I$3&lt;=代码!$E19),"是","")</f>
        <v/>
      </c>
      <c r="J20" s="30" t="str">
        <f>IF(AND(J$3&gt;=代码!$D19,J$3&lt;=代码!$E19),"是","")</f>
        <v/>
      </c>
      <c r="K20" s="30" t="str">
        <f>IF(AND(K$3&gt;=代码!$D19,K$3&lt;=代码!$E19),"是","")</f>
        <v/>
      </c>
      <c r="L20" s="30" t="str">
        <f>IF(AND(L$3&gt;=代码!$D19,L$3&lt;=代码!$E19),"是","")</f>
        <v/>
      </c>
      <c r="M20" s="30" t="str">
        <f>IF(AND(M$3&gt;=代码!$D19,M$3&lt;=代码!$E19),"是","")</f>
        <v/>
      </c>
      <c r="N20" s="30" t="str">
        <f>IF(AND(N$3&gt;=代码!$D19,N$3&lt;=代码!$E19),"是","")</f>
        <v/>
      </c>
      <c r="O20" s="30" t="str">
        <f>IF(AND(O$3&gt;=代码!$D19,O$3&lt;=代码!$E19),"是","")</f>
        <v/>
      </c>
      <c r="P20" s="30" t="str">
        <f>IF(AND(P$3&gt;=代码!$D19,P$3&lt;=代码!$E19),"是","")</f>
        <v/>
      </c>
      <c r="Q20" s="30" t="str">
        <f>IF(AND(Q$3&gt;=代码!$D19,Q$3&lt;=代码!$E19),"是","")</f>
        <v/>
      </c>
      <c r="R20" s="30" t="str">
        <f>IF(AND(R$3&gt;=代码!$D19,R$3&lt;=代码!$E19),"是","")</f>
        <v/>
      </c>
      <c r="S20" s="30" t="str">
        <f>IF(AND(S$3&gt;=代码!$D19,S$3&lt;=代码!$E19),"是","")</f>
        <v/>
      </c>
      <c r="T20" s="30" t="str">
        <f>IF(AND(T$3&gt;=代码!$D19,T$3&lt;=代码!$E19),"是","")</f>
        <v/>
      </c>
      <c r="U20" s="30" t="str">
        <f>IF(AND(U$3&gt;=代码!$D19,U$3&lt;=代码!$E19),"是","")</f>
        <v/>
      </c>
      <c r="V20" s="30" t="str">
        <f>IF(AND(V$3&gt;=代码!$D19,V$3&lt;=代码!$E19),"是","")</f>
        <v/>
      </c>
      <c r="W20" s="30" t="str">
        <f>IF(AND(W$3&gt;=代码!$D19,W$3&lt;=代码!$E19),"是","")</f>
        <v/>
      </c>
      <c r="X20" s="30" t="str">
        <f>IF(AND(X$3&gt;=代码!$D19,X$3&lt;=代码!$E19),"是","")</f>
        <v/>
      </c>
      <c r="Y20" s="30" t="str">
        <f>IF(AND(Y$3&gt;=代码!$D19,Y$3&lt;=代码!$E19),"是","")</f>
        <v/>
      </c>
      <c r="Z20" s="30" t="str">
        <f>IF(AND(Z$3&gt;=代码!$D19,Z$3&lt;=代码!$E19),"是","")</f>
        <v/>
      </c>
      <c r="AA20" s="30" t="str">
        <f>IF(AND(AA$3&gt;=代码!$D19,AA$3&lt;=代码!$E19),"是","")</f>
        <v/>
      </c>
      <c r="AB20" s="30" t="str">
        <f>IF(AND(AB$3&gt;=代码!$D19,AB$3&lt;=代码!$E19),"是","")</f>
        <v/>
      </c>
      <c r="AC20" s="30" t="str">
        <f>IF(AND(AC$3&gt;=代码!$D19,AC$3&lt;=代码!$E19),"是","")</f>
        <v/>
      </c>
      <c r="AD20" s="30" t="str">
        <f>IF(AND(AD$3&gt;=代码!$D19,AD$3&lt;=代码!$E19),"是","")</f>
        <v/>
      </c>
      <c r="AE20" s="30" t="str">
        <f>IF(AND(AE$3&gt;=代码!$D19,AE$3&lt;=代码!$E19),"是","")</f>
        <v/>
      </c>
      <c r="AF20" s="30" t="str">
        <f>IF(AND(AF$3&gt;=代码!$D19,AF$3&lt;=代码!$E19),"是","")</f>
        <v/>
      </c>
      <c r="AG20" s="30" t="str">
        <f>IF(AND(AG$3&gt;=代码!$D19,AG$3&lt;=代码!$E19),"是","")</f>
        <v/>
      </c>
    </row>
    <row r="21" spans="3:33">
      <c r="C21" s="30" t="str">
        <f>IFERROR(VLOOKUP(B21,员工信息表!N:O,2,FALSE),"")</f>
        <v>时段</v>
      </c>
      <c r="D21" s="30" t="str">
        <f>IF(AND(D$3&gt;=代码!$D20,D$3&lt;=代码!$E20),"是","")</f>
        <v/>
      </c>
      <c r="E21" s="30" t="str">
        <f>IF(AND(E$3&gt;=代码!$D20,E$3&lt;=代码!$E20),"是","")</f>
        <v/>
      </c>
      <c r="F21" s="30" t="str">
        <f>IF(AND(F$3&gt;=代码!$D20,F$3&lt;=代码!$E20),"是","")</f>
        <v/>
      </c>
      <c r="G21" s="30" t="str">
        <f>IF(AND(G$3&gt;=代码!$D20,G$3&lt;=代码!$E20),"是","")</f>
        <v/>
      </c>
      <c r="H21" s="30" t="str">
        <f>IF(AND(H$3&gt;=代码!$D20,H$3&lt;=代码!$E20),"是","")</f>
        <v/>
      </c>
      <c r="I21" s="30" t="str">
        <f>IF(AND(I$3&gt;=代码!$D20,I$3&lt;=代码!$E20),"是","")</f>
        <v/>
      </c>
      <c r="J21" s="30" t="str">
        <f>IF(AND(J$3&gt;=代码!$D20,J$3&lt;=代码!$E20),"是","")</f>
        <v/>
      </c>
      <c r="K21" s="30" t="str">
        <f>IF(AND(K$3&gt;=代码!$D20,K$3&lt;=代码!$E20),"是","")</f>
        <v/>
      </c>
      <c r="L21" s="30" t="str">
        <f>IF(AND(L$3&gt;=代码!$D20,L$3&lt;=代码!$E20),"是","")</f>
        <v/>
      </c>
      <c r="M21" s="30" t="str">
        <f>IF(AND(M$3&gt;=代码!$D20,M$3&lt;=代码!$E20),"是","")</f>
        <v/>
      </c>
      <c r="N21" s="30" t="str">
        <f>IF(AND(N$3&gt;=代码!$D20,N$3&lt;=代码!$E20),"是","")</f>
        <v/>
      </c>
      <c r="O21" s="30" t="str">
        <f>IF(AND(O$3&gt;=代码!$D20,O$3&lt;=代码!$E20),"是","")</f>
        <v/>
      </c>
      <c r="P21" s="30" t="str">
        <f>IF(AND(P$3&gt;=代码!$D20,P$3&lt;=代码!$E20),"是","")</f>
        <v/>
      </c>
      <c r="Q21" s="30" t="str">
        <f>IF(AND(Q$3&gt;=代码!$D20,Q$3&lt;=代码!$E20),"是","")</f>
        <v/>
      </c>
      <c r="R21" s="30" t="str">
        <f>IF(AND(R$3&gt;=代码!$D20,R$3&lt;=代码!$E20),"是","")</f>
        <v/>
      </c>
      <c r="S21" s="30" t="str">
        <f>IF(AND(S$3&gt;=代码!$D20,S$3&lt;=代码!$E20),"是","")</f>
        <v/>
      </c>
      <c r="T21" s="30" t="str">
        <f>IF(AND(T$3&gt;=代码!$D20,T$3&lt;=代码!$E20),"是","")</f>
        <v/>
      </c>
      <c r="U21" s="30" t="str">
        <f>IF(AND(U$3&gt;=代码!$D20,U$3&lt;=代码!$E20),"是","")</f>
        <v/>
      </c>
      <c r="V21" s="30" t="str">
        <f>IF(AND(V$3&gt;=代码!$D20,V$3&lt;=代码!$E20),"是","")</f>
        <v/>
      </c>
      <c r="W21" s="30" t="str">
        <f>IF(AND(W$3&gt;=代码!$D20,W$3&lt;=代码!$E20),"是","")</f>
        <v/>
      </c>
      <c r="X21" s="30" t="str">
        <f>IF(AND(X$3&gt;=代码!$D20,X$3&lt;=代码!$E20),"是","")</f>
        <v/>
      </c>
      <c r="Y21" s="30" t="str">
        <f>IF(AND(Y$3&gt;=代码!$D20,Y$3&lt;=代码!$E20),"是","")</f>
        <v/>
      </c>
      <c r="Z21" s="30" t="str">
        <f>IF(AND(Z$3&gt;=代码!$D20,Z$3&lt;=代码!$E20),"是","")</f>
        <v/>
      </c>
      <c r="AA21" s="30" t="str">
        <f>IF(AND(AA$3&gt;=代码!$D20,AA$3&lt;=代码!$E20),"是","")</f>
        <v/>
      </c>
      <c r="AB21" s="30" t="str">
        <f>IF(AND(AB$3&gt;=代码!$D20,AB$3&lt;=代码!$E20),"是","")</f>
        <v/>
      </c>
      <c r="AC21" s="30" t="str">
        <f>IF(AND(AC$3&gt;=代码!$D20,AC$3&lt;=代码!$E20),"是","")</f>
        <v/>
      </c>
      <c r="AD21" s="30" t="str">
        <f>IF(AND(AD$3&gt;=代码!$D20,AD$3&lt;=代码!$E20),"是","")</f>
        <v/>
      </c>
      <c r="AE21" s="30" t="str">
        <f>IF(AND(AE$3&gt;=代码!$D20,AE$3&lt;=代码!$E20),"是","")</f>
        <v/>
      </c>
      <c r="AF21" s="30" t="str">
        <f>IF(AND(AF$3&gt;=代码!$D20,AF$3&lt;=代码!$E20),"是","")</f>
        <v/>
      </c>
      <c r="AG21" s="30" t="str">
        <f>IF(AND(AG$3&gt;=代码!$D20,AG$3&lt;=代码!$E20),"是","")</f>
        <v/>
      </c>
    </row>
    <row r="22" spans="3:33">
      <c r="C22" s="30" t="str">
        <f>IFERROR(VLOOKUP(B22,员工信息表!N:O,2,FALSE),"")</f>
        <v>时段</v>
      </c>
      <c r="D22" s="30" t="str">
        <f>IF(AND(D$3&gt;=代码!$D21,D$3&lt;=代码!$E21),"是","")</f>
        <v/>
      </c>
      <c r="E22" s="30" t="str">
        <f>IF(AND(E$3&gt;=代码!$D21,E$3&lt;=代码!$E21),"是","")</f>
        <v/>
      </c>
      <c r="F22" s="30" t="str">
        <f>IF(AND(F$3&gt;=代码!$D21,F$3&lt;=代码!$E21),"是","")</f>
        <v/>
      </c>
      <c r="G22" s="30" t="str">
        <f>IF(AND(G$3&gt;=代码!$D21,G$3&lt;=代码!$E21),"是","")</f>
        <v/>
      </c>
      <c r="H22" s="30" t="str">
        <f>IF(AND(H$3&gt;=代码!$D21,H$3&lt;=代码!$E21),"是","")</f>
        <v/>
      </c>
      <c r="I22" s="30" t="str">
        <f>IF(AND(I$3&gt;=代码!$D21,I$3&lt;=代码!$E21),"是","")</f>
        <v/>
      </c>
      <c r="J22" s="30" t="str">
        <f>IF(AND(J$3&gt;=代码!$D21,J$3&lt;=代码!$E21),"是","")</f>
        <v/>
      </c>
      <c r="K22" s="30" t="str">
        <f>IF(AND(K$3&gt;=代码!$D21,K$3&lt;=代码!$E21),"是","")</f>
        <v/>
      </c>
      <c r="L22" s="30" t="str">
        <f>IF(AND(L$3&gt;=代码!$D21,L$3&lt;=代码!$E21),"是","")</f>
        <v/>
      </c>
      <c r="M22" s="30" t="str">
        <f>IF(AND(M$3&gt;=代码!$D21,M$3&lt;=代码!$E21),"是","")</f>
        <v/>
      </c>
      <c r="N22" s="30" t="str">
        <f>IF(AND(N$3&gt;=代码!$D21,N$3&lt;=代码!$E21),"是","")</f>
        <v/>
      </c>
      <c r="O22" s="30" t="str">
        <f>IF(AND(O$3&gt;=代码!$D21,O$3&lt;=代码!$E21),"是","")</f>
        <v/>
      </c>
      <c r="P22" s="30" t="str">
        <f>IF(AND(P$3&gt;=代码!$D21,P$3&lt;=代码!$E21),"是","")</f>
        <v/>
      </c>
      <c r="Q22" s="30" t="str">
        <f>IF(AND(Q$3&gt;=代码!$D21,Q$3&lt;=代码!$E21),"是","")</f>
        <v/>
      </c>
      <c r="R22" s="30" t="str">
        <f>IF(AND(R$3&gt;=代码!$D21,R$3&lt;=代码!$E21),"是","")</f>
        <v/>
      </c>
      <c r="S22" s="30" t="str">
        <f>IF(AND(S$3&gt;=代码!$D21,S$3&lt;=代码!$E21),"是","")</f>
        <v/>
      </c>
      <c r="T22" s="30" t="str">
        <f>IF(AND(T$3&gt;=代码!$D21,T$3&lt;=代码!$E21),"是","")</f>
        <v/>
      </c>
      <c r="U22" s="30" t="str">
        <f>IF(AND(U$3&gt;=代码!$D21,U$3&lt;=代码!$E21),"是","")</f>
        <v/>
      </c>
      <c r="V22" s="30" t="str">
        <f>IF(AND(V$3&gt;=代码!$D21,V$3&lt;=代码!$E21),"是","")</f>
        <v/>
      </c>
      <c r="W22" s="30" t="str">
        <f>IF(AND(W$3&gt;=代码!$D21,W$3&lt;=代码!$E21),"是","")</f>
        <v/>
      </c>
      <c r="X22" s="30" t="str">
        <f>IF(AND(X$3&gt;=代码!$D21,X$3&lt;=代码!$E21),"是","")</f>
        <v/>
      </c>
      <c r="Y22" s="30" t="str">
        <f>IF(AND(Y$3&gt;=代码!$D21,Y$3&lt;=代码!$E21),"是","")</f>
        <v/>
      </c>
      <c r="Z22" s="30" t="str">
        <f>IF(AND(Z$3&gt;=代码!$D21,Z$3&lt;=代码!$E21),"是","")</f>
        <v/>
      </c>
      <c r="AA22" s="30" t="str">
        <f>IF(AND(AA$3&gt;=代码!$D21,AA$3&lt;=代码!$E21),"是","")</f>
        <v/>
      </c>
      <c r="AB22" s="30" t="str">
        <f>IF(AND(AB$3&gt;=代码!$D21,AB$3&lt;=代码!$E21),"是","")</f>
        <v/>
      </c>
      <c r="AC22" s="30" t="str">
        <f>IF(AND(AC$3&gt;=代码!$D21,AC$3&lt;=代码!$E21),"是","")</f>
        <v/>
      </c>
      <c r="AD22" s="30" t="str">
        <f>IF(AND(AD$3&gt;=代码!$D21,AD$3&lt;=代码!$E21),"是","")</f>
        <v/>
      </c>
      <c r="AE22" s="30" t="str">
        <f>IF(AND(AE$3&gt;=代码!$D21,AE$3&lt;=代码!$E21),"是","")</f>
        <v/>
      </c>
      <c r="AF22" s="30" t="str">
        <f>IF(AND(AF$3&gt;=代码!$D21,AF$3&lt;=代码!$E21),"是","")</f>
        <v/>
      </c>
      <c r="AG22" s="30" t="str">
        <f>IF(AND(AG$3&gt;=代码!$D21,AG$3&lt;=代码!$E21),"是","")</f>
        <v/>
      </c>
    </row>
    <row r="23" spans="3:33">
      <c r="C23" s="30" t="str">
        <f>IFERROR(VLOOKUP(B23,员工信息表!N:O,2,FALSE),"")</f>
        <v>时段</v>
      </c>
      <c r="D23" s="30" t="str">
        <f>IF(AND(D$3&gt;=代码!$D22,D$3&lt;=代码!$E22),"是","")</f>
        <v/>
      </c>
      <c r="E23" s="30" t="str">
        <f>IF(AND(E$3&gt;=代码!$D22,E$3&lt;=代码!$E22),"是","")</f>
        <v/>
      </c>
      <c r="F23" s="30" t="str">
        <f>IF(AND(F$3&gt;=代码!$D22,F$3&lt;=代码!$E22),"是","")</f>
        <v/>
      </c>
      <c r="G23" s="30" t="str">
        <f>IF(AND(G$3&gt;=代码!$D22,G$3&lt;=代码!$E22),"是","")</f>
        <v/>
      </c>
      <c r="H23" s="30" t="str">
        <f>IF(AND(H$3&gt;=代码!$D22,H$3&lt;=代码!$E22),"是","")</f>
        <v/>
      </c>
      <c r="I23" s="30" t="str">
        <f>IF(AND(I$3&gt;=代码!$D22,I$3&lt;=代码!$E22),"是","")</f>
        <v/>
      </c>
      <c r="J23" s="30" t="str">
        <f>IF(AND(J$3&gt;=代码!$D22,J$3&lt;=代码!$E22),"是","")</f>
        <v/>
      </c>
      <c r="K23" s="30" t="str">
        <f>IF(AND(K$3&gt;=代码!$D22,K$3&lt;=代码!$E22),"是","")</f>
        <v/>
      </c>
      <c r="L23" s="30" t="str">
        <f>IF(AND(L$3&gt;=代码!$D22,L$3&lt;=代码!$E22),"是","")</f>
        <v/>
      </c>
      <c r="M23" s="30" t="str">
        <f>IF(AND(M$3&gt;=代码!$D22,M$3&lt;=代码!$E22),"是","")</f>
        <v/>
      </c>
      <c r="N23" s="30" t="str">
        <f>IF(AND(N$3&gt;=代码!$D22,N$3&lt;=代码!$E22),"是","")</f>
        <v/>
      </c>
      <c r="O23" s="30" t="str">
        <f>IF(AND(O$3&gt;=代码!$D22,O$3&lt;=代码!$E22),"是","")</f>
        <v/>
      </c>
      <c r="P23" s="30" t="str">
        <f>IF(AND(P$3&gt;=代码!$D22,P$3&lt;=代码!$E22),"是","")</f>
        <v/>
      </c>
      <c r="Q23" s="30" t="str">
        <f>IF(AND(Q$3&gt;=代码!$D22,Q$3&lt;=代码!$E22),"是","")</f>
        <v/>
      </c>
      <c r="R23" s="30" t="str">
        <f>IF(AND(R$3&gt;=代码!$D22,R$3&lt;=代码!$E22),"是","")</f>
        <v/>
      </c>
      <c r="S23" s="30" t="str">
        <f>IF(AND(S$3&gt;=代码!$D22,S$3&lt;=代码!$E22),"是","")</f>
        <v/>
      </c>
      <c r="T23" s="30" t="str">
        <f>IF(AND(T$3&gt;=代码!$D22,T$3&lt;=代码!$E22),"是","")</f>
        <v/>
      </c>
      <c r="U23" s="30" t="str">
        <f>IF(AND(U$3&gt;=代码!$D22,U$3&lt;=代码!$E22),"是","")</f>
        <v/>
      </c>
      <c r="V23" s="30" t="str">
        <f>IF(AND(V$3&gt;=代码!$D22,V$3&lt;=代码!$E22),"是","")</f>
        <v/>
      </c>
      <c r="W23" s="30" t="str">
        <f>IF(AND(W$3&gt;=代码!$D22,W$3&lt;=代码!$E22),"是","")</f>
        <v/>
      </c>
      <c r="X23" s="30" t="str">
        <f>IF(AND(X$3&gt;=代码!$D22,X$3&lt;=代码!$E22),"是","")</f>
        <v/>
      </c>
      <c r="Y23" s="30" t="str">
        <f>IF(AND(Y$3&gt;=代码!$D22,Y$3&lt;=代码!$E22),"是","")</f>
        <v/>
      </c>
      <c r="Z23" s="30" t="str">
        <f>IF(AND(Z$3&gt;=代码!$D22,Z$3&lt;=代码!$E22),"是","")</f>
        <v/>
      </c>
      <c r="AA23" s="30" t="str">
        <f>IF(AND(AA$3&gt;=代码!$D22,AA$3&lt;=代码!$E22),"是","")</f>
        <v/>
      </c>
      <c r="AB23" s="30" t="str">
        <f>IF(AND(AB$3&gt;=代码!$D22,AB$3&lt;=代码!$E22),"是","")</f>
        <v/>
      </c>
      <c r="AC23" s="30" t="str">
        <f>IF(AND(AC$3&gt;=代码!$D22,AC$3&lt;=代码!$E22),"是","")</f>
        <v/>
      </c>
      <c r="AD23" s="30" t="str">
        <f>IF(AND(AD$3&gt;=代码!$D22,AD$3&lt;=代码!$E22),"是","")</f>
        <v/>
      </c>
      <c r="AE23" s="30" t="str">
        <f>IF(AND(AE$3&gt;=代码!$D22,AE$3&lt;=代码!$E22),"是","")</f>
        <v/>
      </c>
      <c r="AF23" s="30" t="str">
        <f>IF(AND(AF$3&gt;=代码!$D22,AF$3&lt;=代码!$E22),"是","")</f>
        <v/>
      </c>
      <c r="AG23" s="30" t="str">
        <f>IF(AND(AG$3&gt;=代码!$D22,AG$3&lt;=代码!$E22),"是","")</f>
        <v/>
      </c>
    </row>
    <row r="24" spans="3:33">
      <c r="C24" s="30" t="str">
        <f>IFERROR(VLOOKUP(B24,员工信息表!N:O,2,FALSE),"")</f>
        <v>时段</v>
      </c>
      <c r="D24" s="30" t="str">
        <f>IF(AND(D$3&gt;=代码!$D23,D$3&lt;=代码!$E23),"是","")</f>
        <v/>
      </c>
      <c r="E24" s="30" t="str">
        <f>IF(AND(E$3&gt;=代码!$D23,E$3&lt;=代码!$E23),"是","")</f>
        <v/>
      </c>
      <c r="F24" s="30" t="str">
        <f>IF(AND(F$3&gt;=代码!$D23,F$3&lt;=代码!$E23),"是","")</f>
        <v/>
      </c>
      <c r="G24" s="30" t="str">
        <f>IF(AND(G$3&gt;=代码!$D23,G$3&lt;=代码!$E23),"是","")</f>
        <v/>
      </c>
      <c r="H24" s="30" t="str">
        <f>IF(AND(H$3&gt;=代码!$D23,H$3&lt;=代码!$E23),"是","")</f>
        <v/>
      </c>
      <c r="I24" s="30" t="str">
        <f>IF(AND(I$3&gt;=代码!$D23,I$3&lt;=代码!$E23),"是","")</f>
        <v/>
      </c>
      <c r="J24" s="30" t="str">
        <f>IF(AND(J$3&gt;=代码!$D23,J$3&lt;=代码!$E23),"是","")</f>
        <v/>
      </c>
      <c r="K24" s="30" t="str">
        <f>IF(AND(K$3&gt;=代码!$D23,K$3&lt;=代码!$E23),"是","")</f>
        <v/>
      </c>
      <c r="L24" s="30" t="str">
        <f>IF(AND(L$3&gt;=代码!$D23,L$3&lt;=代码!$E23),"是","")</f>
        <v/>
      </c>
      <c r="M24" s="30" t="str">
        <f>IF(AND(M$3&gt;=代码!$D23,M$3&lt;=代码!$E23),"是","")</f>
        <v/>
      </c>
      <c r="N24" s="30" t="str">
        <f>IF(AND(N$3&gt;=代码!$D23,N$3&lt;=代码!$E23),"是","")</f>
        <v/>
      </c>
      <c r="O24" s="30" t="str">
        <f>IF(AND(O$3&gt;=代码!$D23,O$3&lt;=代码!$E23),"是","")</f>
        <v/>
      </c>
      <c r="P24" s="30" t="str">
        <f>IF(AND(P$3&gt;=代码!$D23,P$3&lt;=代码!$E23),"是","")</f>
        <v/>
      </c>
      <c r="Q24" s="30" t="str">
        <f>IF(AND(Q$3&gt;=代码!$D23,Q$3&lt;=代码!$E23),"是","")</f>
        <v/>
      </c>
      <c r="R24" s="30" t="str">
        <f>IF(AND(R$3&gt;=代码!$D23,R$3&lt;=代码!$E23),"是","")</f>
        <v/>
      </c>
      <c r="S24" s="30" t="str">
        <f>IF(AND(S$3&gt;=代码!$D23,S$3&lt;=代码!$E23),"是","")</f>
        <v/>
      </c>
      <c r="T24" s="30" t="str">
        <f>IF(AND(T$3&gt;=代码!$D23,T$3&lt;=代码!$E23),"是","")</f>
        <v/>
      </c>
      <c r="U24" s="30" t="str">
        <f>IF(AND(U$3&gt;=代码!$D23,U$3&lt;=代码!$E23),"是","")</f>
        <v/>
      </c>
      <c r="V24" s="30" t="str">
        <f>IF(AND(V$3&gt;=代码!$D23,V$3&lt;=代码!$E23),"是","")</f>
        <v/>
      </c>
      <c r="W24" s="30" t="str">
        <f>IF(AND(W$3&gt;=代码!$D23,W$3&lt;=代码!$E23),"是","")</f>
        <v/>
      </c>
      <c r="X24" s="30" t="str">
        <f>IF(AND(X$3&gt;=代码!$D23,X$3&lt;=代码!$E23),"是","")</f>
        <v/>
      </c>
      <c r="Y24" s="30" t="str">
        <f>IF(AND(Y$3&gt;=代码!$D23,Y$3&lt;=代码!$E23),"是","")</f>
        <v/>
      </c>
      <c r="Z24" s="30" t="str">
        <f>IF(AND(Z$3&gt;=代码!$D23,Z$3&lt;=代码!$E23),"是","")</f>
        <v/>
      </c>
      <c r="AA24" s="30" t="str">
        <f>IF(AND(AA$3&gt;=代码!$D23,AA$3&lt;=代码!$E23),"是","")</f>
        <v/>
      </c>
      <c r="AB24" s="30" t="str">
        <f>IF(AND(AB$3&gt;=代码!$D23,AB$3&lt;=代码!$E23),"是","")</f>
        <v/>
      </c>
      <c r="AC24" s="30" t="str">
        <f>IF(AND(AC$3&gt;=代码!$D23,AC$3&lt;=代码!$E23),"是","")</f>
        <v/>
      </c>
      <c r="AD24" s="30" t="str">
        <f>IF(AND(AD$3&gt;=代码!$D23,AD$3&lt;=代码!$E23),"是","")</f>
        <v/>
      </c>
      <c r="AE24" s="30" t="str">
        <f>IF(AND(AE$3&gt;=代码!$D23,AE$3&lt;=代码!$E23),"是","")</f>
        <v/>
      </c>
      <c r="AF24" s="30" t="str">
        <f>IF(AND(AF$3&gt;=代码!$D23,AF$3&lt;=代码!$E23),"是","")</f>
        <v/>
      </c>
      <c r="AG24" s="30" t="str">
        <f>IF(AND(AG$3&gt;=代码!$D23,AG$3&lt;=代码!$E23),"是","")</f>
        <v/>
      </c>
    </row>
    <row r="25" spans="3:33">
      <c r="C25" s="30" t="str">
        <f>IFERROR(VLOOKUP(B25,员工信息表!N:O,2,FALSE),"")</f>
        <v>时段</v>
      </c>
      <c r="D25" s="30" t="str">
        <f>IF(AND(D$3&gt;=代码!$D24,D$3&lt;=代码!$E24),"是","")</f>
        <v/>
      </c>
      <c r="E25" s="30" t="str">
        <f>IF(AND(E$3&gt;=代码!$D24,E$3&lt;=代码!$E24),"是","")</f>
        <v/>
      </c>
      <c r="F25" s="30" t="str">
        <f>IF(AND(F$3&gt;=代码!$D24,F$3&lt;=代码!$E24),"是","")</f>
        <v/>
      </c>
      <c r="G25" s="30" t="str">
        <f>IF(AND(G$3&gt;=代码!$D24,G$3&lt;=代码!$E24),"是","")</f>
        <v/>
      </c>
      <c r="H25" s="30" t="str">
        <f>IF(AND(H$3&gt;=代码!$D24,H$3&lt;=代码!$E24),"是","")</f>
        <v/>
      </c>
      <c r="I25" s="30" t="str">
        <f>IF(AND(I$3&gt;=代码!$D24,I$3&lt;=代码!$E24),"是","")</f>
        <v/>
      </c>
      <c r="J25" s="30" t="str">
        <f>IF(AND(J$3&gt;=代码!$D24,J$3&lt;=代码!$E24),"是","")</f>
        <v/>
      </c>
      <c r="K25" s="30" t="str">
        <f>IF(AND(K$3&gt;=代码!$D24,K$3&lt;=代码!$E24),"是","")</f>
        <v/>
      </c>
      <c r="L25" s="30" t="str">
        <f>IF(AND(L$3&gt;=代码!$D24,L$3&lt;=代码!$E24),"是","")</f>
        <v/>
      </c>
      <c r="M25" s="30" t="str">
        <f>IF(AND(M$3&gt;=代码!$D24,M$3&lt;=代码!$E24),"是","")</f>
        <v/>
      </c>
      <c r="N25" s="30" t="str">
        <f>IF(AND(N$3&gt;=代码!$D24,N$3&lt;=代码!$E24),"是","")</f>
        <v/>
      </c>
      <c r="O25" s="30" t="str">
        <f>IF(AND(O$3&gt;=代码!$D24,O$3&lt;=代码!$E24),"是","")</f>
        <v/>
      </c>
      <c r="P25" s="30" t="str">
        <f>IF(AND(P$3&gt;=代码!$D24,P$3&lt;=代码!$E24),"是","")</f>
        <v/>
      </c>
      <c r="Q25" s="30" t="str">
        <f>IF(AND(Q$3&gt;=代码!$D24,Q$3&lt;=代码!$E24),"是","")</f>
        <v/>
      </c>
      <c r="R25" s="30" t="str">
        <f>IF(AND(R$3&gt;=代码!$D24,R$3&lt;=代码!$E24),"是","")</f>
        <v/>
      </c>
      <c r="S25" s="30" t="str">
        <f>IF(AND(S$3&gt;=代码!$D24,S$3&lt;=代码!$E24),"是","")</f>
        <v/>
      </c>
      <c r="T25" s="30" t="str">
        <f>IF(AND(T$3&gt;=代码!$D24,T$3&lt;=代码!$E24),"是","")</f>
        <v/>
      </c>
      <c r="U25" s="30" t="str">
        <f>IF(AND(U$3&gt;=代码!$D24,U$3&lt;=代码!$E24),"是","")</f>
        <v/>
      </c>
      <c r="V25" s="30" t="str">
        <f>IF(AND(V$3&gt;=代码!$D24,V$3&lt;=代码!$E24),"是","")</f>
        <v/>
      </c>
      <c r="W25" s="30" t="str">
        <f>IF(AND(W$3&gt;=代码!$D24,W$3&lt;=代码!$E24),"是","")</f>
        <v/>
      </c>
      <c r="X25" s="30" t="str">
        <f>IF(AND(X$3&gt;=代码!$D24,X$3&lt;=代码!$E24),"是","")</f>
        <v/>
      </c>
      <c r="Y25" s="30" t="str">
        <f>IF(AND(Y$3&gt;=代码!$D24,Y$3&lt;=代码!$E24),"是","")</f>
        <v/>
      </c>
      <c r="Z25" s="30" t="str">
        <f>IF(AND(Z$3&gt;=代码!$D24,Z$3&lt;=代码!$E24),"是","")</f>
        <v/>
      </c>
      <c r="AA25" s="30" t="str">
        <f>IF(AND(AA$3&gt;=代码!$D24,AA$3&lt;=代码!$E24),"是","")</f>
        <v/>
      </c>
      <c r="AB25" s="30" t="str">
        <f>IF(AND(AB$3&gt;=代码!$D24,AB$3&lt;=代码!$E24),"是","")</f>
        <v/>
      </c>
      <c r="AC25" s="30" t="str">
        <f>IF(AND(AC$3&gt;=代码!$D24,AC$3&lt;=代码!$E24),"是","")</f>
        <v/>
      </c>
      <c r="AD25" s="30" t="str">
        <f>IF(AND(AD$3&gt;=代码!$D24,AD$3&lt;=代码!$E24),"是","")</f>
        <v/>
      </c>
      <c r="AE25" s="30" t="str">
        <f>IF(AND(AE$3&gt;=代码!$D24,AE$3&lt;=代码!$E24),"是","")</f>
        <v/>
      </c>
      <c r="AF25" s="30" t="str">
        <f>IF(AND(AF$3&gt;=代码!$D24,AF$3&lt;=代码!$E24),"是","")</f>
        <v/>
      </c>
      <c r="AG25" s="30" t="str">
        <f>IF(AND(AG$3&gt;=代码!$D24,AG$3&lt;=代码!$E24),"是","")</f>
        <v/>
      </c>
    </row>
    <row r="26" spans="3:33">
      <c r="C26" s="30" t="str">
        <f>IFERROR(VLOOKUP(B26,员工信息表!N:O,2,FALSE),"")</f>
        <v>时段</v>
      </c>
      <c r="D26" s="30" t="str">
        <f>IF(AND(D$3&gt;=代码!$D25,D$3&lt;=代码!$E25),"是","")</f>
        <v/>
      </c>
      <c r="E26" s="30" t="str">
        <f>IF(AND(E$3&gt;=代码!$D25,E$3&lt;=代码!$E25),"是","")</f>
        <v/>
      </c>
      <c r="F26" s="30" t="str">
        <f>IF(AND(F$3&gt;=代码!$D25,F$3&lt;=代码!$E25),"是","")</f>
        <v/>
      </c>
      <c r="G26" s="30" t="str">
        <f>IF(AND(G$3&gt;=代码!$D25,G$3&lt;=代码!$E25),"是","")</f>
        <v/>
      </c>
      <c r="H26" s="30" t="str">
        <f>IF(AND(H$3&gt;=代码!$D25,H$3&lt;=代码!$E25),"是","")</f>
        <v/>
      </c>
      <c r="I26" s="30" t="str">
        <f>IF(AND(I$3&gt;=代码!$D25,I$3&lt;=代码!$E25),"是","")</f>
        <v/>
      </c>
      <c r="J26" s="30" t="str">
        <f>IF(AND(J$3&gt;=代码!$D25,J$3&lt;=代码!$E25),"是","")</f>
        <v/>
      </c>
      <c r="K26" s="30" t="str">
        <f>IF(AND(K$3&gt;=代码!$D25,K$3&lt;=代码!$E25),"是","")</f>
        <v/>
      </c>
      <c r="L26" s="30" t="str">
        <f>IF(AND(L$3&gt;=代码!$D25,L$3&lt;=代码!$E25),"是","")</f>
        <v/>
      </c>
      <c r="M26" s="30" t="str">
        <f>IF(AND(M$3&gt;=代码!$D25,M$3&lt;=代码!$E25),"是","")</f>
        <v/>
      </c>
      <c r="N26" s="30" t="str">
        <f>IF(AND(N$3&gt;=代码!$D25,N$3&lt;=代码!$E25),"是","")</f>
        <v/>
      </c>
      <c r="O26" s="30" t="str">
        <f>IF(AND(O$3&gt;=代码!$D25,O$3&lt;=代码!$E25),"是","")</f>
        <v/>
      </c>
      <c r="P26" s="30" t="str">
        <f>IF(AND(P$3&gt;=代码!$D25,P$3&lt;=代码!$E25),"是","")</f>
        <v/>
      </c>
      <c r="Q26" s="30" t="str">
        <f>IF(AND(Q$3&gt;=代码!$D25,Q$3&lt;=代码!$E25),"是","")</f>
        <v/>
      </c>
      <c r="R26" s="30" t="str">
        <f>IF(AND(R$3&gt;=代码!$D25,R$3&lt;=代码!$E25),"是","")</f>
        <v/>
      </c>
      <c r="S26" s="30" t="str">
        <f>IF(AND(S$3&gt;=代码!$D25,S$3&lt;=代码!$E25),"是","")</f>
        <v/>
      </c>
      <c r="T26" s="30" t="str">
        <f>IF(AND(T$3&gt;=代码!$D25,T$3&lt;=代码!$E25),"是","")</f>
        <v/>
      </c>
      <c r="U26" s="30" t="str">
        <f>IF(AND(U$3&gt;=代码!$D25,U$3&lt;=代码!$E25),"是","")</f>
        <v/>
      </c>
      <c r="V26" s="30" t="str">
        <f>IF(AND(V$3&gt;=代码!$D25,V$3&lt;=代码!$E25),"是","")</f>
        <v/>
      </c>
      <c r="W26" s="30" t="str">
        <f>IF(AND(W$3&gt;=代码!$D25,W$3&lt;=代码!$E25),"是","")</f>
        <v/>
      </c>
      <c r="X26" s="30" t="str">
        <f>IF(AND(X$3&gt;=代码!$D25,X$3&lt;=代码!$E25),"是","")</f>
        <v/>
      </c>
      <c r="Y26" s="30" t="str">
        <f>IF(AND(Y$3&gt;=代码!$D25,Y$3&lt;=代码!$E25),"是","")</f>
        <v/>
      </c>
      <c r="Z26" s="30" t="str">
        <f>IF(AND(Z$3&gt;=代码!$D25,Z$3&lt;=代码!$E25),"是","")</f>
        <v/>
      </c>
      <c r="AA26" s="30" t="str">
        <f>IF(AND(AA$3&gt;=代码!$D25,AA$3&lt;=代码!$E25),"是","")</f>
        <v/>
      </c>
      <c r="AB26" s="30" t="str">
        <f>IF(AND(AB$3&gt;=代码!$D25,AB$3&lt;=代码!$E25),"是","")</f>
        <v/>
      </c>
      <c r="AC26" s="30" t="str">
        <f>IF(AND(AC$3&gt;=代码!$D25,AC$3&lt;=代码!$E25),"是","")</f>
        <v/>
      </c>
      <c r="AD26" s="30" t="str">
        <f>IF(AND(AD$3&gt;=代码!$D25,AD$3&lt;=代码!$E25),"是","")</f>
        <v/>
      </c>
      <c r="AE26" s="30" t="str">
        <f>IF(AND(AE$3&gt;=代码!$D25,AE$3&lt;=代码!$E25),"是","")</f>
        <v/>
      </c>
      <c r="AF26" s="30" t="str">
        <f>IF(AND(AF$3&gt;=代码!$D25,AF$3&lt;=代码!$E25),"是","")</f>
        <v/>
      </c>
      <c r="AG26" s="30" t="str">
        <f>IF(AND(AG$3&gt;=代码!$D25,AG$3&lt;=代码!$E25),"是","")</f>
        <v/>
      </c>
    </row>
    <row r="27" spans="3:33">
      <c r="C27" s="30" t="str">
        <f>IFERROR(VLOOKUP(B27,员工信息表!N:O,2,FALSE),"")</f>
        <v>时段</v>
      </c>
      <c r="D27" s="30" t="str">
        <f>IF(AND(D$3&gt;=代码!$D26,D$3&lt;=代码!$E26),"是","")</f>
        <v/>
      </c>
      <c r="E27" s="30" t="str">
        <f>IF(AND(E$3&gt;=代码!$D26,E$3&lt;=代码!$E26),"是","")</f>
        <v/>
      </c>
      <c r="F27" s="30" t="str">
        <f>IF(AND(F$3&gt;=代码!$D26,F$3&lt;=代码!$E26),"是","")</f>
        <v/>
      </c>
      <c r="G27" s="30" t="str">
        <f>IF(AND(G$3&gt;=代码!$D26,G$3&lt;=代码!$E26),"是","")</f>
        <v/>
      </c>
      <c r="H27" s="30" t="str">
        <f>IF(AND(H$3&gt;=代码!$D26,H$3&lt;=代码!$E26),"是","")</f>
        <v/>
      </c>
      <c r="I27" s="30" t="str">
        <f>IF(AND(I$3&gt;=代码!$D26,I$3&lt;=代码!$E26),"是","")</f>
        <v/>
      </c>
      <c r="J27" s="30" t="str">
        <f>IF(AND(J$3&gt;=代码!$D26,J$3&lt;=代码!$E26),"是","")</f>
        <v/>
      </c>
      <c r="K27" s="30" t="str">
        <f>IF(AND(K$3&gt;=代码!$D26,K$3&lt;=代码!$E26),"是","")</f>
        <v/>
      </c>
      <c r="L27" s="30" t="str">
        <f>IF(AND(L$3&gt;=代码!$D26,L$3&lt;=代码!$E26),"是","")</f>
        <v/>
      </c>
      <c r="M27" s="30" t="str">
        <f>IF(AND(M$3&gt;=代码!$D26,M$3&lt;=代码!$E26),"是","")</f>
        <v/>
      </c>
      <c r="N27" s="30" t="str">
        <f>IF(AND(N$3&gt;=代码!$D26,N$3&lt;=代码!$E26),"是","")</f>
        <v/>
      </c>
      <c r="O27" s="30" t="str">
        <f>IF(AND(O$3&gt;=代码!$D26,O$3&lt;=代码!$E26),"是","")</f>
        <v/>
      </c>
      <c r="P27" s="30" t="str">
        <f>IF(AND(P$3&gt;=代码!$D26,P$3&lt;=代码!$E26),"是","")</f>
        <v/>
      </c>
      <c r="Q27" s="30" t="str">
        <f>IF(AND(Q$3&gt;=代码!$D26,Q$3&lt;=代码!$E26),"是","")</f>
        <v/>
      </c>
      <c r="R27" s="30" t="str">
        <f>IF(AND(R$3&gt;=代码!$D26,R$3&lt;=代码!$E26),"是","")</f>
        <v/>
      </c>
      <c r="S27" s="30" t="str">
        <f>IF(AND(S$3&gt;=代码!$D26,S$3&lt;=代码!$E26),"是","")</f>
        <v/>
      </c>
      <c r="T27" s="30" t="str">
        <f>IF(AND(T$3&gt;=代码!$D26,T$3&lt;=代码!$E26),"是","")</f>
        <v/>
      </c>
      <c r="U27" s="30" t="str">
        <f>IF(AND(U$3&gt;=代码!$D26,U$3&lt;=代码!$E26),"是","")</f>
        <v/>
      </c>
      <c r="V27" s="30" t="str">
        <f>IF(AND(V$3&gt;=代码!$D26,V$3&lt;=代码!$E26),"是","")</f>
        <v/>
      </c>
      <c r="W27" s="30" t="str">
        <f>IF(AND(W$3&gt;=代码!$D26,W$3&lt;=代码!$E26),"是","")</f>
        <v/>
      </c>
      <c r="X27" s="30" t="str">
        <f>IF(AND(X$3&gt;=代码!$D26,X$3&lt;=代码!$E26),"是","")</f>
        <v/>
      </c>
      <c r="Y27" s="30" t="str">
        <f>IF(AND(Y$3&gt;=代码!$D26,Y$3&lt;=代码!$E26),"是","")</f>
        <v/>
      </c>
      <c r="Z27" s="30" t="str">
        <f>IF(AND(Z$3&gt;=代码!$D26,Z$3&lt;=代码!$E26),"是","")</f>
        <v/>
      </c>
      <c r="AA27" s="30" t="str">
        <f>IF(AND(AA$3&gt;=代码!$D26,AA$3&lt;=代码!$E26),"是","")</f>
        <v/>
      </c>
      <c r="AB27" s="30" t="str">
        <f>IF(AND(AB$3&gt;=代码!$D26,AB$3&lt;=代码!$E26),"是","")</f>
        <v/>
      </c>
      <c r="AC27" s="30" t="str">
        <f>IF(AND(AC$3&gt;=代码!$D26,AC$3&lt;=代码!$E26),"是","")</f>
        <v/>
      </c>
      <c r="AD27" s="30" t="str">
        <f>IF(AND(AD$3&gt;=代码!$D26,AD$3&lt;=代码!$E26),"是","")</f>
        <v/>
      </c>
      <c r="AE27" s="30" t="str">
        <f>IF(AND(AE$3&gt;=代码!$D26,AE$3&lt;=代码!$E26),"是","")</f>
        <v/>
      </c>
      <c r="AF27" s="30" t="str">
        <f>IF(AND(AF$3&gt;=代码!$D26,AF$3&lt;=代码!$E26),"是","")</f>
        <v/>
      </c>
      <c r="AG27" s="30" t="str">
        <f>IF(AND(AG$3&gt;=代码!$D26,AG$3&lt;=代码!$E26),"是","")</f>
        <v/>
      </c>
    </row>
    <row r="28" spans="3:33">
      <c r="C28" s="30" t="str">
        <f>IFERROR(VLOOKUP(B28,员工信息表!N:O,2,FALSE),"")</f>
        <v>时段</v>
      </c>
      <c r="D28" s="30" t="str">
        <f>IF(AND(D$3&gt;=代码!$D27,D$3&lt;=代码!$E27),"是","")</f>
        <v/>
      </c>
      <c r="E28" s="30" t="str">
        <f>IF(AND(E$3&gt;=代码!$D27,E$3&lt;=代码!$E27),"是","")</f>
        <v/>
      </c>
      <c r="F28" s="30" t="str">
        <f>IF(AND(F$3&gt;=代码!$D27,F$3&lt;=代码!$E27),"是","")</f>
        <v/>
      </c>
      <c r="G28" s="30" t="str">
        <f>IF(AND(G$3&gt;=代码!$D27,G$3&lt;=代码!$E27),"是","")</f>
        <v/>
      </c>
      <c r="H28" s="30" t="str">
        <f>IF(AND(H$3&gt;=代码!$D27,H$3&lt;=代码!$E27),"是","")</f>
        <v/>
      </c>
      <c r="I28" s="30" t="str">
        <f>IF(AND(I$3&gt;=代码!$D27,I$3&lt;=代码!$E27),"是","")</f>
        <v/>
      </c>
      <c r="J28" s="30" t="str">
        <f>IF(AND(J$3&gt;=代码!$D27,J$3&lt;=代码!$E27),"是","")</f>
        <v/>
      </c>
      <c r="K28" s="30" t="str">
        <f>IF(AND(K$3&gt;=代码!$D27,K$3&lt;=代码!$E27),"是","")</f>
        <v/>
      </c>
      <c r="L28" s="30" t="str">
        <f>IF(AND(L$3&gt;=代码!$D27,L$3&lt;=代码!$E27),"是","")</f>
        <v/>
      </c>
      <c r="M28" s="30" t="str">
        <f>IF(AND(M$3&gt;=代码!$D27,M$3&lt;=代码!$E27),"是","")</f>
        <v/>
      </c>
      <c r="N28" s="30" t="str">
        <f>IF(AND(N$3&gt;=代码!$D27,N$3&lt;=代码!$E27),"是","")</f>
        <v/>
      </c>
      <c r="O28" s="30" t="str">
        <f>IF(AND(O$3&gt;=代码!$D27,O$3&lt;=代码!$E27),"是","")</f>
        <v/>
      </c>
      <c r="P28" s="30" t="str">
        <f>IF(AND(P$3&gt;=代码!$D27,P$3&lt;=代码!$E27),"是","")</f>
        <v/>
      </c>
      <c r="Q28" s="30" t="str">
        <f>IF(AND(Q$3&gt;=代码!$D27,Q$3&lt;=代码!$E27),"是","")</f>
        <v/>
      </c>
      <c r="R28" s="30" t="str">
        <f>IF(AND(R$3&gt;=代码!$D27,R$3&lt;=代码!$E27),"是","")</f>
        <v/>
      </c>
      <c r="S28" s="30" t="str">
        <f>IF(AND(S$3&gt;=代码!$D27,S$3&lt;=代码!$E27),"是","")</f>
        <v/>
      </c>
      <c r="T28" s="30" t="str">
        <f>IF(AND(T$3&gt;=代码!$D27,T$3&lt;=代码!$E27),"是","")</f>
        <v/>
      </c>
      <c r="U28" s="30" t="str">
        <f>IF(AND(U$3&gt;=代码!$D27,U$3&lt;=代码!$E27),"是","")</f>
        <v/>
      </c>
      <c r="V28" s="30" t="str">
        <f>IF(AND(V$3&gt;=代码!$D27,V$3&lt;=代码!$E27),"是","")</f>
        <v/>
      </c>
      <c r="W28" s="30" t="str">
        <f>IF(AND(W$3&gt;=代码!$D27,W$3&lt;=代码!$E27),"是","")</f>
        <v/>
      </c>
      <c r="X28" s="30" t="str">
        <f>IF(AND(X$3&gt;=代码!$D27,X$3&lt;=代码!$E27),"是","")</f>
        <v/>
      </c>
      <c r="Y28" s="30" t="str">
        <f>IF(AND(Y$3&gt;=代码!$D27,Y$3&lt;=代码!$E27),"是","")</f>
        <v/>
      </c>
      <c r="Z28" s="30" t="str">
        <f>IF(AND(Z$3&gt;=代码!$D27,Z$3&lt;=代码!$E27),"是","")</f>
        <v/>
      </c>
      <c r="AA28" s="30" t="str">
        <f>IF(AND(AA$3&gt;=代码!$D27,AA$3&lt;=代码!$E27),"是","")</f>
        <v/>
      </c>
      <c r="AB28" s="30" t="str">
        <f>IF(AND(AB$3&gt;=代码!$D27,AB$3&lt;=代码!$E27),"是","")</f>
        <v/>
      </c>
      <c r="AC28" s="30" t="str">
        <f>IF(AND(AC$3&gt;=代码!$D27,AC$3&lt;=代码!$E27),"是","")</f>
        <v/>
      </c>
      <c r="AD28" s="30" t="str">
        <f>IF(AND(AD$3&gt;=代码!$D27,AD$3&lt;=代码!$E27),"是","")</f>
        <v/>
      </c>
      <c r="AE28" s="30" t="str">
        <f>IF(AND(AE$3&gt;=代码!$D27,AE$3&lt;=代码!$E27),"是","")</f>
        <v/>
      </c>
      <c r="AF28" s="30" t="str">
        <f>IF(AND(AF$3&gt;=代码!$D27,AF$3&lt;=代码!$E27),"是","")</f>
        <v/>
      </c>
      <c r="AG28" s="30" t="str">
        <f>IF(AND(AG$3&gt;=代码!$D27,AG$3&lt;=代码!$E27),"是","")</f>
        <v/>
      </c>
    </row>
    <row r="29" spans="3:33">
      <c r="C29" s="30" t="str">
        <f>IFERROR(VLOOKUP(B29,员工信息表!N:O,2,FALSE),"")</f>
        <v>时段</v>
      </c>
      <c r="D29" s="30" t="str">
        <f>IF(AND(D$3&gt;=代码!$D28,D$3&lt;=代码!$E28),"是","")</f>
        <v/>
      </c>
      <c r="E29" s="30" t="str">
        <f>IF(AND(E$3&gt;=代码!$D28,E$3&lt;=代码!$E28),"是","")</f>
        <v/>
      </c>
      <c r="F29" s="30" t="str">
        <f>IF(AND(F$3&gt;=代码!$D28,F$3&lt;=代码!$E28),"是","")</f>
        <v/>
      </c>
      <c r="G29" s="30" t="str">
        <f>IF(AND(G$3&gt;=代码!$D28,G$3&lt;=代码!$E28),"是","")</f>
        <v/>
      </c>
      <c r="H29" s="30" t="str">
        <f>IF(AND(H$3&gt;=代码!$D28,H$3&lt;=代码!$E28),"是","")</f>
        <v/>
      </c>
      <c r="I29" s="30" t="str">
        <f>IF(AND(I$3&gt;=代码!$D28,I$3&lt;=代码!$E28),"是","")</f>
        <v/>
      </c>
      <c r="J29" s="30" t="str">
        <f>IF(AND(J$3&gt;=代码!$D28,J$3&lt;=代码!$E28),"是","")</f>
        <v/>
      </c>
      <c r="K29" s="30" t="str">
        <f>IF(AND(K$3&gt;=代码!$D28,K$3&lt;=代码!$E28),"是","")</f>
        <v/>
      </c>
      <c r="L29" s="30" t="str">
        <f>IF(AND(L$3&gt;=代码!$D28,L$3&lt;=代码!$E28),"是","")</f>
        <v/>
      </c>
      <c r="M29" s="30" t="str">
        <f>IF(AND(M$3&gt;=代码!$D28,M$3&lt;=代码!$E28),"是","")</f>
        <v/>
      </c>
      <c r="N29" s="30" t="str">
        <f>IF(AND(N$3&gt;=代码!$D28,N$3&lt;=代码!$E28),"是","")</f>
        <v/>
      </c>
      <c r="O29" s="30" t="str">
        <f>IF(AND(O$3&gt;=代码!$D28,O$3&lt;=代码!$E28),"是","")</f>
        <v/>
      </c>
      <c r="P29" s="30" t="str">
        <f>IF(AND(P$3&gt;=代码!$D28,P$3&lt;=代码!$E28),"是","")</f>
        <v/>
      </c>
      <c r="Q29" s="30" t="str">
        <f>IF(AND(Q$3&gt;=代码!$D28,Q$3&lt;=代码!$E28),"是","")</f>
        <v/>
      </c>
      <c r="R29" s="30" t="str">
        <f>IF(AND(R$3&gt;=代码!$D28,R$3&lt;=代码!$E28),"是","")</f>
        <v/>
      </c>
      <c r="S29" s="30" t="str">
        <f>IF(AND(S$3&gt;=代码!$D28,S$3&lt;=代码!$E28),"是","")</f>
        <v/>
      </c>
      <c r="T29" s="30" t="str">
        <f>IF(AND(T$3&gt;=代码!$D28,T$3&lt;=代码!$E28),"是","")</f>
        <v/>
      </c>
      <c r="U29" s="30" t="str">
        <f>IF(AND(U$3&gt;=代码!$D28,U$3&lt;=代码!$E28),"是","")</f>
        <v/>
      </c>
      <c r="V29" s="30" t="str">
        <f>IF(AND(V$3&gt;=代码!$D28,V$3&lt;=代码!$E28),"是","")</f>
        <v/>
      </c>
      <c r="W29" s="30" t="str">
        <f>IF(AND(W$3&gt;=代码!$D28,W$3&lt;=代码!$E28),"是","")</f>
        <v/>
      </c>
      <c r="X29" s="30" t="str">
        <f>IF(AND(X$3&gt;=代码!$D28,X$3&lt;=代码!$E28),"是","")</f>
        <v/>
      </c>
      <c r="Y29" s="30" t="str">
        <f>IF(AND(Y$3&gt;=代码!$D28,Y$3&lt;=代码!$E28),"是","")</f>
        <v/>
      </c>
      <c r="Z29" s="30" t="str">
        <f>IF(AND(Z$3&gt;=代码!$D28,Z$3&lt;=代码!$E28),"是","")</f>
        <v/>
      </c>
      <c r="AA29" s="30" t="str">
        <f>IF(AND(AA$3&gt;=代码!$D28,AA$3&lt;=代码!$E28),"是","")</f>
        <v/>
      </c>
      <c r="AB29" s="30" t="str">
        <f>IF(AND(AB$3&gt;=代码!$D28,AB$3&lt;=代码!$E28),"是","")</f>
        <v/>
      </c>
      <c r="AC29" s="30" t="str">
        <f>IF(AND(AC$3&gt;=代码!$D28,AC$3&lt;=代码!$E28),"是","")</f>
        <v/>
      </c>
      <c r="AD29" s="30" t="str">
        <f>IF(AND(AD$3&gt;=代码!$D28,AD$3&lt;=代码!$E28),"是","")</f>
        <v/>
      </c>
      <c r="AE29" s="30" t="str">
        <f>IF(AND(AE$3&gt;=代码!$D28,AE$3&lt;=代码!$E28),"是","")</f>
        <v/>
      </c>
      <c r="AF29" s="30" t="str">
        <f>IF(AND(AF$3&gt;=代码!$D28,AF$3&lt;=代码!$E28),"是","")</f>
        <v/>
      </c>
      <c r="AG29" s="30" t="str">
        <f>IF(AND(AG$3&gt;=代码!$D28,AG$3&lt;=代码!$E28),"是","")</f>
        <v/>
      </c>
    </row>
    <row r="30" spans="3:33">
      <c r="C30" s="30" t="str">
        <f>IFERROR(VLOOKUP(B30,员工信息表!N:O,2,FALSE),"")</f>
        <v>时段</v>
      </c>
      <c r="D30" s="30" t="str">
        <f>IF(AND(D$3&gt;=代码!$D29,D$3&lt;=代码!$E29),"是","")</f>
        <v/>
      </c>
      <c r="E30" s="30" t="str">
        <f>IF(AND(E$3&gt;=代码!$D29,E$3&lt;=代码!$E29),"是","")</f>
        <v/>
      </c>
      <c r="F30" s="30" t="str">
        <f>IF(AND(F$3&gt;=代码!$D29,F$3&lt;=代码!$E29),"是","")</f>
        <v/>
      </c>
      <c r="G30" s="30" t="str">
        <f>IF(AND(G$3&gt;=代码!$D29,G$3&lt;=代码!$E29),"是","")</f>
        <v/>
      </c>
      <c r="H30" s="30" t="str">
        <f>IF(AND(H$3&gt;=代码!$D29,H$3&lt;=代码!$E29),"是","")</f>
        <v/>
      </c>
      <c r="I30" s="30" t="str">
        <f>IF(AND(I$3&gt;=代码!$D29,I$3&lt;=代码!$E29),"是","")</f>
        <v/>
      </c>
      <c r="J30" s="30" t="str">
        <f>IF(AND(J$3&gt;=代码!$D29,J$3&lt;=代码!$E29),"是","")</f>
        <v/>
      </c>
      <c r="K30" s="30" t="str">
        <f>IF(AND(K$3&gt;=代码!$D29,K$3&lt;=代码!$E29),"是","")</f>
        <v/>
      </c>
      <c r="L30" s="30" t="str">
        <f>IF(AND(L$3&gt;=代码!$D29,L$3&lt;=代码!$E29),"是","")</f>
        <v/>
      </c>
      <c r="M30" s="30" t="str">
        <f>IF(AND(M$3&gt;=代码!$D29,M$3&lt;=代码!$E29),"是","")</f>
        <v/>
      </c>
      <c r="N30" s="30" t="str">
        <f>IF(AND(N$3&gt;=代码!$D29,N$3&lt;=代码!$E29),"是","")</f>
        <v/>
      </c>
      <c r="O30" s="30" t="str">
        <f>IF(AND(O$3&gt;=代码!$D29,O$3&lt;=代码!$E29),"是","")</f>
        <v/>
      </c>
      <c r="P30" s="30" t="str">
        <f>IF(AND(P$3&gt;=代码!$D29,P$3&lt;=代码!$E29),"是","")</f>
        <v/>
      </c>
      <c r="Q30" s="30" t="str">
        <f>IF(AND(Q$3&gt;=代码!$D29,Q$3&lt;=代码!$E29),"是","")</f>
        <v/>
      </c>
      <c r="R30" s="30" t="str">
        <f>IF(AND(R$3&gt;=代码!$D29,R$3&lt;=代码!$E29),"是","")</f>
        <v/>
      </c>
      <c r="S30" s="30" t="str">
        <f>IF(AND(S$3&gt;=代码!$D29,S$3&lt;=代码!$E29),"是","")</f>
        <v/>
      </c>
      <c r="T30" s="30" t="str">
        <f>IF(AND(T$3&gt;=代码!$D29,T$3&lt;=代码!$E29),"是","")</f>
        <v/>
      </c>
      <c r="U30" s="30" t="str">
        <f>IF(AND(U$3&gt;=代码!$D29,U$3&lt;=代码!$E29),"是","")</f>
        <v/>
      </c>
      <c r="V30" s="30" t="str">
        <f>IF(AND(V$3&gt;=代码!$D29,V$3&lt;=代码!$E29),"是","")</f>
        <v/>
      </c>
      <c r="W30" s="30" t="str">
        <f>IF(AND(W$3&gt;=代码!$D29,W$3&lt;=代码!$E29),"是","")</f>
        <v/>
      </c>
      <c r="X30" s="30" t="str">
        <f>IF(AND(X$3&gt;=代码!$D29,X$3&lt;=代码!$E29),"是","")</f>
        <v/>
      </c>
      <c r="Y30" s="30" t="str">
        <f>IF(AND(Y$3&gt;=代码!$D29,Y$3&lt;=代码!$E29),"是","")</f>
        <v/>
      </c>
      <c r="Z30" s="30" t="str">
        <f>IF(AND(Z$3&gt;=代码!$D29,Z$3&lt;=代码!$E29),"是","")</f>
        <v/>
      </c>
      <c r="AA30" s="30" t="str">
        <f>IF(AND(AA$3&gt;=代码!$D29,AA$3&lt;=代码!$E29),"是","")</f>
        <v/>
      </c>
      <c r="AB30" s="30" t="str">
        <f>IF(AND(AB$3&gt;=代码!$D29,AB$3&lt;=代码!$E29),"是","")</f>
        <v/>
      </c>
      <c r="AC30" s="30" t="str">
        <f>IF(AND(AC$3&gt;=代码!$D29,AC$3&lt;=代码!$E29),"是","")</f>
        <v/>
      </c>
      <c r="AD30" s="30" t="str">
        <f>IF(AND(AD$3&gt;=代码!$D29,AD$3&lt;=代码!$E29),"是","")</f>
        <v/>
      </c>
      <c r="AE30" s="30" t="str">
        <f>IF(AND(AE$3&gt;=代码!$D29,AE$3&lt;=代码!$E29),"是","")</f>
        <v/>
      </c>
      <c r="AF30" s="30" t="str">
        <f>IF(AND(AF$3&gt;=代码!$D29,AF$3&lt;=代码!$E29),"是","")</f>
        <v/>
      </c>
      <c r="AG30" s="30" t="str">
        <f>IF(AND(AG$3&gt;=代码!$D29,AG$3&lt;=代码!$E29),"是","")</f>
        <v/>
      </c>
    </row>
    <row r="31" spans="3:33">
      <c r="C31" s="30" t="str">
        <f>IFERROR(VLOOKUP(B31,员工信息表!N:O,2,FALSE),"")</f>
        <v>时段</v>
      </c>
      <c r="D31" s="30" t="str">
        <f>IF(AND(D$3&gt;=代码!$D30,D$3&lt;=代码!$E30),"是","")</f>
        <v/>
      </c>
      <c r="E31" s="30" t="str">
        <f>IF(AND(E$3&gt;=代码!$D30,E$3&lt;=代码!$E30),"是","")</f>
        <v/>
      </c>
      <c r="F31" s="30" t="str">
        <f>IF(AND(F$3&gt;=代码!$D30,F$3&lt;=代码!$E30),"是","")</f>
        <v/>
      </c>
      <c r="G31" s="30" t="str">
        <f>IF(AND(G$3&gt;=代码!$D30,G$3&lt;=代码!$E30),"是","")</f>
        <v/>
      </c>
      <c r="H31" s="30" t="str">
        <f>IF(AND(H$3&gt;=代码!$D30,H$3&lt;=代码!$E30),"是","")</f>
        <v/>
      </c>
      <c r="I31" s="30" t="str">
        <f>IF(AND(I$3&gt;=代码!$D30,I$3&lt;=代码!$E30),"是","")</f>
        <v/>
      </c>
      <c r="J31" s="30" t="str">
        <f>IF(AND(J$3&gt;=代码!$D30,J$3&lt;=代码!$E30),"是","")</f>
        <v/>
      </c>
      <c r="K31" s="30" t="str">
        <f>IF(AND(K$3&gt;=代码!$D30,K$3&lt;=代码!$E30),"是","")</f>
        <v/>
      </c>
      <c r="L31" s="30" t="str">
        <f>IF(AND(L$3&gt;=代码!$D30,L$3&lt;=代码!$E30),"是","")</f>
        <v/>
      </c>
      <c r="M31" s="30" t="str">
        <f>IF(AND(M$3&gt;=代码!$D30,M$3&lt;=代码!$E30),"是","")</f>
        <v/>
      </c>
      <c r="N31" s="30" t="str">
        <f>IF(AND(N$3&gt;=代码!$D30,N$3&lt;=代码!$E30),"是","")</f>
        <v/>
      </c>
      <c r="O31" s="30" t="str">
        <f>IF(AND(O$3&gt;=代码!$D30,O$3&lt;=代码!$E30),"是","")</f>
        <v/>
      </c>
      <c r="P31" s="30" t="str">
        <f>IF(AND(P$3&gt;=代码!$D30,P$3&lt;=代码!$E30),"是","")</f>
        <v/>
      </c>
      <c r="Q31" s="30" t="str">
        <f>IF(AND(Q$3&gt;=代码!$D30,Q$3&lt;=代码!$E30),"是","")</f>
        <v/>
      </c>
      <c r="R31" s="30" t="str">
        <f>IF(AND(R$3&gt;=代码!$D30,R$3&lt;=代码!$E30),"是","")</f>
        <v/>
      </c>
      <c r="S31" s="30" t="str">
        <f>IF(AND(S$3&gt;=代码!$D30,S$3&lt;=代码!$E30),"是","")</f>
        <v/>
      </c>
      <c r="T31" s="30" t="str">
        <f>IF(AND(T$3&gt;=代码!$D30,T$3&lt;=代码!$E30),"是","")</f>
        <v/>
      </c>
      <c r="U31" s="30" t="str">
        <f>IF(AND(U$3&gt;=代码!$D30,U$3&lt;=代码!$E30),"是","")</f>
        <v/>
      </c>
      <c r="V31" s="30" t="str">
        <f>IF(AND(V$3&gt;=代码!$D30,V$3&lt;=代码!$E30),"是","")</f>
        <v/>
      </c>
      <c r="W31" s="30" t="str">
        <f>IF(AND(W$3&gt;=代码!$D30,W$3&lt;=代码!$E30),"是","")</f>
        <v/>
      </c>
      <c r="X31" s="30" t="str">
        <f>IF(AND(X$3&gt;=代码!$D30,X$3&lt;=代码!$E30),"是","")</f>
        <v/>
      </c>
      <c r="Y31" s="30" t="str">
        <f>IF(AND(Y$3&gt;=代码!$D30,Y$3&lt;=代码!$E30),"是","")</f>
        <v/>
      </c>
      <c r="Z31" s="30" t="str">
        <f>IF(AND(Z$3&gt;=代码!$D30,Z$3&lt;=代码!$E30),"是","")</f>
        <v/>
      </c>
      <c r="AA31" s="30" t="str">
        <f>IF(AND(AA$3&gt;=代码!$D30,AA$3&lt;=代码!$E30),"是","")</f>
        <v/>
      </c>
      <c r="AB31" s="30" t="str">
        <f>IF(AND(AB$3&gt;=代码!$D30,AB$3&lt;=代码!$E30),"是","")</f>
        <v/>
      </c>
      <c r="AC31" s="30" t="str">
        <f>IF(AND(AC$3&gt;=代码!$D30,AC$3&lt;=代码!$E30),"是","")</f>
        <v/>
      </c>
      <c r="AD31" s="30" t="str">
        <f>IF(AND(AD$3&gt;=代码!$D30,AD$3&lt;=代码!$E30),"是","")</f>
        <v/>
      </c>
      <c r="AE31" s="30" t="str">
        <f>IF(AND(AE$3&gt;=代码!$D30,AE$3&lt;=代码!$E30),"是","")</f>
        <v/>
      </c>
      <c r="AF31" s="30" t="str">
        <f>IF(AND(AF$3&gt;=代码!$D30,AF$3&lt;=代码!$E30),"是","")</f>
        <v/>
      </c>
      <c r="AG31" s="30" t="str">
        <f>IF(AND(AG$3&gt;=代码!$D30,AG$3&lt;=代码!$E30),"是","")</f>
        <v/>
      </c>
    </row>
    <row r="32" spans="3:33">
      <c r="C32" s="30" t="str">
        <f>IFERROR(VLOOKUP(B32,员工信息表!N:O,2,FALSE),"")</f>
        <v>时段</v>
      </c>
      <c r="D32" s="30" t="str">
        <f>IF(AND(D$3&gt;=代码!$D31,D$3&lt;=代码!$E31),"是","")</f>
        <v/>
      </c>
      <c r="E32" s="30" t="str">
        <f>IF(AND(E$3&gt;=代码!$D31,E$3&lt;=代码!$E31),"是","")</f>
        <v/>
      </c>
      <c r="F32" s="30" t="str">
        <f>IF(AND(F$3&gt;=代码!$D31,F$3&lt;=代码!$E31),"是","")</f>
        <v/>
      </c>
      <c r="G32" s="30" t="str">
        <f>IF(AND(G$3&gt;=代码!$D31,G$3&lt;=代码!$E31),"是","")</f>
        <v/>
      </c>
      <c r="H32" s="30" t="str">
        <f>IF(AND(H$3&gt;=代码!$D31,H$3&lt;=代码!$E31),"是","")</f>
        <v/>
      </c>
      <c r="I32" s="30" t="str">
        <f>IF(AND(I$3&gt;=代码!$D31,I$3&lt;=代码!$E31),"是","")</f>
        <v/>
      </c>
      <c r="J32" s="30" t="str">
        <f>IF(AND(J$3&gt;=代码!$D31,J$3&lt;=代码!$E31),"是","")</f>
        <v/>
      </c>
      <c r="K32" s="30" t="str">
        <f>IF(AND(K$3&gt;=代码!$D31,K$3&lt;=代码!$E31),"是","")</f>
        <v/>
      </c>
      <c r="L32" s="30" t="str">
        <f>IF(AND(L$3&gt;=代码!$D31,L$3&lt;=代码!$E31),"是","")</f>
        <v/>
      </c>
      <c r="M32" s="30" t="str">
        <f>IF(AND(M$3&gt;=代码!$D31,M$3&lt;=代码!$E31),"是","")</f>
        <v/>
      </c>
      <c r="N32" s="30" t="str">
        <f>IF(AND(N$3&gt;=代码!$D31,N$3&lt;=代码!$E31),"是","")</f>
        <v/>
      </c>
      <c r="O32" s="30" t="str">
        <f>IF(AND(O$3&gt;=代码!$D31,O$3&lt;=代码!$E31),"是","")</f>
        <v/>
      </c>
      <c r="P32" s="30" t="str">
        <f>IF(AND(P$3&gt;=代码!$D31,P$3&lt;=代码!$E31),"是","")</f>
        <v/>
      </c>
      <c r="Q32" s="30" t="str">
        <f>IF(AND(Q$3&gt;=代码!$D31,Q$3&lt;=代码!$E31),"是","")</f>
        <v/>
      </c>
      <c r="R32" s="30" t="str">
        <f>IF(AND(R$3&gt;=代码!$D31,R$3&lt;=代码!$E31),"是","")</f>
        <v/>
      </c>
      <c r="S32" s="30" t="str">
        <f>IF(AND(S$3&gt;=代码!$D31,S$3&lt;=代码!$E31),"是","")</f>
        <v/>
      </c>
      <c r="T32" s="30" t="str">
        <f>IF(AND(T$3&gt;=代码!$D31,T$3&lt;=代码!$E31),"是","")</f>
        <v/>
      </c>
      <c r="U32" s="30" t="str">
        <f>IF(AND(U$3&gt;=代码!$D31,U$3&lt;=代码!$E31),"是","")</f>
        <v/>
      </c>
      <c r="V32" s="30" t="str">
        <f>IF(AND(V$3&gt;=代码!$D31,V$3&lt;=代码!$E31),"是","")</f>
        <v/>
      </c>
      <c r="W32" s="30" t="str">
        <f>IF(AND(W$3&gt;=代码!$D31,W$3&lt;=代码!$E31),"是","")</f>
        <v/>
      </c>
      <c r="X32" s="30" t="str">
        <f>IF(AND(X$3&gt;=代码!$D31,X$3&lt;=代码!$E31),"是","")</f>
        <v/>
      </c>
      <c r="Y32" s="30" t="str">
        <f>IF(AND(Y$3&gt;=代码!$D31,Y$3&lt;=代码!$E31),"是","")</f>
        <v/>
      </c>
      <c r="Z32" s="30" t="str">
        <f>IF(AND(Z$3&gt;=代码!$D31,Z$3&lt;=代码!$E31),"是","")</f>
        <v/>
      </c>
      <c r="AA32" s="30" t="str">
        <f>IF(AND(AA$3&gt;=代码!$D31,AA$3&lt;=代码!$E31),"是","")</f>
        <v/>
      </c>
      <c r="AB32" s="30" t="str">
        <f>IF(AND(AB$3&gt;=代码!$D31,AB$3&lt;=代码!$E31),"是","")</f>
        <v/>
      </c>
      <c r="AC32" s="30" t="str">
        <f>IF(AND(AC$3&gt;=代码!$D31,AC$3&lt;=代码!$E31),"是","")</f>
        <v/>
      </c>
      <c r="AD32" s="30" t="str">
        <f>IF(AND(AD$3&gt;=代码!$D31,AD$3&lt;=代码!$E31),"是","")</f>
        <v/>
      </c>
      <c r="AE32" s="30" t="str">
        <f>IF(AND(AE$3&gt;=代码!$D31,AE$3&lt;=代码!$E31),"是","")</f>
        <v/>
      </c>
      <c r="AF32" s="30" t="str">
        <f>IF(AND(AF$3&gt;=代码!$D31,AF$3&lt;=代码!$E31),"是","")</f>
        <v/>
      </c>
      <c r="AG32" s="30" t="str">
        <f>IF(AND(AG$3&gt;=代码!$D31,AG$3&lt;=代码!$E31),"是","")</f>
        <v/>
      </c>
    </row>
    <row r="33" spans="3:33">
      <c r="C33" s="30" t="str">
        <f>IFERROR(VLOOKUP(B33,员工信息表!N:O,2,FALSE),"")</f>
        <v>时段</v>
      </c>
      <c r="D33" s="30" t="str">
        <f>IF(AND(D$3&gt;=代码!$D32,D$3&lt;=代码!$E32),"是","")</f>
        <v/>
      </c>
      <c r="E33" s="30" t="str">
        <f>IF(AND(E$3&gt;=代码!$D32,E$3&lt;=代码!$E32),"是","")</f>
        <v/>
      </c>
      <c r="F33" s="30" t="str">
        <f>IF(AND(F$3&gt;=代码!$D32,F$3&lt;=代码!$E32),"是","")</f>
        <v/>
      </c>
      <c r="G33" s="30" t="str">
        <f>IF(AND(G$3&gt;=代码!$D32,G$3&lt;=代码!$E32),"是","")</f>
        <v/>
      </c>
      <c r="H33" s="30" t="str">
        <f>IF(AND(H$3&gt;=代码!$D32,H$3&lt;=代码!$E32),"是","")</f>
        <v/>
      </c>
      <c r="I33" s="30" t="str">
        <f>IF(AND(I$3&gt;=代码!$D32,I$3&lt;=代码!$E32),"是","")</f>
        <v/>
      </c>
      <c r="J33" s="30" t="str">
        <f>IF(AND(J$3&gt;=代码!$D32,J$3&lt;=代码!$E32),"是","")</f>
        <v/>
      </c>
      <c r="K33" s="30" t="str">
        <f>IF(AND(K$3&gt;=代码!$D32,K$3&lt;=代码!$E32),"是","")</f>
        <v/>
      </c>
      <c r="L33" s="30" t="str">
        <f>IF(AND(L$3&gt;=代码!$D32,L$3&lt;=代码!$E32),"是","")</f>
        <v/>
      </c>
      <c r="M33" s="30" t="str">
        <f>IF(AND(M$3&gt;=代码!$D32,M$3&lt;=代码!$E32),"是","")</f>
        <v/>
      </c>
      <c r="N33" s="30" t="str">
        <f>IF(AND(N$3&gt;=代码!$D32,N$3&lt;=代码!$E32),"是","")</f>
        <v/>
      </c>
      <c r="O33" s="30" t="str">
        <f>IF(AND(O$3&gt;=代码!$D32,O$3&lt;=代码!$E32),"是","")</f>
        <v/>
      </c>
      <c r="P33" s="30" t="str">
        <f>IF(AND(P$3&gt;=代码!$D32,P$3&lt;=代码!$E32),"是","")</f>
        <v/>
      </c>
      <c r="Q33" s="30" t="str">
        <f>IF(AND(Q$3&gt;=代码!$D32,Q$3&lt;=代码!$E32),"是","")</f>
        <v/>
      </c>
      <c r="R33" s="30" t="str">
        <f>IF(AND(R$3&gt;=代码!$D32,R$3&lt;=代码!$E32),"是","")</f>
        <v/>
      </c>
      <c r="S33" s="30" t="str">
        <f>IF(AND(S$3&gt;=代码!$D32,S$3&lt;=代码!$E32),"是","")</f>
        <v/>
      </c>
      <c r="T33" s="30" t="str">
        <f>IF(AND(T$3&gt;=代码!$D32,T$3&lt;=代码!$E32),"是","")</f>
        <v/>
      </c>
      <c r="U33" s="30" t="str">
        <f>IF(AND(U$3&gt;=代码!$D32,U$3&lt;=代码!$E32),"是","")</f>
        <v/>
      </c>
      <c r="V33" s="30" t="str">
        <f>IF(AND(V$3&gt;=代码!$D32,V$3&lt;=代码!$E32),"是","")</f>
        <v/>
      </c>
      <c r="W33" s="30" t="str">
        <f>IF(AND(W$3&gt;=代码!$D32,W$3&lt;=代码!$E32),"是","")</f>
        <v/>
      </c>
      <c r="X33" s="30" t="str">
        <f>IF(AND(X$3&gt;=代码!$D32,X$3&lt;=代码!$E32),"是","")</f>
        <v/>
      </c>
      <c r="Y33" s="30" t="str">
        <f>IF(AND(Y$3&gt;=代码!$D32,Y$3&lt;=代码!$E32),"是","")</f>
        <v/>
      </c>
      <c r="Z33" s="30" t="str">
        <f>IF(AND(Z$3&gt;=代码!$D32,Z$3&lt;=代码!$E32),"是","")</f>
        <v/>
      </c>
      <c r="AA33" s="30" t="str">
        <f>IF(AND(AA$3&gt;=代码!$D32,AA$3&lt;=代码!$E32),"是","")</f>
        <v/>
      </c>
      <c r="AB33" s="30" t="str">
        <f>IF(AND(AB$3&gt;=代码!$D32,AB$3&lt;=代码!$E32),"是","")</f>
        <v/>
      </c>
      <c r="AC33" s="30" t="str">
        <f>IF(AND(AC$3&gt;=代码!$D32,AC$3&lt;=代码!$E32),"是","")</f>
        <v/>
      </c>
      <c r="AD33" s="30" t="str">
        <f>IF(AND(AD$3&gt;=代码!$D32,AD$3&lt;=代码!$E32),"是","")</f>
        <v/>
      </c>
      <c r="AE33" s="30" t="str">
        <f>IF(AND(AE$3&gt;=代码!$D32,AE$3&lt;=代码!$E32),"是","")</f>
        <v/>
      </c>
      <c r="AF33" s="30" t="str">
        <f>IF(AND(AF$3&gt;=代码!$D32,AF$3&lt;=代码!$E32),"是","")</f>
        <v/>
      </c>
      <c r="AG33" s="30" t="str">
        <f>IF(AND(AG$3&gt;=代码!$D32,AG$3&lt;=代码!$E32),"是","")</f>
        <v/>
      </c>
    </row>
    <row r="34" spans="3:33">
      <c r="C34" s="30" t="str">
        <f>IFERROR(VLOOKUP(B34,员工信息表!N:O,2,FALSE),"")</f>
        <v>时段</v>
      </c>
      <c r="D34" s="30" t="str">
        <f>IF(AND(D$3&gt;=代码!$D33,D$3&lt;=代码!$E33),"是","")</f>
        <v/>
      </c>
      <c r="E34" s="30" t="str">
        <f>IF(AND(E$3&gt;=代码!$D33,E$3&lt;=代码!$E33),"是","")</f>
        <v/>
      </c>
      <c r="F34" s="30" t="str">
        <f>IF(AND(F$3&gt;=代码!$D33,F$3&lt;=代码!$E33),"是","")</f>
        <v/>
      </c>
      <c r="G34" s="30" t="str">
        <f>IF(AND(G$3&gt;=代码!$D33,G$3&lt;=代码!$E33),"是","")</f>
        <v/>
      </c>
      <c r="H34" s="30" t="str">
        <f>IF(AND(H$3&gt;=代码!$D33,H$3&lt;=代码!$E33),"是","")</f>
        <v/>
      </c>
      <c r="I34" s="30" t="str">
        <f>IF(AND(I$3&gt;=代码!$D33,I$3&lt;=代码!$E33),"是","")</f>
        <v/>
      </c>
      <c r="J34" s="30" t="str">
        <f>IF(AND(J$3&gt;=代码!$D33,J$3&lt;=代码!$E33),"是","")</f>
        <v/>
      </c>
      <c r="K34" s="30" t="str">
        <f>IF(AND(K$3&gt;=代码!$D33,K$3&lt;=代码!$E33),"是","")</f>
        <v/>
      </c>
      <c r="L34" s="30" t="str">
        <f>IF(AND(L$3&gt;=代码!$D33,L$3&lt;=代码!$E33),"是","")</f>
        <v/>
      </c>
      <c r="M34" s="30" t="str">
        <f>IF(AND(M$3&gt;=代码!$D33,M$3&lt;=代码!$E33),"是","")</f>
        <v/>
      </c>
      <c r="N34" s="30" t="str">
        <f>IF(AND(N$3&gt;=代码!$D33,N$3&lt;=代码!$E33),"是","")</f>
        <v/>
      </c>
      <c r="O34" s="30" t="str">
        <f>IF(AND(O$3&gt;=代码!$D33,O$3&lt;=代码!$E33),"是","")</f>
        <v/>
      </c>
      <c r="P34" s="30" t="str">
        <f>IF(AND(P$3&gt;=代码!$D33,P$3&lt;=代码!$E33),"是","")</f>
        <v/>
      </c>
      <c r="Q34" s="30" t="str">
        <f>IF(AND(Q$3&gt;=代码!$D33,Q$3&lt;=代码!$E33),"是","")</f>
        <v/>
      </c>
      <c r="R34" s="30" t="str">
        <f>IF(AND(R$3&gt;=代码!$D33,R$3&lt;=代码!$E33),"是","")</f>
        <v/>
      </c>
      <c r="S34" s="30" t="str">
        <f>IF(AND(S$3&gt;=代码!$D33,S$3&lt;=代码!$E33),"是","")</f>
        <v/>
      </c>
      <c r="T34" s="30" t="str">
        <f>IF(AND(T$3&gt;=代码!$D33,T$3&lt;=代码!$E33),"是","")</f>
        <v/>
      </c>
      <c r="U34" s="30" t="str">
        <f>IF(AND(U$3&gt;=代码!$D33,U$3&lt;=代码!$E33),"是","")</f>
        <v/>
      </c>
      <c r="V34" s="30" t="str">
        <f>IF(AND(V$3&gt;=代码!$D33,V$3&lt;=代码!$E33),"是","")</f>
        <v/>
      </c>
      <c r="W34" s="30" t="str">
        <f>IF(AND(W$3&gt;=代码!$D33,W$3&lt;=代码!$E33),"是","")</f>
        <v/>
      </c>
      <c r="X34" s="30" t="str">
        <f>IF(AND(X$3&gt;=代码!$D33,X$3&lt;=代码!$E33),"是","")</f>
        <v/>
      </c>
      <c r="Y34" s="30" t="str">
        <f>IF(AND(Y$3&gt;=代码!$D33,Y$3&lt;=代码!$E33),"是","")</f>
        <v/>
      </c>
      <c r="Z34" s="30" t="str">
        <f>IF(AND(Z$3&gt;=代码!$D33,Z$3&lt;=代码!$E33),"是","")</f>
        <v/>
      </c>
      <c r="AA34" s="30" t="str">
        <f>IF(AND(AA$3&gt;=代码!$D33,AA$3&lt;=代码!$E33),"是","")</f>
        <v/>
      </c>
      <c r="AB34" s="30" t="str">
        <f>IF(AND(AB$3&gt;=代码!$D33,AB$3&lt;=代码!$E33),"是","")</f>
        <v/>
      </c>
      <c r="AC34" s="30" t="str">
        <f>IF(AND(AC$3&gt;=代码!$D33,AC$3&lt;=代码!$E33),"是","")</f>
        <v/>
      </c>
      <c r="AD34" s="30" t="str">
        <f>IF(AND(AD$3&gt;=代码!$D33,AD$3&lt;=代码!$E33),"是","")</f>
        <v/>
      </c>
      <c r="AE34" s="30" t="str">
        <f>IF(AND(AE$3&gt;=代码!$D33,AE$3&lt;=代码!$E33),"是","")</f>
        <v/>
      </c>
      <c r="AF34" s="30" t="str">
        <f>IF(AND(AF$3&gt;=代码!$D33,AF$3&lt;=代码!$E33),"是","")</f>
        <v/>
      </c>
      <c r="AG34" s="30" t="str">
        <f>IF(AND(AG$3&gt;=代码!$D33,AG$3&lt;=代码!$E33),"是","")</f>
        <v/>
      </c>
    </row>
    <row r="35" spans="3:33">
      <c r="C35" s="30" t="str">
        <f>IFERROR(VLOOKUP(B35,员工信息表!N:O,2,FALSE),"")</f>
        <v>时段</v>
      </c>
      <c r="D35" s="30" t="str">
        <f>IF(AND(D$3&gt;=代码!$D34,D$3&lt;=代码!$E34),"是","")</f>
        <v/>
      </c>
      <c r="E35" s="30" t="str">
        <f>IF(AND(E$3&gt;=代码!$D34,E$3&lt;=代码!$E34),"是","")</f>
        <v/>
      </c>
      <c r="F35" s="30" t="str">
        <f>IF(AND(F$3&gt;=代码!$D34,F$3&lt;=代码!$E34),"是","")</f>
        <v/>
      </c>
      <c r="G35" s="30" t="str">
        <f>IF(AND(G$3&gt;=代码!$D34,G$3&lt;=代码!$E34),"是","")</f>
        <v/>
      </c>
      <c r="H35" s="30" t="str">
        <f>IF(AND(H$3&gt;=代码!$D34,H$3&lt;=代码!$E34),"是","")</f>
        <v/>
      </c>
      <c r="I35" s="30" t="str">
        <f>IF(AND(I$3&gt;=代码!$D34,I$3&lt;=代码!$E34),"是","")</f>
        <v/>
      </c>
      <c r="J35" s="30" t="str">
        <f>IF(AND(J$3&gt;=代码!$D34,J$3&lt;=代码!$E34),"是","")</f>
        <v/>
      </c>
      <c r="K35" s="30" t="str">
        <f>IF(AND(K$3&gt;=代码!$D34,K$3&lt;=代码!$E34),"是","")</f>
        <v/>
      </c>
      <c r="L35" s="30" t="str">
        <f>IF(AND(L$3&gt;=代码!$D34,L$3&lt;=代码!$E34),"是","")</f>
        <v/>
      </c>
      <c r="M35" s="30" t="str">
        <f>IF(AND(M$3&gt;=代码!$D34,M$3&lt;=代码!$E34),"是","")</f>
        <v/>
      </c>
      <c r="N35" s="30" t="str">
        <f>IF(AND(N$3&gt;=代码!$D34,N$3&lt;=代码!$E34),"是","")</f>
        <v/>
      </c>
      <c r="O35" s="30" t="str">
        <f>IF(AND(O$3&gt;=代码!$D34,O$3&lt;=代码!$E34),"是","")</f>
        <v/>
      </c>
      <c r="P35" s="30" t="str">
        <f>IF(AND(P$3&gt;=代码!$D34,P$3&lt;=代码!$E34),"是","")</f>
        <v/>
      </c>
      <c r="Q35" s="30" t="str">
        <f>IF(AND(Q$3&gt;=代码!$D34,Q$3&lt;=代码!$E34),"是","")</f>
        <v/>
      </c>
      <c r="R35" s="30" t="str">
        <f>IF(AND(R$3&gt;=代码!$D34,R$3&lt;=代码!$E34),"是","")</f>
        <v/>
      </c>
      <c r="S35" s="30" t="str">
        <f>IF(AND(S$3&gt;=代码!$D34,S$3&lt;=代码!$E34),"是","")</f>
        <v/>
      </c>
      <c r="T35" s="30" t="str">
        <f>IF(AND(T$3&gt;=代码!$D34,T$3&lt;=代码!$E34),"是","")</f>
        <v/>
      </c>
      <c r="U35" s="30" t="str">
        <f>IF(AND(U$3&gt;=代码!$D34,U$3&lt;=代码!$E34),"是","")</f>
        <v/>
      </c>
      <c r="V35" s="30" t="str">
        <f>IF(AND(V$3&gt;=代码!$D34,V$3&lt;=代码!$E34),"是","")</f>
        <v/>
      </c>
      <c r="W35" s="30" t="str">
        <f>IF(AND(W$3&gt;=代码!$D34,W$3&lt;=代码!$E34),"是","")</f>
        <v/>
      </c>
      <c r="X35" s="30" t="str">
        <f>IF(AND(X$3&gt;=代码!$D34,X$3&lt;=代码!$E34),"是","")</f>
        <v/>
      </c>
      <c r="Y35" s="30" t="str">
        <f>IF(AND(Y$3&gt;=代码!$D34,Y$3&lt;=代码!$E34),"是","")</f>
        <v/>
      </c>
      <c r="Z35" s="30" t="str">
        <f>IF(AND(Z$3&gt;=代码!$D34,Z$3&lt;=代码!$E34),"是","")</f>
        <v/>
      </c>
      <c r="AA35" s="30" t="str">
        <f>IF(AND(AA$3&gt;=代码!$D34,AA$3&lt;=代码!$E34),"是","")</f>
        <v/>
      </c>
      <c r="AB35" s="30" t="str">
        <f>IF(AND(AB$3&gt;=代码!$D34,AB$3&lt;=代码!$E34),"是","")</f>
        <v/>
      </c>
      <c r="AC35" s="30" t="str">
        <f>IF(AND(AC$3&gt;=代码!$D34,AC$3&lt;=代码!$E34),"是","")</f>
        <v/>
      </c>
      <c r="AD35" s="30" t="str">
        <f>IF(AND(AD$3&gt;=代码!$D34,AD$3&lt;=代码!$E34),"是","")</f>
        <v/>
      </c>
      <c r="AE35" s="30" t="str">
        <f>IF(AND(AE$3&gt;=代码!$D34,AE$3&lt;=代码!$E34),"是","")</f>
        <v/>
      </c>
      <c r="AF35" s="30" t="str">
        <f>IF(AND(AF$3&gt;=代码!$D34,AF$3&lt;=代码!$E34),"是","")</f>
        <v/>
      </c>
      <c r="AG35" s="30" t="str">
        <f>IF(AND(AG$3&gt;=代码!$D34,AG$3&lt;=代码!$E34),"是","")</f>
        <v/>
      </c>
    </row>
    <row r="36" spans="3:33">
      <c r="C36" s="30" t="str">
        <f>IFERROR(VLOOKUP(B36,员工信息表!N:O,2,FALSE),"")</f>
        <v>时段</v>
      </c>
      <c r="D36" s="30" t="str">
        <f>IF(AND(D$3&gt;=代码!$D35,D$3&lt;=代码!$E35),"是","")</f>
        <v/>
      </c>
      <c r="E36" s="30" t="str">
        <f>IF(AND(E$3&gt;=代码!$D35,E$3&lt;=代码!$E35),"是","")</f>
        <v/>
      </c>
      <c r="F36" s="30" t="str">
        <f>IF(AND(F$3&gt;=代码!$D35,F$3&lt;=代码!$E35),"是","")</f>
        <v/>
      </c>
      <c r="G36" s="30" t="str">
        <f>IF(AND(G$3&gt;=代码!$D35,G$3&lt;=代码!$E35),"是","")</f>
        <v/>
      </c>
      <c r="H36" s="30" t="str">
        <f>IF(AND(H$3&gt;=代码!$D35,H$3&lt;=代码!$E35),"是","")</f>
        <v/>
      </c>
      <c r="I36" s="30" t="str">
        <f>IF(AND(I$3&gt;=代码!$D35,I$3&lt;=代码!$E35),"是","")</f>
        <v/>
      </c>
      <c r="J36" s="30" t="str">
        <f>IF(AND(J$3&gt;=代码!$D35,J$3&lt;=代码!$E35),"是","")</f>
        <v/>
      </c>
      <c r="K36" s="30" t="str">
        <f>IF(AND(K$3&gt;=代码!$D35,K$3&lt;=代码!$E35),"是","")</f>
        <v/>
      </c>
      <c r="L36" s="30" t="str">
        <f>IF(AND(L$3&gt;=代码!$D35,L$3&lt;=代码!$E35),"是","")</f>
        <v/>
      </c>
      <c r="M36" s="30" t="str">
        <f>IF(AND(M$3&gt;=代码!$D35,M$3&lt;=代码!$E35),"是","")</f>
        <v/>
      </c>
      <c r="N36" s="30" t="str">
        <f>IF(AND(N$3&gt;=代码!$D35,N$3&lt;=代码!$E35),"是","")</f>
        <v/>
      </c>
      <c r="O36" s="30" t="str">
        <f>IF(AND(O$3&gt;=代码!$D35,O$3&lt;=代码!$E35),"是","")</f>
        <v/>
      </c>
      <c r="P36" s="30" t="str">
        <f>IF(AND(P$3&gt;=代码!$D35,P$3&lt;=代码!$E35),"是","")</f>
        <v/>
      </c>
      <c r="Q36" s="30" t="str">
        <f>IF(AND(Q$3&gt;=代码!$D35,Q$3&lt;=代码!$E35),"是","")</f>
        <v/>
      </c>
      <c r="R36" s="30" t="str">
        <f>IF(AND(R$3&gt;=代码!$D35,R$3&lt;=代码!$E35),"是","")</f>
        <v/>
      </c>
      <c r="S36" s="30" t="str">
        <f>IF(AND(S$3&gt;=代码!$D35,S$3&lt;=代码!$E35),"是","")</f>
        <v/>
      </c>
      <c r="T36" s="30" t="str">
        <f>IF(AND(T$3&gt;=代码!$D35,T$3&lt;=代码!$E35),"是","")</f>
        <v/>
      </c>
      <c r="U36" s="30" t="str">
        <f>IF(AND(U$3&gt;=代码!$D35,U$3&lt;=代码!$E35),"是","")</f>
        <v/>
      </c>
      <c r="V36" s="30" t="str">
        <f>IF(AND(V$3&gt;=代码!$D35,V$3&lt;=代码!$E35),"是","")</f>
        <v/>
      </c>
      <c r="W36" s="30" t="str">
        <f>IF(AND(W$3&gt;=代码!$D35,W$3&lt;=代码!$E35),"是","")</f>
        <v/>
      </c>
      <c r="X36" s="30" t="str">
        <f>IF(AND(X$3&gt;=代码!$D35,X$3&lt;=代码!$E35),"是","")</f>
        <v/>
      </c>
      <c r="Y36" s="30" t="str">
        <f>IF(AND(Y$3&gt;=代码!$D35,Y$3&lt;=代码!$E35),"是","")</f>
        <v/>
      </c>
      <c r="Z36" s="30" t="str">
        <f>IF(AND(Z$3&gt;=代码!$D35,Z$3&lt;=代码!$E35),"是","")</f>
        <v/>
      </c>
      <c r="AA36" s="30" t="str">
        <f>IF(AND(AA$3&gt;=代码!$D35,AA$3&lt;=代码!$E35),"是","")</f>
        <v/>
      </c>
      <c r="AB36" s="30" t="str">
        <f>IF(AND(AB$3&gt;=代码!$D35,AB$3&lt;=代码!$E35),"是","")</f>
        <v/>
      </c>
      <c r="AC36" s="30" t="str">
        <f>IF(AND(AC$3&gt;=代码!$D35,AC$3&lt;=代码!$E35),"是","")</f>
        <v/>
      </c>
      <c r="AD36" s="30" t="str">
        <f>IF(AND(AD$3&gt;=代码!$D35,AD$3&lt;=代码!$E35),"是","")</f>
        <v/>
      </c>
      <c r="AE36" s="30" t="str">
        <f>IF(AND(AE$3&gt;=代码!$D35,AE$3&lt;=代码!$E35),"是","")</f>
        <v/>
      </c>
      <c r="AF36" s="30" t="str">
        <f>IF(AND(AF$3&gt;=代码!$D35,AF$3&lt;=代码!$E35),"是","")</f>
        <v/>
      </c>
      <c r="AG36" s="30" t="str">
        <f>IF(AND(AG$3&gt;=代码!$D35,AG$3&lt;=代码!$E35),"是","")</f>
        <v/>
      </c>
    </row>
    <row r="37" spans="3:33">
      <c r="C37" s="30" t="str">
        <f>IFERROR(VLOOKUP(B37,员工信息表!N:O,2,FALSE),"")</f>
        <v>时段</v>
      </c>
      <c r="D37" s="30" t="str">
        <f>IF(AND(D$3&gt;=代码!$D36,D$3&lt;=代码!$E36),"是","")</f>
        <v/>
      </c>
      <c r="E37" s="30" t="str">
        <f>IF(AND(E$3&gt;=代码!$D36,E$3&lt;=代码!$E36),"是","")</f>
        <v/>
      </c>
      <c r="F37" s="30" t="str">
        <f>IF(AND(F$3&gt;=代码!$D36,F$3&lt;=代码!$E36),"是","")</f>
        <v/>
      </c>
      <c r="G37" s="30" t="str">
        <f>IF(AND(G$3&gt;=代码!$D36,G$3&lt;=代码!$E36),"是","")</f>
        <v/>
      </c>
      <c r="H37" s="30" t="str">
        <f>IF(AND(H$3&gt;=代码!$D36,H$3&lt;=代码!$E36),"是","")</f>
        <v/>
      </c>
      <c r="I37" s="30" t="str">
        <f>IF(AND(I$3&gt;=代码!$D36,I$3&lt;=代码!$E36),"是","")</f>
        <v/>
      </c>
      <c r="J37" s="30" t="str">
        <f>IF(AND(J$3&gt;=代码!$D36,J$3&lt;=代码!$E36),"是","")</f>
        <v/>
      </c>
      <c r="K37" s="30" t="str">
        <f>IF(AND(K$3&gt;=代码!$D36,K$3&lt;=代码!$E36),"是","")</f>
        <v/>
      </c>
      <c r="L37" s="30" t="str">
        <f>IF(AND(L$3&gt;=代码!$D36,L$3&lt;=代码!$E36),"是","")</f>
        <v/>
      </c>
      <c r="M37" s="30" t="str">
        <f>IF(AND(M$3&gt;=代码!$D36,M$3&lt;=代码!$E36),"是","")</f>
        <v/>
      </c>
      <c r="N37" s="30" t="str">
        <f>IF(AND(N$3&gt;=代码!$D36,N$3&lt;=代码!$E36),"是","")</f>
        <v/>
      </c>
      <c r="O37" s="30" t="str">
        <f>IF(AND(O$3&gt;=代码!$D36,O$3&lt;=代码!$E36),"是","")</f>
        <v/>
      </c>
      <c r="P37" s="30" t="str">
        <f>IF(AND(P$3&gt;=代码!$D36,P$3&lt;=代码!$E36),"是","")</f>
        <v/>
      </c>
      <c r="Q37" s="30" t="str">
        <f>IF(AND(Q$3&gt;=代码!$D36,Q$3&lt;=代码!$E36),"是","")</f>
        <v/>
      </c>
      <c r="R37" s="30" t="str">
        <f>IF(AND(R$3&gt;=代码!$D36,R$3&lt;=代码!$E36),"是","")</f>
        <v/>
      </c>
      <c r="S37" s="30" t="str">
        <f>IF(AND(S$3&gt;=代码!$D36,S$3&lt;=代码!$E36),"是","")</f>
        <v/>
      </c>
      <c r="T37" s="30" t="str">
        <f>IF(AND(T$3&gt;=代码!$D36,T$3&lt;=代码!$E36),"是","")</f>
        <v/>
      </c>
      <c r="U37" s="30" t="str">
        <f>IF(AND(U$3&gt;=代码!$D36,U$3&lt;=代码!$E36),"是","")</f>
        <v/>
      </c>
      <c r="V37" s="30" t="str">
        <f>IF(AND(V$3&gt;=代码!$D36,V$3&lt;=代码!$E36),"是","")</f>
        <v/>
      </c>
      <c r="W37" s="30" t="str">
        <f>IF(AND(W$3&gt;=代码!$D36,W$3&lt;=代码!$E36),"是","")</f>
        <v/>
      </c>
      <c r="X37" s="30" t="str">
        <f>IF(AND(X$3&gt;=代码!$D36,X$3&lt;=代码!$E36),"是","")</f>
        <v/>
      </c>
      <c r="Y37" s="30" t="str">
        <f>IF(AND(Y$3&gt;=代码!$D36,Y$3&lt;=代码!$E36),"是","")</f>
        <v/>
      </c>
      <c r="Z37" s="30" t="str">
        <f>IF(AND(Z$3&gt;=代码!$D36,Z$3&lt;=代码!$E36),"是","")</f>
        <v/>
      </c>
      <c r="AA37" s="30" t="str">
        <f>IF(AND(AA$3&gt;=代码!$D36,AA$3&lt;=代码!$E36),"是","")</f>
        <v/>
      </c>
      <c r="AB37" s="30" t="str">
        <f>IF(AND(AB$3&gt;=代码!$D36,AB$3&lt;=代码!$E36),"是","")</f>
        <v/>
      </c>
      <c r="AC37" s="30" t="str">
        <f>IF(AND(AC$3&gt;=代码!$D36,AC$3&lt;=代码!$E36),"是","")</f>
        <v/>
      </c>
      <c r="AD37" s="30" t="str">
        <f>IF(AND(AD$3&gt;=代码!$D36,AD$3&lt;=代码!$E36),"是","")</f>
        <v/>
      </c>
      <c r="AE37" s="30" t="str">
        <f>IF(AND(AE$3&gt;=代码!$D36,AE$3&lt;=代码!$E36),"是","")</f>
        <v/>
      </c>
      <c r="AF37" s="30" t="str">
        <f>IF(AND(AF$3&gt;=代码!$D36,AF$3&lt;=代码!$E36),"是","")</f>
        <v/>
      </c>
      <c r="AG37" s="30" t="str">
        <f>IF(AND(AG$3&gt;=代码!$D36,AG$3&lt;=代码!$E36),"是","")</f>
        <v/>
      </c>
    </row>
    <row r="38" spans="3:33">
      <c r="C38" s="30" t="str">
        <f>IFERROR(VLOOKUP(B38,员工信息表!N:O,2,FALSE),"")</f>
        <v>时段</v>
      </c>
      <c r="D38" s="30" t="str">
        <f>IF(AND(D$3&gt;=代码!$D37,D$3&lt;=代码!$E37),"是","")</f>
        <v/>
      </c>
      <c r="E38" s="30" t="str">
        <f>IF(AND(E$3&gt;=代码!$D37,E$3&lt;=代码!$E37),"是","")</f>
        <v/>
      </c>
      <c r="F38" s="30" t="str">
        <f>IF(AND(F$3&gt;=代码!$D37,F$3&lt;=代码!$E37),"是","")</f>
        <v/>
      </c>
      <c r="G38" s="30" t="str">
        <f>IF(AND(G$3&gt;=代码!$D37,G$3&lt;=代码!$E37),"是","")</f>
        <v/>
      </c>
      <c r="H38" s="30" t="str">
        <f>IF(AND(H$3&gt;=代码!$D37,H$3&lt;=代码!$E37),"是","")</f>
        <v/>
      </c>
      <c r="I38" s="30" t="str">
        <f>IF(AND(I$3&gt;=代码!$D37,I$3&lt;=代码!$E37),"是","")</f>
        <v/>
      </c>
      <c r="J38" s="30" t="str">
        <f>IF(AND(J$3&gt;=代码!$D37,J$3&lt;=代码!$E37),"是","")</f>
        <v/>
      </c>
      <c r="K38" s="30" t="str">
        <f>IF(AND(K$3&gt;=代码!$D37,K$3&lt;=代码!$E37),"是","")</f>
        <v/>
      </c>
      <c r="L38" s="30" t="str">
        <f>IF(AND(L$3&gt;=代码!$D37,L$3&lt;=代码!$E37),"是","")</f>
        <v/>
      </c>
      <c r="M38" s="30" t="str">
        <f>IF(AND(M$3&gt;=代码!$D37,M$3&lt;=代码!$E37),"是","")</f>
        <v/>
      </c>
      <c r="N38" s="30" t="str">
        <f>IF(AND(N$3&gt;=代码!$D37,N$3&lt;=代码!$E37),"是","")</f>
        <v/>
      </c>
      <c r="O38" s="30" t="str">
        <f>IF(AND(O$3&gt;=代码!$D37,O$3&lt;=代码!$E37),"是","")</f>
        <v/>
      </c>
      <c r="P38" s="30" t="str">
        <f>IF(AND(P$3&gt;=代码!$D37,P$3&lt;=代码!$E37),"是","")</f>
        <v/>
      </c>
      <c r="Q38" s="30" t="str">
        <f>IF(AND(Q$3&gt;=代码!$D37,Q$3&lt;=代码!$E37),"是","")</f>
        <v/>
      </c>
      <c r="R38" s="30" t="str">
        <f>IF(AND(R$3&gt;=代码!$D37,R$3&lt;=代码!$E37),"是","")</f>
        <v/>
      </c>
      <c r="S38" s="30" t="str">
        <f>IF(AND(S$3&gt;=代码!$D37,S$3&lt;=代码!$E37),"是","")</f>
        <v/>
      </c>
      <c r="T38" s="30" t="str">
        <f>IF(AND(T$3&gt;=代码!$D37,T$3&lt;=代码!$E37),"是","")</f>
        <v/>
      </c>
      <c r="U38" s="30" t="str">
        <f>IF(AND(U$3&gt;=代码!$D37,U$3&lt;=代码!$E37),"是","")</f>
        <v/>
      </c>
      <c r="V38" s="30" t="str">
        <f>IF(AND(V$3&gt;=代码!$D37,V$3&lt;=代码!$E37),"是","")</f>
        <v/>
      </c>
      <c r="W38" s="30" t="str">
        <f>IF(AND(W$3&gt;=代码!$D37,W$3&lt;=代码!$E37),"是","")</f>
        <v/>
      </c>
      <c r="X38" s="30" t="str">
        <f>IF(AND(X$3&gt;=代码!$D37,X$3&lt;=代码!$E37),"是","")</f>
        <v/>
      </c>
      <c r="Y38" s="30" t="str">
        <f>IF(AND(Y$3&gt;=代码!$D37,Y$3&lt;=代码!$E37),"是","")</f>
        <v/>
      </c>
      <c r="Z38" s="30" t="str">
        <f>IF(AND(Z$3&gt;=代码!$D37,Z$3&lt;=代码!$E37),"是","")</f>
        <v/>
      </c>
      <c r="AA38" s="30" t="str">
        <f>IF(AND(AA$3&gt;=代码!$D37,AA$3&lt;=代码!$E37),"是","")</f>
        <v/>
      </c>
      <c r="AB38" s="30" t="str">
        <f>IF(AND(AB$3&gt;=代码!$D37,AB$3&lt;=代码!$E37),"是","")</f>
        <v/>
      </c>
      <c r="AC38" s="30" t="str">
        <f>IF(AND(AC$3&gt;=代码!$D37,AC$3&lt;=代码!$E37),"是","")</f>
        <v/>
      </c>
      <c r="AD38" s="30" t="str">
        <f>IF(AND(AD$3&gt;=代码!$D37,AD$3&lt;=代码!$E37),"是","")</f>
        <v/>
      </c>
      <c r="AE38" s="30" t="str">
        <f>IF(AND(AE$3&gt;=代码!$D37,AE$3&lt;=代码!$E37),"是","")</f>
        <v/>
      </c>
      <c r="AF38" s="30" t="str">
        <f>IF(AND(AF$3&gt;=代码!$D37,AF$3&lt;=代码!$E37),"是","")</f>
        <v/>
      </c>
      <c r="AG38" s="30" t="str">
        <f>IF(AND(AG$3&gt;=代码!$D37,AG$3&lt;=代码!$E37),"是","")</f>
        <v/>
      </c>
    </row>
    <row r="39" spans="3:33">
      <c r="C39" s="30" t="str">
        <f>IFERROR(VLOOKUP(B39,员工信息表!N:O,2,FALSE),"")</f>
        <v>时段</v>
      </c>
      <c r="D39" s="30" t="str">
        <f>IF(AND(D$3&gt;=代码!$D38,D$3&lt;=代码!$E38),"是","")</f>
        <v/>
      </c>
      <c r="E39" s="30" t="str">
        <f>IF(AND(E$3&gt;=代码!$D38,E$3&lt;=代码!$E38),"是","")</f>
        <v/>
      </c>
      <c r="F39" s="30" t="str">
        <f>IF(AND(F$3&gt;=代码!$D38,F$3&lt;=代码!$E38),"是","")</f>
        <v/>
      </c>
      <c r="G39" s="30" t="str">
        <f>IF(AND(G$3&gt;=代码!$D38,G$3&lt;=代码!$E38),"是","")</f>
        <v/>
      </c>
      <c r="H39" s="30" t="str">
        <f>IF(AND(H$3&gt;=代码!$D38,H$3&lt;=代码!$E38),"是","")</f>
        <v/>
      </c>
      <c r="I39" s="30" t="str">
        <f>IF(AND(I$3&gt;=代码!$D38,I$3&lt;=代码!$E38),"是","")</f>
        <v/>
      </c>
      <c r="J39" s="30" t="str">
        <f>IF(AND(J$3&gt;=代码!$D38,J$3&lt;=代码!$E38),"是","")</f>
        <v/>
      </c>
      <c r="K39" s="30" t="str">
        <f>IF(AND(K$3&gt;=代码!$D38,K$3&lt;=代码!$E38),"是","")</f>
        <v/>
      </c>
      <c r="L39" s="30" t="str">
        <f>IF(AND(L$3&gt;=代码!$D38,L$3&lt;=代码!$E38),"是","")</f>
        <v/>
      </c>
      <c r="M39" s="30" t="str">
        <f>IF(AND(M$3&gt;=代码!$D38,M$3&lt;=代码!$E38),"是","")</f>
        <v/>
      </c>
      <c r="N39" s="30" t="str">
        <f>IF(AND(N$3&gt;=代码!$D38,N$3&lt;=代码!$E38),"是","")</f>
        <v/>
      </c>
      <c r="O39" s="30" t="str">
        <f>IF(AND(O$3&gt;=代码!$D38,O$3&lt;=代码!$E38),"是","")</f>
        <v/>
      </c>
      <c r="P39" s="30" t="str">
        <f>IF(AND(P$3&gt;=代码!$D38,P$3&lt;=代码!$E38),"是","")</f>
        <v/>
      </c>
      <c r="Q39" s="30" t="str">
        <f>IF(AND(Q$3&gt;=代码!$D38,Q$3&lt;=代码!$E38),"是","")</f>
        <v/>
      </c>
      <c r="R39" s="30" t="str">
        <f>IF(AND(R$3&gt;=代码!$D38,R$3&lt;=代码!$E38),"是","")</f>
        <v/>
      </c>
      <c r="S39" s="30" t="str">
        <f>IF(AND(S$3&gt;=代码!$D38,S$3&lt;=代码!$E38),"是","")</f>
        <v/>
      </c>
      <c r="T39" s="30" t="str">
        <f>IF(AND(T$3&gt;=代码!$D38,T$3&lt;=代码!$E38),"是","")</f>
        <v/>
      </c>
      <c r="U39" s="30" t="str">
        <f>IF(AND(U$3&gt;=代码!$D38,U$3&lt;=代码!$E38),"是","")</f>
        <v/>
      </c>
      <c r="V39" s="30" t="str">
        <f>IF(AND(V$3&gt;=代码!$D38,V$3&lt;=代码!$E38),"是","")</f>
        <v/>
      </c>
      <c r="W39" s="30" t="str">
        <f>IF(AND(W$3&gt;=代码!$D38,W$3&lt;=代码!$E38),"是","")</f>
        <v/>
      </c>
      <c r="X39" s="30" t="str">
        <f>IF(AND(X$3&gt;=代码!$D38,X$3&lt;=代码!$E38),"是","")</f>
        <v/>
      </c>
      <c r="Y39" s="30" t="str">
        <f>IF(AND(Y$3&gt;=代码!$D38,Y$3&lt;=代码!$E38),"是","")</f>
        <v/>
      </c>
      <c r="Z39" s="30" t="str">
        <f>IF(AND(Z$3&gt;=代码!$D38,Z$3&lt;=代码!$E38),"是","")</f>
        <v/>
      </c>
      <c r="AA39" s="30" t="str">
        <f>IF(AND(AA$3&gt;=代码!$D38,AA$3&lt;=代码!$E38),"是","")</f>
        <v/>
      </c>
      <c r="AB39" s="30" t="str">
        <f>IF(AND(AB$3&gt;=代码!$D38,AB$3&lt;=代码!$E38),"是","")</f>
        <v/>
      </c>
      <c r="AC39" s="30" t="str">
        <f>IF(AND(AC$3&gt;=代码!$D38,AC$3&lt;=代码!$E38),"是","")</f>
        <v/>
      </c>
      <c r="AD39" s="30" t="str">
        <f>IF(AND(AD$3&gt;=代码!$D38,AD$3&lt;=代码!$E38),"是","")</f>
        <v/>
      </c>
      <c r="AE39" s="30" t="str">
        <f>IF(AND(AE$3&gt;=代码!$D38,AE$3&lt;=代码!$E38),"是","")</f>
        <v/>
      </c>
      <c r="AF39" s="30" t="str">
        <f>IF(AND(AF$3&gt;=代码!$D38,AF$3&lt;=代码!$E38),"是","")</f>
        <v/>
      </c>
      <c r="AG39" s="30" t="str">
        <f>IF(AND(AG$3&gt;=代码!$D38,AG$3&lt;=代码!$E38),"是","")</f>
        <v/>
      </c>
    </row>
    <row r="40" spans="3:33">
      <c r="C40" s="30" t="str">
        <f>IFERROR(VLOOKUP(B40,员工信息表!N:O,2,FALSE),"")</f>
        <v>时段</v>
      </c>
      <c r="D40" s="30" t="str">
        <f>IF(AND(D$3&gt;=代码!$D39,D$3&lt;=代码!$E39),"是","")</f>
        <v/>
      </c>
      <c r="E40" s="30" t="str">
        <f>IF(AND(E$3&gt;=代码!$D39,E$3&lt;=代码!$E39),"是","")</f>
        <v/>
      </c>
      <c r="F40" s="30" t="str">
        <f>IF(AND(F$3&gt;=代码!$D39,F$3&lt;=代码!$E39),"是","")</f>
        <v/>
      </c>
      <c r="G40" s="30" t="str">
        <f>IF(AND(G$3&gt;=代码!$D39,G$3&lt;=代码!$E39),"是","")</f>
        <v/>
      </c>
      <c r="H40" s="30" t="str">
        <f>IF(AND(H$3&gt;=代码!$D39,H$3&lt;=代码!$E39),"是","")</f>
        <v/>
      </c>
      <c r="I40" s="30" t="str">
        <f>IF(AND(I$3&gt;=代码!$D39,I$3&lt;=代码!$E39),"是","")</f>
        <v/>
      </c>
      <c r="J40" s="30" t="str">
        <f>IF(AND(J$3&gt;=代码!$D39,J$3&lt;=代码!$E39),"是","")</f>
        <v/>
      </c>
      <c r="K40" s="30" t="str">
        <f>IF(AND(K$3&gt;=代码!$D39,K$3&lt;=代码!$E39),"是","")</f>
        <v/>
      </c>
      <c r="L40" s="30" t="str">
        <f>IF(AND(L$3&gt;=代码!$D39,L$3&lt;=代码!$E39),"是","")</f>
        <v/>
      </c>
      <c r="M40" s="30" t="str">
        <f>IF(AND(M$3&gt;=代码!$D39,M$3&lt;=代码!$E39),"是","")</f>
        <v/>
      </c>
      <c r="N40" s="30" t="str">
        <f>IF(AND(N$3&gt;=代码!$D39,N$3&lt;=代码!$E39),"是","")</f>
        <v/>
      </c>
      <c r="O40" s="30" t="str">
        <f>IF(AND(O$3&gt;=代码!$D39,O$3&lt;=代码!$E39),"是","")</f>
        <v/>
      </c>
      <c r="P40" s="30" t="str">
        <f>IF(AND(P$3&gt;=代码!$D39,P$3&lt;=代码!$E39),"是","")</f>
        <v/>
      </c>
      <c r="Q40" s="30" t="str">
        <f>IF(AND(Q$3&gt;=代码!$D39,Q$3&lt;=代码!$E39),"是","")</f>
        <v/>
      </c>
      <c r="R40" s="30" t="str">
        <f>IF(AND(R$3&gt;=代码!$D39,R$3&lt;=代码!$E39),"是","")</f>
        <v/>
      </c>
      <c r="S40" s="30" t="str">
        <f>IF(AND(S$3&gt;=代码!$D39,S$3&lt;=代码!$E39),"是","")</f>
        <v/>
      </c>
      <c r="T40" s="30" t="str">
        <f>IF(AND(T$3&gt;=代码!$D39,T$3&lt;=代码!$E39),"是","")</f>
        <v/>
      </c>
      <c r="U40" s="30" t="str">
        <f>IF(AND(U$3&gt;=代码!$D39,U$3&lt;=代码!$E39),"是","")</f>
        <v/>
      </c>
      <c r="V40" s="30" t="str">
        <f>IF(AND(V$3&gt;=代码!$D39,V$3&lt;=代码!$E39),"是","")</f>
        <v/>
      </c>
      <c r="W40" s="30" t="str">
        <f>IF(AND(W$3&gt;=代码!$D39,W$3&lt;=代码!$E39),"是","")</f>
        <v/>
      </c>
      <c r="X40" s="30" t="str">
        <f>IF(AND(X$3&gt;=代码!$D39,X$3&lt;=代码!$E39),"是","")</f>
        <v/>
      </c>
      <c r="Y40" s="30" t="str">
        <f>IF(AND(Y$3&gt;=代码!$D39,Y$3&lt;=代码!$E39),"是","")</f>
        <v/>
      </c>
      <c r="Z40" s="30" t="str">
        <f>IF(AND(Z$3&gt;=代码!$D39,Z$3&lt;=代码!$E39),"是","")</f>
        <v/>
      </c>
      <c r="AA40" s="30" t="str">
        <f>IF(AND(AA$3&gt;=代码!$D39,AA$3&lt;=代码!$E39),"是","")</f>
        <v/>
      </c>
      <c r="AB40" s="30" t="str">
        <f>IF(AND(AB$3&gt;=代码!$D39,AB$3&lt;=代码!$E39),"是","")</f>
        <v/>
      </c>
      <c r="AC40" s="30" t="str">
        <f>IF(AND(AC$3&gt;=代码!$D39,AC$3&lt;=代码!$E39),"是","")</f>
        <v/>
      </c>
      <c r="AD40" s="30" t="str">
        <f>IF(AND(AD$3&gt;=代码!$D39,AD$3&lt;=代码!$E39),"是","")</f>
        <v/>
      </c>
      <c r="AE40" s="30" t="str">
        <f>IF(AND(AE$3&gt;=代码!$D39,AE$3&lt;=代码!$E39),"是","")</f>
        <v/>
      </c>
      <c r="AF40" s="30" t="str">
        <f>IF(AND(AF$3&gt;=代码!$D39,AF$3&lt;=代码!$E39),"是","")</f>
        <v/>
      </c>
      <c r="AG40" s="30" t="str">
        <f>IF(AND(AG$3&gt;=代码!$D39,AG$3&lt;=代码!$E39),"是","")</f>
        <v/>
      </c>
    </row>
    <row r="41" spans="3:33">
      <c r="C41" s="30" t="str">
        <f>IFERROR(VLOOKUP(B41,员工信息表!N:O,2,FALSE),"")</f>
        <v>时段</v>
      </c>
      <c r="D41" s="30" t="str">
        <f>IF(AND(D$3&gt;=代码!$D40,D$3&lt;=代码!$E40),"是","")</f>
        <v/>
      </c>
      <c r="E41" s="30" t="str">
        <f>IF(AND(E$3&gt;=代码!$D40,E$3&lt;=代码!$E40),"是","")</f>
        <v/>
      </c>
      <c r="F41" s="30" t="str">
        <f>IF(AND(F$3&gt;=代码!$D40,F$3&lt;=代码!$E40),"是","")</f>
        <v/>
      </c>
      <c r="G41" s="30" t="str">
        <f>IF(AND(G$3&gt;=代码!$D40,G$3&lt;=代码!$E40),"是","")</f>
        <v/>
      </c>
      <c r="H41" s="30" t="str">
        <f>IF(AND(H$3&gt;=代码!$D40,H$3&lt;=代码!$E40),"是","")</f>
        <v/>
      </c>
      <c r="I41" s="30" t="str">
        <f>IF(AND(I$3&gt;=代码!$D40,I$3&lt;=代码!$E40),"是","")</f>
        <v/>
      </c>
      <c r="J41" s="30" t="str">
        <f>IF(AND(J$3&gt;=代码!$D40,J$3&lt;=代码!$E40),"是","")</f>
        <v/>
      </c>
      <c r="K41" s="30" t="str">
        <f>IF(AND(K$3&gt;=代码!$D40,K$3&lt;=代码!$E40),"是","")</f>
        <v/>
      </c>
      <c r="L41" s="30" t="str">
        <f>IF(AND(L$3&gt;=代码!$D40,L$3&lt;=代码!$E40),"是","")</f>
        <v/>
      </c>
      <c r="M41" s="30" t="str">
        <f>IF(AND(M$3&gt;=代码!$D40,M$3&lt;=代码!$E40),"是","")</f>
        <v/>
      </c>
      <c r="N41" s="30" t="str">
        <f>IF(AND(N$3&gt;=代码!$D40,N$3&lt;=代码!$E40),"是","")</f>
        <v/>
      </c>
      <c r="O41" s="30" t="str">
        <f>IF(AND(O$3&gt;=代码!$D40,O$3&lt;=代码!$E40),"是","")</f>
        <v/>
      </c>
      <c r="P41" s="30" t="str">
        <f>IF(AND(P$3&gt;=代码!$D40,P$3&lt;=代码!$E40),"是","")</f>
        <v/>
      </c>
      <c r="Q41" s="30" t="str">
        <f>IF(AND(Q$3&gt;=代码!$D40,Q$3&lt;=代码!$E40),"是","")</f>
        <v/>
      </c>
      <c r="R41" s="30" t="str">
        <f>IF(AND(R$3&gt;=代码!$D40,R$3&lt;=代码!$E40),"是","")</f>
        <v/>
      </c>
      <c r="S41" s="30" t="str">
        <f>IF(AND(S$3&gt;=代码!$D40,S$3&lt;=代码!$E40),"是","")</f>
        <v/>
      </c>
      <c r="T41" s="30" t="str">
        <f>IF(AND(T$3&gt;=代码!$D40,T$3&lt;=代码!$E40),"是","")</f>
        <v/>
      </c>
      <c r="U41" s="30" t="str">
        <f>IF(AND(U$3&gt;=代码!$D40,U$3&lt;=代码!$E40),"是","")</f>
        <v/>
      </c>
      <c r="V41" s="30" t="str">
        <f>IF(AND(V$3&gt;=代码!$D40,V$3&lt;=代码!$E40),"是","")</f>
        <v/>
      </c>
      <c r="W41" s="30" t="str">
        <f>IF(AND(W$3&gt;=代码!$D40,W$3&lt;=代码!$E40),"是","")</f>
        <v/>
      </c>
      <c r="X41" s="30" t="str">
        <f>IF(AND(X$3&gt;=代码!$D40,X$3&lt;=代码!$E40),"是","")</f>
        <v/>
      </c>
      <c r="Y41" s="30" t="str">
        <f>IF(AND(Y$3&gt;=代码!$D40,Y$3&lt;=代码!$E40),"是","")</f>
        <v/>
      </c>
      <c r="Z41" s="30" t="str">
        <f>IF(AND(Z$3&gt;=代码!$D40,Z$3&lt;=代码!$E40),"是","")</f>
        <v/>
      </c>
      <c r="AA41" s="30" t="str">
        <f>IF(AND(AA$3&gt;=代码!$D40,AA$3&lt;=代码!$E40),"是","")</f>
        <v/>
      </c>
      <c r="AB41" s="30" t="str">
        <f>IF(AND(AB$3&gt;=代码!$D40,AB$3&lt;=代码!$E40),"是","")</f>
        <v/>
      </c>
      <c r="AC41" s="30" t="str">
        <f>IF(AND(AC$3&gt;=代码!$D40,AC$3&lt;=代码!$E40),"是","")</f>
        <v/>
      </c>
      <c r="AD41" s="30" t="str">
        <f>IF(AND(AD$3&gt;=代码!$D40,AD$3&lt;=代码!$E40),"是","")</f>
        <v/>
      </c>
      <c r="AE41" s="30" t="str">
        <f>IF(AND(AE$3&gt;=代码!$D40,AE$3&lt;=代码!$E40),"是","")</f>
        <v/>
      </c>
      <c r="AF41" s="30" t="str">
        <f>IF(AND(AF$3&gt;=代码!$D40,AF$3&lt;=代码!$E40),"是","")</f>
        <v/>
      </c>
      <c r="AG41" s="30" t="str">
        <f>IF(AND(AG$3&gt;=代码!$D40,AG$3&lt;=代码!$E40),"是","")</f>
        <v/>
      </c>
    </row>
    <row r="42" spans="3:33">
      <c r="C42" s="30" t="str">
        <f>IFERROR(VLOOKUP(B42,员工信息表!N:O,2,FALSE),"")</f>
        <v>时段</v>
      </c>
      <c r="D42" s="30" t="str">
        <f>IF(AND(D$3&gt;=代码!$D41,D$3&lt;=代码!$E41),"是","")</f>
        <v/>
      </c>
      <c r="E42" s="30" t="str">
        <f>IF(AND(E$3&gt;=代码!$D41,E$3&lt;=代码!$E41),"是","")</f>
        <v/>
      </c>
      <c r="F42" s="30" t="str">
        <f>IF(AND(F$3&gt;=代码!$D41,F$3&lt;=代码!$E41),"是","")</f>
        <v/>
      </c>
      <c r="G42" s="30" t="str">
        <f>IF(AND(G$3&gt;=代码!$D41,G$3&lt;=代码!$E41),"是","")</f>
        <v/>
      </c>
      <c r="H42" s="30" t="str">
        <f>IF(AND(H$3&gt;=代码!$D41,H$3&lt;=代码!$E41),"是","")</f>
        <v/>
      </c>
      <c r="I42" s="30" t="str">
        <f>IF(AND(I$3&gt;=代码!$D41,I$3&lt;=代码!$E41),"是","")</f>
        <v/>
      </c>
      <c r="J42" s="30" t="str">
        <f>IF(AND(J$3&gt;=代码!$D41,J$3&lt;=代码!$E41),"是","")</f>
        <v/>
      </c>
      <c r="K42" s="30" t="str">
        <f>IF(AND(K$3&gt;=代码!$D41,K$3&lt;=代码!$E41),"是","")</f>
        <v/>
      </c>
      <c r="L42" s="30" t="str">
        <f>IF(AND(L$3&gt;=代码!$D41,L$3&lt;=代码!$E41),"是","")</f>
        <v/>
      </c>
      <c r="M42" s="30" t="str">
        <f>IF(AND(M$3&gt;=代码!$D41,M$3&lt;=代码!$E41),"是","")</f>
        <v/>
      </c>
      <c r="N42" s="30" t="str">
        <f>IF(AND(N$3&gt;=代码!$D41,N$3&lt;=代码!$E41),"是","")</f>
        <v/>
      </c>
      <c r="O42" s="30" t="str">
        <f>IF(AND(O$3&gt;=代码!$D41,O$3&lt;=代码!$E41),"是","")</f>
        <v/>
      </c>
      <c r="P42" s="30" t="str">
        <f>IF(AND(P$3&gt;=代码!$D41,P$3&lt;=代码!$E41),"是","")</f>
        <v/>
      </c>
      <c r="Q42" s="30" t="str">
        <f>IF(AND(Q$3&gt;=代码!$D41,Q$3&lt;=代码!$E41),"是","")</f>
        <v/>
      </c>
      <c r="R42" s="30" t="str">
        <f>IF(AND(R$3&gt;=代码!$D41,R$3&lt;=代码!$E41),"是","")</f>
        <v/>
      </c>
      <c r="S42" s="30" t="str">
        <f>IF(AND(S$3&gt;=代码!$D41,S$3&lt;=代码!$E41),"是","")</f>
        <v/>
      </c>
      <c r="T42" s="30" t="str">
        <f>IF(AND(T$3&gt;=代码!$D41,T$3&lt;=代码!$E41),"是","")</f>
        <v/>
      </c>
      <c r="U42" s="30" t="str">
        <f>IF(AND(U$3&gt;=代码!$D41,U$3&lt;=代码!$E41),"是","")</f>
        <v/>
      </c>
      <c r="V42" s="30" t="str">
        <f>IF(AND(V$3&gt;=代码!$D41,V$3&lt;=代码!$E41),"是","")</f>
        <v/>
      </c>
      <c r="W42" s="30" t="str">
        <f>IF(AND(W$3&gt;=代码!$D41,W$3&lt;=代码!$E41),"是","")</f>
        <v/>
      </c>
      <c r="X42" s="30" t="str">
        <f>IF(AND(X$3&gt;=代码!$D41,X$3&lt;=代码!$E41),"是","")</f>
        <v/>
      </c>
      <c r="Y42" s="30" t="str">
        <f>IF(AND(Y$3&gt;=代码!$D41,Y$3&lt;=代码!$E41),"是","")</f>
        <v/>
      </c>
      <c r="Z42" s="30" t="str">
        <f>IF(AND(Z$3&gt;=代码!$D41,Z$3&lt;=代码!$E41),"是","")</f>
        <v/>
      </c>
      <c r="AA42" s="30" t="str">
        <f>IF(AND(AA$3&gt;=代码!$D41,AA$3&lt;=代码!$E41),"是","")</f>
        <v/>
      </c>
      <c r="AB42" s="30" t="str">
        <f>IF(AND(AB$3&gt;=代码!$D41,AB$3&lt;=代码!$E41),"是","")</f>
        <v/>
      </c>
      <c r="AC42" s="30" t="str">
        <f>IF(AND(AC$3&gt;=代码!$D41,AC$3&lt;=代码!$E41),"是","")</f>
        <v/>
      </c>
      <c r="AD42" s="30" t="str">
        <f>IF(AND(AD$3&gt;=代码!$D41,AD$3&lt;=代码!$E41),"是","")</f>
        <v/>
      </c>
      <c r="AE42" s="30" t="str">
        <f>IF(AND(AE$3&gt;=代码!$D41,AE$3&lt;=代码!$E41),"是","")</f>
        <v/>
      </c>
      <c r="AF42" s="30" t="str">
        <f>IF(AND(AF$3&gt;=代码!$D41,AF$3&lt;=代码!$E41),"是","")</f>
        <v/>
      </c>
      <c r="AG42" s="30" t="str">
        <f>IF(AND(AG$3&gt;=代码!$D41,AG$3&lt;=代码!$E41),"是","")</f>
        <v/>
      </c>
    </row>
    <row r="43" spans="3:33">
      <c r="C43" s="30" t="str">
        <f>IFERROR(VLOOKUP(B43,员工信息表!N:O,2,FALSE),"")</f>
        <v>时段</v>
      </c>
      <c r="D43" s="30" t="str">
        <f>IF(AND(D$3&gt;=代码!$D42,D$3&lt;=代码!$E42),"是","")</f>
        <v/>
      </c>
      <c r="E43" s="30" t="str">
        <f>IF(AND(E$3&gt;=代码!$D42,E$3&lt;=代码!$E42),"是","")</f>
        <v/>
      </c>
      <c r="F43" s="30" t="str">
        <f>IF(AND(F$3&gt;=代码!$D42,F$3&lt;=代码!$E42),"是","")</f>
        <v/>
      </c>
      <c r="G43" s="30" t="str">
        <f>IF(AND(G$3&gt;=代码!$D42,G$3&lt;=代码!$E42),"是","")</f>
        <v/>
      </c>
      <c r="H43" s="30" t="str">
        <f>IF(AND(H$3&gt;=代码!$D42,H$3&lt;=代码!$E42),"是","")</f>
        <v/>
      </c>
      <c r="I43" s="30" t="str">
        <f>IF(AND(I$3&gt;=代码!$D42,I$3&lt;=代码!$E42),"是","")</f>
        <v/>
      </c>
      <c r="J43" s="30" t="str">
        <f>IF(AND(J$3&gt;=代码!$D42,J$3&lt;=代码!$E42),"是","")</f>
        <v/>
      </c>
      <c r="K43" s="30" t="str">
        <f>IF(AND(K$3&gt;=代码!$D42,K$3&lt;=代码!$E42),"是","")</f>
        <v/>
      </c>
      <c r="L43" s="30" t="str">
        <f>IF(AND(L$3&gt;=代码!$D42,L$3&lt;=代码!$E42),"是","")</f>
        <v/>
      </c>
      <c r="M43" s="30" t="str">
        <f>IF(AND(M$3&gt;=代码!$D42,M$3&lt;=代码!$E42),"是","")</f>
        <v/>
      </c>
      <c r="N43" s="30" t="str">
        <f>IF(AND(N$3&gt;=代码!$D42,N$3&lt;=代码!$E42),"是","")</f>
        <v/>
      </c>
      <c r="O43" s="30" t="str">
        <f>IF(AND(O$3&gt;=代码!$D42,O$3&lt;=代码!$E42),"是","")</f>
        <v/>
      </c>
      <c r="P43" s="30" t="str">
        <f>IF(AND(P$3&gt;=代码!$D42,P$3&lt;=代码!$E42),"是","")</f>
        <v/>
      </c>
      <c r="Q43" s="30" t="str">
        <f>IF(AND(Q$3&gt;=代码!$D42,Q$3&lt;=代码!$E42),"是","")</f>
        <v/>
      </c>
      <c r="R43" s="30" t="str">
        <f>IF(AND(R$3&gt;=代码!$D42,R$3&lt;=代码!$E42),"是","")</f>
        <v/>
      </c>
      <c r="S43" s="30" t="str">
        <f>IF(AND(S$3&gt;=代码!$D42,S$3&lt;=代码!$E42),"是","")</f>
        <v/>
      </c>
      <c r="T43" s="30" t="str">
        <f>IF(AND(T$3&gt;=代码!$D42,T$3&lt;=代码!$E42),"是","")</f>
        <v/>
      </c>
      <c r="U43" s="30" t="str">
        <f>IF(AND(U$3&gt;=代码!$D42,U$3&lt;=代码!$E42),"是","")</f>
        <v/>
      </c>
      <c r="V43" s="30" t="str">
        <f>IF(AND(V$3&gt;=代码!$D42,V$3&lt;=代码!$E42),"是","")</f>
        <v/>
      </c>
      <c r="W43" s="30" t="str">
        <f>IF(AND(W$3&gt;=代码!$D42,W$3&lt;=代码!$E42),"是","")</f>
        <v/>
      </c>
      <c r="X43" s="30" t="str">
        <f>IF(AND(X$3&gt;=代码!$D42,X$3&lt;=代码!$E42),"是","")</f>
        <v/>
      </c>
      <c r="Y43" s="30" t="str">
        <f>IF(AND(Y$3&gt;=代码!$D42,Y$3&lt;=代码!$E42),"是","")</f>
        <v/>
      </c>
      <c r="Z43" s="30" t="str">
        <f>IF(AND(Z$3&gt;=代码!$D42,Z$3&lt;=代码!$E42),"是","")</f>
        <v/>
      </c>
      <c r="AA43" s="30" t="str">
        <f>IF(AND(AA$3&gt;=代码!$D42,AA$3&lt;=代码!$E42),"是","")</f>
        <v/>
      </c>
      <c r="AB43" s="30" t="str">
        <f>IF(AND(AB$3&gt;=代码!$D42,AB$3&lt;=代码!$E42),"是","")</f>
        <v/>
      </c>
      <c r="AC43" s="30" t="str">
        <f>IF(AND(AC$3&gt;=代码!$D42,AC$3&lt;=代码!$E42),"是","")</f>
        <v/>
      </c>
      <c r="AD43" s="30" t="str">
        <f>IF(AND(AD$3&gt;=代码!$D42,AD$3&lt;=代码!$E42),"是","")</f>
        <v/>
      </c>
      <c r="AE43" s="30" t="str">
        <f>IF(AND(AE$3&gt;=代码!$D42,AE$3&lt;=代码!$E42),"是","")</f>
        <v/>
      </c>
      <c r="AF43" s="30" t="str">
        <f>IF(AND(AF$3&gt;=代码!$D42,AF$3&lt;=代码!$E42),"是","")</f>
        <v/>
      </c>
      <c r="AG43" s="30" t="str">
        <f>IF(AND(AG$3&gt;=代码!$D42,AG$3&lt;=代码!$E42),"是","")</f>
        <v/>
      </c>
    </row>
    <row r="44" spans="3:33">
      <c r="C44" s="30" t="str">
        <f>IFERROR(VLOOKUP(B44,员工信息表!N:O,2,FALSE),"")</f>
        <v>时段</v>
      </c>
      <c r="D44" s="30" t="str">
        <f>IF(AND(D$3&gt;=代码!$D43,D$3&lt;=代码!$E43),"是","")</f>
        <v/>
      </c>
      <c r="E44" s="30" t="str">
        <f>IF(AND(E$3&gt;=代码!$D43,E$3&lt;=代码!$E43),"是","")</f>
        <v/>
      </c>
      <c r="F44" s="30" t="str">
        <f>IF(AND(F$3&gt;=代码!$D43,F$3&lt;=代码!$E43),"是","")</f>
        <v/>
      </c>
      <c r="G44" s="30" t="str">
        <f>IF(AND(G$3&gt;=代码!$D43,G$3&lt;=代码!$E43),"是","")</f>
        <v/>
      </c>
      <c r="H44" s="30" t="str">
        <f>IF(AND(H$3&gt;=代码!$D43,H$3&lt;=代码!$E43),"是","")</f>
        <v/>
      </c>
      <c r="I44" s="30" t="str">
        <f>IF(AND(I$3&gt;=代码!$D43,I$3&lt;=代码!$E43),"是","")</f>
        <v/>
      </c>
      <c r="J44" s="30" t="str">
        <f>IF(AND(J$3&gt;=代码!$D43,J$3&lt;=代码!$E43),"是","")</f>
        <v/>
      </c>
      <c r="K44" s="30" t="str">
        <f>IF(AND(K$3&gt;=代码!$D43,K$3&lt;=代码!$E43),"是","")</f>
        <v/>
      </c>
      <c r="L44" s="30" t="str">
        <f>IF(AND(L$3&gt;=代码!$D43,L$3&lt;=代码!$E43),"是","")</f>
        <v/>
      </c>
      <c r="M44" s="30" t="str">
        <f>IF(AND(M$3&gt;=代码!$D43,M$3&lt;=代码!$E43),"是","")</f>
        <v/>
      </c>
      <c r="N44" s="30" t="str">
        <f>IF(AND(N$3&gt;=代码!$D43,N$3&lt;=代码!$E43),"是","")</f>
        <v/>
      </c>
      <c r="O44" s="30" t="str">
        <f>IF(AND(O$3&gt;=代码!$D43,O$3&lt;=代码!$E43),"是","")</f>
        <v/>
      </c>
      <c r="P44" s="30" t="str">
        <f>IF(AND(P$3&gt;=代码!$D43,P$3&lt;=代码!$E43),"是","")</f>
        <v/>
      </c>
      <c r="Q44" s="30" t="str">
        <f>IF(AND(Q$3&gt;=代码!$D43,Q$3&lt;=代码!$E43),"是","")</f>
        <v/>
      </c>
      <c r="R44" s="30" t="str">
        <f>IF(AND(R$3&gt;=代码!$D43,R$3&lt;=代码!$E43),"是","")</f>
        <v/>
      </c>
      <c r="S44" s="30" t="str">
        <f>IF(AND(S$3&gt;=代码!$D43,S$3&lt;=代码!$E43),"是","")</f>
        <v/>
      </c>
      <c r="T44" s="30" t="str">
        <f>IF(AND(T$3&gt;=代码!$D43,T$3&lt;=代码!$E43),"是","")</f>
        <v/>
      </c>
      <c r="U44" s="30" t="str">
        <f>IF(AND(U$3&gt;=代码!$D43,U$3&lt;=代码!$E43),"是","")</f>
        <v/>
      </c>
      <c r="V44" s="30" t="str">
        <f>IF(AND(V$3&gt;=代码!$D43,V$3&lt;=代码!$E43),"是","")</f>
        <v/>
      </c>
      <c r="W44" s="30" t="str">
        <f>IF(AND(W$3&gt;=代码!$D43,W$3&lt;=代码!$E43),"是","")</f>
        <v/>
      </c>
      <c r="X44" s="30" t="str">
        <f>IF(AND(X$3&gt;=代码!$D43,X$3&lt;=代码!$E43),"是","")</f>
        <v/>
      </c>
      <c r="Y44" s="30" t="str">
        <f>IF(AND(Y$3&gt;=代码!$D43,Y$3&lt;=代码!$E43),"是","")</f>
        <v/>
      </c>
      <c r="Z44" s="30" t="str">
        <f>IF(AND(Z$3&gt;=代码!$D43,Z$3&lt;=代码!$E43),"是","")</f>
        <v/>
      </c>
      <c r="AA44" s="30" t="str">
        <f>IF(AND(AA$3&gt;=代码!$D43,AA$3&lt;=代码!$E43),"是","")</f>
        <v/>
      </c>
      <c r="AB44" s="30" t="str">
        <f>IF(AND(AB$3&gt;=代码!$D43,AB$3&lt;=代码!$E43),"是","")</f>
        <v/>
      </c>
      <c r="AC44" s="30" t="str">
        <f>IF(AND(AC$3&gt;=代码!$D43,AC$3&lt;=代码!$E43),"是","")</f>
        <v/>
      </c>
      <c r="AD44" s="30" t="str">
        <f>IF(AND(AD$3&gt;=代码!$D43,AD$3&lt;=代码!$E43),"是","")</f>
        <v/>
      </c>
      <c r="AE44" s="30" t="str">
        <f>IF(AND(AE$3&gt;=代码!$D43,AE$3&lt;=代码!$E43),"是","")</f>
        <v/>
      </c>
      <c r="AF44" s="30" t="str">
        <f>IF(AND(AF$3&gt;=代码!$D43,AF$3&lt;=代码!$E43),"是","")</f>
        <v/>
      </c>
      <c r="AG44" s="30" t="str">
        <f>IF(AND(AG$3&gt;=代码!$D43,AG$3&lt;=代码!$E43),"是","")</f>
        <v/>
      </c>
    </row>
    <row r="45" spans="3:33">
      <c r="C45" s="30" t="str">
        <f>IFERROR(VLOOKUP(B45,员工信息表!N:O,2,FALSE),"")</f>
        <v>时段</v>
      </c>
      <c r="D45" s="30" t="str">
        <f>IF(AND(D$3&gt;=代码!$D44,D$3&lt;=代码!$E44),"是","")</f>
        <v/>
      </c>
      <c r="E45" s="30" t="str">
        <f>IF(AND(E$3&gt;=代码!$D44,E$3&lt;=代码!$E44),"是","")</f>
        <v/>
      </c>
      <c r="F45" s="30" t="str">
        <f>IF(AND(F$3&gt;=代码!$D44,F$3&lt;=代码!$E44),"是","")</f>
        <v/>
      </c>
      <c r="G45" s="30" t="str">
        <f>IF(AND(G$3&gt;=代码!$D44,G$3&lt;=代码!$E44),"是","")</f>
        <v/>
      </c>
      <c r="H45" s="30" t="str">
        <f>IF(AND(H$3&gt;=代码!$D44,H$3&lt;=代码!$E44),"是","")</f>
        <v/>
      </c>
      <c r="I45" s="30" t="str">
        <f>IF(AND(I$3&gt;=代码!$D44,I$3&lt;=代码!$E44),"是","")</f>
        <v/>
      </c>
      <c r="J45" s="30" t="str">
        <f>IF(AND(J$3&gt;=代码!$D44,J$3&lt;=代码!$E44),"是","")</f>
        <v/>
      </c>
      <c r="K45" s="30" t="str">
        <f>IF(AND(K$3&gt;=代码!$D44,K$3&lt;=代码!$E44),"是","")</f>
        <v/>
      </c>
      <c r="L45" s="30" t="str">
        <f>IF(AND(L$3&gt;=代码!$D44,L$3&lt;=代码!$E44),"是","")</f>
        <v/>
      </c>
      <c r="M45" s="30" t="str">
        <f>IF(AND(M$3&gt;=代码!$D44,M$3&lt;=代码!$E44),"是","")</f>
        <v/>
      </c>
      <c r="N45" s="30" t="str">
        <f>IF(AND(N$3&gt;=代码!$D44,N$3&lt;=代码!$E44),"是","")</f>
        <v/>
      </c>
      <c r="O45" s="30" t="str">
        <f>IF(AND(O$3&gt;=代码!$D44,O$3&lt;=代码!$E44),"是","")</f>
        <v/>
      </c>
      <c r="P45" s="30" t="str">
        <f>IF(AND(P$3&gt;=代码!$D44,P$3&lt;=代码!$E44),"是","")</f>
        <v/>
      </c>
      <c r="Q45" s="30" t="str">
        <f>IF(AND(Q$3&gt;=代码!$D44,Q$3&lt;=代码!$E44),"是","")</f>
        <v/>
      </c>
      <c r="R45" s="30" t="str">
        <f>IF(AND(R$3&gt;=代码!$D44,R$3&lt;=代码!$E44),"是","")</f>
        <v/>
      </c>
      <c r="S45" s="30" t="str">
        <f>IF(AND(S$3&gt;=代码!$D44,S$3&lt;=代码!$E44),"是","")</f>
        <v/>
      </c>
      <c r="T45" s="30" t="str">
        <f>IF(AND(T$3&gt;=代码!$D44,T$3&lt;=代码!$E44),"是","")</f>
        <v/>
      </c>
      <c r="U45" s="30" t="str">
        <f>IF(AND(U$3&gt;=代码!$D44,U$3&lt;=代码!$E44),"是","")</f>
        <v/>
      </c>
      <c r="V45" s="30" t="str">
        <f>IF(AND(V$3&gt;=代码!$D44,V$3&lt;=代码!$E44),"是","")</f>
        <v/>
      </c>
      <c r="W45" s="30" t="str">
        <f>IF(AND(W$3&gt;=代码!$D44,W$3&lt;=代码!$E44),"是","")</f>
        <v/>
      </c>
      <c r="X45" s="30" t="str">
        <f>IF(AND(X$3&gt;=代码!$D44,X$3&lt;=代码!$E44),"是","")</f>
        <v/>
      </c>
      <c r="Y45" s="30" t="str">
        <f>IF(AND(Y$3&gt;=代码!$D44,Y$3&lt;=代码!$E44),"是","")</f>
        <v/>
      </c>
      <c r="Z45" s="30" t="str">
        <f>IF(AND(Z$3&gt;=代码!$D44,Z$3&lt;=代码!$E44),"是","")</f>
        <v/>
      </c>
      <c r="AA45" s="30" t="str">
        <f>IF(AND(AA$3&gt;=代码!$D44,AA$3&lt;=代码!$E44),"是","")</f>
        <v/>
      </c>
      <c r="AB45" s="30" t="str">
        <f>IF(AND(AB$3&gt;=代码!$D44,AB$3&lt;=代码!$E44),"是","")</f>
        <v/>
      </c>
      <c r="AC45" s="30" t="str">
        <f>IF(AND(AC$3&gt;=代码!$D44,AC$3&lt;=代码!$E44),"是","")</f>
        <v/>
      </c>
      <c r="AD45" s="30" t="str">
        <f>IF(AND(AD$3&gt;=代码!$D44,AD$3&lt;=代码!$E44),"是","")</f>
        <v/>
      </c>
      <c r="AE45" s="30" t="str">
        <f>IF(AND(AE$3&gt;=代码!$D44,AE$3&lt;=代码!$E44),"是","")</f>
        <v/>
      </c>
      <c r="AF45" s="30" t="str">
        <f>IF(AND(AF$3&gt;=代码!$D44,AF$3&lt;=代码!$E44),"是","")</f>
        <v/>
      </c>
      <c r="AG45" s="30" t="str">
        <f>IF(AND(AG$3&gt;=代码!$D44,AG$3&lt;=代码!$E44),"是","")</f>
        <v/>
      </c>
    </row>
    <row r="46" spans="3:33">
      <c r="C46" s="30" t="str">
        <f>IFERROR(VLOOKUP(B46,员工信息表!N:O,2,FALSE),"")</f>
        <v>时段</v>
      </c>
      <c r="D46" s="30" t="str">
        <f>IF(AND(D$3&gt;=代码!$D45,D$3&lt;=代码!$E45),"是","")</f>
        <v/>
      </c>
      <c r="E46" s="30" t="str">
        <f>IF(AND(E$3&gt;=代码!$D45,E$3&lt;=代码!$E45),"是","")</f>
        <v/>
      </c>
      <c r="F46" s="30" t="str">
        <f>IF(AND(F$3&gt;=代码!$D45,F$3&lt;=代码!$E45),"是","")</f>
        <v/>
      </c>
      <c r="G46" s="30" t="str">
        <f>IF(AND(G$3&gt;=代码!$D45,G$3&lt;=代码!$E45),"是","")</f>
        <v/>
      </c>
      <c r="H46" s="30" t="str">
        <f>IF(AND(H$3&gt;=代码!$D45,H$3&lt;=代码!$E45),"是","")</f>
        <v/>
      </c>
      <c r="I46" s="30" t="str">
        <f>IF(AND(I$3&gt;=代码!$D45,I$3&lt;=代码!$E45),"是","")</f>
        <v/>
      </c>
      <c r="J46" s="30" t="str">
        <f>IF(AND(J$3&gt;=代码!$D45,J$3&lt;=代码!$E45),"是","")</f>
        <v/>
      </c>
      <c r="K46" s="30" t="str">
        <f>IF(AND(K$3&gt;=代码!$D45,K$3&lt;=代码!$E45),"是","")</f>
        <v/>
      </c>
      <c r="L46" s="30" t="str">
        <f>IF(AND(L$3&gt;=代码!$D45,L$3&lt;=代码!$E45),"是","")</f>
        <v/>
      </c>
      <c r="M46" s="30" t="str">
        <f>IF(AND(M$3&gt;=代码!$D45,M$3&lt;=代码!$E45),"是","")</f>
        <v/>
      </c>
      <c r="N46" s="30" t="str">
        <f>IF(AND(N$3&gt;=代码!$D45,N$3&lt;=代码!$E45),"是","")</f>
        <v/>
      </c>
      <c r="O46" s="30" t="str">
        <f>IF(AND(O$3&gt;=代码!$D45,O$3&lt;=代码!$E45),"是","")</f>
        <v/>
      </c>
      <c r="P46" s="30" t="str">
        <f>IF(AND(P$3&gt;=代码!$D45,P$3&lt;=代码!$E45),"是","")</f>
        <v/>
      </c>
      <c r="Q46" s="30" t="str">
        <f>IF(AND(Q$3&gt;=代码!$D45,Q$3&lt;=代码!$E45),"是","")</f>
        <v/>
      </c>
      <c r="R46" s="30" t="str">
        <f>IF(AND(R$3&gt;=代码!$D45,R$3&lt;=代码!$E45),"是","")</f>
        <v/>
      </c>
      <c r="S46" s="30" t="str">
        <f>IF(AND(S$3&gt;=代码!$D45,S$3&lt;=代码!$E45),"是","")</f>
        <v/>
      </c>
      <c r="T46" s="30" t="str">
        <f>IF(AND(T$3&gt;=代码!$D45,T$3&lt;=代码!$E45),"是","")</f>
        <v/>
      </c>
      <c r="U46" s="30" t="str">
        <f>IF(AND(U$3&gt;=代码!$D45,U$3&lt;=代码!$E45),"是","")</f>
        <v/>
      </c>
      <c r="V46" s="30" t="str">
        <f>IF(AND(V$3&gt;=代码!$D45,V$3&lt;=代码!$E45),"是","")</f>
        <v/>
      </c>
      <c r="W46" s="30" t="str">
        <f>IF(AND(W$3&gt;=代码!$D45,W$3&lt;=代码!$E45),"是","")</f>
        <v/>
      </c>
      <c r="X46" s="30" t="str">
        <f>IF(AND(X$3&gt;=代码!$D45,X$3&lt;=代码!$E45),"是","")</f>
        <v/>
      </c>
      <c r="Y46" s="30" t="str">
        <f>IF(AND(Y$3&gt;=代码!$D45,Y$3&lt;=代码!$E45),"是","")</f>
        <v/>
      </c>
      <c r="Z46" s="30" t="str">
        <f>IF(AND(Z$3&gt;=代码!$D45,Z$3&lt;=代码!$E45),"是","")</f>
        <v/>
      </c>
      <c r="AA46" s="30" t="str">
        <f>IF(AND(AA$3&gt;=代码!$D45,AA$3&lt;=代码!$E45),"是","")</f>
        <v/>
      </c>
      <c r="AB46" s="30" t="str">
        <f>IF(AND(AB$3&gt;=代码!$D45,AB$3&lt;=代码!$E45),"是","")</f>
        <v/>
      </c>
      <c r="AC46" s="30" t="str">
        <f>IF(AND(AC$3&gt;=代码!$D45,AC$3&lt;=代码!$E45),"是","")</f>
        <v/>
      </c>
      <c r="AD46" s="30" t="str">
        <f>IF(AND(AD$3&gt;=代码!$D45,AD$3&lt;=代码!$E45),"是","")</f>
        <v/>
      </c>
      <c r="AE46" s="30" t="str">
        <f>IF(AND(AE$3&gt;=代码!$D45,AE$3&lt;=代码!$E45),"是","")</f>
        <v/>
      </c>
      <c r="AF46" s="30" t="str">
        <f>IF(AND(AF$3&gt;=代码!$D45,AF$3&lt;=代码!$E45),"是","")</f>
        <v/>
      </c>
      <c r="AG46" s="30" t="str">
        <f>IF(AND(AG$3&gt;=代码!$D45,AG$3&lt;=代码!$E45),"是","")</f>
        <v/>
      </c>
    </row>
    <row r="47" spans="3:33">
      <c r="C47" s="30" t="str">
        <f>IFERROR(VLOOKUP(B47,员工信息表!N:O,2,FALSE),"")</f>
        <v>时段</v>
      </c>
      <c r="D47" s="30" t="str">
        <f>IF(AND(D$3&gt;=代码!$D46,D$3&lt;=代码!$E46),"是","")</f>
        <v/>
      </c>
      <c r="E47" s="30" t="str">
        <f>IF(AND(E$3&gt;=代码!$D46,E$3&lt;=代码!$E46),"是","")</f>
        <v/>
      </c>
      <c r="F47" s="30" t="str">
        <f>IF(AND(F$3&gt;=代码!$D46,F$3&lt;=代码!$E46),"是","")</f>
        <v/>
      </c>
      <c r="G47" s="30" t="str">
        <f>IF(AND(G$3&gt;=代码!$D46,G$3&lt;=代码!$E46),"是","")</f>
        <v/>
      </c>
      <c r="H47" s="30" t="str">
        <f>IF(AND(H$3&gt;=代码!$D46,H$3&lt;=代码!$E46),"是","")</f>
        <v/>
      </c>
      <c r="I47" s="30" t="str">
        <f>IF(AND(I$3&gt;=代码!$D46,I$3&lt;=代码!$E46),"是","")</f>
        <v/>
      </c>
      <c r="J47" s="30" t="str">
        <f>IF(AND(J$3&gt;=代码!$D46,J$3&lt;=代码!$E46),"是","")</f>
        <v/>
      </c>
      <c r="K47" s="30" t="str">
        <f>IF(AND(K$3&gt;=代码!$D46,K$3&lt;=代码!$E46),"是","")</f>
        <v/>
      </c>
      <c r="L47" s="30" t="str">
        <f>IF(AND(L$3&gt;=代码!$D46,L$3&lt;=代码!$E46),"是","")</f>
        <v/>
      </c>
      <c r="M47" s="30" t="str">
        <f>IF(AND(M$3&gt;=代码!$D46,M$3&lt;=代码!$E46),"是","")</f>
        <v/>
      </c>
      <c r="N47" s="30" t="str">
        <f>IF(AND(N$3&gt;=代码!$D46,N$3&lt;=代码!$E46),"是","")</f>
        <v/>
      </c>
      <c r="O47" s="30" t="str">
        <f>IF(AND(O$3&gt;=代码!$D46,O$3&lt;=代码!$E46),"是","")</f>
        <v/>
      </c>
      <c r="P47" s="30" t="str">
        <f>IF(AND(P$3&gt;=代码!$D46,P$3&lt;=代码!$E46),"是","")</f>
        <v/>
      </c>
      <c r="Q47" s="30" t="str">
        <f>IF(AND(Q$3&gt;=代码!$D46,Q$3&lt;=代码!$E46),"是","")</f>
        <v/>
      </c>
      <c r="R47" s="30" t="str">
        <f>IF(AND(R$3&gt;=代码!$D46,R$3&lt;=代码!$E46),"是","")</f>
        <v/>
      </c>
      <c r="S47" s="30" t="str">
        <f>IF(AND(S$3&gt;=代码!$D46,S$3&lt;=代码!$E46),"是","")</f>
        <v/>
      </c>
      <c r="T47" s="30" t="str">
        <f>IF(AND(T$3&gt;=代码!$D46,T$3&lt;=代码!$E46),"是","")</f>
        <v/>
      </c>
      <c r="U47" s="30" t="str">
        <f>IF(AND(U$3&gt;=代码!$D46,U$3&lt;=代码!$E46),"是","")</f>
        <v/>
      </c>
      <c r="V47" s="30" t="str">
        <f>IF(AND(V$3&gt;=代码!$D46,V$3&lt;=代码!$E46),"是","")</f>
        <v/>
      </c>
      <c r="W47" s="30" t="str">
        <f>IF(AND(W$3&gt;=代码!$D46,W$3&lt;=代码!$E46),"是","")</f>
        <v/>
      </c>
      <c r="X47" s="30" t="str">
        <f>IF(AND(X$3&gt;=代码!$D46,X$3&lt;=代码!$E46),"是","")</f>
        <v/>
      </c>
      <c r="Y47" s="30" t="str">
        <f>IF(AND(Y$3&gt;=代码!$D46,Y$3&lt;=代码!$E46),"是","")</f>
        <v/>
      </c>
      <c r="Z47" s="30" t="str">
        <f>IF(AND(Z$3&gt;=代码!$D46,Z$3&lt;=代码!$E46),"是","")</f>
        <v/>
      </c>
      <c r="AA47" s="30" t="str">
        <f>IF(AND(AA$3&gt;=代码!$D46,AA$3&lt;=代码!$E46),"是","")</f>
        <v/>
      </c>
      <c r="AB47" s="30" t="str">
        <f>IF(AND(AB$3&gt;=代码!$D46,AB$3&lt;=代码!$E46),"是","")</f>
        <v/>
      </c>
      <c r="AC47" s="30" t="str">
        <f>IF(AND(AC$3&gt;=代码!$D46,AC$3&lt;=代码!$E46),"是","")</f>
        <v/>
      </c>
      <c r="AD47" s="30" t="str">
        <f>IF(AND(AD$3&gt;=代码!$D46,AD$3&lt;=代码!$E46),"是","")</f>
        <v/>
      </c>
      <c r="AE47" s="30" t="str">
        <f>IF(AND(AE$3&gt;=代码!$D46,AE$3&lt;=代码!$E46),"是","")</f>
        <v/>
      </c>
      <c r="AF47" s="30" t="str">
        <f>IF(AND(AF$3&gt;=代码!$D46,AF$3&lt;=代码!$E46),"是","")</f>
        <v/>
      </c>
      <c r="AG47" s="30" t="str">
        <f>IF(AND(AG$3&gt;=代码!$D46,AG$3&lt;=代码!$E46),"是","")</f>
        <v/>
      </c>
    </row>
    <row r="48" spans="3:33">
      <c r="C48" s="30" t="str">
        <f>IFERROR(VLOOKUP(B48,员工信息表!N:O,2,FALSE),"")</f>
        <v>时段</v>
      </c>
      <c r="D48" s="30" t="str">
        <f>IF(AND(D$3&gt;=代码!$D47,D$3&lt;=代码!$E47),"是","")</f>
        <v/>
      </c>
      <c r="E48" s="30" t="str">
        <f>IF(AND(E$3&gt;=代码!$D47,E$3&lt;=代码!$E47),"是","")</f>
        <v/>
      </c>
      <c r="F48" s="30" t="str">
        <f>IF(AND(F$3&gt;=代码!$D47,F$3&lt;=代码!$E47),"是","")</f>
        <v/>
      </c>
      <c r="G48" s="30" t="str">
        <f>IF(AND(G$3&gt;=代码!$D47,G$3&lt;=代码!$E47),"是","")</f>
        <v/>
      </c>
      <c r="H48" s="30" t="str">
        <f>IF(AND(H$3&gt;=代码!$D47,H$3&lt;=代码!$E47),"是","")</f>
        <v/>
      </c>
      <c r="I48" s="30" t="str">
        <f>IF(AND(I$3&gt;=代码!$D47,I$3&lt;=代码!$E47),"是","")</f>
        <v/>
      </c>
      <c r="J48" s="30" t="str">
        <f>IF(AND(J$3&gt;=代码!$D47,J$3&lt;=代码!$E47),"是","")</f>
        <v/>
      </c>
      <c r="K48" s="30" t="str">
        <f>IF(AND(K$3&gt;=代码!$D47,K$3&lt;=代码!$E47),"是","")</f>
        <v/>
      </c>
      <c r="L48" s="30" t="str">
        <f>IF(AND(L$3&gt;=代码!$D47,L$3&lt;=代码!$E47),"是","")</f>
        <v/>
      </c>
      <c r="M48" s="30" t="str">
        <f>IF(AND(M$3&gt;=代码!$D47,M$3&lt;=代码!$E47),"是","")</f>
        <v/>
      </c>
      <c r="N48" s="30" t="str">
        <f>IF(AND(N$3&gt;=代码!$D47,N$3&lt;=代码!$E47),"是","")</f>
        <v/>
      </c>
      <c r="O48" s="30" t="str">
        <f>IF(AND(O$3&gt;=代码!$D47,O$3&lt;=代码!$E47),"是","")</f>
        <v/>
      </c>
      <c r="P48" s="30" t="str">
        <f>IF(AND(P$3&gt;=代码!$D47,P$3&lt;=代码!$E47),"是","")</f>
        <v/>
      </c>
      <c r="Q48" s="30" t="str">
        <f>IF(AND(Q$3&gt;=代码!$D47,Q$3&lt;=代码!$E47),"是","")</f>
        <v/>
      </c>
      <c r="R48" s="30" t="str">
        <f>IF(AND(R$3&gt;=代码!$D47,R$3&lt;=代码!$E47),"是","")</f>
        <v/>
      </c>
      <c r="S48" s="30" t="str">
        <f>IF(AND(S$3&gt;=代码!$D47,S$3&lt;=代码!$E47),"是","")</f>
        <v/>
      </c>
      <c r="T48" s="30" t="str">
        <f>IF(AND(T$3&gt;=代码!$D47,T$3&lt;=代码!$E47),"是","")</f>
        <v/>
      </c>
      <c r="U48" s="30" t="str">
        <f>IF(AND(U$3&gt;=代码!$D47,U$3&lt;=代码!$E47),"是","")</f>
        <v/>
      </c>
      <c r="V48" s="30" t="str">
        <f>IF(AND(V$3&gt;=代码!$D47,V$3&lt;=代码!$E47),"是","")</f>
        <v/>
      </c>
      <c r="W48" s="30" t="str">
        <f>IF(AND(W$3&gt;=代码!$D47,W$3&lt;=代码!$E47),"是","")</f>
        <v/>
      </c>
      <c r="X48" s="30" t="str">
        <f>IF(AND(X$3&gt;=代码!$D47,X$3&lt;=代码!$E47),"是","")</f>
        <v/>
      </c>
      <c r="Y48" s="30" t="str">
        <f>IF(AND(Y$3&gt;=代码!$D47,Y$3&lt;=代码!$E47),"是","")</f>
        <v/>
      </c>
      <c r="Z48" s="30" t="str">
        <f>IF(AND(Z$3&gt;=代码!$D47,Z$3&lt;=代码!$E47),"是","")</f>
        <v/>
      </c>
      <c r="AA48" s="30" t="str">
        <f>IF(AND(AA$3&gt;=代码!$D47,AA$3&lt;=代码!$E47),"是","")</f>
        <v/>
      </c>
      <c r="AB48" s="30" t="str">
        <f>IF(AND(AB$3&gt;=代码!$D47,AB$3&lt;=代码!$E47),"是","")</f>
        <v/>
      </c>
      <c r="AC48" s="30" t="str">
        <f>IF(AND(AC$3&gt;=代码!$D47,AC$3&lt;=代码!$E47),"是","")</f>
        <v/>
      </c>
      <c r="AD48" s="30" t="str">
        <f>IF(AND(AD$3&gt;=代码!$D47,AD$3&lt;=代码!$E47),"是","")</f>
        <v/>
      </c>
      <c r="AE48" s="30" t="str">
        <f>IF(AND(AE$3&gt;=代码!$D47,AE$3&lt;=代码!$E47),"是","")</f>
        <v/>
      </c>
      <c r="AF48" s="30" t="str">
        <f>IF(AND(AF$3&gt;=代码!$D47,AF$3&lt;=代码!$E47),"是","")</f>
        <v/>
      </c>
      <c r="AG48" s="30" t="str">
        <f>IF(AND(AG$3&gt;=代码!$D47,AG$3&lt;=代码!$E47),"是","")</f>
        <v/>
      </c>
    </row>
    <row r="49" spans="3:33">
      <c r="C49" s="30" t="str">
        <f>IFERROR(VLOOKUP(B49,员工信息表!N:O,2,FALSE),"")</f>
        <v>时段</v>
      </c>
      <c r="D49" s="30" t="str">
        <f>IF(AND(D$3&gt;=代码!$D48,D$3&lt;=代码!$E48),"是","")</f>
        <v/>
      </c>
      <c r="E49" s="30" t="str">
        <f>IF(AND(E$3&gt;=代码!$D48,E$3&lt;=代码!$E48),"是","")</f>
        <v/>
      </c>
      <c r="F49" s="30" t="str">
        <f>IF(AND(F$3&gt;=代码!$D48,F$3&lt;=代码!$E48),"是","")</f>
        <v/>
      </c>
      <c r="G49" s="30" t="str">
        <f>IF(AND(G$3&gt;=代码!$D48,G$3&lt;=代码!$E48),"是","")</f>
        <v/>
      </c>
      <c r="H49" s="30" t="str">
        <f>IF(AND(H$3&gt;=代码!$D48,H$3&lt;=代码!$E48),"是","")</f>
        <v/>
      </c>
      <c r="I49" s="30" t="str">
        <f>IF(AND(I$3&gt;=代码!$D48,I$3&lt;=代码!$E48),"是","")</f>
        <v/>
      </c>
      <c r="J49" s="30" t="str">
        <f>IF(AND(J$3&gt;=代码!$D48,J$3&lt;=代码!$E48),"是","")</f>
        <v/>
      </c>
      <c r="K49" s="30" t="str">
        <f>IF(AND(K$3&gt;=代码!$D48,K$3&lt;=代码!$E48),"是","")</f>
        <v/>
      </c>
      <c r="L49" s="30" t="str">
        <f>IF(AND(L$3&gt;=代码!$D48,L$3&lt;=代码!$E48),"是","")</f>
        <v/>
      </c>
      <c r="M49" s="30" t="str">
        <f>IF(AND(M$3&gt;=代码!$D48,M$3&lt;=代码!$E48),"是","")</f>
        <v/>
      </c>
      <c r="N49" s="30" t="str">
        <f>IF(AND(N$3&gt;=代码!$D48,N$3&lt;=代码!$E48),"是","")</f>
        <v/>
      </c>
      <c r="O49" s="30" t="str">
        <f>IF(AND(O$3&gt;=代码!$D48,O$3&lt;=代码!$E48),"是","")</f>
        <v/>
      </c>
      <c r="P49" s="30" t="str">
        <f>IF(AND(P$3&gt;=代码!$D48,P$3&lt;=代码!$E48),"是","")</f>
        <v/>
      </c>
      <c r="Q49" s="30" t="str">
        <f>IF(AND(Q$3&gt;=代码!$D48,Q$3&lt;=代码!$E48),"是","")</f>
        <v/>
      </c>
      <c r="R49" s="30" t="str">
        <f>IF(AND(R$3&gt;=代码!$D48,R$3&lt;=代码!$E48),"是","")</f>
        <v/>
      </c>
      <c r="S49" s="30" t="str">
        <f>IF(AND(S$3&gt;=代码!$D48,S$3&lt;=代码!$E48),"是","")</f>
        <v/>
      </c>
      <c r="T49" s="30" t="str">
        <f>IF(AND(T$3&gt;=代码!$D48,T$3&lt;=代码!$E48),"是","")</f>
        <v/>
      </c>
      <c r="U49" s="30" t="str">
        <f>IF(AND(U$3&gt;=代码!$D48,U$3&lt;=代码!$E48),"是","")</f>
        <v/>
      </c>
      <c r="V49" s="30" t="str">
        <f>IF(AND(V$3&gt;=代码!$D48,V$3&lt;=代码!$E48),"是","")</f>
        <v/>
      </c>
      <c r="W49" s="30" t="str">
        <f>IF(AND(W$3&gt;=代码!$D48,W$3&lt;=代码!$E48),"是","")</f>
        <v/>
      </c>
      <c r="X49" s="30" t="str">
        <f>IF(AND(X$3&gt;=代码!$D48,X$3&lt;=代码!$E48),"是","")</f>
        <v/>
      </c>
      <c r="Y49" s="30" t="str">
        <f>IF(AND(Y$3&gt;=代码!$D48,Y$3&lt;=代码!$E48),"是","")</f>
        <v/>
      </c>
      <c r="Z49" s="30" t="str">
        <f>IF(AND(Z$3&gt;=代码!$D48,Z$3&lt;=代码!$E48),"是","")</f>
        <v/>
      </c>
      <c r="AA49" s="30" t="str">
        <f>IF(AND(AA$3&gt;=代码!$D48,AA$3&lt;=代码!$E48),"是","")</f>
        <v/>
      </c>
      <c r="AB49" s="30" t="str">
        <f>IF(AND(AB$3&gt;=代码!$D48,AB$3&lt;=代码!$E48),"是","")</f>
        <v/>
      </c>
      <c r="AC49" s="30" t="str">
        <f>IF(AND(AC$3&gt;=代码!$D48,AC$3&lt;=代码!$E48),"是","")</f>
        <v/>
      </c>
      <c r="AD49" s="30" t="str">
        <f>IF(AND(AD$3&gt;=代码!$D48,AD$3&lt;=代码!$E48),"是","")</f>
        <v/>
      </c>
      <c r="AE49" s="30" t="str">
        <f>IF(AND(AE$3&gt;=代码!$D48,AE$3&lt;=代码!$E48),"是","")</f>
        <v/>
      </c>
      <c r="AF49" s="30" t="str">
        <f>IF(AND(AF$3&gt;=代码!$D48,AF$3&lt;=代码!$E48),"是","")</f>
        <v/>
      </c>
      <c r="AG49" s="30" t="str">
        <f>IF(AND(AG$3&gt;=代码!$D48,AG$3&lt;=代码!$E48),"是","")</f>
        <v/>
      </c>
    </row>
    <row r="50" spans="3:33">
      <c r="C50" s="30" t="str">
        <f>IFERROR(VLOOKUP(B50,员工信息表!N:O,2,FALSE),"")</f>
        <v>时段</v>
      </c>
      <c r="D50" s="30" t="str">
        <f>IF(AND(D$3&gt;=代码!$D49,D$3&lt;=代码!$E49),"是","")</f>
        <v/>
      </c>
      <c r="E50" s="30" t="str">
        <f>IF(AND(E$3&gt;=代码!$D49,E$3&lt;=代码!$E49),"是","")</f>
        <v/>
      </c>
      <c r="F50" s="30" t="str">
        <f>IF(AND(F$3&gt;=代码!$D49,F$3&lt;=代码!$E49),"是","")</f>
        <v/>
      </c>
      <c r="G50" s="30" t="str">
        <f>IF(AND(G$3&gt;=代码!$D49,G$3&lt;=代码!$E49),"是","")</f>
        <v/>
      </c>
      <c r="H50" s="30" t="str">
        <f>IF(AND(H$3&gt;=代码!$D49,H$3&lt;=代码!$E49),"是","")</f>
        <v/>
      </c>
      <c r="I50" s="30" t="str">
        <f>IF(AND(I$3&gt;=代码!$D49,I$3&lt;=代码!$E49),"是","")</f>
        <v/>
      </c>
      <c r="J50" s="30" t="str">
        <f>IF(AND(J$3&gt;=代码!$D49,J$3&lt;=代码!$E49),"是","")</f>
        <v/>
      </c>
      <c r="K50" s="30" t="str">
        <f>IF(AND(K$3&gt;=代码!$D49,K$3&lt;=代码!$E49),"是","")</f>
        <v/>
      </c>
      <c r="L50" s="30" t="str">
        <f>IF(AND(L$3&gt;=代码!$D49,L$3&lt;=代码!$E49),"是","")</f>
        <v/>
      </c>
      <c r="M50" s="30" t="str">
        <f>IF(AND(M$3&gt;=代码!$D49,M$3&lt;=代码!$E49),"是","")</f>
        <v/>
      </c>
      <c r="N50" s="30" t="str">
        <f>IF(AND(N$3&gt;=代码!$D49,N$3&lt;=代码!$E49),"是","")</f>
        <v/>
      </c>
      <c r="O50" s="30" t="str">
        <f>IF(AND(O$3&gt;=代码!$D49,O$3&lt;=代码!$E49),"是","")</f>
        <v/>
      </c>
      <c r="P50" s="30" t="str">
        <f>IF(AND(P$3&gt;=代码!$D49,P$3&lt;=代码!$E49),"是","")</f>
        <v/>
      </c>
      <c r="Q50" s="30" t="str">
        <f>IF(AND(Q$3&gt;=代码!$D49,Q$3&lt;=代码!$E49),"是","")</f>
        <v/>
      </c>
      <c r="R50" s="30" t="str">
        <f>IF(AND(R$3&gt;=代码!$D49,R$3&lt;=代码!$E49),"是","")</f>
        <v/>
      </c>
      <c r="S50" s="30" t="str">
        <f>IF(AND(S$3&gt;=代码!$D49,S$3&lt;=代码!$E49),"是","")</f>
        <v/>
      </c>
      <c r="T50" s="30" t="str">
        <f>IF(AND(T$3&gt;=代码!$D49,T$3&lt;=代码!$E49),"是","")</f>
        <v/>
      </c>
      <c r="U50" s="30" t="str">
        <f>IF(AND(U$3&gt;=代码!$D49,U$3&lt;=代码!$E49),"是","")</f>
        <v/>
      </c>
      <c r="V50" s="30" t="str">
        <f>IF(AND(V$3&gt;=代码!$D49,V$3&lt;=代码!$E49),"是","")</f>
        <v/>
      </c>
      <c r="W50" s="30" t="str">
        <f>IF(AND(W$3&gt;=代码!$D49,W$3&lt;=代码!$E49),"是","")</f>
        <v/>
      </c>
      <c r="X50" s="30" t="str">
        <f>IF(AND(X$3&gt;=代码!$D49,X$3&lt;=代码!$E49),"是","")</f>
        <v/>
      </c>
      <c r="Y50" s="30" t="str">
        <f>IF(AND(Y$3&gt;=代码!$D49,Y$3&lt;=代码!$E49),"是","")</f>
        <v/>
      </c>
      <c r="Z50" s="30" t="str">
        <f>IF(AND(Z$3&gt;=代码!$D49,Z$3&lt;=代码!$E49),"是","")</f>
        <v/>
      </c>
      <c r="AA50" s="30" t="str">
        <f>IF(AND(AA$3&gt;=代码!$D49,AA$3&lt;=代码!$E49),"是","")</f>
        <v/>
      </c>
      <c r="AB50" s="30" t="str">
        <f>IF(AND(AB$3&gt;=代码!$D49,AB$3&lt;=代码!$E49),"是","")</f>
        <v/>
      </c>
      <c r="AC50" s="30" t="str">
        <f>IF(AND(AC$3&gt;=代码!$D49,AC$3&lt;=代码!$E49),"是","")</f>
        <v/>
      </c>
      <c r="AD50" s="30" t="str">
        <f>IF(AND(AD$3&gt;=代码!$D49,AD$3&lt;=代码!$E49),"是","")</f>
        <v/>
      </c>
      <c r="AE50" s="30" t="str">
        <f>IF(AND(AE$3&gt;=代码!$D49,AE$3&lt;=代码!$E49),"是","")</f>
        <v/>
      </c>
      <c r="AF50" s="30" t="str">
        <f>IF(AND(AF$3&gt;=代码!$D49,AF$3&lt;=代码!$E49),"是","")</f>
        <v/>
      </c>
      <c r="AG50" s="30" t="str">
        <f>IF(AND(AG$3&gt;=代码!$D49,AG$3&lt;=代码!$E49),"是","")</f>
        <v/>
      </c>
    </row>
    <row r="51" spans="3:33">
      <c r="C51" s="30" t="str">
        <f>IFERROR(VLOOKUP(B51,员工信息表!N:O,2,FALSE),"")</f>
        <v>时段</v>
      </c>
      <c r="D51" s="30" t="str">
        <f>IF(AND(D$3&gt;=代码!$D50,D$3&lt;=代码!$E50),"是","")</f>
        <v/>
      </c>
      <c r="E51" s="30" t="str">
        <f>IF(AND(E$3&gt;=代码!$D50,E$3&lt;=代码!$E50),"是","")</f>
        <v/>
      </c>
      <c r="F51" s="30" t="str">
        <f>IF(AND(F$3&gt;=代码!$D50,F$3&lt;=代码!$E50),"是","")</f>
        <v/>
      </c>
      <c r="G51" s="30" t="str">
        <f>IF(AND(G$3&gt;=代码!$D50,G$3&lt;=代码!$E50),"是","")</f>
        <v/>
      </c>
      <c r="H51" s="30" t="str">
        <f>IF(AND(H$3&gt;=代码!$D50,H$3&lt;=代码!$E50),"是","")</f>
        <v/>
      </c>
      <c r="I51" s="30" t="str">
        <f>IF(AND(I$3&gt;=代码!$D50,I$3&lt;=代码!$E50),"是","")</f>
        <v/>
      </c>
      <c r="J51" s="30" t="str">
        <f>IF(AND(J$3&gt;=代码!$D50,J$3&lt;=代码!$E50),"是","")</f>
        <v/>
      </c>
      <c r="K51" s="30" t="str">
        <f>IF(AND(K$3&gt;=代码!$D50,K$3&lt;=代码!$E50),"是","")</f>
        <v/>
      </c>
      <c r="L51" s="30" t="str">
        <f>IF(AND(L$3&gt;=代码!$D50,L$3&lt;=代码!$E50),"是","")</f>
        <v/>
      </c>
      <c r="M51" s="30" t="str">
        <f>IF(AND(M$3&gt;=代码!$D50,M$3&lt;=代码!$E50),"是","")</f>
        <v/>
      </c>
      <c r="N51" s="30" t="str">
        <f>IF(AND(N$3&gt;=代码!$D50,N$3&lt;=代码!$E50),"是","")</f>
        <v/>
      </c>
      <c r="O51" s="30" t="str">
        <f>IF(AND(O$3&gt;=代码!$D50,O$3&lt;=代码!$E50),"是","")</f>
        <v/>
      </c>
      <c r="P51" s="30" t="str">
        <f>IF(AND(P$3&gt;=代码!$D50,P$3&lt;=代码!$E50),"是","")</f>
        <v/>
      </c>
      <c r="Q51" s="30" t="str">
        <f>IF(AND(Q$3&gt;=代码!$D50,Q$3&lt;=代码!$E50),"是","")</f>
        <v/>
      </c>
      <c r="R51" s="30" t="str">
        <f>IF(AND(R$3&gt;=代码!$D50,R$3&lt;=代码!$E50),"是","")</f>
        <v/>
      </c>
      <c r="S51" s="30" t="str">
        <f>IF(AND(S$3&gt;=代码!$D50,S$3&lt;=代码!$E50),"是","")</f>
        <v/>
      </c>
      <c r="T51" s="30" t="str">
        <f>IF(AND(T$3&gt;=代码!$D50,T$3&lt;=代码!$E50),"是","")</f>
        <v/>
      </c>
      <c r="U51" s="30" t="str">
        <f>IF(AND(U$3&gt;=代码!$D50,U$3&lt;=代码!$E50),"是","")</f>
        <v/>
      </c>
      <c r="V51" s="30" t="str">
        <f>IF(AND(V$3&gt;=代码!$D50,V$3&lt;=代码!$E50),"是","")</f>
        <v/>
      </c>
      <c r="W51" s="30" t="str">
        <f>IF(AND(W$3&gt;=代码!$D50,W$3&lt;=代码!$E50),"是","")</f>
        <v/>
      </c>
      <c r="X51" s="30" t="str">
        <f>IF(AND(X$3&gt;=代码!$D50,X$3&lt;=代码!$E50),"是","")</f>
        <v/>
      </c>
      <c r="Y51" s="30" t="str">
        <f>IF(AND(Y$3&gt;=代码!$D50,Y$3&lt;=代码!$E50),"是","")</f>
        <v/>
      </c>
      <c r="Z51" s="30" t="str">
        <f>IF(AND(Z$3&gt;=代码!$D50,Z$3&lt;=代码!$E50),"是","")</f>
        <v/>
      </c>
      <c r="AA51" s="30" t="str">
        <f>IF(AND(AA$3&gt;=代码!$D50,AA$3&lt;=代码!$E50),"是","")</f>
        <v/>
      </c>
      <c r="AB51" s="30" t="str">
        <f>IF(AND(AB$3&gt;=代码!$D50,AB$3&lt;=代码!$E50),"是","")</f>
        <v/>
      </c>
      <c r="AC51" s="30" t="str">
        <f>IF(AND(AC$3&gt;=代码!$D50,AC$3&lt;=代码!$E50),"是","")</f>
        <v/>
      </c>
      <c r="AD51" s="30" t="str">
        <f>IF(AND(AD$3&gt;=代码!$D50,AD$3&lt;=代码!$E50),"是","")</f>
        <v/>
      </c>
      <c r="AE51" s="30" t="str">
        <f>IF(AND(AE$3&gt;=代码!$D50,AE$3&lt;=代码!$E50),"是","")</f>
        <v/>
      </c>
      <c r="AF51" s="30" t="str">
        <f>IF(AND(AF$3&gt;=代码!$D50,AF$3&lt;=代码!$E50),"是","")</f>
        <v/>
      </c>
      <c r="AG51" s="30" t="str">
        <f>IF(AND(AG$3&gt;=代码!$D50,AG$3&lt;=代码!$E50),"是","")</f>
        <v/>
      </c>
    </row>
    <row r="52" spans="3:33">
      <c r="C52" s="30" t="str">
        <f>IFERROR(VLOOKUP(B52,员工信息表!N:O,2,FALSE),"")</f>
        <v>时段</v>
      </c>
      <c r="D52" s="30" t="str">
        <f>IF(AND(D$3&gt;=代码!$D51,D$3&lt;=代码!$E51),"是","")</f>
        <v/>
      </c>
      <c r="E52" s="30" t="str">
        <f>IF(AND(E$3&gt;=代码!$D51,E$3&lt;=代码!$E51),"是","")</f>
        <v/>
      </c>
      <c r="F52" s="30" t="str">
        <f>IF(AND(F$3&gt;=代码!$D51,F$3&lt;=代码!$E51),"是","")</f>
        <v/>
      </c>
      <c r="G52" s="30" t="str">
        <f>IF(AND(G$3&gt;=代码!$D51,G$3&lt;=代码!$E51),"是","")</f>
        <v/>
      </c>
      <c r="H52" s="30" t="str">
        <f>IF(AND(H$3&gt;=代码!$D51,H$3&lt;=代码!$E51),"是","")</f>
        <v/>
      </c>
      <c r="I52" s="30" t="str">
        <f>IF(AND(I$3&gt;=代码!$D51,I$3&lt;=代码!$E51),"是","")</f>
        <v/>
      </c>
      <c r="J52" s="30" t="str">
        <f>IF(AND(J$3&gt;=代码!$D51,J$3&lt;=代码!$E51),"是","")</f>
        <v/>
      </c>
      <c r="K52" s="30" t="str">
        <f>IF(AND(K$3&gt;=代码!$D51,K$3&lt;=代码!$E51),"是","")</f>
        <v/>
      </c>
      <c r="L52" s="30" t="str">
        <f>IF(AND(L$3&gt;=代码!$D51,L$3&lt;=代码!$E51),"是","")</f>
        <v/>
      </c>
      <c r="M52" s="30" t="str">
        <f>IF(AND(M$3&gt;=代码!$D51,M$3&lt;=代码!$E51),"是","")</f>
        <v/>
      </c>
      <c r="N52" s="30" t="str">
        <f>IF(AND(N$3&gt;=代码!$D51,N$3&lt;=代码!$E51),"是","")</f>
        <v/>
      </c>
      <c r="O52" s="30" t="str">
        <f>IF(AND(O$3&gt;=代码!$D51,O$3&lt;=代码!$E51),"是","")</f>
        <v/>
      </c>
      <c r="P52" s="30" t="str">
        <f>IF(AND(P$3&gt;=代码!$D51,P$3&lt;=代码!$E51),"是","")</f>
        <v/>
      </c>
      <c r="Q52" s="30" t="str">
        <f>IF(AND(Q$3&gt;=代码!$D51,Q$3&lt;=代码!$E51),"是","")</f>
        <v/>
      </c>
      <c r="R52" s="30" t="str">
        <f>IF(AND(R$3&gt;=代码!$D51,R$3&lt;=代码!$E51),"是","")</f>
        <v/>
      </c>
      <c r="S52" s="30" t="str">
        <f>IF(AND(S$3&gt;=代码!$D51,S$3&lt;=代码!$E51),"是","")</f>
        <v/>
      </c>
      <c r="T52" s="30" t="str">
        <f>IF(AND(T$3&gt;=代码!$D51,T$3&lt;=代码!$E51),"是","")</f>
        <v/>
      </c>
      <c r="U52" s="30" t="str">
        <f>IF(AND(U$3&gt;=代码!$D51,U$3&lt;=代码!$E51),"是","")</f>
        <v/>
      </c>
      <c r="V52" s="30" t="str">
        <f>IF(AND(V$3&gt;=代码!$D51,V$3&lt;=代码!$E51),"是","")</f>
        <v/>
      </c>
      <c r="W52" s="30" t="str">
        <f>IF(AND(W$3&gt;=代码!$D51,W$3&lt;=代码!$E51),"是","")</f>
        <v/>
      </c>
      <c r="X52" s="30" t="str">
        <f>IF(AND(X$3&gt;=代码!$D51,X$3&lt;=代码!$E51),"是","")</f>
        <v/>
      </c>
      <c r="Y52" s="30" t="str">
        <f>IF(AND(Y$3&gt;=代码!$D51,Y$3&lt;=代码!$E51),"是","")</f>
        <v/>
      </c>
      <c r="Z52" s="30" t="str">
        <f>IF(AND(Z$3&gt;=代码!$D51,Z$3&lt;=代码!$E51),"是","")</f>
        <v/>
      </c>
      <c r="AA52" s="30" t="str">
        <f>IF(AND(AA$3&gt;=代码!$D51,AA$3&lt;=代码!$E51),"是","")</f>
        <v/>
      </c>
      <c r="AB52" s="30" t="str">
        <f>IF(AND(AB$3&gt;=代码!$D51,AB$3&lt;=代码!$E51),"是","")</f>
        <v/>
      </c>
      <c r="AC52" s="30" t="str">
        <f>IF(AND(AC$3&gt;=代码!$D51,AC$3&lt;=代码!$E51),"是","")</f>
        <v/>
      </c>
      <c r="AD52" s="30" t="str">
        <f>IF(AND(AD$3&gt;=代码!$D51,AD$3&lt;=代码!$E51),"是","")</f>
        <v/>
      </c>
      <c r="AE52" s="30" t="str">
        <f>IF(AND(AE$3&gt;=代码!$D51,AE$3&lt;=代码!$E51),"是","")</f>
        <v/>
      </c>
      <c r="AF52" s="30" t="str">
        <f>IF(AND(AF$3&gt;=代码!$D51,AF$3&lt;=代码!$E51),"是","")</f>
        <v/>
      </c>
      <c r="AG52" s="30" t="str">
        <f>IF(AND(AG$3&gt;=代码!$D51,AG$3&lt;=代码!$E51),"是","")</f>
        <v/>
      </c>
    </row>
    <row r="53" spans="3:33">
      <c r="C53" s="30" t="str">
        <f>IFERROR(VLOOKUP(B53,员工信息表!N:O,2,FALSE),"")</f>
        <v>时段</v>
      </c>
      <c r="D53" s="30" t="str">
        <f>IF(AND(D$3&gt;=代码!$D52,D$3&lt;=代码!$E52),"是","")</f>
        <v/>
      </c>
      <c r="E53" s="30" t="str">
        <f>IF(AND(E$3&gt;=代码!$D52,E$3&lt;=代码!$E52),"是","")</f>
        <v/>
      </c>
      <c r="F53" s="30" t="str">
        <f>IF(AND(F$3&gt;=代码!$D52,F$3&lt;=代码!$E52),"是","")</f>
        <v/>
      </c>
      <c r="G53" s="30" t="str">
        <f>IF(AND(G$3&gt;=代码!$D52,G$3&lt;=代码!$E52),"是","")</f>
        <v/>
      </c>
      <c r="H53" s="30" t="str">
        <f>IF(AND(H$3&gt;=代码!$D52,H$3&lt;=代码!$E52),"是","")</f>
        <v/>
      </c>
      <c r="I53" s="30" t="str">
        <f>IF(AND(I$3&gt;=代码!$D52,I$3&lt;=代码!$E52),"是","")</f>
        <v/>
      </c>
      <c r="J53" s="30" t="str">
        <f>IF(AND(J$3&gt;=代码!$D52,J$3&lt;=代码!$E52),"是","")</f>
        <v/>
      </c>
      <c r="K53" s="30" t="str">
        <f>IF(AND(K$3&gt;=代码!$D52,K$3&lt;=代码!$E52),"是","")</f>
        <v/>
      </c>
      <c r="L53" s="30" t="str">
        <f>IF(AND(L$3&gt;=代码!$D52,L$3&lt;=代码!$E52),"是","")</f>
        <v/>
      </c>
      <c r="M53" s="30" t="str">
        <f>IF(AND(M$3&gt;=代码!$D52,M$3&lt;=代码!$E52),"是","")</f>
        <v/>
      </c>
      <c r="N53" s="30" t="str">
        <f>IF(AND(N$3&gt;=代码!$D52,N$3&lt;=代码!$E52),"是","")</f>
        <v/>
      </c>
      <c r="O53" s="30" t="str">
        <f>IF(AND(O$3&gt;=代码!$D52,O$3&lt;=代码!$E52),"是","")</f>
        <v/>
      </c>
      <c r="P53" s="30" t="str">
        <f>IF(AND(P$3&gt;=代码!$D52,P$3&lt;=代码!$E52),"是","")</f>
        <v/>
      </c>
      <c r="Q53" s="30" t="str">
        <f>IF(AND(Q$3&gt;=代码!$D52,Q$3&lt;=代码!$E52),"是","")</f>
        <v/>
      </c>
      <c r="R53" s="30" t="str">
        <f>IF(AND(R$3&gt;=代码!$D52,R$3&lt;=代码!$E52),"是","")</f>
        <v/>
      </c>
      <c r="S53" s="30" t="str">
        <f>IF(AND(S$3&gt;=代码!$D52,S$3&lt;=代码!$E52),"是","")</f>
        <v/>
      </c>
      <c r="T53" s="30" t="str">
        <f>IF(AND(T$3&gt;=代码!$D52,T$3&lt;=代码!$E52),"是","")</f>
        <v/>
      </c>
      <c r="U53" s="30" t="str">
        <f>IF(AND(U$3&gt;=代码!$D52,U$3&lt;=代码!$E52),"是","")</f>
        <v/>
      </c>
      <c r="V53" s="30" t="str">
        <f>IF(AND(V$3&gt;=代码!$D52,V$3&lt;=代码!$E52),"是","")</f>
        <v/>
      </c>
      <c r="W53" s="30" t="str">
        <f>IF(AND(W$3&gt;=代码!$D52,W$3&lt;=代码!$E52),"是","")</f>
        <v/>
      </c>
      <c r="X53" s="30" t="str">
        <f>IF(AND(X$3&gt;=代码!$D52,X$3&lt;=代码!$E52),"是","")</f>
        <v/>
      </c>
      <c r="Y53" s="30" t="str">
        <f>IF(AND(Y$3&gt;=代码!$D52,Y$3&lt;=代码!$E52),"是","")</f>
        <v/>
      </c>
      <c r="Z53" s="30" t="str">
        <f>IF(AND(Z$3&gt;=代码!$D52,Z$3&lt;=代码!$E52),"是","")</f>
        <v/>
      </c>
      <c r="AA53" s="30" t="str">
        <f>IF(AND(AA$3&gt;=代码!$D52,AA$3&lt;=代码!$E52),"是","")</f>
        <v/>
      </c>
      <c r="AB53" s="30" t="str">
        <f>IF(AND(AB$3&gt;=代码!$D52,AB$3&lt;=代码!$E52),"是","")</f>
        <v/>
      </c>
      <c r="AC53" s="30" t="str">
        <f>IF(AND(AC$3&gt;=代码!$D52,AC$3&lt;=代码!$E52),"是","")</f>
        <v/>
      </c>
      <c r="AD53" s="30" t="str">
        <f>IF(AND(AD$3&gt;=代码!$D52,AD$3&lt;=代码!$E52),"是","")</f>
        <v/>
      </c>
      <c r="AE53" s="30" t="str">
        <f>IF(AND(AE$3&gt;=代码!$D52,AE$3&lt;=代码!$E52),"是","")</f>
        <v/>
      </c>
      <c r="AF53" s="30" t="str">
        <f>IF(AND(AF$3&gt;=代码!$D52,AF$3&lt;=代码!$E52),"是","")</f>
        <v/>
      </c>
      <c r="AG53" s="30" t="str">
        <f>IF(AND(AG$3&gt;=代码!$D52,AG$3&lt;=代码!$E52),"是","")</f>
        <v/>
      </c>
    </row>
    <row r="54" spans="3:33">
      <c r="C54" s="30" t="str">
        <f>IFERROR(VLOOKUP(B54,员工信息表!N:O,2,FALSE),"")</f>
        <v>时段</v>
      </c>
      <c r="D54" s="30" t="str">
        <f>IF(AND(D$3&gt;=代码!$D53,D$3&lt;=代码!$E53),"是","")</f>
        <v/>
      </c>
      <c r="E54" s="30" t="str">
        <f>IF(AND(E$3&gt;=代码!$D53,E$3&lt;=代码!$E53),"是","")</f>
        <v/>
      </c>
      <c r="F54" s="30" t="str">
        <f>IF(AND(F$3&gt;=代码!$D53,F$3&lt;=代码!$E53),"是","")</f>
        <v/>
      </c>
      <c r="G54" s="30" t="str">
        <f>IF(AND(G$3&gt;=代码!$D53,G$3&lt;=代码!$E53),"是","")</f>
        <v/>
      </c>
      <c r="H54" s="30" t="str">
        <f>IF(AND(H$3&gt;=代码!$D53,H$3&lt;=代码!$E53),"是","")</f>
        <v/>
      </c>
      <c r="I54" s="30" t="str">
        <f>IF(AND(I$3&gt;=代码!$D53,I$3&lt;=代码!$E53),"是","")</f>
        <v/>
      </c>
      <c r="J54" s="30" t="str">
        <f>IF(AND(J$3&gt;=代码!$D53,J$3&lt;=代码!$E53),"是","")</f>
        <v/>
      </c>
      <c r="K54" s="30" t="str">
        <f>IF(AND(K$3&gt;=代码!$D53,K$3&lt;=代码!$E53),"是","")</f>
        <v/>
      </c>
      <c r="L54" s="30" t="str">
        <f>IF(AND(L$3&gt;=代码!$D53,L$3&lt;=代码!$E53),"是","")</f>
        <v/>
      </c>
      <c r="M54" s="30" t="str">
        <f>IF(AND(M$3&gt;=代码!$D53,M$3&lt;=代码!$E53),"是","")</f>
        <v/>
      </c>
      <c r="N54" s="30" t="str">
        <f>IF(AND(N$3&gt;=代码!$D53,N$3&lt;=代码!$E53),"是","")</f>
        <v/>
      </c>
      <c r="O54" s="30" t="str">
        <f>IF(AND(O$3&gt;=代码!$D53,O$3&lt;=代码!$E53),"是","")</f>
        <v/>
      </c>
      <c r="P54" s="30" t="str">
        <f>IF(AND(P$3&gt;=代码!$D53,P$3&lt;=代码!$E53),"是","")</f>
        <v/>
      </c>
      <c r="Q54" s="30" t="str">
        <f>IF(AND(Q$3&gt;=代码!$D53,Q$3&lt;=代码!$E53),"是","")</f>
        <v/>
      </c>
      <c r="R54" s="30" t="str">
        <f>IF(AND(R$3&gt;=代码!$D53,R$3&lt;=代码!$E53),"是","")</f>
        <v/>
      </c>
      <c r="S54" s="30" t="str">
        <f>IF(AND(S$3&gt;=代码!$D53,S$3&lt;=代码!$E53),"是","")</f>
        <v/>
      </c>
      <c r="T54" s="30" t="str">
        <f>IF(AND(T$3&gt;=代码!$D53,T$3&lt;=代码!$E53),"是","")</f>
        <v/>
      </c>
      <c r="U54" s="30" t="str">
        <f>IF(AND(U$3&gt;=代码!$D53,U$3&lt;=代码!$E53),"是","")</f>
        <v/>
      </c>
      <c r="V54" s="30" t="str">
        <f>IF(AND(V$3&gt;=代码!$D53,V$3&lt;=代码!$E53),"是","")</f>
        <v/>
      </c>
      <c r="W54" s="30" t="str">
        <f>IF(AND(W$3&gt;=代码!$D53,W$3&lt;=代码!$E53),"是","")</f>
        <v/>
      </c>
      <c r="X54" s="30" t="str">
        <f>IF(AND(X$3&gt;=代码!$D53,X$3&lt;=代码!$E53),"是","")</f>
        <v/>
      </c>
      <c r="Y54" s="30" t="str">
        <f>IF(AND(Y$3&gt;=代码!$D53,Y$3&lt;=代码!$E53),"是","")</f>
        <v/>
      </c>
      <c r="Z54" s="30" t="str">
        <f>IF(AND(Z$3&gt;=代码!$D53,Z$3&lt;=代码!$E53),"是","")</f>
        <v/>
      </c>
      <c r="AA54" s="30" t="str">
        <f>IF(AND(AA$3&gt;=代码!$D53,AA$3&lt;=代码!$E53),"是","")</f>
        <v/>
      </c>
      <c r="AB54" s="30" t="str">
        <f>IF(AND(AB$3&gt;=代码!$D53,AB$3&lt;=代码!$E53),"是","")</f>
        <v/>
      </c>
      <c r="AC54" s="30" t="str">
        <f>IF(AND(AC$3&gt;=代码!$D53,AC$3&lt;=代码!$E53),"是","")</f>
        <v/>
      </c>
      <c r="AD54" s="30" t="str">
        <f>IF(AND(AD$3&gt;=代码!$D53,AD$3&lt;=代码!$E53),"是","")</f>
        <v/>
      </c>
      <c r="AE54" s="30" t="str">
        <f>IF(AND(AE$3&gt;=代码!$D53,AE$3&lt;=代码!$E53),"是","")</f>
        <v/>
      </c>
      <c r="AF54" s="30" t="str">
        <f>IF(AND(AF$3&gt;=代码!$D53,AF$3&lt;=代码!$E53),"是","")</f>
        <v/>
      </c>
      <c r="AG54" s="30" t="str">
        <f>IF(AND(AG$3&gt;=代码!$D53,AG$3&lt;=代码!$E53),"是","")</f>
        <v/>
      </c>
    </row>
    <row r="55" spans="3:33">
      <c r="C55" s="30" t="str">
        <f>IFERROR(VLOOKUP(B55,员工信息表!N:O,2,FALSE),"")</f>
        <v>时段</v>
      </c>
      <c r="D55" s="30" t="str">
        <f>IF(AND(D$3&gt;=代码!$D54,D$3&lt;=代码!$E54),"是","")</f>
        <v/>
      </c>
      <c r="E55" s="30" t="str">
        <f>IF(AND(E$3&gt;=代码!$D54,E$3&lt;=代码!$E54),"是","")</f>
        <v/>
      </c>
      <c r="F55" s="30" t="str">
        <f>IF(AND(F$3&gt;=代码!$D54,F$3&lt;=代码!$E54),"是","")</f>
        <v/>
      </c>
      <c r="G55" s="30" t="str">
        <f>IF(AND(G$3&gt;=代码!$D54,G$3&lt;=代码!$E54),"是","")</f>
        <v/>
      </c>
      <c r="H55" s="30" t="str">
        <f>IF(AND(H$3&gt;=代码!$D54,H$3&lt;=代码!$E54),"是","")</f>
        <v/>
      </c>
      <c r="I55" s="30" t="str">
        <f>IF(AND(I$3&gt;=代码!$D54,I$3&lt;=代码!$E54),"是","")</f>
        <v/>
      </c>
      <c r="J55" s="30" t="str">
        <f>IF(AND(J$3&gt;=代码!$D54,J$3&lt;=代码!$E54),"是","")</f>
        <v/>
      </c>
      <c r="K55" s="30" t="str">
        <f>IF(AND(K$3&gt;=代码!$D54,K$3&lt;=代码!$E54),"是","")</f>
        <v/>
      </c>
      <c r="L55" s="30" t="str">
        <f>IF(AND(L$3&gt;=代码!$D54,L$3&lt;=代码!$E54),"是","")</f>
        <v/>
      </c>
      <c r="M55" s="30" t="str">
        <f>IF(AND(M$3&gt;=代码!$D54,M$3&lt;=代码!$E54),"是","")</f>
        <v/>
      </c>
      <c r="N55" s="30" t="str">
        <f>IF(AND(N$3&gt;=代码!$D54,N$3&lt;=代码!$E54),"是","")</f>
        <v/>
      </c>
      <c r="O55" s="30" t="str">
        <f>IF(AND(O$3&gt;=代码!$D54,O$3&lt;=代码!$E54),"是","")</f>
        <v/>
      </c>
      <c r="P55" s="30" t="str">
        <f>IF(AND(P$3&gt;=代码!$D54,P$3&lt;=代码!$E54),"是","")</f>
        <v/>
      </c>
      <c r="Q55" s="30" t="str">
        <f>IF(AND(Q$3&gt;=代码!$D54,Q$3&lt;=代码!$E54),"是","")</f>
        <v/>
      </c>
      <c r="R55" s="30" t="str">
        <f>IF(AND(R$3&gt;=代码!$D54,R$3&lt;=代码!$E54),"是","")</f>
        <v/>
      </c>
      <c r="S55" s="30" t="str">
        <f>IF(AND(S$3&gt;=代码!$D54,S$3&lt;=代码!$E54),"是","")</f>
        <v/>
      </c>
      <c r="T55" s="30" t="str">
        <f>IF(AND(T$3&gt;=代码!$D54,T$3&lt;=代码!$E54),"是","")</f>
        <v/>
      </c>
      <c r="U55" s="30" t="str">
        <f>IF(AND(U$3&gt;=代码!$D54,U$3&lt;=代码!$E54),"是","")</f>
        <v/>
      </c>
      <c r="V55" s="30" t="str">
        <f>IF(AND(V$3&gt;=代码!$D54,V$3&lt;=代码!$E54),"是","")</f>
        <v/>
      </c>
      <c r="W55" s="30" t="str">
        <f>IF(AND(W$3&gt;=代码!$D54,W$3&lt;=代码!$E54),"是","")</f>
        <v/>
      </c>
      <c r="X55" s="30" t="str">
        <f>IF(AND(X$3&gt;=代码!$D54,X$3&lt;=代码!$E54),"是","")</f>
        <v/>
      </c>
      <c r="Y55" s="30" t="str">
        <f>IF(AND(Y$3&gt;=代码!$D54,Y$3&lt;=代码!$E54),"是","")</f>
        <v/>
      </c>
      <c r="Z55" s="30" t="str">
        <f>IF(AND(Z$3&gt;=代码!$D54,Z$3&lt;=代码!$E54),"是","")</f>
        <v/>
      </c>
      <c r="AA55" s="30" t="str">
        <f>IF(AND(AA$3&gt;=代码!$D54,AA$3&lt;=代码!$E54),"是","")</f>
        <v/>
      </c>
      <c r="AB55" s="30" t="str">
        <f>IF(AND(AB$3&gt;=代码!$D54,AB$3&lt;=代码!$E54),"是","")</f>
        <v/>
      </c>
      <c r="AC55" s="30" t="str">
        <f>IF(AND(AC$3&gt;=代码!$D54,AC$3&lt;=代码!$E54),"是","")</f>
        <v/>
      </c>
      <c r="AD55" s="30" t="str">
        <f>IF(AND(AD$3&gt;=代码!$D54,AD$3&lt;=代码!$E54),"是","")</f>
        <v/>
      </c>
      <c r="AE55" s="30" t="str">
        <f>IF(AND(AE$3&gt;=代码!$D54,AE$3&lt;=代码!$E54),"是","")</f>
        <v/>
      </c>
      <c r="AF55" s="30" t="str">
        <f>IF(AND(AF$3&gt;=代码!$D54,AF$3&lt;=代码!$E54),"是","")</f>
        <v/>
      </c>
      <c r="AG55" s="30" t="str">
        <f>IF(AND(AG$3&gt;=代码!$D54,AG$3&lt;=代码!$E54),"是","")</f>
        <v/>
      </c>
    </row>
    <row r="56" spans="3:33">
      <c r="C56" s="30" t="str">
        <f>IFERROR(VLOOKUP(B56,员工信息表!N:O,2,FALSE),"")</f>
        <v>时段</v>
      </c>
      <c r="D56" s="30" t="str">
        <f>IF(AND(D$3&gt;=代码!$D55,D$3&lt;=代码!$E55),"是","")</f>
        <v/>
      </c>
      <c r="E56" s="30" t="str">
        <f>IF(AND(E$3&gt;=代码!$D55,E$3&lt;=代码!$E55),"是","")</f>
        <v/>
      </c>
      <c r="F56" s="30" t="str">
        <f>IF(AND(F$3&gt;=代码!$D55,F$3&lt;=代码!$E55),"是","")</f>
        <v/>
      </c>
      <c r="G56" s="30" t="str">
        <f>IF(AND(G$3&gt;=代码!$D55,G$3&lt;=代码!$E55),"是","")</f>
        <v/>
      </c>
      <c r="H56" s="30" t="str">
        <f>IF(AND(H$3&gt;=代码!$D55,H$3&lt;=代码!$E55),"是","")</f>
        <v/>
      </c>
      <c r="I56" s="30" t="str">
        <f>IF(AND(I$3&gt;=代码!$D55,I$3&lt;=代码!$E55),"是","")</f>
        <v/>
      </c>
      <c r="J56" s="30" t="str">
        <f>IF(AND(J$3&gt;=代码!$D55,J$3&lt;=代码!$E55),"是","")</f>
        <v/>
      </c>
      <c r="K56" s="30" t="str">
        <f>IF(AND(K$3&gt;=代码!$D55,K$3&lt;=代码!$E55),"是","")</f>
        <v/>
      </c>
      <c r="L56" s="30" t="str">
        <f>IF(AND(L$3&gt;=代码!$D55,L$3&lt;=代码!$E55),"是","")</f>
        <v/>
      </c>
      <c r="M56" s="30" t="str">
        <f>IF(AND(M$3&gt;=代码!$D55,M$3&lt;=代码!$E55),"是","")</f>
        <v/>
      </c>
      <c r="N56" s="30" t="str">
        <f>IF(AND(N$3&gt;=代码!$D55,N$3&lt;=代码!$E55),"是","")</f>
        <v/>
      </c>
      <c r="O56" s="30" t="str">
        <f>IF(AND(O$3&gt;=代码!$D55,O$3&lt;=代码!$E55),"是","")</f>
        <v/>
      </c>
      <c r="P56" s="30" t="str">
        <f>IF(AND(P$3&gt;=代码!$D55,P$3&lt;=代码!$E55),"是","")</f>
        <v/>
      </c>
      <c r="Q56" s="30" t="str">
        <f>IF(AND(Q$3&gt;=代码!$D55,Q$3&lt;=代码!$E55),"是","")</f>
        <v/>
      </c>
      <c r="R56" s="30" t="str">
        <f>IF(AND(R$3&gt;=代码!$D55,R$3&lt;=代码!$E55),"是","")</f>
        <v/>
      </c>
      <c r="S56" s="30" t="str">
        <f>IF(AND(S$3&gt;=代码!$D55,S$3&lt;=代码!$E55),"是","")</f>
        <v/>
      </c>
      <c r="T56" s="30" t="str">
        <f>IF(AND(T$3&gt;=代码!$D55,T$3&lt;=代码!$E55),"是","")</f>
        <v/>
      </c>
      <c r="U56" s="30" t="str">
        <f>IF(AND(U$3&gt;=代码!$D55,U$3&lt;=代码!$E55),"是","")</f>
        <v/>
      </c>
      <c r="V56" s="30" t="str">
        <f>IF(AND(V$3&gt;=代码!$D55,V$3&lt;=代码!$E55),"是","")</f>
        <v/>
      </c>
      <c r="W56" s="30" t="str">
        <f>IF(AND(W$3&gt;=代码!$D55,W$3&lt;=代码!$E55),"是","")</f>
        <v/>
      </c>
      <c r="X56" s="30" t="str">
        <f>IF(AND(X$3&gt;=代码!$D55,X$3&lt;=代码!$E55),"是","")</f>
        <v/>
      </c>
      <c r="Y56" s="30" t="str">
        <f>IF(AND(Y$3&gt;=代码!$D55,Y$3&lt;=代码!$E55),"是","")</f>
        <v/>
      </c>
      <c r="Z56" s="30" t="str">
        <f>IF(AND(Z$3&gt;=代码!$D55,Z$3&lt;=代码!$E55),"是","")</f>
        <v/>
      </c>
      <c r="AA56" s="30" t="str">
        <f>IF(AND(AA$3&gt;=代码!$D55,AA$3&lt;=代码!$E55),"是","")</f>
        <v/>
      </c>
      <c r="AB56" s="30" t="str">
        <f>IF(AND(AB$3&gt;=代码!$D55,AB$3&lt;=代码!$E55),"是","")</f>
        <v/>
      </c>
      <c r="AC56" s="30" t="str">
        <f>IF(AND(AC$3&gt;=代码!$D55,AC$3&lt;=代码!$E55),"是","")</f>
        <v/>
      </c>
      <c r="AD56" s="30" t="str">
        <f>IF(AND(AD$3&gt;=代码!$D55,AD$3&lt;=代码!$E55),"是","")</f>
        <v/>
      </c>
      <c r="AE56" s="30" t="str">
        <f>IF(AND(AE$3&gt;=代码!$D55,AE$3&lt;=代码!$E55),"是","")</f>
        <v/>
      </c>
      <c r="AF56" s="30" t="str">
        <f>IF(AND(AF$3&gt;=代码!$D55,AF$3&lt;=代码!$E55),"是","")</f>
        <v/>
      </c>
      <c r="AG56" s="30" t="str">
        <f>IF(AND(AG$3&gt;=代码!$D55,AG$3&lt;=代码!$E55),"是","")</f>
        <v/>
      </c>
    </row>
    <row r="57" spans="3:33">
      <c r="C57" s="30" t="str">
        <f>IFERROR(VLOOKUP(B57,员工信息表!N:O,2,FALSE),"")</f>
        <v>时段</v>
      </c>
      <c r="D57" s="30" t="str">
        <f>IF(AND(D$3&gt;=代码!$D56,D$3&lt;=代码!$E56),"是","")</f>
        <v/>
      </c>
      <c r="E57" s="30" t="str">
        <f>IF(AND(E$3&gt;=代码!$D56,E$3&lt;=代码!$E56),"是","")</f>
        <v/>
      </c>
      <c r="F57" s="30" t="str">
        <f>IF(AND(F$3&gt;=代码!$D56,F$3&lt;=代码!$E56),"是","")</f>
        <v/>
      </c>
      <c r="G57" s="30" t="str">
        <f>IF(AND(G$3&gt;=代码!$D56,G$3&lt;=代码!$E56),"是","")</f>
        <v/>
      </c>
      <c r="H57" s="30" t="str">
        <f>IF(AND(H$3&gt;=代码!$D56,H$3&lt;=代码!$E56),"是","")</f>
        <v/>
      </c>
      <c r="I57" s="30" t="str">
        <f>IF(AND(I$3&gt;=代码!$D56,I$3&lt;=代码!$E56),"是","")</f>
        <v/>
      </c>
      <c r="J57" s="30" t="str">
        <f>IF(AND(J$3&gt;=代码!$D56,J$3&lt;=代码!$E56),"是","")</f>
        <v/>
      </c>
      <c r="K57" s="30" t="str">
        <f>IF(AND(K$3&gt;=代码!$D56,K$3&lt;=代码!$E56),"是","")</f>
        <v/>
      </c>
      <c r="L57" s="30" t="str">
        <f>IF(AND(L$3&gt;=代码!$D56,L$3&lt;=代码!$E56),"是","")</f>
        <v/>
      </c>
      <c r="M57" s="30" t="str">
        <f>IF(AND(M$3&gt;=代码!$D56,M$3&lt;=代码!$E56),"是","")</f>
        <v/>
      </c>
      <c r="N57" s="30" t="str">
        <f>IF(AND(N$3&gt;=代码!$D56,N$3&lt;=代码!$E56),"是","")</f>
        <v/>
      </c>
      <c r="O57" s="30" t="str">
        <f>IF(AND(O$3&gt;=代码!$D56,O$3&lt;=代码!$E56),"是","")</f>
        <v/>
      </c>
      <c r="P57" s="30" t="str">
        <f>IF(AND(P$3&gt;=代码!$D56,P$3&lt;=代码!$E56),"是","")</f>
        <v/>
      </c>
      <c r="Q57" s="30" t="str">
        <f>IF(AND(Q$3&gt;=代码!$D56,Q$3&lt;=代码!$E56),"是","")</f>
        <v/>
      </c>
      <c r="R57" s="30" t="str">
        <f>IF(AND(R$3&gt;=代码!$D56,R$3&lt;=代码!$E56),"是","")</f>
        <v/>
      </c>
      <c r="S57" s="30" t="str">
        <f>IF(AND(S$3&gt;=代码!$D56,S$3&lt;=代码!$E56),"是","")</f>
        <v/>
      </c>
      <c r="T57" s="30" t="str">
        <f>IF(AND(T$3&gt;=代码!$D56,T$3&lt;=代码!$E56),"是","")</f>
        <v/>
      </c>
      <c r="U57" s="30" t="str">
        <f>IF(AND(U$3&gt;=代码!$D56,U$3&lt;=代码!$E56),"是","")</f>
        <v/>
      </c>
      <c r="V57" s="30" t="str">
        <f>IF(AND(V$3&gt;=代码!$D56,V$3&lt;=代码!$E56),"是","")</f>
        <v/>
      </c>
      <c r="W57" s="30" t="str">
        <f>IF(AND(W$3&gt;=代码!$D56,W$3&lt;=代码!$E56),"是","")</f>
        <v/>
      </c>
      <c r="X57" s="30" t="str">
        <f>IF(AND(X$3&gt;=代码!$D56,X$3&lt;=代码!$E56),"是","")</f>
        <v/>
      </c>
      <c r="Y57" s="30" t="str">
        <f>IF(AND(Y$3&gt;=代码!$D56,Y$3&lt;=代码!$E56),"是","")</f>
        <v/>
      </c>
      <c r="Z57" s="30" t="str">
        <f>IF(AND(Z$3&gt;=代码!$D56,Z$3&lt;=代码!$E56),"是","")</f>
        <v/>
      </c>
      <c r="AA57" s="30" t="str">
        <f>IF(AND(AA$3&gt;=代码!$D56,AA$3&lt;=代码!$E56),"是","")</f>
        <v/>
      </c>
      <c r="AB57" s="30" t="str">
        <f>IF(AND(AB$3&gt;=代码!$D56,AB$3&lt;=代码!$E56),"是","")</f>
        <v/>
      </c>
      <c r="AC57" s="30" t="str">
        <f>IF(AND(AC$3&gt;=代码!$D56,AC$3&lt;=代码!$E56),"是","")</f>
        <v/>
      </c>
      <c r="AD57" s="30" t="str">
        <f>IF(AND(AD$3&gt;=代码!$D56,AD$3&lt;=代码!$E56),"是","")</f>
        <v/>
      </c>
      <c r="AE57" s="30" t="str">
        <f>IF(AND(AE$3&gt;=代码!$D56,AE$3&lt;=代码!$E56),"是","")</f>
        <v/>
      </c>
      <c r="AF57" s="30" t="str">
        <f>IF(AND(AF$3&gt;=代码!$D56,AF$3&lt;=代码!$E56),"是","")</f>
        <v/>
      </c>
      <c r="AG57" s="30" t="str">
        <f>IF(AND(AG$3&gt;=代码!$D56,AG$3&lt;=代码!$E56),"是","")</f>
        <v/>
      </c>
    </row>
    <row r="58" spans="3:33">
      <c r="C58" s="30" t="str">
        <f>IFERROR(VLOOKUP(B58,员工信息表!N:O,2,FALSE),"")</f>
        <v>时段</v>
      </c>
      <c r="D58" s="30" t="str">
        <f>IF(AND(D$3&gt;=代码!$D57,D$3&lt;=代码!$E57),"是","")</f>
        <v/>
      </c>
      <c r="E58" s="30" t="str">
        <f>IF(AND(E$3&gt;=代码!$D57,E$3&lt;=代码!$E57),"是","")</f>
        <v/>
      </c>
      <c r="F58" s="30" t="str">
        <f>IF(AND(F$3&gt;=代码!$D57,F$3&lt;=代码!$E57),"是","")</f>
        <v/>
      </c>
      <c r="G58" s="30" t="str">
        <f>IF(AND(G$3&gt;=代码!$D57,G$3&lt;=代码!$E57),"是","")</f>
        <v/>
      </c>
      <c r="H58" s="30" t="str">
        <f>IF(AND(H$3&gt;=代码!$D57,H$3&lt;=代码!$E57),"是","")</f>
        <v/>
      </c>
      <c r="I58" s="30" t="str">
        <f>IF(AND(I$3&gt;=代码!$D57,I$3&lt;=代码!$E57),"是","")</f>
        <v/>
      </c>
      <c r="J58" s="30" t="str">
        <f>IF(AND(J$3&gt;=代码!$D57,J$3&lt;=代码!$E57),"是","")</f>
        <v/>
      </c>
      <c r="K58" s="30" t="str">
        <f>IF(AND(K$3&gt;=代码!$D57,K$3&lt;=代码!$E57),"是","")</f>
        <v/>
      </c>
      <c r="L58" s="30" t="str">
        <f>IF(AND(L$3&gt;=代码!$D57,L$3&lt;=代码!$E57),"是","")</f>
        <v/>
      </c>
      <c r="M58" s="30" t="str">
        <f>IF(AND(M$3&gt;=代码!$D57,M$3&lt;=代码!$E57),"是","")</f>
        <v/>
      </c>
      <c r="N58" s="30" t="str">
        <f>IF(AND(N$3&gt;=代码!$D57,N$3&lt;=代码!$E57),"是","")</f>
        <v/>
      </c>
      <c r="O58" s="30" t="str">
        <f>IF(AND(O$3&gt;=代码!$D57,O$3&lt;=代码!$E57),"是","")</f>
        <v/>
      </c>
      <c r="P58" s="30" t="str">
        <f>IF(AND(P$3&gt;=代码!$D57,P$3&lt;=代码!$E57),"是","")</f>
        <v/>
      </c>
      <c r="Q58" s="30" t="str">
        <f>IF(AND(Q$3&gt;=代码!$D57,Q$3&lt;=代码!$E57),"是","")</f>
        <v/>
      </c>
      <c r="R58" s="30" t="str">
        <f>IF(AND(R$3&gt;=代码!$D57,R$3&lt;=代码!$E57),"是","")</f>
        <v/>
      </c>
      <c r="S58" s="30" t="str">
        <f>IF(AND(S$3&gt;=代码!$D57,S$3&lt;=代码!$E57),"是","")</f>
        <v/>
      </c>
      <c r="T58" s="30" t="str">
        <f>IF(AND(T$3&gt;=代码!$D57,T$3&lt;=代码!$E57),"是","")</f>
        <v/>
      </c>
      <c r="U58" s="30" t="str">
        <f>IF(AND(U$3&gt;=代码!$D57,U$3&lt;=代码!$E57),"是","")</f>
        <v/>
      </c>
      <c r="V58" s="30" t="str">
        <f>IF(AND(V$3&gt;=代码!$D57,V$3&lt;=代码!$E57),"是","")</f>
        <v/>
      </c>
      <c r="W58" s="30" t="str">
        <f>IF(AND(W$3&gt;=代码!$D57,W$3&lt;=代码!$E57),"是","")</f>
        <v/>
      </c>
      <c r="X58" s="30" t="str">
        <f>IF(AND(X$3&gt;=代码!$D57,X$3&lt;=代码!$E57),"是","")</f>
        <v/>
      </c>
      <c r="Y58" s="30" t="str">
        <f>IF(AND(Y$3&gt;=代码!$D57,Y$3&lt;=代码!$E57),"是","")</f>
        <v/>
      </c>
      <c r="Z58" s="30" t="str">
        <f>IF(AND(Z$3&gt;=代码!$D57,Z$3&lt;=代码!$E57),"是","")</f>
        <v/>
      </c>
      <c r="AA58" s="30" t="str">
        <f>IF(AND(AA$3&gt;=代码!$D57,AA$3&lt;=代码!$E57),"是","")</f>
        <v/>
      </c>
      <c r="AB58" s="30" t="str">
        <f>IF(AND(AB$3&gt;=代码!$D57,AB$3&lt;=代码!$E57),"是","")</f>
        <v/>
      </c>
      <c r="AC58" s="30" t="str">
        <f>IF(AND(AC$3&gt;=代码!$D57,AC$3&lt;=代码!$E57),"是","")</f>
        <v/>
      </c>
      <c r="AD58" s="30" t="str">
        <f>IF(AND(AD$3&gt;=代码!$D57,AD$3&lt;=代码!$E57),"是","")</f>
        <v/>
      </c>
      <c r="AE58" s="30" t="str">
        <f>IF(AND(AE$3&gt;=代码!$D57,AE$3&lt;=代码!$E57),"是","")</f>
        <v/>
      </c>
      <c r="AF58" s="30" t="str">
        <f>IF(AND(AF$3&gt;=代码!$D57,AF$3&lt;=代码!$E57),"是","")</f>
        <v/>
      </c>
      <c r="AG58" s="30" t="str">
        <f>IF(AND(AG$3&gt;=代码!$D57,AG$3&lt;=代码!$E57),"是","")</f>
        <v/>
      </c>
    </row>
    <row r="59" spans="3:33">
      <c r="C59" s="30" t="str">
        <f>IFERROR(VLOOKUP(B59,员工信息表!N:O,2,FALSE),"")</f>
        <v>时段</v>
      </c>
      <c r="D59" s="30" t="str">
        <f>IF(AND(D$3&gt;=代码!$D58,D$3&lt;=代码!$E58),"是","")</f>
        <v/>
      </c>
      <c r="E59" s="30" t="str">
        <f>IF(AND(E$3&gt;=代码!$D58,E$3&lt;=代码!$E58),"是","")</f>
        <v/>
      </c>
      <c r="F59" s="30" t="str">
        <f>IF(AND(F$3&gt;=代码!$D58,F$3&lt;=代码!$E58),"是","")</f>
        <v/>
      </c>
      <c r="G59" s="30" t="str">
        <f>IF(AND(G$3&gt;=代码!$D58,G$3&lt;=代码!$E58),"是","")</f>
        <v/>
      </c>
      <c r="H59" s="30" t="str">
        <f>IF(AND(H$3&gt;=代码!$D58,H$3&lt;=代码!$E58),"是","")</f>
        <v/>
      </c>
      <c r="I59" s="30" t="str">
        <f>IF(AND(I$3&gt;=代码!$D58,I$3&lt;=代码!$E58),"是","")</f>
        <v/>
      </c>
      <c r="J59" s="30" t="str">
        <f>IF(AND(J$3&gt;=代码!$D58,J$3&lt;=代码!$E58),"是","")</f>
        <v/>
      </c>
      <c r="K59" s="30" t="str">
        <f>IF(AND(K$3&gt;=代码!$D58,K$3&lt;=代码!$E58),"是","")</f>
        <v/>
      </c>
      <c r="L59" s="30" t="str">
        <f>IF(AND(L$3&gt;=代码!$D58,L$3&lt;=代码!$E58),"是","")</f>
        <v/>
      </c>
      <c r="M59" s="30" t="str">
        <f>IF(AND(M$3&gt;=代码!$D58,M$3&lt;=代码!$E58),"是","")</f>
        <v/>
      </c>
      <c r="N59" s="30" t="str">
        <f>IF(AND(N$3&gt;=代码!$D58,N$3&lt;=代码!$E58),"是","")</f>
        <v/>
      </c>
      <c r="O59" s="30" t="str">
        <f>IF(AND(O$3&gt;=代码!$D58,O$3&lt;=代码!$E58),"是","")</f>
        <v/>
      </c>
      <c r="P59" s="30" t="str">
        <f>IF(AND(P$3&gt;=代码!$D58,P$3&lt;=代码!$E58),"是","")</f>
        <v/>
      </c>
      <c r="Q59" s="30" t="str">
        <f>IF(AND(Q$3&gt;=代码!$D58,Q$3&lt;=代码!$E58),"是","")</f>
        <v/>
      </c>
      <c r="R59" s="30" t="str">
        <f>IF(AND(R$3&gt;=代码!$D58,R$3&lt;=代码!$E58),"是","")</f>
        <v/>
      </c>
      <c r="S59" s="30" t="str">
        <f>IF(AND(S$3&gt;=代码!$D58,S$3&lt;=代码!$E58),"是","")</f>
        <v/>
      </c>
      <c r="T59" s="30" t="str">
        <f>IF(AND(T$3&gt;=代码!$D58,T$3&lt;=代码!$E58),"是","")</f>
        <v/>
      </c>
      <c r="U59" s="30" t="str">
        <f>IF(AND(U$3&gt;=代码!$D58,U$3&lt;=代码!$E58),"是","")</f>
        <v/>
      </c>
      <c r="V59" s="30" t="str">
        <f>IF(AND(V$3&gt;=代码!$D58,V$3&lt;=代码!$E58),"是","")</f>
        <v/>
      </c>
      <c r="W59" s="30" t="str">
        <f>IF(AND(W$3&gt;=代码!$D58,W$3&lt;=代码!$E58),"是","")</f>
        <v/>
      </c>
      <c r="X59" s="30" t="str">
        <f>IF(AND(X$3&gt;=代码!$D58,X$3&lt;=代码!$E58),"是","")</f>
        <v/>
      </c>
      <c r="Y59" s="30" t="str">
        <f>IF(AND(Y$3&gt;=代码!$D58,Y$3&lt;=代码!$E58),"是","")</f>
        <v/>
      </c>
      <c r="Z59" s="30" t="str">
        <f>IF(AND(Z$3&gt;=代码!$D58,Z$3&lt;=代码!$E58),"是","")</f>
        <v/>
      </c>
      <c r="AA59" s="30" t="str">
        <f>IF(AND(AA$3&gt;=代码!$D58,AA$3&lt;=代码!$E58),"是","")</f>
        <v/>
      </c>
      <c r="AB59" s="30" t="str">
        <f>IF(AND(AB$3&gt;=代码!$D58,AB$3&lt;=代码!$E58),"是","")</f>
        <v/>
      </c>
      <c r="AC59" s="30" t="str">
        <f>IF(AND(AC$3&gt;=代码!$D58,AC$3&lt;=代码!$E58),"是","")</f>
        <v/>
      </c>
      <c r="AD59" s="30" t="str">
        <f>IF(AND(AD$3&gt;=代码!$D58,AD$3&lt;=代码!$E58),"是","")</f>
        <v/>
      </c>
      <c r="AE59" s="30" t="str">
        <f>IF(AND(AE$3&gt;=代码!$D58,AE$3&lt;=代码!$E58),"是","")</f>
        <v/>
      </c>
      <c r="AF59" s="30" t="str">
        <f>IF(AND(AF$3&gt;=代码!$D58,AF$3&lt;=代码!$E58),"是","")</f>
        <v/>
      </c>
      <c r="AG59" s="30" t="str">
        <f>IF(AND(AG$3&gt;=代码!$D58,AG$3&lt;=代码!$E58),"是","")</f>
        <v/>
      </c>
    </row>
    <row r="60" spans="3:33">
      <c r="C60" s="30" t="str">
        <f>IFERROR(VLOOKUP(B60,员工信息表!N:O,2,FALSE),"")</f>
        <v>时段</v>
      </c>
      <c r="D60" s="30" t="str">
        <f>IF(AND(D$3&gt;=代码!$D59,D$3&lt;=代码!$E59),"是","")</f>
        <v/>
      </c>
      <c r="E60" s="30" t="str">
        <f>IF(AND(E$3&gt;=代码!$D59,E$3&lt;=代码!$E59),"是","")</f>
        <v/>
      </c>
      <c r="F60" s="30" t="str">
        <f>IF(AND(F$3&gt;=代码!$D59,F$3&lt;=代码!$E59),"是","")</f>
        <v/>
      </c>
      <c r="G60" s="30" t="str">
        <f>IF(AND(G$3&gt;=代码!$D59,G$3&lt;=代码!$E59),"是","")</f>
        <v/>
      </c>
      <c r="H60" s="30" t="str">
        <f>IF(AND(H$3&gt;=代码!$D59,H$3&lt;=代码!$E59),"是","")</f>
        <v/>
      </c>
      <c r="I60" s="30" t="str">
        <f>IF(AND(I$3&gt;=代码!$D59,I$3&lt;=代码!$E59),"是","")</f>
        <v/>
      </c>
      <c r="J60" s="30" t="str">
        <f>IF(AND(J$3&gt;=代码!$D59,J$3&lt;=代码!$E59),"是","")</f>
        <v/>
      </c>
      <c r="K60" s="30" t="str">
        <f>IF(AND(K$3&gt;=代码!$D59,K$3&lt;=代码!$E59),"是","")</f>
        <v/>
      </c>
      <c r="L60" s="30" t="str">
        <f>IF(AND(L$3&gt;=代码!$D59,L$3&lt;=代码!$E59),"是","")</f>
        <v/>
      </c>
      <c r="M60" s="30" t="str">
        <f>IF(AND(M$3&gt;=代码!$D59,M$3&lt;=代码!$E59),"是","")</f>
        <v/>
      </c>
      <c r="N60" s="30" t="str">
        <f>IF(AND(N$3&gt;=代码!$D59,N$3&lt;=代码!$E59),"是","")</f>
        <v/>
      </c>
      <c r="O60" s="30" t="str">
        <f>IF(AND(O$3&gt;=代码!$D59,O$3&lt;=代码!$E59),"是","")</f>
        <v/>
      </c>
      <c r="P60" s="30" t="str">
        <f>IF(AND(P$3&gt;=代码!$D59,P$3&lt;=代码!$E59),"是","")</f>
        <v/>
      </c>
      <c r="Q60" s="30" t="str">
        <f>IF(AND(Q$3&gt;=代码!$D59,Q$3&lt;=代码!$E59),"是","")</f>
        <v/>
      </c>
      <c r="R60" s="30" t="str">
        <f>IF(AND(R$3&gt;=代码!$D59,R$3&lt;=代码!$E59),"是","")</f>
        <v/>
      </c>
      <c r="S60" s="30" t="str">
        <f>IF(AND(S$3&gt;=代码!$D59,S$3&lt;=代码!$E59),"是","")</f>
        <v/>
      </c>
      <c r="T60" s="30" t="str">
        <f>IF(AND(T$3&gt;=代码!$D59,T$3&lt;=代码!$E59),"是","")</f>
        <v/>
      </c>
      <c r="U60" s="30" t="str">
        <f>IF(AND(U$3&gt;=代码!$D59,U$3&lt;=代码!$E59),"是","")</f>
        <v/>
      </c>
      <c r="V60" s="30" t="str">
        <f>IF(AND(V$3&gt;=代码!$D59,V$3&lt;=代码!$E59),"是","")</f>
        <v/>
      </c>
      <c r="W60" s="30" t="str">
        <f>IF(AND(W$3&gt;=代码!$D59,W$3&lt;=代码!$E59),"是","")</f>
        <v/>
      </c>
      <c r="X60" s="30" t="str">
        <f>IF(AND(X$3&gt;=代码!$D59,X$3&lt;=代码!$E59),"是","")</f>
        <v/>
      </c>
      <c r="Y60" s="30" t="str">
        <f>IF(AND(Y$3&gt;=代码!$D59,Y$3&lt;=代码!$E59),"是","")</f>
        <v/>
      </c>
      <c r="Z60" s="30" t="str">
        <f>IF(AND(Z$3&gt;=代码!$D59,Z$3&lt;=代码!$E59),"是","")</f>
        <v/>
      </c>
      <c r="AA60" s="30" t="str">
        <f>IF(AND(AA$3&gt;=代码!$D59,AA$3&lt;=代码!$E59),"是","")</f>
        <v/>
      </c>
      <c r="AB60" s="30" t="str">
        <f>IF(AND(AB$3&gt;=代码!$D59,AB$3&lt;=代码!$E59),"是","")</f>
        <v/>
      </c>
      <c r="AC60" s="30" t="str">
        <f>IF(AND(AC$3&gt;=代码!$D59,AC$3&lt;=代码!$E59),"是","")</f>
        <v/>
      </c>
      <c r="AD60" s="30" t="str">
        <f>IF(AND(AD$3&gt;=代码!$D59,AD$3&lt;=代码!$E59),"是","")</f>
        <v/>
      </c>
      <c r="AE60" s="30" t="str">
        <f>IF(AND(AE$3&gt;=代码!$D59,AE$3&lt;=代码!$E59),"是","")</f>
        <v/>
      </c>
      <c r="AF60" s="30" t="str">
        <f>IF(AND(AF$3&gt;=代码!$D59,AF$3&lt;=代码!$E59),"是","")</f>
        <v/>
      </c>
      <c r="AG60" s="30" t="str">
        <f>IF(AND(AG$3&gt;=代码!$D59,AG$3&lt;=代码!$E59),"是","")</f>
        <v/>
      </c>
    </row>
    <row r="61" spans="3:33">
      <c r="C61" s="30" t="str">
        <f>IFERROR(VLOOKUP(B61,员工信息表!N:O,2,FALSE),"")</f>
        <v>时段</v>
      </c>
      <c r="D61" s="30" t="str">
        <f>IF(AND(D$3&gt;=代码!$D60,D$3&lt;=代码!$E60),"是","")</f>
        <v/>
      </c>
      <c r="E61" s="30" t="str">
        <f>IF(AND(E$3&gt;=代码!$D60,E$3&lt;=代码!$E60),"是","")</f>
        <v/>
      </c>
      <c r="F61" s="30" t="str">
        <f>IF(AND(F$3&gt;=代码!$D60,F$3&lt;=代码!$E60),"是","")</f>
        <v/>
      </c>
      <c r="G61" s="30" t="str">
        <f>IF(AND(G$3&gt;=代码!$D60,G$3&lt;=代码!$E60),"是","")</f>
        <v/>
      </c>
      <c r="H61" s="30" t="str">
        <f>IF(AND(H$3&gt;=代码!$D60,H$3&lt;=代码!$E60),"是","")</f>
        <v/>
      </c>
      <c r="I61" s="30" t="str">
        <f>IF(AND(I$3&gt;=代码!$D60,I$3&lt;=代码!$E60),"是","")</f>
        <v/>
      </c>
      <c r="J61" s="30" t="str">
        <f>IF(AND(J$3&gt;=代码!$D60,J$3&lt;=代码!$E60),"是","")</f>
        <v/>
      </c>
      <c r="K61" s="30" t="str">
        <f>IF(AND(K$3&gt;=代码!$D60,K$3&lt;=代码!$E60),"是","")</f>
        <v/>
      </c>
      <c r="L61" s="30" t="str">
        <f>IF(AND(L$3&gt;=代码!$D60,L$3&lt;=代码!$E60),"是","")</f>
        <v/>
      </c>
      <c r="M61" s="30" t="str">
        <f>IF(AND(M$3&gt;=代码!$D60,M$3&lt;=代码!$E60),"是","")</f>
        <v/>
      </c>
      <c r="N61" s="30" t="str">
        <f>IF(AND(N$3&gt;=代码!$D60,N$3&lt;=代码!$E60),"是","")</f>
        <v/>
      </c>
      <c r="O61" s="30" t="str">
        <f>IF(AND(O$3&gt;=代码!$D60,O$3&lt;=代码!$E60),"是","")</f>
        <v/>
      </c>
      <c r="P61" s="30" t="str">
        <f>IF(AND(P$3&gt;=代码!$D60,P$3&lt;=代码!$E60),"是","")</f>
        <v/>
      </c>
      <c r="Q61" s="30" t="str">
        <f>IF(AND(Q$3&gt;=代码!$D60,Q$3&lt;=代码!$E60),"是","")</f>
        <v/>
      </c>
      <c r="R61" s="30" t="str">
        <f>IF(AND(R$3&gt;=代码!$D60,R$3&lt;=代码!$E60),"是","")</f>
        <v/>
      </c>
      <c r="S61" s="30" t="str">
        <f>IF(AND(S$3&gt;=代码!$D60,S$3&lt;=代码!$E60),"是","")</f>
        <v/>
      </c>
      <c r="T61" s="30" t="str">
        <f>IF(AND(T$3&gt;=代码!$D60,T$3&lt;=代码!$E60),"是","")</f>
        <v/>
      </c>
      <c r="U61" s="30" t="str">
        <f>IF(AND(U$3&gt;=代码!$D60,U$3&lt;=代码!$E60),"是","")</f>
        <v/>
      </c>
      <c r="V61" s="30" t="str">
        <f>IF(AND(V$3&gt;=代码!$D60,V$3&lt;=代码!$E60),"是","")</f>
        <v/>
      </c>
      <c r="W61" s="30" t="str">
        <f>IF(AND(W$3&gt;=代码!$D60,W$3&lt;=代码!$E60),"是","")</f>
        <v/>
      </c>
      <c r="X61" s="30" t="str">
        <f>IF(AND(X$3&gt;=代码!$D60,X$3&lt;=代码!$E60),"是","")</f>
        <v/>
      </c>
      <c r="Y61" s="30" t="str">
        <f>IF(AND(Y$3&gt;=代码!$D60,Y$3&lt;=代码!$E60),"是","")</f>
        <v/>
      </c>
      <c r="Z61" s="30" t="str">
        <f>IF(AND(Z$3&gt;=代码!$D60,Z$3&lt;=代码!$E60),"是","")</f>
        <v/>
      </c>
      <c r="AA61" s="30" t="str">
        <f>IF(AND(AA$3&gt;=代码!$D60,AA$3&lt;=代码!$E60),"是","")</f>
        <v/>
      </c>
      <c r="AB61" s="30" t="str">
        <f>IF(AND(AB$3&gt;=代码!$D60,AB$3&lt;=代码!$E60),"是","")</f>
        <v/>
      </c>
      <c r="AC61" s="30" t="str">
        <f>IF(AND(AC$3&gt;=代码!$D60,AC$3&lt;=代码!$E60),"是","")</f>
        <v/>
      </c>
      <c r="AD61" s="30" t="str">
        <f>IF(AND(AD$3&gt;=代码!$D60,AD$3&lt;=代码!$E60),"是","")</f>
        <v/>
      </c>
      <c r="AE61" s="30" t="str">
        <f>IF(AND(AE$3&gt;=代码!$D60,AE$3&lt;=代码!$E60),"是","")</f>
        <v/>
      </c>
      <c r="AF61" s="30" t="str">
        <f>IF(AND(AF$3&gt;=代码!$D60,AF$3&lt;=代码!$E60),"是","")</f>
        <v/>
      </c>
      <c r="AG61" s="30" t="str">
        <f>IF(AND(AG$3&gt;=代码!$D60,AG$3&lt;=代码!$E60),"是","")</f>
        <v/>
      </c>
    </row>
    <row r="62" spans="3:33">
      <c r="C62" s="30" t="str">
        <f>IFERROR(VLOOKUP(B62,员工信息表!N:O,2,FALSE),"")</f>
        <v>时段</v>
      </c>
      <c r="D62" s="30" t="str">
        <f>IF(AND(D$3&gt;=代码!$D61,D$3&lt;=代码!$E61),"是","")</f>
        <v/>
      </c>
      <c r="E62" s="30" t="str">
        <f>IF(AND(E$3&gt;=代码!$D61,E$3&lt;=代码!$E61),"是","")</f>
        <v/>
      </c>
      <c r="F62" s="30" t="str">
        <f>IF(AND(F$3&gt;=代码!$D61,F$3&lt;=代码!$E61),"是","")</f>
        <v/>
      </c>
      <c r="G62" s="30" t="str">
        <f>IF(AND(G$3&gt;=代码!$D61,G$3&lt;=代码!$E61),"是","")</f>
        <v/>
      </c>
      <c r="H62" s="30" t="str">
        <f>IF(AND(H$3&gt;=代码!$D61,H$3&lt;=代码!$E61),"是","")</f>
        <v/>
      </c>
      <c r="I62" s="30" t="str">
        <f>IF(AND(I$3&gt;=代码!$D61,I$3&lt;=代码!$E61),"是","")</f>
        <v/>
      </c>
      <c r="J62" s="30" t="str">
        <f>IF(AND(J$3&gt;=代码!$D61,J$3&lt;=代码!$E61),"是","")</f>
        <v/>
      </c>
      <c r="K62" s="30" t="str">
        <f>IF(AND(K$3&gt;=代码!$D61,K$3&lt;=代码!$E61),"是","")</f>
        <v/>
      </c>
      <c r="L62" s="30" t="str">
        <f>IF(AND(L$3&gt;=代码!$D61,L$3&lt;=代码!$E61),"是","")</f>
        <v/>
      </c>
      <c r="M62" s="30" t="str">
        <f>IF(AND(M$3&gt;=代码!$D61,M$3&lt;=代码!$E61),"是","")</f>
        <v/>
      </c>
      <c r="N62" s="30" t="str">
        <f>IF(AND(N$3&gt;=代码!$D61,N$3&lt;=代码!$E61),"是","")</f>
        <v/>
      </c>
      <c r="O62" s="30" t="str">
        <f>IF(AND(O$3&gt;=代码!$D61,O$3&lt;=代码!$E61),"是","")</f>
        <v/>
      </c>
      <c r="P62" s="30" t="str">
        <f>IF(AND(P$3&gt;=代码!$D61,P$3&lt;=代码!$E61),"是","")</f>
        <v/>
      </c>
      <c r="Q62" s="30" t="str">
        <f>IF(AND(Q$3&gt;=代码!$D61,Q$3&lt;=代码!$E61),"是","")</f>
        <v/>
      </c>
      <c r="R62" s="30" t="str">
        <f>IF(AND(R$3&gt;=代码!$D61,R$3&lt;=代码!$E61),"是","")</f>
        <v/>
      </c>
      <c r="S62" s="30" t="str">
        <f>IF(AND(S$3&gt;=代码!$D61,S$3&lt;=代码!$E61),"是","")</f>
        <v/>
      </c>
      <c r="T62" s="30" t="str">
        <f>IF(AND(T$3&gt;=代码!$D61,T$3&lt;=代码!$E61),"是","")</f>
        <v/>
      </c>
      <c r="U62" s="30" t="str">
        <f>IF(AND(U$3&gt;=代码!$D61,U$3&lt;=代码!$E61),"是","")</f>
        <v/>
      </c>
      <c r="V62" s="30" t="str">
        <f>IF(AND(V$3&gt;=代码!$D61,V$3&lt;=代码!$E61),"是","")</f>
        <v/>
      </c>
      <c r="W62" s="30" t="str">
        <f>IF(AND(W$3&gt;=代码!$D61,W$3&lt;=代码!$E61),"是","")</f>
        <v/>
      </c>
      <c r="X62" s="30" t="str">
        <f>IF(AND(X$3&gt;=代码!$D61,X$3&lt;=代码!$E61),"是","")</f>
        <v/>
      </c>
      <c r="Y62" s="30" t="str">
        <f>IF(AND(Y$3&gt;=代码!$D61,Y$3&lt;=代码!$E61),"是","")</f>
        <v/>
      </c>
      <c r="Z62" s="30" t="str">
        <f>IF(AND(Z$3&gt;=代码!$D61,Z$3&lt;=代码!$E61),"是","")</f>
        <v/>
      </c>
      <c r="AA62" s="30" t="str">
        <f>IF(AND(AA$3&gt;=代码!$D61,AA$3&lt;=代码!$E61),"是","")</f>
        <v/>
      </c>
      <c r="AB62" s="30" t="str">
        <f>IF(AND(AB$3&gt;=代码!$D61,AB$3&lt;=代码!$E61),"是","")</f>
        <v/>
      </c>
      <c r="AC62" s="30" t="str">
        <f>IF(AND(AC$3&gt;=代码!$D61,AC$3&lt;=代码!$E61),"是","")</f>
        <v/>
      </c>
      <c r="AD62" s="30" t="str">
        <f>IF(AND(AD$3&gt;=代码!$D61,AD$3&lt;=代码!$E61),"是","")</f>
        <v/>
      </c>
      <c r="AE62" s="30" t="str">
        <f>IF(AND(AE$3&gt;=代码!$D61,AE$3&lt;=代码!$E61),"是","")</f>
        <v/>
      </c>
      <c r="AF62" s="30" t="str">
        <f>IF(AND(AF$3&gt;=代码!$D61,AF$3&lt;=代码!$E61),"是","")</f>
        <v/>
      </c>
      <c r="AG62" s="30" t="str">
        <f>IF(AND(AG$3&gt;=代码!$D61,AG$3&lt;=代码!$E61),"是","")</f>
        <v/>
      </c>
    </row>
    <row r="63" spans="3:33">
      <c r="C63" s="30" t="str">
        <f>IFERROR(VLOOKUP(B63,员工信息表!N:O,2,FALSE),"")</f>
        <v>时段</v>
      </c>
      <c r="D63" s="30" t="str">
        <f>IF(AND(D$3&gt;=代码!$D62,D$3&lt;=代码!$E62),"是","")</f>
        <v/>
      </c>
      <c r="E63" s="30" t="str">
        <f>IF(AND(E$3&gt;=代码!$D62,E$3&lt;=代码!$E62),"是","")</f>
        <v/>
      </c>
      <c r="F63" s="30" t="str">
        <f>IF(AND(F$3&gt;=代码!$D62,F$3&lt;=代码!$E62),"是","")</f>
        <v/>
      </c>
      <c r="G63" s="30" t="str">
        <f>IF(AND(G$3&gt;=代码!$D62,G$3&lt;=代码!$E62),"是","")</f>
        <v/>
      </c>
      <c r="H63" s="30" t="str">
        <f>IF(AND(H$3&gt;=代码!$D62,H$3&lt;=代码!$E62),"是","")</f>
        <v/>
      </c>
      <c r="I63" s="30" t="str">
        <f>IF(AND(I$3&gt;=代码!$D62,I$3&lt;=代码!$E62),"是","")</f>
        <v/>
      </c>
      <c r="J63" s="30" t="str">
        <f>IF(AND(J$3&gt;=代码!$D62,J$3&lt;=代码!$E62),"是","")</f>
        <v/>
      </c>
      <c r="K63" s="30" t="str">
        <f>IF(AND(K$3&gt;=代码!$D62,K$3&lt;=代码!$E62),"是","")</f>
        <v/>
      </c>
      <c r="L63" s="30" t="str">
        <f>IF(AND(L$3&gt;=代码!$D62,L$3&lt;=代码!$E62),"是","")</f>
        <v/>
      </c>
      <c r="M63" s="30" t="str">
        <f>IF(AND(M$3&gt;=代码!$D62,M$3&lt;=代码!$E62),"是","")</f>
        <v/>
      </c>
      <c r="N63" s="30" t="str">
        <f>IF(AND(N$3&gt;=代码!$D62,N$3&lt;=代码!$E62),"是","")</f>
        <v/>
      </c>
      <c r="O63" s="30" t="str">
        <f>IF(AND(O$3&gt;=代码!$D62,O$3&lt;=代码!$E62),"是","")</f>
        <v/>
      </c>
      <c r="P63" s="30" t="str">
        <f>IF(AND(P$3&gt;=代码!$D62,P$3&lt;=代码!$E62),"是","")</f>
        <v/>
      </c>
      <c r="Q63" s="30" t="str">
        <f>IF(AND(Q$3&gt;=代码!$D62,Q$3&lt;=代码!$E62),"是","")</f>
        <v/>
      </c>
      <c r="R63" s="30" t="str">
        <f>IF(AND(R$3&gt;=代码!$D62,R$3&lt;=代码!$E62),"是","")</f>
        <v/>
      </c>
      <c r="S63" s="30" t="str">
        <f>IF(AND(S$3&gt;=代码!$D62,S$3&lt;=代码!$E62),"是","")</f>
        <v/>
      </c>
      <c r="T63" s="30" t="str">
        <f>IF(AND(T$3&gt;=代码!$D62,T$3&lt;=代码!$E62),"是","")</f>
        <v/>
      </c>
      <c r="U63" s="30" t="str">
        <f>IF(AND(U$3&gt;=代码!$D62,U$3&lt;=代码!$E62),"是","")</f>
        <v/>
      </c>
      <c r="V63" s="30" t="str">
        <f>IF(AND(V$3&gt;=代码!$D62,V$3&lt;=代码!$E62),"是","")</f>
        <v/>
      </c>
      <c r="W63" s="30" t="str">
        <f>IF(AND(W$3&gt;=代码!$D62,W$3&lt;=代码!$E62),"是","")</f>
        <v/>
      </c>
      <c r="X63" s="30" t="str">
        <f>IF(AND(X$3&gt;=代码!$D62,X$3&lt;=代码!$E62),"是","")</f>
        <v/>
      </c>
      <c r="Y63" s="30" t="str">
        <f>IF(AND(Y$3&gt;=代码!$D62,Y$3&lt;=代码!$E62),"是","")</f>
        <v/>
      </c>
      <c r="Z63" s="30" t="str">
        <f>IF(AND(Z$3&gt;=代码!$D62,Z$3&lt;=代码!$E62),"是","")</f>
        <v/>
      </c>
      <c r="AA63" s="30" t="str">
        <f>IF(AND(AA$3&gt;=代码!$D62,AA$3&lt;=代码!$E62),"是","")</f>
        <v/>
      </c>
      <c r="AB63" s="30" t="str">
        <f>IF(AND(AB$3&gt;=代码!$D62,AB$3&lt;=代码!$E62),"是","")</f>
        <v/>
      </c>
      <c r="AC63" s="30" t="str">
        <f>IF(AND(AC$3&gt;=代码!$D62,AC$3&lt;=代码!$E62),"是","")</f>
        <v/>
      </c>
      <c r="AD63" s="30" t="str">
        <f>IF(AND(AD$3&gt;=代码!$D62,AD$3&lt;=代码!$E62),"是","")</f>
        <v/>
      </c>
      <c r="AE63" s="30" t="str">
        <f>IF(AND(AE$3&gt;=代码!$D62,AE$3&lt;=代码!$E62),"是","")</f>
        <v/>
      </c>
      <c r="AF63" s="30" t="str">
        <f>IF(AND(AF$3&gt;=代码!$D62,AF$3&lt;=代码!$E62),"是","")</f>
        <v/>
      </c>
      <c r="AG63" s="30" t="str">
        <f>IF(AND(AG$3&gt;=代码!$D62,AG$3&lt;=代码!$E62),"是","")</f>
        <v/>
      </c>
    </row>
    <row r="64" spans="3:33">
      <c r="C64" s="30" t="str">
        <f>IFERROR(VLOOKUP(B64,员工信息表!N:O,2,FALSE),"")</f>
        <v>时段</v>
      </c>
      <c r="D64" s="30" t="str">
        <f>IF(AND(D$3&gt;=代码!$D63,D$3&lt;=代码!$E63),"是","")</f>
        <v/>
      </c>
      <c r="E64" s="30" t="str">
        <f>IF(AND(E$3&gt;=代码!$D63,E$3&lt;=代码!$E63),"是","")</f>
        <v/>
      </c>
      <c r="F64" s="30" t="str">
        <f>IF(AND(F$3&gt;=代码!$D63,F$3&lt;=代码!$E63),"是","")</f>
        <v/>
      </c>
      <c r="G64" s="30" t="str">
        <f>IF(AND(G$3&gt;=代码!$D63,G$3&lt;=代码!$E63),"是","")</f>
        <v/>
      </c>
      <c r="H64" s="30" t="str">
        <f>IF(AND(H$3&gt;=代码!$D63,H$3&lt;=代码!$E63),"是","")</f>
        <v/>
      </c>
      <c r="I64" s="30" t="str">
        <f>IF(AND(I$3&gt;=代码!$D63,I$3&lt;=代码!$E63),"是","")</f>
        <v/>
      </c>
      <c r="J64" s="30" t="str">
        <f>IF(AND(J$3&gt;=代码!$D63,J$3&lt;=代码!$E63),"是","")</f>
        <v/>
      </c>
      <c r="K64" s="30" t="str">
        <f>IF(AND(K$3&gt;=代码!$D63,K$3&lt;=代码!$E63),"是","")</f>
        <v/>
      </c>
      <c r="L64" s="30" t="str">
        <f>IF(AND(L$3&gt;=代码!$D63,L$3&lt;=代码!$E63),"是","")</f>
        <v/>
      </c>
      <c r="M64" s="30" t="str">
        <f>IF(AND(M$3&gt;=代码!$D63,M$3&lt;=代码!$E63),"是","")</f>
        <v/>
      </c>
      <c r="N64" s="30" t="str">
        <f>IF(AND(N$3&gt;=代码!$D63,N$3&lt;=代码!$E63),"是","")</f>
        <v/>
      </c>
      <c r="O64" s="30" t="str">
        <f>IF(AND(O$3&gt;=代码!$D63,O$3&lt;=代码!$E63),"是","")</f>
        <v/>
      </c>
      <c r="P64" s="30" t="str">
        <f>IF(AND(P$3&gt;=代码!$D63,P$3&lt;=代码!$E63),"是","")</f>
        <v/>
      </c>
      <c r="Q64" s="30" t="str">
        <f>IF(AND(Q$3&gt;=代码!$D63,Q$3&lt;=代码!$E63),"是","")</f>
        <v/>
      </c>
      <c r="R64" s="30" t="str">
        <f>IF(AND(R$3&gt;=代码!$D63,R$3&lt;=代码!$E63),"是","")</f>
        <v/>
      </c>
      <c r="S64" s="30" t="str">
        <f>IF(AND(S$3&gt;=代码!$D63,S$3&lt;=代码!$E63),"是","")</f>
        <v/>
      </c>
      <c r="T64" s="30" t="str">
        <f>IF(AND(T$3&gt;=代码!$D63,T$3&lt;=代码!$E63),"是","")</f>
        <v/>
      </c>
      <c r="U64" s="30" t="str">
        <f>IF(AND(U$3&gt;=代码!$D63,U$3&lt;=代码!$E63),"是","")</f>
        <v/>
      </c>
      <c r="V64" s="30" t="str">
        <f>IF(AND(V$3&gt;=代码!$D63,V$3&lt;=代码!$E63),"是","")</f>
        <v/>
      </c>
      <c r="W64" s="30" t="str">
        <f>IF(AND(W$3&gt;=代码!$D63,W$3&lt;=代码!$E63),"是","")</f>
        <v/>
      </c>
      <c r="X64" s="30" t="str">
        <f>IF(AND(X$3&gt;=代码!$D63,X$3&lt;=代码!$E63),"是","")</f>
        <v/>
      </c>
      <c r="Y64" s="30" t="str">
        <f>IF(AND(Y$3&gt;=代码!$D63,Y$3&lt;=代码!$E63),"是","")</f>
        <v/>
      </c>
      <c r="Z64" s="30" t="str">
        <f>IF(AND(Z$3&gt;=代码!$D63,Z$3&lt;=代码!$E63),"是","")</f>
        <v/>
      </c>
      <c r="AA64" s="30" t="str">
        <f>IF(AND(AA$3&gt;=代码!$D63,AA$3&lt;=代码!$E63),"是","")</f>
        <v/>
      </c>
      <c r="AB64" s="30" t="str">
        <f>IF(AND(AB$3&gt;=代码!$D63,AB$3&lt;=代码!$E63),"是","")</f>
        <v/>
      </c>
      <c r="AC64" s="30" t="str">
        <f>IF(AND(AC$3&gt;=代码!$D63,AC$3&lt;=代码!$E63),"是","")</f>
        <v/>
      </c>
      <c r="AD64" s="30" t="str">
        <f>IF(AND(AD$3&gt;=代码!$D63,AD$3&lt;=代码!$E63),"是","")</f>
        <v/>
      </c>
      <c r="AE64" s="30" t="str">
        <f>IF(AND(AE$3&gt;=代码!$D63,AE$3&lt;=代码!$E63),"是","")</f>
        <v/>
      </c>
      <c r="AF64" s="30" t="str">
        <f>IF(AND(AF$3&gt;=代码!$D63,AF$3&lt;=代码!$E63),"是","")</f>
        <v/>
      </c>
      <c r="AG64" s="30" t="str">
        <f>IF(AND(AG$3&gt;=代码!$D63,AG$3&lt;=代码!$E63),"是","")</f>
        <v/>
      </c>
    </row>
    <row r="65" spans="3:33">
      <c r="C65" s="30" t="str">
        <f>IFERROR(VLOOKUP(B65,员工信息表!N:O,2,FALSE),"")</f>
        <v>时段</v>
      </c>
      <c r="D65" s="30" t="str">
        <f>IF(AND(D$3&gt;=代码!$D64,D$3&lt;=代码!$E64),"是","")</f>
        <v/>
      </c>
      <c r="E65" s="30" t="str">
        <f>IF(AND(E$3&gt;=代码!$D64,E$3&lt;=代码!$E64),"是","")</f>
        <v/>
      </c>
      <c r="F65" s="30" t="str">
        <f>IF(AND(F$3&gt;=代码!$D64,F$3&lt;=代码!$E64),"是","")</f>
        <v/>
      </c>
      <c r="G65" s="30" t="str">
        <f>IF(AND(G$3&gt;=代码!$D64,G$3&lt;=代码!$E64),"是","")</f>
        <v/>
      </c>
      <c r="H65" s="30" t="str">
        <f>IF(AND(H$3&gt;=代码!$D64,H$3&lt;=代码!$E64),"是","")</f>
        <v/>
      </c>
      <c r="I65" s="30" t="str">
        <f>IF(AND(I$3&gt;=代码!$D64,I$3&lt;=代码!$E64),"是","")</f>
        <v/>
      </c>
      <c r="J65" s="30" t="str">
        <f>IF(AND(J$3&gt;=代码!$D64,J$3&lt;=代码!$E64),"是","")</f>
        <v/>
      </c>
      <c r="K65" s="30" t="str">
        <f>IF(AND(K$3&gt;=代码!$D64,K$3&lt;=代码!$E64),"是","")</f>
        <v/>
      </c>
      <c r="L65" s="30" t="str">
        <f>IF(AND(L$3&gt;=代码!$D64,L$3&lt;=代码!$E64),"是","")</f>
        <v/>
      </c>
      <c r="M65" s="30" t="str">
        <f>IF(AND(M$3&gt;=代码!$D64,M$3&lt;=代码!$E64),"是","")</f>
        <v/>
      </c>
      <c r="N65" s="30" t="str">
        <f>IF(AND(N$3&gt;=代码!$D64,N$3&lt;=代码!$E64),"是","")</f>
        <v/>
      </c>
      <c r="O65" s="30" t="str">
        <f>IF(AND(O$3&gt;=代码!$D64,O$3&lt;=代码!$E64),"是","")</f>
        <v/>
      </c>
      <c r="P65" s="30" t="str">
        <f>IF(AND(P$3&gt;=代码!$D64,P$3&lt;=代码!$E64),"是","")</f>
        <v/>
      </c>
      <c r="Q65" s="30" t="str">
        <f>IF(AND(Q$3&gt;=代码!$D64,Q$3&lt;=代码!$E64),"是","")</f>
        <v/>
      </c>
      <c r="R65" s="30" t="str">
        <f>IF(AND(R$3&gt;=代码!$D64,R$3&lt;=代码!$E64),"是","")</f>
        <v/>
      </c>
      <c r="S65" s="30" t="str">
        <f>IF(AND(S$3&gt;=代码!$D64,S$3&lt;=代码!$E64),"是","")</f>
        <v/>
      </c>
      <c r="T65" s="30" t="str">
        <f>IF(AND(T$3&gt;=代码!$D64,T$3&lt;=代码!$E64),"是","")</f>
        <v/>
      </c>
      <c r="U65" s="30" t="str">
        <f>IF(AND(U$3&gt;=代码!$D64,U$3&lt;=代码!$E64),"是","")</f>
        <v/>
      </c>
      <c r="V65" s="30" t="str">
        <f>IF(AND(V$3&gt;=代码!$D64,V$3&lt;=代码!$E64),"是","")</f>
        <v/>
      </c>
      <c r="W65" s="30" t="str">
        <f>IF(AND(W$3&gt;=代码!$D64,W$3&lt;=代码!$E64),"是","")</f>
        <v/>
      </c>
      <c r="X65" s="30" t="str">
        <f>IF(AND(X$3&gt;=代码!$D64,X$3&lt;=代码!$E64),"是","")</f>
        <v/>
      </c>
      <c r="Y65" s="30" t="str">
        <f>IF(AND(Y$3&gt;=代码!$D64,Y$3&lt;=代码!$E64),"是","")</f>
        <v/>
      </c>
      <c r="Z65" s="30" t="str">
        <f>IF(AND(Z$3&gt;=代码!$D64,Z$3&lt;=代码!$E64),"是","")</f>
        <v/>
      </c>
      <c r="AA65" s="30" t="str">
        <f>IF(AND(AA$3&gt;=代码!$D64,AA$3&lt;=代码!$E64),"是","")</f>
        <v/>
      </c>
      <c r="AB65" s="30" t="str">
        <f>IF(AND(AB$3&gt;=代码!$D64,AB$3&lt;=代码!$E64),"是","")</f>
        <v/>
      </c>
      <c r="AC65" s="30" t="str">
        <f>IF(AND(AC$3&gt;=代码!$D64,AC$3&lt;=代码!$E64),"是","")</f>
        <v/>
      </c>
      <c r="AD65" s="30" t="str">
        <f>IF(AND(AD$3&gt;=代码!$D64,AD$3&lt;=代码!$E64),"是","")</f>
        <v/>
      </c>
      <c r="AE65" s="30" t="str">
        <f>IF(AND(AE$3&gt;=代码!$D64,AE$3&lt;=代码!$E64),"是","")</f>
        <v/>
      </c>
      <c r="AF65" s="30" t="str">
        <f>IF(AND(AF$3&gt;=代码!$D64,AF$3&lt;=代码!$E64),"是","")</f>
        <v/>
      </c>
      <c r="AG65" s="30" t="str">
        <f>IF(AND(AG$3&gt;=代码!$D64,AG$3&lt;=代码!$E64),"是","")</f>
        <v/>
      </c>
    </row>
    <row r="66" spans="3:33">
      <c r="C66" s="30" t="str">
        <f>IFERROR(VLOOKUP(B66,员工信息表!N:O,2,FALSE),"")</f>
        <v>时段</v>
      </c>
      <c r="D66" s="30" t="str">
        <f>IF(AND(D$3&gt;=代码!$D65,D$3&lt;=代码!$E65),"是","")</f>
        <v/>
      </c>
      <c r="E66" s="30" t="str">
        <f>IF(AND(E$3&gt;=代码!$D65,E$3&lt;=代码!$E65),"是","")</f>
        <v/>
      </c>
      <c r="F66" s="30" t="str">
        <f>IF(AND(F$3&gt;=代码!$D65,F$3&lt;=代码!$E65),"是","")</f>
        <v/>
      </c>
      <c r="G66" s="30" t="str">
        <f>IF(AND(G$3&gt;=代码!$D65,G$3&lt;=代码!$E65),"是","")</f>
        <v/>
      </c>
      <c r="H66" s="30" t="str">
        <f>IF(AND(H$3&gt;=代码!$D65,H$3&lt;=代码!$E65),"是","")</f>
        <v/>
      </c>
      <c r="I66" s="30" t="str">
        <f>IF(AND(I$3&gt;=代码!$D65,I$3&lt;=代码!$E65),"是","")</f>
        <v/>
      </c>
      <c r="J66" s="30" t="str">
        <f>IF(AND(J$3&gt;=代码!$D65,J$3&lt;=代码!$E65),"是","")</f>
        <v/>
      </c>
      <c r="K66" s="30" t="str">
        <f>IF(AND(K$3&gt;=代码!$D65,K$3&lt;=代码!$E65),"是","")</f>
        <v/>
      </c>
      <c r="L66" s="30" t="str">
        <f>IF(AND(L$3&gt;=代码!$D65,L$3&lt;=代码!$E65),"是","")</f>
        <v/>
      </c>
      <c r="M66" s="30" t="str">
        <f>IF(AND(M$3&gt;=代码!$D65,M$3&lt;=代码!$E65),"是","")</f>
        <v/>
      </c>
      <c r="N66" s="30" t="str">
        <f>IF(AND(N$3&gt;=代码!$D65,N$3&lt;=代码!$E65),"是","")</f>
        <v/>
      </c>
      <c r="O66" s="30" t="str">
        <f>IF(AND(O$3&gt;=代码!$D65,O$3&lt;=代码!$E65),"是","")</f>
        <v/>
      </c>
      <c r="P66" s="30" t="str">
        <f>IF(AND(P$3&gt;=代码!$D65,P$3&lt;=代码!$E65),"是","")</f>
        <v/>
      </c>
      <c r="Q66" s="30" t="str">
        <f>IF(AND(Q$3&gt;=代码!$D65,Q$3&lt;=代码!$E65),"是","")</f>
        <v/>
      </c>
      <c r="R66" s="30" t="str">
        <f>IF(AND(R$3&gt;=代码!$D65,R$3&lt;=代码!$E65),"是","")</f>
        <v/>
      </c>
      <c r="S66" s="30" t="str">
        <f>IF(AND(S$3&gt;=代码!$D65,S$3&lt;=代码!$E65),"是","")</f>
        <v/>
      </c>
      <c r="T66" s="30" t="str">
        <f>IF(AND(T$3&gt;=代码!$D65,T$3&lt;=代码!$E65),"是","")</f>
        <v/>
      </c>
      <c r="U66" s="30" t="str">
        <f>IF(AND(U$3&gt;=代码!$D65,U$3&lt;=代码!$E65),"是","")</f>
        <v/>
      </c>
      <c r="V66" s="30" t="str">
        <f>IF(AND(V$3&gt;=代码!$D65,V$3&lt;=代码!$E65),"是","")</f>
        <v/>
      </c>
      <c r="W66" s="30" t="str">
        <f>IF(AND(W$3&gt;=代码!$D65,W$3&lt;=代码!$E65),"是","")</f>
        <v/>
      </c>
      <c r="X66" s="30" t="str">
        <f>IF(AND(X$3&gt;=代码!$D65,X$3&lt;=代码!$E65),"是","")</f>
        <v/>
      </c>
      <c r="Y66" s="30" t="str">
        <f>IF(AND(Y$3&gt;=代码!$D65,Y$3&lt;=代码!$E65),"是","")</f>
        <v/>
      </c>
      <c r="Z66" s="30" t="str">
        <f>IF(AND(Z$3&gt;=代码!$D65,Z$3&lt;=代码!$E65),"是","")</f>
        <v/>
      </c>
      <c r="AA66" s="30" t="str">
        <f>IF(AND(AA$3&gt;=代码!$D65,AA$3&lt;=代码!$E65),"是","")</f>
        <v/>
      </c>
      <c r="AB66" s="30" t="str">
        <f>IF(AND(AB$3&gt;=代码!$D65,AB$3&lt;=代码!$E65),"是","")</f>
        <v/>
      </c>
      <c r="AC66" s="30" t="str">
        <f>IF(AND(AC$3&gt;=代码!$D65,AC$3&lt;=代码!$E65),"是","")</f>
        <v/>
      </c>
      <c r="AD66" s="30" t="str">
        <f>IF(AND(AD$3&gt;=代码!$D65,AD$3&lt;=代码!$E65),"是","")</f>
        <v/>
      </c>
      <c r="AE66" s="30" t="str">
        <f>IF(AND(AE$3&gt;=代码!$D65,AE$3&lt;=代码!$E65),"是","")</f>
        <v/>
      </c>
      <c r="AF66" s="30" t="str">
        <f>IF(AND(AF$3&gt;=代码!$D65,AF$3&lt;=代码!$E65),"是","")</f>
        <v/>
      </c>
      <c r="AG66" s="30" t="str">
        <f>IF(AND(AG$3&gt;=代码!$D65,AG$3&lt;=代码!$E65),"是","")</f>
        <v/>
      </c>
    </row>
    <row r="67" spans="3:33">
      <c r="C67" s="30" t="str">
        <f>IFERROR(VLOOKUP(B67,员工信息表!N:O,2,FALSE),"")</f>
        <v>时段</v>
      </c>
      <c r="D67" s="30" t="str">
        <f>IF(AND(D$3&gt;=代码!$D66,D$3&lt;=代码!$E66),"是","")</f>
        <v/>
      </c>
      <c r="E67" s="30" t="str">
        <f>IF(AND(E$3&gt;=代码!$D66,E$3&lt;=代码!$E66),"是","")</f>
        <v/>
      </c>
      <c r="F67" s="30" t="str">
        <f>IF(AND(F$3&gt;=代码!$D66,F$3&lt;=代码!$E66),"是","")</f>
        <v/>
      </c>
      <c r="G67" s="30" t="str">
        <f>IF(AND(G$3&gt;=代码!$D66,G$3&lt;=代码!$E66),"是","")</f>
        <v/>
      </c>
      <c r="H67" s="30" t="str">
        <f>IF(AND(H$3&gt;=代码!$D66,H$3&lt;=代码!$E66),"是","")</f>
        <v/>
      </c>
      <c r="I67" s="30" t="str">
        <f>IF(AND(I$3&gt;=代码!$D66,I$3&lt;=代码!$E66),"是","")</f>
        <v/>
      </c>
      <c r="J67" s="30" t="str">
        <f>IF(AND(J$3&gt;=代码!$D66,J$3&lt;=代码!$E66),"是","")</f>
        <v/>
      </c>
      <c r="K67" s="30" t="str">
        <f>IF(AND(K$3&gt;=代码!$D66,K$3&lt;=代码!$E66),"是","")</f>
        <v/>
      </c>
      <c r="L67" s="30" t="str">
        <f>IF(AND(L$3&gt;=代码!$D66,L$3&lt;=代码!$E66),"是","")</f>
        <v/>
      </c>
      <c r="M67" s="30" t="str">
        <f>IF(AND(M$3&gt;=代码!$D66,M$3&lt;=代码!$E66),"是","")</f>
        <v/>
      </c>
      <c r="N67" s="30" t="str">
        <f>IF(AND(N$3&gt;=代码!$D66,N$3&lt;=代码!$E66),"是","")</f>
        <v/>
      </c>
      <c r="O67" s="30" t="str">
        <f>IF(AND(O$3&gt;=代码!$D66,O$3&lt;=代码!$E66),"是","")</f>
        <v/>
      </c>
      <c r="P67" s="30" t="str">
        <f>IF(AND(P$3&gt;=代码!$D66,P$3&lt;=代码!$E66),"是","")</f>
        <v/>
      </c>
      <c r="Q67" s="30" t="str">
        <f>IF(AND(Q$3&gt;=代码!$D66,Q$3&lt;=代码!$E66),"是","")</f>
        <v/>
      </c>
      <c r="R67" s="30" t="str">
        <f>IF(AND(R$3&gt;=代码!$D66,R$3&lt;=代码!$E66),"是","")</f>
        <v/>
      </c>
      <c r="S67" s="30" t="str">
        <f>IF(AND(S$3&gt;=代码!$D66,S$3&lt;=代码!$E66),"是","")</f>
        <v/>
      </c>
      <c r="T67" s="30" t="str">
        <f>IF(AND(T$3&gt;=代码!$D66,T$3&lt;=代码!$E66),"是","")</f>
        <v/>
      </c>
      <c r="U67" s="30" t="str">
        <f>IF(AND(U$3&gt;=代码!$D66,U$3&lt;=代码!$E66),"是","")</f>
        <v/>
      </c>
      <c r="V67" s="30" t="str">
        <f>IF(AND(V$3&gt;=代码!$D66,V$3&lt;=代码!$E66),"是","")</f>
        <v/>
      </c>
      <c r="W67" s="30" t="str">
        <f>IF(AND(W$3&gt;=代码!$D66,W$3&lt;=代码!$E66),"是","")</f>
        <v/>
      </c>
      <c r="X67" s="30" t="str">
        <f>IF(AND(X$3&gt;=代码!$D66,X$3&lt;=代码!$E66),"是","")</f>
        <v/>
      </c>
      <c r="Y67" s="30" t="str">
        <f>IF(AND(Y$3&gt;=代码!$D66,Y$3&lt;=代码!$E66),"是","")</f>
        <v/>
      </c>
      <c r="Z67" s="30" t="str">
        <f>IF(AND(Z$3&gt;=代码!$D66,Z$3&lt;=代码!$E66),"是","")</f>
        <v/>
      </c>
      <c r="AA67" s="30" t="str">
        <f>IF(AND(AA$3&gt;=代码!$D66,AA$3&lt;=代码!$E66),"是","")</f>
        <v/>
      </c>
      <c r="AB67" s="30" t="str">
        <f>IF(AND(AB$3&gt;=代码!$D66,AB$3&lt;=代码!$E66),"是","")</f>
        <v/>
      </c>
      <c r="AC67" s="30" t="str">
        <f>IF(AND(AC$3&gt;=代码!$D66,AC$3&lt;=代码!$E66),"是","")</f>
        <v/>
      </c>
      <c r="AD67" s="30" t="str">
        <f>IF(AND(AD$3&gt;=代码!$D66,AD$3&lt;=代码!$E66),"是","")</f>
        <v/>
      </c>
      <c r="AE67" s="30" t="str">
        <f>IF(AND(AE$3&gt;=代码!$D66,AE$3&lt;=代码!$E66),"是","")</f>
        <v/>
      </c>
      <c r="AF67" s="30" t="str">
        <f>IF(AND(AF$3&gt;=代码!$D66,AF$3&lt;=代码!$E66),"是","")</f>
        <v/>
      </c>
      <c r="AG67" s="30" t="str">
        <f>IF(AND(AG$3&gt;=代码!$D66,AG$3&lt;=代码!$E66),"是","")</f>
        <v/>
      </c>
    </row>
    <row r="68" spans="3:33">
      <c r="C68" s="30" t="str">
        <f>IFERROR(VLOOKUP(B68,员工信息表!N:O,2,FALSE),"")</f>
        <v>时段</v>
      </c>
      <c r="D68" s="30" t="str">
        <f>IF(AND(D$3&gt;=代码!$D67,D$3&lt;=代码!$E67),"是","")</f>
        <v/>
      </c>
      <c r="E68" s="30" t="str">
        <f>IF(AND(E$3&gt;=代码!$D67,E$3&lt;=代码!$E67),"是","")</f>
        <v/>
      </c>
      <c r="F68" s="30" t="str">
        <f>IF(AND(F$3&gt;=代码!$D67,F$3&lt;=代码!$E67),"是","")</f>
        <v/>
      </c>
      <c r="G68" s="30" t="str">
        <f>IF(AND(G$3&gt;=代码!$D67,G$3&lt;=代码!$E67),"是","")</f>
        <v/>
      </c>
      <c r="H68" s="30" t="str">
        <f>IF(AND(H$3&gt;=代码!$D67,H$3&lt;=代码!$E67),"是","")</f>
        <v/>
      </c>
      <c r="I68" s="30" t="str">
        <f>IF(AND(I$3&gt;=代码!$D67,I$3&lt;=代码!$E67),"是","")</f>
        <v/>
      </c>
      <c r="J68" s="30" t="str">
        <f>IF(AND(J$3&gt;=代码!$D67,J$3&lt;=代码!$E67),"是","")</f>
        <v/>
      </c>
      <c r="K68" s="30" t="str">
        <f>IF(AND(K$3&gt;=代码!$D67,K$3&lt;=代码!$E67),"是","")</f>
        <v/>
      </c>
      <c r="L68" s="30" t="str">
        <f>IF(AND(L$3&gt;=代码!$D67,L$3&lt;=代码!$E67),"是","")</f>
        <v/>
      </c>
      <c r="M68" s="30" t="str">
        <f>IF(AND(M$3&gt;=代码!$D67,M$3&lt;=代码!$E67),"是","")</f>
        <v/>
      </c>
      <c r="N68" s="30" t="str">
        <f>IF(AND(N$3&gt;=代码!$D67,N$3&lt;=代码!$E67),"是","")</f>
        <v/>
      </c>
      <c r="O68" s="30" t="str">
        <f>IF(AND(O$3&gt;=代码!$D67,O$3&lt;=代码!$E67),"是","")</f>
        <v/>
      </c>
      <c r="P68" s="30" t="str">
        <f>IF(AND(P$3&gt;=代码!$D67,P$3&lt;=代码!$E67),"是","")</f>
        <v/>
      </c>
      <c r="Q68" s="30" t="str">
        <f>IF(AND(Q$3&gt;=代码!$D67,Q$3&lt;=代码!$E67),"是","")</f>
        <v/>
      </c>
      <c r="R68" s="30" t="str">
        <f>IF(AND(R$3&gt;=代码!$D67,R$3&lt;=代码!$E67),"是","")</f>
        <v/>
      </c>
      <c r="S68" s="30" t="str">
        <f>IF(AND(S$3&gt;=代码!$D67,S$3&lt;=代码!$E67),"是","")</f>
        <v/>
      </c>
      <c r="T68" s="30" t="str">
        <f>IF(AND(T$3&gt;=代码!$D67,T$3&lt;=代码!$E67),"是","")</f>
        <v/>
      </c>
      <c r="U68" s="30" t="str">
        <f>IF(AND(U$3&gt;=代码!$D67,U$3&lt;=代码!$E67),"是","")</f>
        <v/>
      </c>
      <c r="V68" s="30" t="str">
        <f>IF(AND(V$3&gt;=代码!$D67,V$3&lt;=代码!$E67),"是","")</f>
        <v/>
      </c>
      <c r="W68" s="30" t="str">
        <f>IF(AND(W$3&gt;=代码!$D67,W$3&lt;=代码!$E67),"是","")</f>
        <v/>
      </c>
      <c r="X68" s="30" t="str">
        <f>IF(AND(X$3&gt;=代码!$D67,X$3&lt;=代码!$E67),"是","")</f>
        <v/>
      </c>
      <c r="Y68" s="30" t="str">
        <f>IF(AND(Y$3&gt;=代码!$D67,Y$3&lt;=代码!$E67),"是","")</f>
        <v/>
      </c>
      <c r="Z68" s="30" t="str">
        <f>IF(AND(Z$3&gt;=代码!$D67,Z$3&lt;=代码!$E67),"是","")</f>
        <v/>
      </c>
      <c r="AA68" s="30" t="str">
        <f>IF(AND(AA$3&gt;=代码!$D67,AA$3&lt;=代码!$E67),"是","")</f>
        <v/>
      </c>
      <c r="AB68" s="30" t="str">
        <f>IF(AND(AB$3&gt;=代码!$D67,AB$3&lt;=代码!$E67),"是","")</f>
        <v/>
      </c>
      <c r="AC68" s="30" t="str">
        <f>IF(AND(AC$3&gt;=代码!$D67,AC$3&lt;=代码!$E67),"是","")</f>
        <v/>
      </c>
      <c r="AD68" s="30" t="str">
        <f>IF(AND(AD$3&gt;=代码!$D67,AD$3&lt;=代码!$E67),"是","")</f>
        <v/>
      </c>
      <c r="AE68" s="30" t="str">
        <f>IF(AND(AE$3&gt;=代码!$D67,AE$3&lt;=代码!$E67),"是","")</f>
        <v/>
      </c>
      <c r="AF68" s="30" t="str">
        <f>IF(AND(AF$3&gt;=代码!$D67,AF$3&lt;=代码!$E67),"是","")</f>
        <v/>
      </c>
      <c r="AG68" s="30" t="str">
        <f>IF(AND(AG$3&gt;=代码!$D67,AG$3&lt;=代码!$E67),"是","")</f>
        <v/>
      </c>
    </row>
    <row r="69" spans="3:33">
      <c r="C69" s="30" t="str">
        <f>IFERROR(VLOOKUP(B69,员工信息表!N:O,2,FALSE),"")</f>
        <v>时段</v>
      </c>
      <c r="D69" s="30" t="str">
        <f>IF(AND(D$3&gt;=代码!$D68,D$3&lt;=代码!$E68),"是","")</f>
        <v/>
      </c>
      <c r="E69" s="30" t="str">
        <f>IF(AND(E$3&gt;=代码!$D68,E$3&lt;=代码!$E68),"是","")</f>
        <v/>
      </c>
      <c r="F69" s="30" t="str">
        <f>IF(AND(F$3&gt;=代码!$D68,F$3&lt;=代码!$E68),"是","")</f>
        <v/>
      </c>
      <c r="G69" s="30" t="str">
        <f>IF(AND(G$3&gt;=代码!$D68,G$3&lt;=代码!$E68),"是","")</f>
        <v/>
      </c>
      <c r="H69" s="30" t="str">
        <f>IF(AND(H$3&gt;=代码!$D68,H$3&lt;=代码!$E68),"是","")</f>
        <v/>
      </c>
      <c r="I69" s="30" t="str">
        <f>IF(AND(I$3&gt;=代码!$D68,I$3&lt;=代码!$E68),"是","")</f>
        <v/>
      </c>
      <c r="J69" s="30" t="str">
        <f>IF(AND(J$3&gt;=代码!$D68,J$3&lt;=代码!$E68),"是","")</f>
        <v/>
      </c>
      <c r="K69" s="30" t="str">
        <f>IF(AND(K$3&gt;=代码!$D68,K$3&lt;=代码!$E68),"是","")</f>
        <v/>
      </c>
      <c r="L69" s="30" t="str">
        <f>IF(AND(L$3&gt;=代码!$D68,L$3&lt;=代码!$E68),"是","")</f>
        <v/>
      </c>
      <c r="M69" s="30" t="str">
        <f>IF(AND(M$3&gt;=代码!$D68,M$3&lt;=代码!$E68),"是","")</f>
        <v/>
      </c>
      <c r="N69" s="30" t="str">
        <f>IF(AND(N$3&gt;=代码!$D68,N$3&lt;=代码!$E68),"是","")</f>
        <v/>
      </c>
      <c r="O69" s="30" t="str">
        <f>IF(AND(O$3&gt;=代码!$D68,O$3&lt;=代码!$E68),"是","")</f>
        <v/>
      </c>
      <c r="P69" s="30" t="str">
        <f>IF(AND(P$3&gt;=代码!$D68,P$3&lt;=代码!$E68),"是","")</f>
        <v/>
      </c>
      <c r="Q69" s="30" t="str">
        <f>IF(AND(Q$3&gt;=代码!$D68,Q$3&lt;=代码!$E68),"是","")</f>
        <v/>
      </c>
      <c r="R69" s="30" t="str">
        <f>IF(AND(R$3&gt;=代码!$D68,R$3&lt;=代码!$E68),"是","")</f>
        <v/>
      </c>
      <c r="S69" s="30" t="str">
        <f>IF(AND(S$3&gt;=代码!$D68,S$3&lt;=代码!$E68),"是","")</f>
        <v/>
      </c>
      <c r="T69" s="30" t="str">
        <f>IF(AND(T$3&gt;=代码!$D68,T$3&lt;=代码!$E68),"是","")</f>
        <v/>
      </c>
      <c r="U69" s="30" t="str">
        <f>IF(AND(U$3&gt;=代码!$D68,U$3&lt;=代码!$E68),"是","")</f>
        <v/>
      </c>
      <c r="V69" s="30" t="str">
        <f>IF(AND(V$3&gt;=代码!$D68,V$3&lt;=代码!$E68),"是","")</f>
        <v/>
      </c>
      <c r="W69" s="30" t="str">
        <f>IF(AND(W$3&gt;=代码!$D68,W$3&lt;=代码!$E68),"是","")</f>
        <v/>
      </c>
      <c r="X69" s="30" t="str">
        <f>IF(AND(X$3&gt;=代码!$D68,X$3&lt;=代码!$E68),"是","")</f>
        <v/>
      </c>
      <c r="Y69" s="30" t="str">
        <f>IF(AND(Y$3&gt;=代码!$D68,Y$3&lt;=代码!$E68),"是","")</f>
        <v/>
      </c>
      <c r="Z69" s="30" t="str">
        <f>IF(AND(Z$3&gt;=代码!$D68,Z$3&lt;=代码!$E68),"是","")</f>
        <v/>
      </c>
      <c r="AA69" s="30" t="str">
        <f>IF(AND(AA$3&gt;=代码!$D68,AA$3&lt;=代码!$E68),"是","")</f>
        <v/>
      </c>
      <c r="AB69" s="30" t="str">
        <f>IF(AND(AB$3&gt;=代码!$D68,AB$3&lt;=代码!$E68),"是","")</f>
        <v/>
      </c>
      <c r="AC69" s="30" t="str">
        <f>IF(AND(AC$3&gt;=代码!$D68,AC$3&lt;=代码!$E68),"是","")</f>
        <v/>
      </c>
      <c r="AD69" s="30" t="str">
        <f>IF(AND(AD$3&gt;=代码!$D68,AD$3&lt;=代码!$E68),"是","")</f>
        <v/>
      </c>
      <c r="AE69" s="30" t="str">
        <f>IF(AND(AE$3&gt;=代码!$D68,AE$3&lt;=代码!$E68),"是","")</f>
        <v/>
      </c>
      <c r="AF69" s="30" t="str">
        <f>IF(AND(AF$3&gt;=代码!$D68,AF$3&lt;=代码!$E68),"是","")</f>
        <v/>
      </c>
      <c r="AG69" s="30" t="str">
        <f>IF(AND(AG$3&gt;=代码!$D68,AG$3&lt;=代码!$E68),"是","")</f>
        <v/>
      </c>
    </row>
    <row r="70" spans="3:33">
      <c r="C70" s="30" t="str">
        <f>IFERROR(VLOOKUP(B70,员工信息表!N:O,2,FALSE),"")</f>
        <v>时段</v>
      </c>
      <c r="D70" s="30" t="str">
        <f>IF(AND(D$3&gt;=代码!$D69,D$3&lt;=代码!$E69),"是","")</f>
        <v/>
      </c>
      <c r="E70" s="30" t="str">
        <f>IF(AND(E$3&gt;=代码!$D69,E$3&lt;=代码!$E69),"是","")</f>
        <v/>
      </c>
      <c r="F70" s="30" t="str">
        <f>IF(AND(F$3&gt;=代码!$D69,F$3&lt;=代码!$E69),"是","")</f>
        <v/>
      </c>
      <c r="G70" s="30" t="str">
        <f>IF(AND(G$3&gt;=代码!$D69,G$3&lt;=代码!$E69),"是","")</f>
        <v/>
      </c>
      <c r="H70" s="30" t="str">
        <f>IF(AND(H$3&gt;=代码!$D69,H$3&lt;=代码!$E69),"是","")</f>
        <v/>
      </c>
      <c r="I70" s="30" t="str">
        <f>IF(AND(I$3&gt;=代码!$D69,I$3&lt;=代码!$E69),"是","")</f>
        <v/>
      </c>
      <c r="J70" s="30" t="str">
        <f>IF(AND(J$3&gt;=代码!$D69,J$3&lt;=代码!$E69),"是","")</f>
        <v/>
      </c>
      <c r="K70" s="30" t="str">
        <f>IF(AND(K$3&gt;=代码!$D69,K$3&lt;=代码!$E69),"是","")</f>
        <v/>
      </c>
      <c r="L70" s="30" t="str">
        <f>IF(AND(L$3&gt;=代码!$D69,L$3&lt;=代码!$E69),"是","")</f>
        <v/>
      </c>
      <c r="M70" s="30" t="str">
        <f>IF(AND(M$3&gt;=代码!$D69,M$3&lt;=代码!$E69),"是","")</f>
        <v/>
      </c>
      <c r="N70" s="30" t="str">
        <f>IF(AND(N$3&gt;=代码!$D69,N$3&lt;=代码!$E69),"是","")</f>
        <v/>
      </c>
      <c r="O70" s="30" t="str">
        <f>IF(AND(O$3&gt;=代码!$D69,O$3&lt;=代码!$E69),"是","")</f>
        <v/>
      </c>
      <c r="P70" s="30" t="str">
        <f>IF(AND(P$3&gt;=代码!$D69,P$3&lt;=代码!$E69),"是","")</f>
        <v/>
      </c>
      <c r="Q70" s="30" t="str">
        <f>IF(AND(Q$3&gt;=代码!$D69,Q$3&lt;=代码!$E69),"是","")</f>
        <v/>
      </c>
      <c r="R70" s="30" t="str">
        <f>IF(AND(R$3&gt;=代码!$D69,R$3&lt;=代码!$E69),"是","")</f>
        <v/>
      </c>
      <c r="S70" s="30" t="str">
        <f>IF(AND(S$3&gt;=代码!$D69,S$3&lt;=代码!$E69),"是","")</f>
        <v/>
      </c>
      <c r="T70" s="30" t="str">
        <f>IF(AND(T$3&gt;=代码!$D69,T$3&lt;=代码!$E69),"是","")</f>
        <v/>
      </c>
      <c r="U70" s="30" t="str">
        <f>IF(AND(U$3&gt;=代码!$D69,U$3&lt;=代码!$E69),"是","")</f>
        <v/>
      </c>
      <c r="V70" s="30" t="str">
        <f>IF(AND(V$3&gt;=代码!$D69,V$3&lt;=代码!$E69),"是","")</f>
        <v/>
      </c>
      <c r="W70" s="30" t="str">
        <f>IF(AND(W$3&gt;=代码!$D69,W$3&lt;=代码!$E69),"是","")</f>
        <v/>
      </c>
      <c r="X70" s="30" t="str">
        <f>IF(AND(X$3&gt;=代码!$D69,X$3&lt;=代码!$E69),"是","")</f>
        <v/>
      </c>
      <c r="Y70" s="30" t="str">
        <f>IF(AND(Y$3&gt;=代码!$D69,Y$3&lt;=代码!$E69),"是","")</f>
        <v/>
      </c>
      <c r="Z70" s="30" t="str">
        <f>IF(AND(Z$3&gt;=代码!$D69,Z$3&lt;=代码!$E69),"是","")</f>
        <v/>
      </c>
      <c r="AA70" s="30" t="str">
        <f>IF(AND(AA$3&gt;=代码!$D69,AA$3&lt;=代码!$E69),"是","")</f>
        <v/>
      </c>
      <c r="AB70" s="30" t="str">
        <f>IF(AND(AB$3&gt;=代码!$D69,AB$3&lt;=代码!$E69),"是","")</f>
        <v/>
      </c>
      <c r="AC70" s="30" t="str">
        <f>IF(AND(AC$3&gt;=代码!$D69,AC$3&lt;=代码!$E69),"是","")</f>
        <v/>
      </c>
      <c r="AD70" s="30" t="str">
        <f>IF(AND(AD$3&gt;=代码!$D69,AD$3&lt;=代码!$E69),"是","")</f>
        <v/>
      </c>
      <c r="AE70" s="30" t="str">
        <f>IF(AND(AE$3&gt;=代码!$D69,AE$3&lt;=代码!$E69),"是","")</f>
        <v/>
      </c>
      <c r="AF70" s="30" t="str">
        <f>IF(AND(AF$3&gt;=代码!$D69,AF$3&lt;=代码!$E69),"是","")</f>
        <v/>
      </c>
      <c r="AG70" s="30" t="str">
        <f>IF(AND(AG$3&gt;=代码!$D69,AG$3&lt;=代码!$E69),"是","")</f>
        <v/>
      </c>
    </row>
    <row r="71" spans="3:33">
      <c r="C71" s="30" t="str">
        <f>IFERROR(VLOOKUP(B71,员工信息表!N:O,2,FALSE),"")</f>
        <v>时段</v>
      </c>
      <c r="D71" s="30" t="str">
        <f>IF(AND(D$3&gt;=代码!$D70,D$3&lt;=代码!$E70),"是","")</f>
        <v/>
      </c>
      <c r="E71" s="30" t="str">
        <f>IF(AND(E$3&gt;=代码!$D70,E$3&lt;=代码!$E70),"是","")</f>
        <v/>
      </c>
      <c r="F71" s="30" t="str">
        <f>IF(AND(F$3&gt;=代码!$D70,F$3&lt;=代码!$E70),"是","")</f>
        <v/>
      </c>
      <c r="G71" s="30" t="str">
        <f>IF(AND(G$3&gt;=代码!$D70,G$3&lt;=代码!$E70),"是","")</f>
        <v/>
      </c>
      <c r="H71" s="30" t="str">
        <f>IF(AND(H$3&gt;=代码!$D70,H$3&lt;=代码!$E70),"是","")</f>
        <v/>
      </c>
      <c r="I71" s="30" t="str">
        <f>IF(AND(I$3&gt;=代码!$D70,I$3&lt;=代码!$E70),"是","")</f>
        <v/>
      </c>
      <c r="J71" s="30" t="str">
        <f>IF(AND(J$3&gt;=代码!$D70,J$3&lt;=代码!$E70),"是","")</f>
        <v/>
      </c>
      <c r="K71" s="30" t="str">
        <f>IF(AND(K$3&gt;=代码!$D70,K$3&lt;=代码!$E70),"是","")</f>
        <v/>
      </c>
      <c r="L71" s="30" t="str">
        <f>IF(AND(L$3&gt;=代码!$D70,L$3&lt;=代码!$E70),"是","")</f>
        <v/>
      </c>
      <c r="M71" s="30" t="str">
        <f>IF(AND(M$3&gt;=代码!$D70,M$3&lt;=代码!$E70),"是","")</f>
        <v/>
      </c>
      <c r="N71" s="30" t="str">
        <f>IF(AND(N$3&gt;=代码!$D70,N$3&lt;=代码!$E70),"是","")</f>
        <v/>
      </c>
      <c r="O71" s="30" t="str">
        <f>IF(AND(O$3&gt;=代码!$D70,O$3&lt;=代码!$E70),"是","")</f>
        <v/>
      </c>
      <c r="P71" s="30" t="str">
        <f>IF(AND(P$3&gt;=代码!$D70,P$3&lt;=代码!$E70),"是","")</f>
        <v/>
      </c>
      <c r="Q71" s="30" t="str">
        <f>IF(AND(Q$3&gt;=代码!$D70,Q$3&lt;=代码!$E70),"是","")</f>
        <v/>
      </c>
      <c r="R71" s="30" t="str">
        <f>IF(AND(R$3&gt;=代码!$D70,R$3&lt;=代码!$E70),"是","")</f>
        <v/>
      </c>
      <c r="S71" s="30" t="str">
        <f>IF(AND(S$3&gt;=代码!$D70,S$3&lt;=代码!$E70),"是","")</f>
        <v/>
      </c>
      <c r="T71" s="30" t="str">
        <f>IF(AND(T$3&gt;=代码!$D70,T$3&lt;=代码!$E70),"是","")</f>
        <v/>
      </c>
      <c r="U71" s="30" t="str">
        <f>IF(AND(U$3&gt;=代码!$D70,U$3&lt;=代码!$E70),"是","")</f>
        <v/>
      </c>
      <c r="V71" s="30" t="str">
        <f>IF(AND(V$3&gt;=代码!$D70,V$3&lt;=代码!$E70),"是","")</f>
        <v/>
      </c>
      <c r="W71" s="30" t="str">
        <f>IF(AND(W$3&gt;=代码!$D70,W$3&lt;=代码!$E70),"是","")</f>
        <v/>
      </c>
      <c r="X71" s="30" t="str">
        <f>IF(AND(X$3&gt;=代码!$D70,X$3&lt;=代码!$E70),"是","")</f>
        <v/>
      </c>
      <c r="Y71" s="30" t="str">
        <f>IF(AND(Y$3&gt;=代码!$D70,Y$3&lt;=代码!$E70),"是","")</f>
        <v/>
      </c>
      <c r="Z71" s="30" t="str">
        <f>IF(AND(Z$3&gt;=代码!$D70,Z$3&lt;=代码!$E70),"是","")</f>
        <v/>
      </c>
      <c r="AA71" s="30" t="str">
        <f>IF(AND(AA$3&gt;=代码!$D70,AA$3&lt;=代码!$E70),"是","")</f>
        <v/>
      </c>
      <c r="AB71" s="30" t="str">
        <f>IF(AND(AB$3&gt;=代码!$D70,AB$3&lt;=代码!$E70),"是","")</f>
        <v/>
      </c>
      <c r="AC71" s="30" t="str">
        <f>IF(AND(AC$3&gt;=代码!$D70,AC$3&lt;=代码!$E70),"是","")</f>
        <v/>
      </c>
      <c r="AD71" s="30" t="str">
        <f>IF(AND(AD$3&gt;=代码!$D70,AD$3&lt;=代码!$E70),"是","")</f>
        <v/>
      </c>
      <c r="AE71" s="30" t="str">
        <f>IF(AND(AE$3&gt;=代码!$D70,AE$3&lt;=代码!$E70),"是","")</f>
        <v/>
      </c>
      <c r="AF71" s="30" t="str">
        <f>IF(AND(AF$3&gt;=代码!$D70,AF$3&lt;=代码!$E70),"是","")</f>
        <v/>
      </c>
      <c r="AG71" s="30" t="str">
        <f>IF(AND(AG$3&gt;=代码!$D70,AG$3&lt;=代码!$E70),"是","")</f>
        <v/>
      </c>
    </row>
    <row r="72" spans="3:33">
      <c r="C72" s="30" t="str">
        <f>IFERROR(VLOOKUP(B72,员工信息表!N:O,2,FALSE),"")</f>
        <v>时段</v>
      </c>
      <c r="D72" s="30" t="str">
        <f>IF(AND(D$3&gt;=代码!$D71,D$3&lt;=代码!$E71),"是","")</f>
        <v/>
      </c>
      <c r="E72" s="30" t="str">
        <f>IF(AND(E$3&gt;=代码!$D71,E$3&lt;=代码!$E71),"是","")</f>
        <v/>
      </c>
      <c r="F72" s="30" t="str">
        <f>IF(AND(F$3&gt;=代码!$D71,F$3&lt;=代码!$E71),"是","")</f>
        <v/>
      </c>
      <c r="G72" s="30" t="str">
        <f>IF(AND(G$3&gt;=代码!$D71,G$3&lt;=代码!$E71),"是","")</f>
        <v/>
      </c>
      <c r="H72" s="30" t="str">
        <f>IF(AND(H$3&gt;=代码!$D71,H$3&lt;=代码!$E71),"是","")</f>
        <v/>
      </c>
      <c r="I72" s="30" t="str">
        <f>IF(AND(I$3&gt;=代码!$D71,I$3&lt;=代码!$E71),"是","")</f>
        <v/>
      </c>
      <c r="J72" s="30" t="str">
        <f>IF(AND(J$3&gt;=代码!$D71,J$3&lt;=代码!$E71),"是","")</f>
        <v/>
      </c>
      <c r="K72" s="30" t="str">
        <f>IF(AND(K$3&gt;=代码!$D71,K$3&lt;=代码!$E71),"是","")</f>
        <v/>
      </c>
      <c r="L72" s="30" t="str">
        <f>IF(AND(L$3&gt;=代码!$D71,L$3&lt;=代码!$E71),"是","")</f>
        <v/>
      </c>
      <c r="M72" s="30" t="str">
        <f>IF(AND(M$3&gt;=代码!$D71,M$3&lt;=代码!$E71),"是","")</f>
        <v/>
      </c>
      <c r="N72" s="30" t="str">
        <f>IF(AND(N$3&gt;=代码!$D71,N$3&lt;=代码!$E71),"是","")</f>
        <v/>
      </c>
      <c r="O72" s="30" t="str">
        <f>IF(AND(O$3&gt;=代码!$D71,O$3&lt;=代码!$E71),"是","")</f>
        <v/>
      </c>
      <c r="P72" s="30" t="str">
        <f>IF(AND(P$3&gt;=代码!$D71,P$3&lt;=代码!$E71),"是","")</f>
        <v/>
      </c>
      <c r="Q72" s="30" t="str">
        <f>IF(AND(Q$3&gt;=代码!$D71,Q$3&lt;=代码!$E71),"是","")</f>
        <v/>
      </c>
      <c r="R72" s="30" t="str">
        <f>IF(AND(R$3&gt;=代码!$D71,R$3&lt;=代码!$E71),"是","")</f>
        <v/>
      </c>
      <c r="S72" s="30" t="str">
        <f>IF(AND(S$3&gt;=代码!$D71,S$3&lt;=代码!$E71),"是","")</f>
        <v/>
      </c>
      <c r="T72" s="30" t="str">
        <f>IF(AND(T$3&gt;=代码!$D71,T$3&lt;=代码!$E71),"是","")</f>
        <v/>
      </c>
      <c r="U72" s="30" t="str">
        <f>IF(AND(U$3&gt;=代码!$D71,U$3&lt;=代码!$E71),"是","")</f>
        <v/>
      </c>
      <c r="V72" s="30" t="str">
        <f>IF(AND(V$3&gt;=代码!$D71,V$3&lt;=代码!$E71),"是","")</f>
        <v/>
      </c>
      <c r="W72" s="30" t="str">
        <f>IF(AND(W$3&gt;=代码!$D71,W$3&lt;=代码!$E71),"是","")</f>
        <v/>
      </c>
      <c r="X72" s="30" t="str">
        <f>IF(AND(X$3&gt;=代码!$D71,X$3&lt;=代码!$E71),"是","")</f>
        <v/>
      </c>
      <c r="Y72" s="30" t="str">
        <f>IF(AND(Y$3&gt;=代码!$D71,Y$3&lt;=代码!$E71),"是","")</f>
        <v/>
      </c>
      <c r="Z72" s="30" t="str">
        <f>IF(AND(Z$3&gt;=代码!$D71,Z$3&lt;=代码!$E71),"是","")</f>
        <v/>
      </c>
      <c r="AA72" s="30" t="str">
        <f>IF(AND(AA$3&gt;=代码!$D71,AA$3&lt;=代码!$E71),"是","")</f>
        <v/>
      </c>
      <c r="AB72" s="30" t="str">
        <f>IF(AND(AB$3&gt;=代码!$D71,AB$3&lt;=代码!$E71),"是","")</f>
        <v/>
      </c>
      <c r="AC72" s="30" t="str">
        <f>IF(AND(AC$3&gt;=代码!$D71,AC$3&lt;=代码!$E71),"是","")</f>
        <v/>
      </c>
      <c r="AD72" s="30" t="str">
        <f>IF(AND(AD$3&gt;=代码!$D71,AD$3&lt;=代码!$E71),"是","")</f>
        <v/>
      </c>
      <c r="AE72" s="30" t="str">
        <f>IF(AND(AE$3&gt;=代码!$D71,AE$3&lt;=代码!$E71),"是","")</f>
        <v/>
      </c>
      <c r="AF72" s="30" t="str">
        <f>IF(AND(AF$3&gt;=代码!$D71,AF$3&lt;=代码!$E71),"是","")</f>
        <v/>
      </c>
      <c r="AG72" s="30" t="str">
        <f>IF(AND(AG$3&gt;=代码!$D71,AG$3&lt;=代码!$E71),"是","")</f>
        <v/>
      </c>
    </row>
    <row r="73" spans="3:33">
      <c r="C73" s="30" t="str">
        <f>IFERROR(VLOOKUP(B73,员工信息表!N:O,2,FALSE),"")</f>
        <v>时段</v>
      </c>
      <c r="D73" s="30" t="str">
        <f>IF(AND(D$3&gt;=代码!$D72,D$3&lt;=代码!$E72),"是","")</f>
        <v/>
      </c>
      <c r="E73" s="30" t="str">
        <f>IF(AND(E$3&gt;=代码!$D72,E$3&lt;=代码!$E72),"是","")</f>
        <v/>
      </c>
      <c r="F73" s="30" t="str">
        <f>IF(AND(F$3&gt;=代码!$D72,F$3&lt;=代码!$E72),"是","")</f>
        <v/>
      </c>
      <c r="G73" s="30" t="str">
        <f>IF(AND(G$3&gt;=代码!$D72,G$3&lt;=代码!$E72),"是","")</f>
        <v/>
      </c>
      <c r="H73" s="30" t="str">
        <f>IF(AND(H$3&gt;=代码!$D72,H$3&lt;=代码!$E72),"是","")</f>
        <v/>
      </c>
      <c r="I73" s="30" t="str">
        <f>IF(AND(I$3&gt;=代码!$D72,I$3&lt;=代码!$E72),"是","")</f>
        <v/>
      </c>
      <c r="J73" s="30" t="str">
        <f>IF(AND(J$3&gt;=代码!$D72,J$3&lt;=代码!$E72),"是","")</f>
        <v/>
      </c>
      <c r="K73" s="30" t="str">
        <f>IF(AND(K$3&gt;=代码!$D72,K$3&lt;=代码!$E72),"是","")</f>
        <v/>
      </c>
      <c r="L73" s="30" t="str">
        <f>IF(AND(L$3&gt;=代码!$D72,L$3&lt;=代码!$E72),"是","")</f>
        <v/>
      </c>
      <c r="M73" s="30" t="str">
        <f>IF(AND(M$3&gt;=代码!$D72,M$3&lt;=代码!$E72),"是","")</f>
        <v/>
      </c>
      <c r="N73" s="30" t="str">
        <f>IF(AND(N$3&gt;=代码!$D72,N$3&lt;=代码!$E72),"是","")</f>
        <v/>
      </c>
      <c r="O73" s="30" t="str">
        <f>IF(AND(O$3&gt;=代码!$D72,O$3&lt;=代码!$E72),"是","")</f>
        <v/>
      </c>
      <c r="P73" s="30" t="str">
        <f>IF(AND(P$3&gt;=代码!$D72,P$3&lt;=代码!$E72),"是","")</f>
        <v/>
      </c>
      <c r="Q73" s="30" t="str">
        <f>IF(AND(Q$3&gt;=代码!$D72,Q$3&lt;=代码!$E72),"是","")</f>
        <v/>
      </c>
      <c r="R73" s="30" t="str">
        <f>IF(AND(R$3&gt;=代码!$D72,R$3&lt;=代码!$E72),"是","")</f>
        <v/>
      </c>
      <c r="S73" s="30" t="str">
        <f>IF(AND(S$3&gt;=代码!$D72,S$3&lt;=代码!$E72),"是","")</f>
        <v/>
      </c>
      <c r="T73" s="30" t="str">
        <f>IF(AND(T$3&gt;=代码!$D72,T$3&lt;=代码!$E72),"是","")</f>
        <v/>
      </c>
      <c r="U73" s="30" t="str">
        <f>IF(AND(U$3&gt;=代码!$D72,U$3&lt;=代码!$E72),"是","")</f>
        <v/>
      </c>
      <c r="V73" s="30" t="str">
        <f>IF(AND(V$3&gt;=代码!$D72,V$3&lt;=代码!$E72),"是","")</f>
        <v/>
      </c>
      <c r="W73" s="30" t="str">
        <f>IF(AND(W$3&gt;=代码!$D72,W$3&lt;=代码!$E72),"是","")</f>
        <v/>
      </c>
      <c r="X73" s="30" t="str">
        <f>IF(AND(X$3&gt;=代码!$D72,X$3&lt;=代码!$E72),"是","")</f>
        <v/>
      </c>
      <c r="Y73" s="30" t="str">
        <f>IF(AND(Y$3&gt;=代码!$D72,Y$3&lt;=代码!$E72),"是","")</f>
        <v/>
      </c>
      <c r="Z73" s="30" t="str">
        <f>IF(AND(Z$3&gt;=代码!$D72,Z$3&lt;=代码!$E72),"是","")</f>
        <v/>
      </c>
      <c r="AA73" s="30" t="str">
        <f>IF(AND(AA$3&gt;=代码!$D72,AA$3&lt;=代码!$E72),"是","")</f>
        <v/>
      </c>
      <c r="AB73" s="30" t="str">
        <f>IF(AND(AB$3&gt;=代码!$D72,AB$3&lt;=代码!$E72),"是","")</f>
        <v/>
      </c>
      <c r="AC73" s="30" t="str">
        <f>IF(AND(AC$3&gt;=代码!$D72,AC$3&lt;=代码!$E72),"是","")</f>
        <v/>
      </c>
      <c r="AD73" s="30" t="str">
        <f>IF(AND(AD$3&gt;=代码!$D72,AD$3&lt;=代码!$E72),"是","")</f>
        <v/>
      </c>
      <c r="AE73" s="30" t="str">
        <f>IF(AND(AE$3&gt;=代码!$D72,AE$3&lt;=代码!$E72),"是","")</f>
        <v/>
      </c>
      <c r="AF73" s="30" t="str">
        <f>IF(AND(AF$3&gt;=代码!$D72,AF$3&lt;=代码!$E72),"是","")</f>
        <v/>
      </c>
      <c r="AG73" s="30" t="str">
        <f>IF(AND(AG$3&gt;=代码!$D72,AG$3&lt;=代码!$E72),"是","")</f>
        <v/>
      </c>
    </row>
    <row r="74" spans="3:33">
      <c r="C74" s="30" t="str">
        <f>IFERROR(VLOOKUP(B74,员工信息表!N:O,2,FALSE),"")</f>
        <v>时段</v>
      </c>
      <c r="D74" s="30" t="str">
        <f>IF(AND(D$3&gt;=代码!$D73,D$3&lt;=代码!$E73),"是","")</f>
        <v/>
      </c>
      <c r="E74" s="30" t="str">
        <f>IF(AND(E$3&gt;=代码!$D73,E$3&lt;=代码!$E73),"是","")</f>
        <v/>
      </c>
      <c r="F74" s="30" t="str">
        <f>IF(AND(F$3&gt;=代码!$D73,F$3&lt;=代码!$E73),"是","")</f>
        <v/>
      </c>
      <c r="G74" s="30" t="str">
        <f>IF(AND(G$3&gt;=代码!$D73,G$3&lt;=代码!$E73),"是","")</f>
        <v/>
      </c>
      <c r="H74" s="30" t="str">
        <f>IF(AND(H$3&gt;=代码!$D73,H$3&lt;=代码!$E73),"是","")</f>
        <v/>
      </c>
      <c r="I74" s="30" t="str">
        <f>IF(AND(I$3&gt;=代码!$D73,I$3&lt;=代码!$E73),"是","")</f>
        <v/>
      </c>
      <c r="J74" s="30" t="str">
        <f>IF(AND(J$3&gt;=代码!$D73,J$3&lt;=代码!$E73),"是","")</f>
        <v/>
      </c>
      <c r="K74" s="30" t="str">
        <f>IF(AND(K$3&gt;=代码!$D73,K$3&lt;=代码!$E73),"是","")</f>
        <v/>
      </c>
      <c r="L74" s="30" t="str">
        <f>IF(AND(L$3&gt;=代码!$D73,L$3&lt;=代码!$E73),"是","")</f>
        <v/>
      </c>
      <c r="M74" s="30" t="str">
        <f>IF(AND(M$3&gt;=代码!$D73,M$3&lt;=代码!$E73),"是","")</f>
        <v/>
      </c>
      <c r="N74" s="30" t="str">
        <f>IF(AND(N$3&gt;=代码!$D73,N$3&lt;=代码!$E73),"是","")</f>
        <v/>
      </c>
      <c r="O74" s="30" t="str">
        <f>IF(AND(O$3&gt;=代码!$D73,O$3&lt;=代码!$E73),"是","")</f>
        <v/>
      </c>
      <c r="P74" s="30" t="str">
        <f>IF(AND(P$3&gt;=代码!$D73,P$3&lt;=代码!$E73),"是","")</f>
        <v/>
      </c>
      <c r="Q74" s="30" t="str">
        <f>IF(AND(Q$3&gt;=代码!$D73,Q$3&lt;=代码!$E73),"是","")</f>
        <v/>
      </c>
      <c r="R74" s="30" t="str">
        <f>IF(AND(R$3&gt;=代码!$D73,R$3&lt;=代码!$E73),"是","")</f>
        <v/>
      </c>
      <c r="S74" s="30" t="str">
        <f>IF(AND(S$3&gt;=代码!$D73,S$3&lt;=代码!$E73),"是","")</f>
        <v/>
      </c>
      <c r="T74" s="30" t="str">
        <f>IF(AND(T$3&gt;=代码!$D73,T$3&lt;=代码!$E73),"是","")</f>
        <v/>
      </c>
      <c r="U74" s="30" t="str">
        <f>IF(AND(U$3&gt;=代码!$D73,U$3&lt;=代码!$E73),"是","")</f>
        <v/>
      </c>
      <c r="V74" s="30" t="str">
        <f>IF(AND(V$3&gt;=代码!$D73,V$3&lt;=代码!$E73),"是","")</f>
        <v/>
      </c>
      <c r="W74" s="30" t="str">
        <f>IF(AND(W$3&gt;=代码!$D73,W$3&lt;=代码!$E73),"是","")</f>
        <v/>
      </c>
      <c r="X74" s="30" t="str">
        <f>IF(AND(X$3&gt;=代码!$D73,X$3&lt;=代码!$E73),"是","")</f>
        <v/>
      </c>
      <c r="Y74" s="30" t="str">
        <f>IF(AND(Y$3&gt;=代码!$D73,Y$3&lt;=代码!$E73),"是","")</f>
        <v/>
      </c>
      <c r="Z74" s="30" t="str">
        <f>IF(AND(Z$3&gt;=代码!$D73,Z$3&lt;=代码!$E73),"是","")</f>
        <v/>
      </c>
      <c r="AA74" s="30" t="str">
        <f>IF(AND(AA$3&gt;=代码!$D73,AA$3&lt;=代码!$E73),"是","")</f>
        <v/>
      </c>
      <c r="AB74" s="30" t="str">
        <f>IF(AND(AB$3&gt;=代码!$D73,AB$3&lt;=代码!$E73),"是","")</f>
        <v/>
      </c>
      <c r="AC74" s="30" t="str">
        <f>IF(AND(AC$3&gt;=代码!$D73,AC$3&lt;=代码!$E73),"是","")</f>
        <v/>
      </c>
      <c r="AD74" s="30" t="str">
        <f>IF(AND(AD$3&gt;=代码!$D73,AD$3&lt;=代码!$E73),"是","")</f>
        <v/>
      </c>
      <c r="AE74" s="30" t="str">
        <f>IF(AND(AE$3&gt;=代码!$D73,AE$3&lt;=代码!$E73),"是","")</f>
        <v/>
      </c>
      <c r="AF74" s="30" t="str">
        <f>IF(AND(AF$3&gt;=代码!$D73,AF$3&lt;=代码!$E73),"是","")</f>
        <v/>
      </c>
      <c r="AG74" s="30" t="str">
        <f>IF(AND(AG$3&gt;=代码!$D73,AG$3&lt;=代码!$E73),"是","")</f>
        <v/>
      </c>
    </row>
    <row r="75" spans="3:33">
      <c r="C75" s="30" t="str">
        <f>IFERROR(VLOOKUP(B75,员工信息表!N:O,2,FALSE),"")</f>
        <v>时段</v>
      </c>
      <c r="D75" s="30" t="str">
        <f>IF(AND(D$3&gt;=代码!$D74,D$3&lt;=代码!$E74),"是","")</f>
        <v/>
      </c>
      <c r="E75" s="30" t="str">
        <f>IF(AND(E$3&gt;=代码!$D74,E$3&lt;=代码!$E74),"是","")</f>
        <v/>
      </c>
      <c r="F75" s="30" t="str">
        <f>IF(AND(F$3&gt;=代码!$D74,F$3&lt;=代码!$E74),"是","")</f>
        <v/>
      </c>
      <c r="G75" s="30" t="str">
        <f>IF(AND(G$3&gt;=代码!$D74,G$3&lt;=代码!$E74),"是","")</f>
        <v/>
      </c>
      <c r="H75" s="30" t="str">
        <f>IF(AND(H$3&gt;=代码!$D74,H$3&lt;=代码!$E74),"是","")</f>
        <v/>
      </c>
      <c r="I75" s="30" t="str">
        <f>IF(AND(I$3&gt;=代码!$D74,I$3&lt;=代码!$E74),"是","")</f>
        <v/>
      </c>
      <c r="J75" s="30" t="str">
        <f>IF(AND(J$3&gt;=代码!$D74,J$3&lt;=代码!$E74),"是","")</f>
        <v/>
      </c>
      <c r="K75" s="30" t="str">
        <f>IF(AND(K$3&gt;=代码!$D74,K$3&lt;=代码!$E74),"是","")</f>
        <v/>
      </c>
      <c r="L75" s="30" t="str">
        <f>IF(AND(L$3&gt;=代码!$D74,L$3&lt;=代码!$E74),"是","")</f>
        <v/>
      </c>
      <c r="M75" s="30" t="str">
        <f>IF(AND(M$3&gt;=代码!$D74,M$3&lt;=代码!$E74),"是","")</f>
        <v/>
      </c>
      <c r="N75" s="30" t="str">
        <f>IF(AND(N$3&gt;=代码!$D74,N$3&lt;=代码!$E74),"是","")</f>
        <v/>
      </c>
      <c r="O75" s="30" t="str">
        <f>IF(AND(O$3&gt;=代码!$D74,O$3&lt;=代码!$E74),"是","")</f>
        <v/>
      </c>
      <c r="P75" s="30" t="str">
        <f>IF(AND(P$3&gt;=代码!$D74,P$3&lt;=代码!$E74),"是","")</f>
        <v/>
      </c>
      <c r="Q75" s="30" t="str">
        <f>IF(AND(Q$3&gt;=代码!$D74,Q$3&lt;=代码!$E74),"是","")</f>
        <v/>
      </c>
      <c r="R75" s="30" t="str">
        <f>IF(AND(R$3&gt;=代码!$D74,R$3&lt;=代码!$E74),"是","")</f>
        <v/>
      </c>
      <c r="S75" s="30" t="str">
        <f>IF(AND(S$3&gt;=代码!$D74,S$3&lt;=代码!$E74),"是","")</f>
        <v/>
      </c>
      <c r="T75" s="30" t="str">
        <f>IF(AND(T$3&gt;=代码!$D74,T$3&lt;=代码!$E74),"是","")</f>
        <v/>
      </c>
      <c r="U75" s="30" t="str">
        <f>IF(AND(U$3&gt;=代码!$D74,U$3&lt;=代码!$E74),"是","")</f>
        <v/>
      </c>
      <c r="V75" s="30" t="str">
        <f>IF(AND(V$3&gt;=代码!$D74,V$3&lt;=代码!$E74),"是","")</f>
        <v/>
      </c>
      <c r="W75" s="30" t="str">
        <f>IF(AND(W$3&gt;=代码!$D74,W$3&lt;=代码!$E74),"是","")</f>
        <v/>
      </c>
      <c r="X75" s="30" t="str">
        <f>IF(AND(X$3&gt;=代码!$D74,X$3&lt;=代码!$E74),"是","")</f>
        <v/>
      </c>
      <c r="Y75" s="30" t="str">
        <f>IF(AND(Y$3&gt;=代码!$D74,Y$3&lt;=代码!$E74),"是","")</f>
        <v/>
      </c>
      <c r="Z75" s="30" t="str">
        <f>IF(AND(Z$3&gt;=代码!$D74,Z$3&lt;=代码!$E74),"是","")</f>
        <v/>
      </c>
      <c r="AA75" s="30" t="str">
        <f>IF(AND(AA$3&gt;=代码!$D74,AA$3&lt;=代码!$E74),"是","")</f>
        <v/>
      </c>
      <c r="AB75" s="30" t="str">
        <f>IF(AND(AB$3&gt;=代码!$D74,AB$3&lt;=代码!$E74),"是","")</f>
        <v/>
      </c>
      <c r="AC75" s="30" t="str">
        <f>IF(AND(AC$3&gt;=代码!$D74,AC$3&lt;=代码!$E74),"是","")</f>
        <v/>
      </c>
      <c r="AD75" s="30" t="str">
        <f>IF(AND(AD$3&gt;=代码!$D74,AD$3&lt;=代码!$E74),"是","")</f>
        <v/>
      </c>
      <c r="AE75" s="30" t="str">
        <f>IF(AND(AE$3&gt;=代码!$D74,AE$3&lt;=代码!$E74),"是","")</f>
        <v/>
      </c>
      <c r="AF75" s="30" t="str">
        <f>IF(AND(AF$3&gt;=代码!$D74,AF$3&lt;=代码!$E74),"是","")</f>
        <v/>
      </c>
      <c r="AG75" s="30" t="str">
        <f>IF(AND(AG$3&gt;=代码!$D74,AG$3&lt;=代码!$E74),"是","")</f>
        <v/>
      </c>
    </row>
    <row r="76" spans="3:33">
      <c r="C76" s="30" t="str">
        <f>IFERROR(VLOOKUP(B76,员工信息表!N:O,2,FALSE),"")</f>
        <v>时段</v>
      </c>
      <c r="D76" s="30" t="str">
        <f>IF(AND(D$3&gt;=代码!$D75,D$3&lt;=代码!$E75),"是","")</f>
        <v/>
      </c>
      <c r="E76" s="30" t="str">
        <f>IF(AND(E$3&gt;=代码!$D75,E$3&lt;=代码!$E75),"是","")</f>
        <v/>
      </c>
      <c r="F76" s="30" t="str">
        <f>IF(AND(F$3&gt;=代码!$D75,F$3&lt;=代码!$E75),"是","")</f>
        <v/>
      </c>
      <c r="G76" s="30" t="str">
        <f>IF(AND(G$3&gt;=代码!$D75,G$3&lt;=代码!$E75),"是","")</f>
        <v/>
      </c>
      <c r="H76" s="30" t="str">
        <f>IF(AND(H$3&gt;=代码!$D75,H$3&lt;=代码!$E75),"是","")</f>
        <v/>
      </c>
      <c r="I76" s="30" t="str">
        <f>IF(AND(I$3&gt;=代码!$D75,I$3&lt;=代码!$E75),"是","")</f>
        <v/>
      </c>
      <c r="J76" s="30" t="str">
        <f>IF(AND(J$3&gt;=代码!$D75,J$3&lt;=代码!$E75),"是","")</f>
        <v/>
      </c>
      <c r="K76" s="30" t="str">
        <f>IF(AND(K$3&gt;=代码!$D75,K$3&lt;=代码!$E75),"是","")</f>
        <v/>
      </c>
      <c r="L76" s="30" t="str">
        <f>IF(AND(L$3&gt;=代码!$D75,L$3&lt;=代码!$E75),"是","")</f>
        <v/>
      </c>
      <c r="M76" s="30" t="str">
        <f>IF(AND(M$3&gt;=代码!$D75,M$3&lt;=代码!$E75),"是","")</f>
        <v/>
      </c>
      <c r="N76" s="30" t="str">
        <f>IF(AND(N$3&gt;=代码!$D75,N$3&lt;=代码!$E75),"是","")</f>
        <v/>
      </c>
      <c r="O76" s="30" t="str">
        <f>IF(AND(O$3&gt;=代码!$D75,O$3&lt;=代码!$E75),"是","")</f>
        <v/>
      </c>
      <c r="P76" s="30" t="str">
        <f>IF(AND(P$3&gt;=代码!$D75,P$3&lt;=代码!$E75),"是","")</f>
        <v/>
      </c>
      <c r="Q76" s="30" t="str">
        <f>IF(AND(Q$3&gt;=代码!$D75,Q$3&lt;=代码!$E75),"是","")</f>
        <v/>
      </c>
      <c r="R76" s="30" t="str">
        <f>IF(AND(R$3&gt;=代码!$D75,R$3&lt;=代码!$E75),"是","")</f>
        <v/>
      </c>
      <c r="S76" s="30" t="str">
        <f>IF(AND(S$3&gt;=代码!$D75,S$3&lt;=代码!$E75),"是","")</f>
        <v/>
      </c>
      <c r="T76" s="30" t="str">
        <f>IF(AND(T$3&gt;=代码!$D75,T$3&lt;=代码!$E75),"是","")</f>
        <v/>
      </c>
      <c r="U76" s="30" t="str">
        <f>IF(AND(U$3&gt;=代码!$D75,U$3&lt;=代码!$E75),"是","")</f>
        <v/>
      </c>
      <c r="V76" s="30" t="str">
        <f>IF(AND(V$3&gt;=代码!$D75,V$3&lt;=代码!$E75),"是","")</f>
        <v/>
      </c>
      <c r="W76" s="30" t="str">
        <f>IF(AND(W$3&gt;=代码!$D75,W$3&lt;=代码!$E75),"是","")</f>
        <v/>
      </c>
      <c r="X76" s="30" t="str">
        <f>IF(AND(X$3&gt;=代码!$D75,X$3&lt;=代码!$E75),"是","")</f>
        <v/>
      </c>
      <c r="Y76" s="30" t="str">
        <f>IF(AND(Y$3&gt;=代码!$D75,Y$3&lt;=代码!$E75),"是","")</f>
        <v/>
      </c>
      <c r="Z76" s="30" t="str">
        <f>IF(AND(Z$3&gt;=代码!$D75,Z$3&lt;=代码!$E75),"是","")</f>
        <v/>
      </c>
      <c r="AA76" s="30" t="str">
        <f>IF(AND(AA$3&gt;=代码!$D75,AA$3&lt;=代码!$E75),"是","")</f>
        <v/>
      </c>
      <c r="AB76" s="30" t="str">
        <f>IF(AND(AB$3&gt;=代码!$D75,AB$3&lt;=代码!$E75),"是","")</f>
        <v/>
      </c>
      <c r="AC76" s="30" t="str">
        <f>IF(AND(AC$3&gt;=代码!$D75,AC$3&lt;=代码!$E75),"是","")</f>
        <v/>
      </c>
      <c r="AD76" s="30" t="str">
        <f>IF(AND(AD$3&gt;=代码!$D75,AD$3&lt;=代码!$E75),"是","")</f>
        <v/>
      </c>
      <c r="AE76" s="30" t="str">
        <f>IF(AND(AE$3&gt;=代码!$D75,AE$3&lt;=代码!$E75),"是","")</f>
        <v/>
      </c>
      <c r="AF76" s="30" t="str">
        <f>IF(AND(AF$3&gt;=代码!$D75,AF$3&lt;=代码!$E75),"是","")</f>
        <v/>
      </c>
      <c r="AG76" s="30" t="str">
        <f>IF(AND(AG$3&gt;=代码!$D75,AG$3&lt;=代码!$E75),"是","")</f>
        <v/>
      </c>
    </row>
    <row r="77" spans="3:33">
      <c r="C77" s="30" t="str">
        <f>IFERROR(VLOOKUP(B77,员工信息表!N:O,2,FALSE),"")</f>
        <v>时段</v>
      </c>
      <c r="D77" s="30" t="str">
        <f>IF(AND(D$3&gt;=代码!$D76,D$3&lt;=代码!$E76),"是","")</f>
        <v/>
      </c>
      <c r="E77" s="30" t="str">
        <f>IF(AND(E$3&gt;=代码!$D76,E$3&lt;=代码!$E76),"是","")</f>
        <v/>
      </c>
      <c r="F77" s="30" t="str">
        <f>IF(AND(F$3&gt;=代码!$D76,F$3&lt;=代码!$E76),"是","")</f>
        <v/>
      </c>
      <c r="G77" s="30" t="str">
        <f>IF(AND(G$3&gt;=代码!$D76,G$3&lt;=代码!$E76),"是","")</f>
        <v/>
      </c>
      <c r="H77" s="30" t="str">
        <f>IF(AND(H$3&gt;=代码!$D76,H$3&lt;=代码!$E76),"是","")</f>
        <v/>
      </c>
      <c r="I77" s="30" t="str">
        <f>IF(AND(I$3&gt;=代码!$D76,I$3&lt;=代码!$E76),"是","")</f>
        <v/>
      </c>
      <c r="J77" s="30" t="str">
        <f>IF(AND(J$3&gt;=代码!$D76,J$3&lt;=代码!$E76),"是","")</f>
        <v/>
      </c>
      <c r="K77" s="30" t="str">
        <f>IF(AND(K$3&gt;=代码!$D76,K$3&lt;=代码!$E76),"是","")</f>
        <v/>
      </c>
      <c r="L77" s="30" t="str">
        <f>IF(AND(L$3&gt;=代码!$D76,L$3&lt;=代码!$E76),"是","")</f>
        <v/>
      </c>
      <c r="M77" s="30" t="str">
        <f>IF(AND(M$3&gt;=代码!$D76,M$3&lt;=代码!$E76),"是","")</f>
        <v/>
      </c>
      <c r="N77" s="30" t="str">
        <f>IF(AND(N$3&gt;=代码!$D76,N$3&lt;=代码!$E76),"是","")</f>
        <v/>
      </c>
      <c r="O77" s="30" t="str">
        <f>IF(AND(O$3&gt;=代码!$D76,O$3&lt;=代码!$E76),"是","")</f>
        <v/>
      </c>
      <c r="P77" s="30" t="str">
        <f>IF(AND(P$3&gt;=代码!$D76,P$3&lt;=代码!$E76),"是","")</f>
        <v/>
      </c>
      <c r="Q77" s="30" t="str">
        <f>IF(AND(Q$3&gt;=代码!$D76,Q$3&lt;=代码!$E76),"是","")</f>
        <v/>
      </c>
      <c r="R77" s="30" t="str">
        <f>IF(AND(R$3&gt;=代码!$D76,R$3&lt;=代码!$E76),"是","")</f>
        <v/>
      </c>
      <c r="S77" s="30" t="str">
        <f>IF(AND(S$3&gt;=代码!$D76,S$3&lt;=代码!$E76),"是","")</f>
        <v/>
      </c>
      <c r="T77" s="30" t="str">
        <f>IF(AND(T$3&gt;=代码!$D76,T$3&lt;=代码!$E76),"是","")</f>
        <v/>
      </c>
      <c r="U77" s="30" t="str">
        <f>IF(AND(U$3&gt;=代码!$D76,U$3&lt;=代码!$E76),"是","")</f>
        <v/>
      </c>
      <c r="V77" s="30" t="str">
        <f>IF(AND(V$3&gt;=代码!$D76,V$3&lt;=代码!$E76),"是","")</f>
        <v/>
      </c>
      <c r="W77" s="30" t="str">
        <f>IF(AND(W$3&gt;=代码!$D76,W$3&lt;=代码!$E76),"是","")</f>
        <v/>
      </c>
      <c r="X77" s="30" t="str">
        <f>IF(AND(X$3&gt;=代码!$D76,X$3&lt;=代码!$E76),"是","")</f>
        <v/>
      </c>
      <c r="Y77" s="30" t="str">
        <f>IF(AND(Y$3&gt;=代码!$D76,Y$3&lt;=代码!$E76),"是","")</f>
        <v/>
      </c>
      <c r="Z77" s="30" t="str">
        <f>IF(AND(Z$3&gt;=代码!$D76,Z$3&lt;=代码!$E76),"是","")</f>
        <v/>
      </c>
      <c r="AA77" s="30" t="str">
        <f>IF(AND(AA$3&gt;=代码!$D76,AA$3&lt;=代码!$E76),"是","")</f>
        <v/>
      </c>
      <c r="AB77" s="30" t="str">
        <f>IF(AND(AB$3&gt;=代码!$D76,AB$3&lt;=代码!$E76),"是","")</f>
        <v/>
      </c>
      <c r="AC77" s="30" t="str">
        <f>IF(AND(AC$3&gt;=代码!$D76,AC$3&lt;=代码!$E76),"是","")</f>
        <v/>
      </c>
      <c r="AD77" s="30" t="str">
        <f>IF(AND(AD$3&gt;=代码!$D76,AD$3&lt;=代码!$E76),"是","")</f>
        <v/>
      </c>
      <c r="AE77" s="30" t="str">
        <f>IF(AND(AE$3&gt;=代码!$D76,AE$3&lt;=代码!$E76),"是","")</f>
        <v/>
      </c>
      <c r="AF77" s="30" t="str">
        <f>IF(AND(AF$3&gt;=代码!$D76,AF$3&lt;=代码!$E76),"是","")</f>
        <v/>
      </c>
      <c r="AG77" s="30" t="str">
        <f>IF(AND(AG$3&gt;=代码!$D76,AG$3&lt;=代码!$E76),"是","")</f>
        <v/>
      </c>
    </row>
    <row r="78" spans="3:33">
      <c r="C78" s="30" t="str">
        <f>IFERROR(VLOOKUP(B78,员工信息表!N:O,2,FALSE),"")</f>
        <v>时段</v>
      </c>
      <c r="D78" s="30" t="str">
        <f>IF(AND(D$3&gt;=代码!$D77,D$3&lt;=代码!$E77),"是","")</f>
        <v/>
      </c>
      <c r="E78" s="30" t="str">
        <f>IF(AND(E$3&gt;=代码!$D77,E$3&lt;=代码!$E77),"是","")</f>
        <v/>
      </c>
      <c r="F78" s="30" t="str">
        <f>IF(AND(F$3&gt;=代码!$D77,F$3&lt;=代码!$E77),"是","")</f>
        <v/>
      </c>
      <c r="G78" s="30" t="str">
        <f>IF(AND(G$3&gt;=代码!$D77,G$3&lt;=代码!$E77),"是","")</f>
        <v/>
      </c>
      <c r="H78" s="30" t="str">
        <f>IF(AND(H$3&gt;=代码!$D77,H$3&lt;=代码!$E77),"是","")</f>
        <v/>
      </c>
      <c r="I78" s="30" t="str">
        <f>IF(AND(I$3&gt;=代码!$D77,I$3&lt;=代码!$E77),"是","")</f>
        <v/>
      </c>
      <c r="J78" s="30" t="str">
        <f>IF(AND(J$3&gt;=代码!$D77,J$3&lt;=代码!$E77),"是","")</f>
        <v/>
      </c>
      <c r="K78" s="30" t="str">
        <f>IF(AND(K$3&gt;=代码!$D77,K$3&lt;=代码!$E77),"是","")</f>
        <v/>
      </c>
      <c r="L78" s="30" t="str">
        <f>IF(AND(L$3&gt;=代码!$D77,L$3&lt;=代码!$E77),"是","")</f>
        <v/>
      </c>
      <c r="M78" s="30" t="str">
        <f>IF(AND(M$3&gt;=代码!$D77,M$3&lt;=代码!$E77),"是","")</f>
        <v/>
      </c>
      <c r="N78" s="30" t="str">
        <f>IF(AND(N$3&gt;=代码!$D77,N$3&lt;=代码!$E77),"是","")</f>
        <v/>
      </c>
      <c r="O78" s="30" t="str">
        <f>IF(AND(O$3&gt;=代码!$D77,O$3&lt;=代码!$E77),"是","")</f>
        <v/>
      </c>
      <c r="P78" s="30" t="str">
        <f>IF(AND(P$3&gt;=代码!$D77,P$3&lt;=代码!$E77),"是","")</f>
        <v/>
      </c>
      <c r="Q78" s="30" t="str">
        <f>IF(AND(Q$3&gt;=代码!$D77,Q$3&lt;=代码!$E77),"是","")</f>
        <v/>
      </c>
      <c r="R78" s="30" t="str">
        <f>IF(AND(R$3&gt;=代码!$D77,R$3&lt;=代码!$E77),"是","")</f>
        <v/>
      </c>
      <c r="S78" s="30" t="str">
        <f>IF(AND(S$3&gt;=代码!$D77,S$3&lt;=代码!$E77),"是","")</f>
        <v/>
      </c>
      <c r="T78" s="30" t="str">
        <f>IF(AND(T$3&gt;=代码!$D77,T$3&lt;=代码!$E77),"是","")</f>
        <v/>
      </c>
      <c r="U78" s="30" t="str">
        <f>IF(AND(U$3&gt;=代码!$D77,U$3&lt;=代码!$E77),"是","")</f>
        <v/>
      </c>
      <c r="V78" s="30" t="str">
        <f>IF(AND(V$3&gt;=代码!$D77,V$3&lt;=代码!$E77),"是","")</f>
        <v/>
      </c>
      <c r="W78" s="30" t="str">
        <f>IF(AND(W$3&gt;=代码!$D77,W$3&lt;=代码!$E77),"是","")</f>
        <v/>
      </c>
      <c r="X78" s="30" t="str">
        <f>IF(AND(X$3&gt;=代码!$D77,X$3&lt;=代码!$E77),"是","")</f>
        <v/>
      </c>
      <c r="Y78" s="30" t="str">
        <f>IF(AND(Y$3&gt;=代码!$D77,Y$3&lt;=代码!$E77),"是","")</f>
        <v/>
      </c>
      <c r="Z78" s="30" t="str">
        <f>IF(AND(Z$3&gt;=代码!$D77,Z$3&lt;=代码!$E77),"是","")</f>
        <v/>
      </c>
      <c r="AA78" s="30" t="str">
        <f>IF(AND(AA$3&gt;=代码!$D77,AA$3&lt;=代码!$E77),"是","")</f>
        <v/>
      </c>
      <c r="AB78" s="30" t="str">
        <f>IF(AND(AB$3&gt;=代码!$D77,AB$3&lt;=代码!$E77),"是","")</f>
        <v/>
      </c>
      <c r="AC78" s="30" t="str">
        <f>IF(AND(AC$3&gt;=代码!$D77,AC$3&lt;=代码!$E77),"是","")</f>
        <v/>
      </c>
      <c r="AD78" s="30" t="str">
        <f>IF(AND(AD$3&gt;=代码!$D77,AD$3&lt;=代码!$E77),"是","")</f>
        <v/>
      </c>
      <c r="AE78" s="30" t="str">
        <f>IF(AND(AE$3&gt;=代码!$D77,AE$3&lt;=代码!$E77),"是","")</f>
        <v/>
      </c>
      <c r="AF78" s="30" t="str">
        <f>IF(AND(AF$3&gt;=代码!$D77,AF$3&lt;=代码!$E77),"是","")</f>
        <v/>
      </c>
      <c r="AG78" s="30" t="str">
        <f>IF(AND(AG$3&gt;=代码!$D77,AG$3&lt;=代码!$E77),"是","")</f>
        <v/>
      </c>
    </row>
    <row r="79" spans="3:33">
      <c r="C79" s="30" t="str">
        <f>IFERROR(VLOOKUP(B79,员工信息表!N:O,2,FALSE),"")</f>
        <v>时段</v>
      </c>
      <c r="D79" s="30" t="str">
        <f>IF(AND(D$3&gt;=代码!$D78,D$3&lt;=代码!$E78),"是","")</f>
        <v/>
      </c>
      <c r="E79" s="30" t="str">
        <f>IF(AND(E$3&gt;=代码!$D78,E$3&lt;=代码!$E78),"是","")</f>
        <v/>
      </c>
      <c r="F79" s="30" t="str">
        <f>IF(AND(F$3&gt;=代码!$D78,F$3&lt;=代码!$E78),"是","")</f>
        <v/>
      </c>
      <c r="G79" s="30" t="str">
        <f>IF(AND(G$3&gt;=代码!$D78,G$3&lt;=代码!$E78),"是","")</f>
        <v/>
      </c>
      <c r="H79" s="30" t="str">
        <f>IF(AND(H$3&gt;=代码!$D78,H$3&lt;=代码!$E78),"是","")</f>
        <v/>
      </c>
      <c r="I79" s="30" t="str">
        <f>IF(AND(I$3&gt;=代码!$D78,I$3&lt;=代码!$E78),"是","")</f>
        <v/>
      </c>
      <c r="J79" s="30" t="str">
        <f>IF(AND(J$3&gt;=代码!$D78,J$3&lt;=代码!$E78),"是","")</f>
        <v/>
      </c>
      <c r="K79" s="30" t="str">
        <f>IF(AND(K$3&gt;=代码!$D78,K$3&lt;=代码!$E78),"是","")</f>
        <v/>
      </c>
      <c r="L79" s="30" t="str">
        <f>IF(AND(L$3&gt;=代码!$D78,L$3&lt;=代码!$E78),"是","")</f>
        <v/>
      </c>
      <c r="M79" s="30" t="str">
        <f>IF(AND(M$3&gt;=代码!$D78,M$3&lt;=代码!$E78),"是","")</f>
        <v/>
      </c>
      <c r="N79" s="30" t="str">
        <f>IF(AND(N$3&gt;=代码!$D78,N$3&lt;=代码!$E78),"是","")</f>
        <v/>
      </c>
      <c r="O79" s="30" t="str">
        <f>IF(AND(O$3&gt;=代码!$D78,O$3&lt;=代码!$E78),"是","")</f>
        <v/>
      </c>
      <c r="P79" s="30" t="str">
        <f>IF(AND(P$3&gt;=代码!$D78,P$3&lt;=代码!$E78),"是","")</f>
        <v/>
      </c>
      <c r="Q79" s="30" t="str">
        <f>IF(AND(Q$3&gt;=代码!$D78,Q$3&lt;=代码!$E78),"是","")</f>
        <v/>
      </c>
      <c r="R79" s="30" t="str">
        <f>IF(AND(R$3&gt;=代码!$D78,R$3&lt;=代码!$E78),"是","")</f>
        <v/>
      </c>
      <c r="S79" s="30" t="str">
        <f>IF(AND(S$3&gt;=代码!$D78,S$3&lt;=代码!$E78),"是","")</f>
        <v/>
      </c>
      <c r="T79" s="30" t="str">
        <f>IF(AND(T$3&gt;=代码!$D78,T$3&lt;=代码!$E78),"是","")</f>
        <v/>
      </c>
      <c r="U79" s="30" t="str">
        <f>IF(AND(U$3&gt;=代码!$D78,U$3&lt;=代码!$E78),"是","")</f>
        <v/>
      </c>
      <c r="V79" s="30" t="str">
        <f>IF(AND(V$3&gt;=代码!$D78,V$3&lt;=代码!$E78),"是","")</f>
        <v/>
      </c>
      <c r="W79" s="30" t="str">
        <f>IF(AND(W$3&gt;=代码!$D78,W$3&lt;=代码!$E78),"是","")</f>
        <v/>
      </c>
      <c r="X79" s="30" t="str">
        <f>IF(AND(X$3&gt;=代码!$D78,X$3&lt;=代码!$E78),"是","")</f>
        <v/>
      </c>
      <c r="Y79" s="30" t="str">
        <f>IF(AND(Y$3&gt;=代码!$D78,Y$3&lt;=代码!$E78),"是","")</f>
        <v/>
      </c>
      <c r="Z79" s="30" t="str">
        <f>IF(AND(Z$3&gt;=代码!$D78,Z$3&lt;=代码!$E78),"是","")</f>
        <v/>
      </c>
      <c r="AA79" s="30" t="str">
        <f>IF(AND(AA$3&gt;=代码!$D78,AA$3&lt;=代码!$E78),"是","")</f>
        <v/>
      </c>
      <c r="AB79" s="30" t="str">
        <f>IF(AND(AB$3&gt;=代码!$D78,AB$3&lt;=代码!$E78),"是","")</f>
        <v/>
      </c>
      <c r="AC79" s="30" t="str">
        <f>IF(AND(AC$3&gt;=代码!$D78,AC$3&lt;=代码!$E78),"是","")</f>
        <v/>
      </c>
      <c r="AD79" s="30" t="str">
        <f>IF(AND(AD$3&gt;=代码!$D78,AD$3&lt;=代码!$E78),"是","")</f>
        <v/>
      </c>
      <c r="AE79" s="30" t="str">
        <f>IF(AND(AE$3&gt;=代码!$D78,AE$3&lt;=代码!$E78),"是","")</f>
        <v/>
      </c>
      <c r="AF79" s="30" t="str">
        <f>IF(AND(AF$3&gt;=代码!$D78,AF$3&lt;=代码!$E78),"是","")</f>
        <v/>
      </c>
      <c r="AG79" s="30" t="str">
        <f>IF(AND(AG$3&gt;=代码!$D78,AG$3&lt;=代码!$E78),"是","")</f>
        <v/>
      </c>
    </row>
    <row r="80" spans="3:33">
      <c r="C80" s="30" t="str">
        <f>IFERROR(VLOOKUP(B80,员工信息表!N:O,2,FALSE),"")</f>
        <v>时段</v>
      </c>
      <c r="D80" s="30" t="str">
        <f>IF(AND(D$3&gt;=代码!$D79,D$3&lt;=代码!$E79),"是","")</f>
        <v/>
      </c>
      <c r="E80" s="30" t="str">
        <f>IF(AND(E$3&gt;=代码!$D79,E$3&lt;=代码!$E79),"是","")</f>
        <v/>
      </c>
      <c r="F80" s="30" t="str">
        <f>IF(AND(F$3&gt;=代码!$D79,F$3&lt;=代码!$E79),"是","")</f>
        <v/>
      </c>
      <c r="G80" s="30" t="str">
        <f>IF(AND(G$3&gt;=代码!$D79,G$3&lt;=代码!$E79),"是","")</f>
        <v/>
      </c>
      <c r="H80" s="30" t="str">
        <f>IF(AND(H$3&gt;=代码!$D79,H$3&lt;=代码!$E79),"是","")</f>
        <v/>
      </c>
      <c r="I80" s="30" t="str">
        <f>IF(AND(I$3&gt;=代码!$D79,I$3&lt;=代码!$E79),"是","")</f>
        <v/>
      </c>
      <c r="J80" s="30" t="str">
        <f>IF(AND(J$3&gt;=代码!$D79,J$3&lt;=代码!$E79),"是","")</f>
        <v/>
      </c>
      <c r="K80" s="30" t="str">
        <f>IF(AND(K$3&gt;=代码!$D79,K$3&lt;=代码!$E79),"是","")</f>
        <v/>
      </c>
      <c r="L80" s="30" t="str">
        <f>IF(AND(L$3&gt;=代码!$D79,L$3&lt;=代码!$E79),"是","")</f>
        <v/>
      </c>
      <c r="M80" s="30" t="str">
        <f>IF(AND(M$3&gt;=代码!$D79,M$3&lt;=代码!$E79),"是","")</f>
        <v/>
      </c>
      <c r="N80" s="30" t="str">
        <f>IF(AND(N$3&gt;=代码!$D79,N$3&lt;=代码!$E79),"是","")</f>
        <v/>
      </c>
      <c r="O80" s="30" t="str">
        <f>IF(AND(O$3&gt;=代码!$D79,O$3&lt;=代码!$E79),"是","")</f>
        <v/>
      </c>
      <c r="P80" s="30" t="str">
        <f>IF(AND(P$3&gt;=代码!$D79,P$3&lt;=代码!$E79),"是","")</f>
        <v/>
      </c>
      <c r="Q80" s="30" t="str">
        <f>IF(AND(Q$3&gt;=代码!$D79,Q$3&lt;=代码!$E79),"是","")</f>
        <v/>
      </c>
      <c r="R80" s="30" t="str">
        <f>IF(AND(R$3&gt;=代码!$D79,R$3&lt;=代码!$E79),"是","")</f>
        <v/>
      </c>
      <c r="S80" s="30" t="str">
        <f>IF(AND(S$3&gt;=代码!$D79,S$3&lt;=代码!$E79),"是","")</f>
        <v/>
      </c>
      <c r="T80" s="30" t="str">
        <f>IF(AND(T$3&gt;=代码!$D79,T$3&lt;=代码!$E79),"是","")</f>
        <v/>
      </c>
      <c r="U80" s="30" t="str">
        <f>IF(AND(U$3&gt;=代码!$D79,U$3&lt;=代码!$E79),"是","")</f>
        <v/>
      </c>
      <c r="V80" s="30" t="str">
        <f>IF(AND(V$3&gt;=代码!$D79,V$3&lt;=代码!$E79),"是","")</f>
        <v/>
      </c>
      <c r="W80" s="30" t="str">
        <f>IF(AND(W$3&gt;=代码!$D79,W$3&lt;=代码!$E79),"是","")</f>
        <v/>
      </c>
      <c r="X80" s="30" t="str">
        <f>IF(AND(X$3&gt;=代码!$D79,X$3&lt;=代码!$E79),"是","")</f>
        <v/>
      </c>
      <c r="Y80" s="30" t="str">
        <f>IF(AND(Y$3&gt;=代码!$D79,Y$3&lt;=代码!$E79),"是","")</f>
        <v/>
      </c>
      <c r="Z80" s="30" t="str">
        <f>IF(AND(Z$3&gt;=代码!$D79,Z$3&lt;=代码!$E79),"是","")</f>
        <v/>
      </c>
      <c r="AA80" s="30" t="str">
        <f>IF(AND(AA$3&gt;=代码!$D79,AA$3&lt;=代码!$E79),"是","")</f>
        <v/>
      </c>
      <c r="AB80" s="30" t="str">
        <f>IF(AND(AB$3&gt;=代码!$D79,AB$3&lt;=代码!$E79),"是","")</f>
        <v/>
      </c>
      <c r="AC80" s="30" t="str">
        <f>IF(AND(AC$3&gt;=代码!$D79,AC$3&lt;=代码!$E79),"是","")</f>
        <v/>
      </c>
      <c r="AD80" s="30" t="str">
        <f>IF(AND(AD$3&gt;=代码!$D79,AD$3&lt;=代码!$E79),"是","")</f>
        <v/>
      </c>
      <c r="AE80" s="30" t="str">
        <f>IF(AND(AE$3&gt;=代码!$D79,AE$3&lt;=代码!$E79),"是","")</f>
        <v/>
      </c>
      <c r="AF80" s="30" t="str">
        <f>IF(AND(AF$3&gt;=代码!$D79,AF$3&lt;=代码!$E79),"是","")</f>
        <v/>
      </c>
      <c r="AG80" s="30" t="str">
        <f>IF(AND(AG$3&gt;=代码!$D79,AG$3&lt;=代码!$E79),"是","")</f>
        <v/>
      </c>
    </row>
    <row r="81" spans="3:33">
      <c r="C81" s="30" t="str">
        <f>IFERROR(VLOOKUP(B81,员工信息表!N:O,2,FALSE),"")</f>
        <v>时段</v>
      </c>
      <c r="D81" s="30" t="str">
        <f>IF(AND(D$3&gt;=代码!$D80,D$3&lt;=代码!$E80),"是","")</f>
        <v/>
      </c>
      <c r="E81" s="30" t="str">
        <f>IF(AND(E$3&gt;=代码!$D80,E$3&lt;=代码!$E80),"是","")</f>
        <v/>
      </c>
      <c r="F81" s="30" t="str">
        <f>IF(AND(F$3&gt;=代码!$D80,F$3&lt;=代码!$E80),"是","")</f>
        <v/>
      </c>
      <c r="G81" s="30" t="str">
        <f>IF(AND(G$3&gt;=代码!$D80,G$3&lt;=代码!$E80),"是","")</f>
        <v/>
      </c>
      <c r="H81" s="30" t="str">
        <f>IF(AND(H$3&gt;=代码!$D80,H$3&lt;=代码!$E80),"是","")</f>
        <v/>
      </c>
      <c r="I81" s="30" t="str">
        <f>IF(AND(I$3&gt;=代码!$D80,I$3&lt;=代码!$E80),"是","")</f>
        <v/>
      </c>
      <c r="J81" s="30" t="str">
        <f>IF(AND(J$3&gt;=代码!$D80,J$3&lt;=代码!$E80),"是","")</f>
        <v/>
      </c>
      <c r="K81" s="30" t="str">
        <f>IF(AND(K$3&gt;=代码!$D80,K$3&lt;=代码!$E80),"是","")</f>
        <v/>
      </c>
      <c r="L81" s="30" t="str">
        <f>IF(AND(L$3&gt;=代码!$D80,L$3&lt;=代码!$E80),"是","")</f>
        <v/>
      </c>
      <c r="M81" s="30" t="str">
        <f>IF(AND(M$3&gt;=代码!$D80,M$3&lt;=代码!$E80),"是","")</f>
        <v/>
      </c>
      <c r="N81" s="30" t="str">
        <f>IF(AND(N$3&gt;=代码!$D80,N$3&lt;=代码!$E80),"是","")</f>
        <v/>
      </c>
      <c r="O81" s="30" t="str">
        <f>IF(AND(O$3&gt;=代码!$D80,O$3&lt;=代码!$E80),"是","")</f>
        <v/>
      </c>
      <c r="P81" s="30" t="str">
        <f>IF(AND(P$3&gt;=代码!$D80,P$3&lt;=代码!$E80),"是","")</f>
        <v/>
      </c>
      <c r="Q81" s="30" t="str">
        <f>IF(AND(Q$3&gt;=代码!$D80,Q$3&lt;=代码!$E80),"是","")</f>
        <v/>
      </c>
      <c r="R81" s="30" t="str">
        <f>IF(AND(R$3&gt;=代码!$D80,R$3&lt;=代码!$E80),"是","")</f>
        <v/>
      </c>
      <c r="S81" s="30" t="str">
        <f>IF(AND(S$3&gt;=代码!$D80,S$3&lt;=代码!$E80),"是","")</f>
        <v/>
      </c>
      <c r="T81" s="30" t="str">
        <f>IF(AND(T$3&gt;=代码!$D80,T$3&lt;=代码!$E80),"是","")</f>
        <v/>
      </c>
      <c r="U81" s="30" t="str">
        <f>IF(AND(U$3&gt;=代码!$D80,U$3&lt;=代码!$E80),"是","")</f>
        <v/>
      </c>
      <c r="V81" s="30" t="str">
        <f>IF(AND(V$3&gt;=代码!$D80,V$3&lt;=代码!$E80),"是","")</f>
        <v/>
      </c>
      <c r="W81" s="30" t="str">
        <f>IF(AND(W$3&gt;=代码!$D80,W$3&lt;=代码!$E80),"是","")</f>
        <v/>
      </c>
      <c r="X81" s="30" t="str">
        <f>IF(AND(X$3&gt;=代码!$D80,X$3&lt;=代码!$E80),"是","")</f>
        <v/>
      </c>
      <c r="Y81" s="30" t="str">
        <f>IF(AND(Y$3&gt;=代码!$D80,Y$3&lt;=代码!$E80),"是","")</f>
        <v/>
      </c>
      <c r="Z81" s="30" t="str">
        <f>IF(AND(Z$3&gt;=代码!$D80,Z$3&lt;=代码!$E80),"是","")</f>
        <v/>
      </c>
      <c r="AA81" s="30" t="str">
        <f>IF(AND(AA$3&gt;=代码!$D80,AA$3&lt;=代码!$E80),"是","")</f>
        <v/>
      </c>
      <c r="AB81" s="30" t="str">
        <f>IF(AND(AB$3&gt;=代码!$D80,AB$3&lt;=代码!$E80),"是","")</f>
        <v/>
      </c>
      <c r="AC81" s="30" t="str">
        <f>IF(AND(AC$3&gt;=代码!$D80,AC$3&lt;=代码!$E80),"是","")</f>
        <v/>
      </c>
      <c r="AD81" s="30" t="str">
        <f>IF(AND(AD$3&gt;=代码!$D80,AD$3&lt;=代码!$E80),"是","")</f>
        <v/>
      </c>
      <c r="AE81" s="30" t="str">
        <f>IF(AND(AE$3&gt;=代码!$D80,AE$3&lt;=代码!$E80),"是","")</f>
        <v/>
      </c>
      <c r="AF81" s="30" t="str">
        <f>IF(AND(AF$3&gt;=代码!$D80,AF$3&lt;=代码!$E80),"是","")</f>
        <v/>
      </c>
      <c r="AG81" s="30" t="str">
        <f>IF(AND(AG$3&gt;=代码!$D80,AG$3&lt;=代码!$E80),"是","")</f>
        <v/>
      </c>
    </row>
    <row r="82" spans="3:33">
      <c r="C82" s="30" t="str">
        <f>IFERROR(VLOOKUP(B82,员工信息表!N:O,2,FALSE),"")</f>
        <v>时段</v>
      </c>
      <c r="D82" s="30" t="str">
        <f>IF(AND(D$3&gt;=代码!$D81,D$3&lt;=代码!$E81),"是","")</f>
        <v/>
      </c>
      <c r="E82" s="30" t="str">
        <f>IF(AND(E$3&gt;=代码!$D81,E$3&lt;=代码!$E81),"是","")</f>
        <v/>
      </c>
      <c r="F82" s="30" t="str">
        <f>IF(AND(F$3&gt;=代码!$D81,F$3&lt;=代码!$E81),"是","")</f>
        <v/>
      </c>
      <c r="G82" s="30" t="str">
        <f>IF(AND(G$3&gt;=代码!$D81,G$3&lt;=代码!$E81),"是","")</f>
        <v/>
      </c>
      <c r="H82" s="30" t="str">
        <f>IF(AND(H$3&gt;=代码!$D81,H$3&lt;=代码!$E81),"是","")</f>
        <v/>
      </c>
      <c r="I82" s="30" t="str">
        <f>IF(AND(I$3&gt;=代码!$D81,I$3&lt;=代码!$E81),"是","")</f>
        <v/>
      </c>
      <c r="J82" s="30" t="str">
        <f>IF(AND(J$3&gt;=代码!$D81,J$3&lt;=代码!$E81),"是","")</f>
        <v/>
      </c>
      <c r="K82" s="30" t="str">
        <f>IF(AND(K$3&gt;=代码!$D81,K$3&lt;=代码!$E81),"是","")</f>
        <v/>
      </c>
      <c r="L82" s="30" t="str">
        <f>IF(AND(L$3&gt;=代码!$D81,L$3&lt;=代码!$E81),"是","")</f>
        <v/>
      </c>
      <c r="M82" s="30" t="str">
        <f>IF(AND(M$3&gt;=代码!$D81,M$3&lt;=代码!$E81),"是","")</f>
        <v/>
      </c>
      <c r="N82" s="30" t="str">
        <f>IF(AND(N$3&gt;=代码!$D81,N$3&lt;=代码!$E81),"是","")</f>
        <v/>
      </c>
      <c r="O82" s="30" t="str">
        <f>IF(AND(O$3&gt;=代码!$D81,O$3&lt;=代码!$E81),"是","")</f>
        <v/>
      </c>
      <c r="P82" s="30" t="str">
        <f>IF(AND(P$3&gt;=代码!$D81,P$3&lt;=代码!$E81),"是","")</f>
        <v/>
      </c>
      <c r="Q82" s="30" t="str">
        <f>IF(AND(Q$3&gt;=代码!$D81,Q$3&lt;=代码!$E81),"是","")</f>
        <v/>
      </c>
      <c r="R82" s="30" t="str">
        <f>IF(AND(R$3&gt;=代码!$D81,R$3&lt;=代码!$E81),"是","")</f>
        <v/>
      </c>
      <c r="S82" s="30" t="str">
        <f>IF(AND(S$3&gt;=代码!$D81,S$3&lt;=代码!$E81),"是","")</f>
        <v/>
      </c>
      <c r="T82" s="30" t="str">
        <f>IF(AND(T$3&gt;=代码!$D81,T$3&lt;=代码!$E81),"是","")</f>
        <v/>
      </c>
      <c r="U82" s="30" t="str">
        <f>IF(AND(U$3&gt;=代码!$D81,U$3&lt;=代码!$E81),"是","")</f>
        <v/>
      </c>
      <c r="V82" s="30" t="str">
        <f>IF(AND(V$3&gt;=代码!$D81,V$3&lt;=代码!$E81),"是","")</f>
        <v/>
      </c>
      <c r="W82" s="30" t="str">
        <f>IF(AND(W$3&gt;=代码!$D81,W$3&lt;=代码!$E81),"是","")</f>
        <v/>
      </c>
      <c r="X82" s="30" t="str">
        <f>IF(AND(X$3&gt;=代码!$D81,X$3&lt;=代码!$E81),"是","")</f>
        <v/>
      </c>
      <c r="Y82" s="30" t="str">
        <f>IF(AND(Y$3&gt;=代码!$D81,Y$3&lt;=代码!$E81),"是","")</f>
        <v/>
      </c>
      <c r="Z82" s="30" t="str">
        <f>IF(AND(Z$3&gt;=代码!$D81,Z$3&lt;=代码!$E81),"是","")</f>
        <v/>
      </c>
      <c r="AA82" s="30" t="str">
        <f>IF(AND(AA$3&gt;=代码!$D81,AA$3&lt;=代码!$E81),"是","")</f>
        <v/>
      </c>
      <c r="AB82" s="30" t="str">
        <f>IF(AND(AB$3&gt;=代码!$D81,AB$3&lt;=代码!$E81),"是","")</f>
        <v/>
      </c>
      <c r="AC82" s="30" t="str">
        <f>IF(AND(AC$3&gt;=代码!$D81,AC$3&lt;=代码!$E81),"是","")</f>
        <v/>
      </c>
      <c r="AD82" s="30" t="str">
        <f>IF(AND(AD$3&gt;=代码!$D81,AD$3&lt;=代码!$E81),"是","")</f>
        <v/>
      </c>
      <c r="AE82" s="30" t="str">
        <f>IF(AND(AE$3&gt;=代码!$D81,AE$3&lt;=代码!$E81),"是","")</f>
        <v/>
      </c>
      <c r="AF82" s="30" t="str">
        <f>IF(AND(AF$3&gt;=代码!$D81,AF$3&lt;=代码!$E81),"是","")</f>
        <v/>
      </c>
      <c r="AG82" s="30" t="str">
        <f>IF(AND(AG$3&gt;=代码!$D81,AG$3&lt;=代码!$E81),"是","")</f>
        <v/>
      </c>
    </row>
    <row r="83" spans="3:33">
      <c r="C83" s="30" t="str">
        <f>IFERROR(VLOOKUP(B83,员工信息表!N:O,2,FALSE),"")</f>
        <v>时段</v>
      </c>
      <c r="D83" s="30" t="str">
        <f>IF(AND(D$3&gt;=代码!$D82,D$3&lt;=代码!$E82),"是","")</f>
        <v/>
      </c>
      <c r="E83" s="30" t="str">
        <f>IF(AND(E$3&gt;=代码!$D82,E$3&lt;=代码!$E82),"是","")</f>
        <v/>
      </c>
      <c r="F83" s="30" t="str">
        <f>IF(AND(F$3&gt;=代码!$D82,F$3&lt;=代码!$E82),"是","")</f>
        <v/>
      </c>
      <c r="G83" s="30" t="str">
        <f>IF(AND(G$3&gt;=代码!$D82,G$3&lt;=代码!$E82),"是","")</f>
        <v/>
      </c>
      <c r="H83" s="30" t="str">
        <f>IF(AND(H$3&gt;=代码!$D82,H$3&lt;=代码!$E82),"是","")</f>
        <v/>
      </c>
      <c r="I83" s="30" t="str">
        <f>IF(AND(I$3&gt;=代码!$D82,I$3&lt;=代码!$E82),"是","")</f>
        <v/>
      </c>
      <c r="J83" s="30" t="str">
        <f>IF(AND(J$3&gt;=代码!$D82,J$3&lt;=代码!$E82),"是","")</f>
        <v/>
      </c>
      <c r="K83" s="30" t="str">
        <f>IF(AND(K$3&gt;=代码!$D82,K$3&lt;=代码!$E82),"是","")</f>
        <v/>
      </c>
      <c r="L83" s="30" t="str">
        <f>IF(AND(L$3&gt;=代码!$D82,L$3&lt;=代码!$E82),"是","")</f>
        <v/>
      </c>
      <c r="M83" s="30" t="str">
        <f>IF(AND(M$3&gt;=代码!$D82,M$3&lt;=代码!$E82),"是","")</f>
        <v/>
      </c>
      <c r="N83" s="30" t="str">
        <f>IF(AND(N$3&gt;=代码!$D82,N$3&lt;=代码!$E82),"是","")</f>
        <v/>
      </c>
      <c r="O83" s="30" t="str">
        <f>IF(AND(O$3&gt;=代码!$D82,O$3&lt;=代码!$E82),"是","")</f>
        <v/>
      </c>
      <c r="P83" s="30" t="str">
        <f>IF(AND(P$3&gt;=代码!$D82,P$3&lt;=代码!$E82),"是","")</f>
        <v/>
      </c>
      <c r="Q83" s="30" t="str">
        <f>IF(AND(Q$3&gt;=代码!$D82,Q$3&lt;=代码!$E82),"是","")</f>
        <v/>
      </c>
      <c r="R83" s="30" t="str">
        <f>IF(AND(R$3&gt;=代码!$D82,R$3&lt;=代码!$E82),"是","")</f>
        <v/>
      </c>
      <c r="S83" s="30" t="str">
        <f>IF(AND(S$3&gt;=代码!$D82,S$3&lt;=代码!$E82),"是","")</f>
        <v/>
      </c>
      <c r="T83" s="30" t="str">
        <f>IF(AND(T$3&gt;=代码!$D82,T$3&lt;=代码!$E82),"是","")</f>
        <v/>
      </c>
      <c r="U83" s="30" t="str">
        <f>IF(AND(U$3&gt;=代码!$D82,U$3&lt;=代码!$E82),"是","")</f>
        <v/>
      </c>
      <c r="V83" s="30" t="str">
        <f>IF(AND(V$3&gt;=代码!$D82,V$3&lt;=代码!$E82),"是","")</f>
        <v/>
      </c>
      <c r="W83" s="30" t="str">
        <f>IF(AND(W$3&gt;=代码!$D82,W$3&lt;=代码!$E82),"是","")</f>
        <v/>
      </c>
      <c r="X83" s="30" t="str">
        <f>IF(AND(X$3&gt;=代码!$D82,X$3&lt;=代码!$E82),"是","")</f>
        <v/>
      </c>
      <c r="Y83" s="30" t="str">
        <f>IF(AND(Y$3&gt;=代码!$D82,Y$3&lt;=代码!$E82),"是","")</f>
        <v/>
      </c>
      <c r="Z83" s="30" t="str">
        <f>IF(AND(Z$3&gt;=代码!$D82,Z$3&lt;=代码!$E82),"是","")</f>
        <v/>
      </c>
      <c r="AA83" s="30" t="str">
        <f>IF(AND(AA$3&gt;=代码!$D82,AA$3&lt;=代码!$E82),"是","")</f>
        <v/>
      </c>
      <c r="AB83" s="30" t="str">
        <f>IF(AND(AB$3&gt;=代码!$D82,AB$3&lt;=代码!$E82),"是","")</f>
        <v/>
      </c>
      <c r="AC83" s="30" t="str">
        <f>IF(AND(AC$3&gt;=代码!$D82,AC$3&lt;=代码!$E82),"是","")</f>
        <v/>
      </c>
      <c r="AD83" s="30" t="str">
        <f>IF(AND(AD$3&gt;=代码!$D82,AD$3&lt;=代码!$E82),"是","")</f>
        <v/>
      </c>
      <c r="AE83" s="30" t="str">
        <f>IF(AND(AE$3&gt;=代码!$D82,AE$3&lt;=代码!$E82),"是","")</f>
        <v/>
      </c>
      <c r="AF83" s="30" t="str">
        <f>IF(AND(AF$3&gt;=代码!$D82,AF$3&lt;=代码!$E82),"是","")</f>
        <v/>
      </c>
      <c r="AG83" s="30" t="str">
        <f>IF(AND(AG$3&gt;=代码!$D82,AG$3&lt;=代码!$E82),"是","")</f>
        <v/>
      </c>
    </row>
    <row r="84" spans="3:33">
      <c r="C84" s="30" t="str">
        <f>IFERROR(VLOOKUP(B84,员工信息表!N:O,2,FALSE),"")</f>
        <v>时段</v>
      </c>
      <c r="D84" s="30" t="str">
        <f>IF(AND(D$3&gt;=代码!$D83,D$3&lt;=代码!$E83),"是","")</f>
        <v/>
      </c>
      <c r="E84" s="30" t="str">
        <f>IF(AND(E$3&gt;=代码!$D83,E$3&lt;=代码!$E83),"是","")</f>
        <v/>
      </c>
      <c r="F84" s="30" t="str">
        <f>IF(AND(F$3&gt;=代码!$D83,F$3&lt;=代码!$E83),"是","")</f>
        <v/>
      </c>
      <c r="G84" s="30" t="str">
        <f>IF(AND(G$3&gt;=代码!$D83,G$3&lt;=代码!$E83),"是","")</f>
        <v/>
      </c>
      <c r="H84" s="30" t="str">
        <f>IF(AND(H$3&gt;=代码!$D83,H$3&lt;=代码!$E83),"是","")</f>
        <v/>
      </c>
      <c r="I84" s="30" t="str">
        <f>IF(AND(I$3&gt;=代码!$D83,I$3&lt;=代码!$E83),"是","")</f>
        <v/>
      </c>
      <c r="J84" s="30" t="str">
        <f>IF(AND(J$3&gt;=代码!$D83,J$3&lt;=代码!$E83),"是","")</f>
        <v/>
      </c>
      <c r="K84" s="30" t="str">
        <f>IF(AND(K$3&gt;=代码!$D83,K$3&lt;=代码!$E83),"是","")</f>
        <v/>
      </c>
      <c r="L84" s="30" t="str">
        <f>IF(AND(L$3&gt;=代码!$D83,L$3&lt;=代码!$E83),"是","")</f>
        <v/>
      </c>
      <c r="M84" s="30" t="str">
        <f>IF(AND(M$3&gt;=代码!$D83,M$3&lt;=代码!$E83),"是","")</f>
        <v/>
      </c>
      <c r="N84" s="30" t="str">
        <f>IF(AND(N$3&gt;=代码!$D83,N$3&lt;=代码!$E83),"是","")</f>
        <v/>
      </c>
      <c r="O84" s="30" t="str">
        <f>IF(AND(O$3&gt;=代码!$D83,O$3&lt;=代码!$E83),"是","")</f>
        <v/>
      </c>
      <c r="P84" s="30" t="str">
        <f>IF(AND(P$3&gt;=代码!$D83,P$3&lt;=代码!$E83),"是","")</f>
        <v/>
      </c>
      <c r="Q84" s="30" t="str">
        <f>IF(AND(Q$3&gt;=代码!$D83,Q$3&lt;=代码!$E83),"是","")</f>
        <v/>
      </c>
      <c r="R84" s="30" t="str">
        <f>IF(AND(R$3&gt;=代码!$D83,R$3&lt;=代码!$E83),"是","")</f>
        <v/>
      </c>
      <c r="S84" s="30" t="str">
        <f>IF(AND(S$3&gt;=代码!$D83,S$3&lt;=代码!$E83),"是","")</f>
        <v/>
      </c>
      <c r="T84" s="30" t="str">
        <f>IF(AND(T$3&gt;=代码!$D83,T$3&lt;=代码!$E83),"是","")</f>
        <v/>
      </c>
      <c r="U84" s="30" t="str">
        <f>IF(AND(U$3&gt;=代码!$D83,U$3&lt;=代码!$E83),"是","")</f>
        <v/>
      </c>
      <c r="V84" s="30" t="str">
        <f>IF(AND(V$3&gt;=代码!$D83,V$3&lt;=代码!$E83),"是","")</f>
        <v/>
      </c>
      <c r="W84" s="30" t="str">
        <f>IF(AND(W$3&gt;=代码!$D83,W$3&lt;=代码!$E83),"是","")</f>
        <v/>
      </c>
      <c r="X84" s="30" t="str">
        <f>IF(AND(X$3&gt;=代码!$D83,X$3&lt;=代码!$E83),"是","")</f>
        <v/>
      </c>
      <c r="Y84" s="30" t="str">
        <f>IF(AND(Y$3&gt;=代码!$D83,Y$3&lt;=代码!$E83),"是","")</f>
        <v/>
      </c>
      <c r="Z84" s="30" t="str">
        <f>IF(AND(Z$3&gt;=代码!$D83,Z$3&lt;=代码!$E83),"是","")</f>
        <v/>
      </c>
      <c r="AA84" s="30" t="str">
        <f>IF(AND(AA$3&gt;=代码!$D83,AA$3&lt;=代码!$E83),"是","")</f>
        <v/>
      </c>
      <c r="AB84" s="30" t="str">
        <f>IF(AND(AB$3&gt;=代码!$D83,AB$3&lt;=代码!$E83),"是","")</f>
        <v/>
      </c>
      <c r="AC84" s="30" t="str">
        <f>IF(AND(AC$3&gt;=代码!$D83,AC$3&lt;=代码!$E83),"是","")</f>
        <v/>
      </c>
      <c r="AD84" s="30" t="str">
        <f>IF(AND(AD$3&gt;=代码!$D83,AD$3&lt;=代码!$E83),"是","")</f>
        <v/>
      </c>
      <c r="AE84" s="30" t="str">
        <f>IF(AND(AE$3&gt;=代码!$D83,AE$3&lt;=代码!$E83),"是","")</f>
        <v/>
      </c>
      <c r="AF84" s="30" t="str">
        <f>IF(AND(AF$3&gt;=代码!$D83,AF$3&lt;=代码!$E83),"是","")</f>
        <v/>
      </c>
      <c r="AG84" s="30" t="str">
        <f>IF(AND(AG$3&gt;=代码!$D83,AG$3&lt;=代码!$E83),"是","")</f>
        <v/>
      </c>
    </row>
    <row r="85" spans="3:33">
      <c r="C85" s="30" t="str">
        <f>IFERROR(VLOOKUP(B85,员工信息表!N:O,2,FALSE),"")</f>
        <v>时段</v>
      </c>
      <c r="D85" s="30" t="str">
        <f>IF(AND(D$3&gt;=代码!$D84,D$3&lt;=代码!$E84),"是","")</f>
        <v/>
      </c>
      <c r="E85" s="30" t="str">
        <f>IF(AND(E$3&gt;=代码!$D84,E$3&lt;=代码!$E84),"是","")</f>
        <v/>
      </c>
      <c r="F85" s="30" t="str">
        <f>IF(AND(F$3&gt;=代码!$D84,F$3&lt;=代码!$E84),"是","")</f>
        <v/>
      </c>
      <c r="G85" s="30" t="str">
        <f>IF(AND(G$3&gt;=代码!$D84,G$3&lt;=代码!$E84),"是","")</f>
        <v/>
      </c>
      <c r="H85" s="30" t="str">
        <f>IF(AND(H$3&gt;=代码!$D84,H$3&lt;=代码!$E84),"是","")</f>
        <v/>
      </c>
      <c r="I85" s="30" t="str">
        <f>IF(AND(I$3&gt;=代码!$D84,I$3&lt;=代码!$E84),"是","")</f>
        <v/>
      </c>
      <c r="J85" s="30" t="str">
        <f>IF(AND(J$3&gt;=代码!$D84,J$3&lt;=代码!$E84),"是","")</f>
        <v/>
      </c>
      <c r="K85" s="30" t="str">
        <f>IF(AND(K$3&gt;=代码!$D84,K$3&lt;=代码!$E84),"是","")</f>
        <v/>
      </c>
      <c r="L85" s="30" t="str">
        <f>IF(AND(L$3&gt;=代码!$D84,L$3&lt;=代码!$E84),"是","")</f>
        <v/>
      </c>
      <c r="M85" s="30" t="str">
        <f>IF(AND(M$3&gt;=代码!$D84,M$3&lt;=代码!$E84),"是","")</f>
        <v/>
      </c>
      <c r="N85" s="30" t="str">
        <f>IF(AND(N$3&gt;=代码!$D84,N$3&lt;=代码!$E84),"是","")</f>
        <v/>
      </c>
      <c r="O85" s="30" t="str">
        <f>IF(AND(O$3&gt;=代码!$D84,O$3&lt;=代码!$E84),"是","")</f>
        <v/>
      </c>
      <c r="P85" s="30" t="str">
        <f>IF(AND(P$3&gt;=代码!$D84,P$3&lt;=代码!$E84),"是","")</f>
        <v/>
      </c>
      <c r="Q85" s="30" t="str">
        <f>IF(AND(Q$3&gt;=代码!$D84,Q$3&lt;=代码!$E84),"是","")</f>
        <v/>
      </c>
      <c r="R85" s="30" t="str">
        <f>IF(AND(R$3&gt;=代码!$D84,R$3&lt;=代码!$E84),"是","")</f>
        <v/>
      </c>
      <c r="S85" s="30" t="str">
        <f>IF(AND(S$3&gt;=代码!$D84,S$3&lt;=代码!$E84),"是","")</f>
        <v/>
      </c>
      <c r="T85" s="30" t="str">
        <f>IF(AND(T$3&gt;=代码!$D84,T$3&lt;=代码!$E84),"是","")</f>
        <v/>
      </c>
      <c r="U85" s="30" t="str">
        <f>IF(AND(U$3&gt;=代码!$D84,U$3&lt;=代码!$E84),"是","")</f>
        <v/>
      </c>
      <c r="V85" s="30" t="str">
        <f>IF(AND(V$3&gt;=代码!$D84,V$3&lt;=代码!$E84),"是","")</f>
        <v/>
      </c>
      <c r="W85" s="30" t="str">
        <f>IF(AND(W$3&gt;=代码!$D84,W$3&lt;=代码!$E84),"是","")</f>
        <v/>
      </c>
      <c r="X85" s="30" t="str">
        <f>IF(AND(X$3&gt;=代码!$D84,X$3&lt;=代码!$E84),"是","")</f>
        <v/>
      </c>
      <c r="Y85" s="30" t="str">
        <f>IF(AND(Y$3&gt;=代码!$D84,Y$3&lt;=代码!$E84),"是","")</f>
        <v/>
      </c>
      <c r="Z85" s="30" t="str">
        <f>IF(AND(Z$3&gt;=代码!$D84,Z$3&lt;=代码!$E84),"是","")</f>
        <v/>
      </c>
      <c r="AA85" s="30" t="str">
        <f>IF(AND(AA$3&gt;=代码!$D84,AA$3&lt;=代码!$E84),"是","")</f>
        <v/>
      </c>
      <c r="AB85" s="30" t="str">
        <f>IF(AND(AB$3&gt;=代码!$D84,AB$3&lt;=代码!$E84),"是","")</f>
        <v/>
      </c>
      <c r="AC85" s="30" t="str">
        <f>IF(AND(AC$3&gt;=代码!$D84,AC$3&lt;=代码!$E84),"是","")</f>
        <v/>
      </c>
      <c r="AD85" s="30" t="str">
        <f>IF(AND(AD$3&gt;=代码!$D84,AD$3&lt;=代码!$E84),"是","")</f>
        <v/>
      </c>
      <c r="AE85" s="30" t="str">
        <f>IF(AND(AE$3&gt;=代码!$D84,AE$3&lt;=代码!$E84),"是","")</f>
        <v/>
      </c>
      <c r="AF85" s="30" t="str">
        <f>IF(AND(AF$3&gt;=代码!$D84,AF$3&lt;=代码!$E84),"是","")</f>
        <v/>
      </c>
      <c r="AG85" s="30" t="str">
        <f>IF(AND(AG$3&gt;=代码!$D84,AG$3&lt;=代码!$E84),"是","")</f>
        <v/>
      </c>
    </row>
    <row r="86" spans="3:33">
      <c r="C86" s="30" t="str">
        <f>IFERROR(VLOOKUP(B86,员工信息表!N:O,2,FALSE),"")</f>
        <v>时段</v>
      </c>
      <c r="D86" s="30" t="str">
        <f>IF(AND(D$3&gt;=代码!$D85,D$3&lt;=代码!$E85),"是","")</f>
        <v/>
      </c>
      <c r="E86" s="30" t="str">
        <f>IF(AND(E$3&gt;=代码!$D85,E$3&lt;=代码!$E85),"是","")</f>
        <v/>
      </c>
      <c r="F86" s="30" t="str">
        <f>IF(AND(F$3&gt;=代码!$D85,F$3&lt;=代码!$E85),"是","")</f>
        <v/>
      </c>
      <c r="G86" s="30" t="str">
        <f>IF(AND(G$3&gt;=代码!$D85,G$3&lt;=代码!$E85),"是","")</f>
        <v/>
      </c>
      <c r="H86" s="30" t="str">
        <f>IF(AND(H$3&gt;=代码!$D85,H$3&lt;=代码!$E85),"是","")</f>
        <v/>
      </c>
      <c r="I86" s="30" t="str">
        <f>IF(AND(I$3&gt;=代码!$D85,I$3&lt;=代码!$E85),"是","")</f>
        <v/>
      </c>
      <c r="J86" s="30" t="str">
        <f>IF(AND(J$3&gt;=代码!$D85,J$3&lt;=代码!$E85),"是","")</f>
        <v/>
      </c>
      <c r="K86" s="30" t="str">
        <f>IF(AND(K$3&gt;=代码!$D85,K$3&lt;=代码!$E85),"是","")</f>
        <v/>
      </c>
      <c r="L86" s="30" t="str">
        <f>IF(AND(L$3&gt;=代码!$D85,L$3&lt;=代码!$E85),"是","")</f>
        <v/>
      </c>
      <c r="M86" s="30" t="str">
        <f>IF(AND(M$3&gt;=代码!$D85,M$3&lt;=代码!$E85),"是","")</f>
        <v/>
      </c>
      <c r="N86" s="30" t="str">
        <f>IF(AND(N$3&gt;=代码!$D85,N$3&lt;=代码!$E85),"是","")</f>
        <v/>
      </c>
      <c r="O86" s="30" t="str">
        <f>IF(AND(O$3&gt;=代码!$D85,O$3&lt;=代码!$E85),"是","")</f>
        <v/>
      </c>
      <c r="P86" s="30" t="str">
        <f>IF(AND(P$3&gt;=代码!$D85,P$3&lt;=代码!$E85),"是","")</f>
        <v/>
      </c>
      <c r="Q86" s="30" t="str">
        <f>IF(AND(Q$3&gt;=代码!$D85,Q$3&lt;=代码!$E85),"是","")</f>
        <v/>
      </c>
      <c r="R86" s="30" t="str">
        <f>IF(AND(R$3&gt;=代码!$D85,R$3&lt;=代码!$E85),"是","")</f>
        <v/>
      </c>
      <c r="S86" s="30" t="str">
        <f>IF(AND(S$3&gt;=代码!$D85,S$3&lt;=代码!$E85),"是","")</f>
        <v/>
      </c>
      <c r="T86" s="30" t="str">
        <f>IF(AND(T$3&gt;=代码!$D85,T$3&lt;=代码!$E85),"是","")</f>
        <v/>
      </c>
      <c r="U86" s="30" t="str">
        <f>IF(AND(U$3&gt;=代码!$D85,U$3&lt;=代码!$E85),"是","")</f>
        <v/>
      </c>
      <c r="V86" s="30" t="str">
        <f>IF(AND(V$3&gt;=代码!$D85,V$3&lt;=代码!$E85),"是","")</f>
        <v/>
      </c>
      <c r="W86" s="30" t="str">
        <f>IF(AND(W$3&gt;=代码!$D85,W$3&lt;=代码!$E85),"是","")</f>
        <v/>
      </c>
      <c r="X86" s="30" t="str">
        <f>IF(AND(X$3&gt;=代码!$D85,X$3&lt;=代码!$E85),"是","")</f>
        <v/>
      </c>
      <c r="Y86" s="30" t="str">
        <f>IF(AND(Y$3&gt;=代码!$D85,Y$3&lt;=代码!$E85),"是","")</f>
        <v/>
      </c>
      <c r="Z86" s="30" t="str">
        <f>IF(AND(Z$3&gt;=代码!$D85,Z$3&lt;=代码!$E85),"是","")</f>
        <v/>
      </c>
      <c r="AA86" s="30" t="str">
        <f>IF(AND(AA$3&gt;=代码!$D85,AA$3&lt;=代码!$E85),"是","")</f>
        <v/>
      </c>
      <c r="AB86" s="30" t="str">
        <f>IF(AND(AB$3&gt;=代码!$D85,AB$3&lt;=代码!$E85),"是","")</f>
        <v/>
      </c>
      <c r="AC86" s="30" t="str">
        <f>IF(AND(AC$3&gt;=代码!$D85,AC$3&lt;=代码!$E85),"是","")</f>
        <v/>
      </c>
      <c r="AD86" s="30" t="str">
        <f>IF(AND(AD$3&gt;=代码!$D85,AD$3&lt;=代码!$E85),"是","")</f>
        <v/>
      </c>
      <c r="AE86" s="30" t="str">
        <f>IF(AND(AE$3&gt;=代码!$D85,AE$3&lt;=代码!$E85),"是","")</f>
        <v/>
      </c>
      <c r="AF86" s="30" t="str">
        <f>IF(AND(AF$3&gt;=代码!$D85,AF$3&lt;=代码!$E85),"是","")</f>
        <v/>
      </c>
      <c r="AG86" s="30" t="str">
        <f>IF(AND(AG$3&gt;=代码!$D85,AG$3&lt;=代码!$E85),"是","")</f>
        <v/>
      </c>
    </row>
    <row r="87" spans="3:33">
      <c r="C87" s="30" t="str">
        <f>IFERROR(VLOOKUP(B87,员工信息表!N:O,2,FALSE),"")</f>
        <v>时段</v>
      </c>
      <c r="D87" s="30" t="str">
        <f>IF(AND(D$3&gt;=代码!$D86,D$3&lt;=代码!$E86),"是","")</f>
        <v/>
      </c>
      <c r="E87" s="30" t="str">
        <f>IF(AND(E$3&gt;=代码!$D86,E$3&lt;=代码!$E86),"是","")</f>
        <v/>
      </c>
      <c r="F87" s="30" t="str">
        <f>IF(AND(F$3&gt;=代码!$D86,F$3&lt;=代码!$E86),"是","")</f>
        <v/>
      </c>
      <c r="G87" s="30" t="str">
        <f>IF(AND(G$3&gt;=代码!$D86,G$3&lt;=代码!$E86),"是","")</f>
        <v/>
      </c>
      <c r="H87" s="30" t="str">
        <f>IF(AND(H$3&gt;=代码!$D86,H$3&lt;=代码!$E86),"是","")</f>
        <v/>
      </c>
      <c r="I87" s="30" t="str">
        <f>IF(AND(I$3&gt;=代码!$D86,I$3&lt;=代码!$E86),"是","")</f>
        <v/>
      </c>
      <c r="J87" s="30" t="str">
        <f>IF(AND(J$3&gt;=代码!$D86,J$3&lt;=代码!$E86),"是","")</f>
        <v/>
      </c>
      <c r="K87" s="30" t="str">
        <f>IF(AND(K$3&gt;=代码!$D86,K$3&lt;=代码!$E86),"是","")</f>
        <v/>
      </c>
      <c r="L87" s="30" t="str">
        <f>IF(AND(L$3&gt;=代码!$D86,L$3&lt;=代码!$E86),"是","")</f>
        <v/>
      </c>
      <c r="M87" s="30" t="str">
        <f>IF(AND(M$3&gt;=代码!$D86,M$3&lt;=代码!$E86),"是","")</f>
        <v/>
      </c>
      <c r="N87" s="30" t="str">
        <f>IF(AND(N$3&gt;=代码!$D86,N$3&lt;=代码!$E86),"是","")</f>
        <v/>
      </c>
      <c r="O87" s="30" t="str">
        <f>IF(AND(O$3&gt;=代码!$D86,O$3&lt;=代码!$E86),"是","")</f>
        <v/>
      </c>
      <c r="P87" s="30" t="str">
        <f>IF(AND(P$3&gt;=代码!$D86,P$3&lt;=代码!$E86),"是","")</f>
        <v/>
      </c>
      <c r="Q87" s="30" t="str">
        <f>IF(AND(Q$3&gt;=代码!$D86,Q$3&lt;=代码!$E86),"是","")</f>
        <v/>
      </c>
      <c r="R87" s="30" t="str">
        <f>IF(AND(R$3&gt;=代码!$D86,R$3&lt;=代码!$E86),"是","")</f>
        <v/>
      </c>
      <c r="S87" s="30" t="str">
        <f>IF(AND(S$3&gt;=代码!$D86,S$3&lt;=代码!$E86),"是","")</f>
        <v/>
      </c>
      <c r="T87" s="30" t="str">
        <f>IF(AND(T$3&gt;=代码!$D86,T$3&lt;=代码!$E86),"是","")</f>
        <v/>
      </c>
      <c r="U87" s="30" t="str">
        <f>IF(AND(U$3&gt;=代码!$D86,U$3&lt;=代码!$E86),"是","")</f>
        <v/>
      </c>
      <c r="V87" s="30" t="str">
        <f>IF(AND(V$3&gt;=代码!$D86,V$3&lt;=代码!$E86),"是","")</f>
        <v/>
      </c>
      <c r="W87" s="30" t="str">
        <f>IF(AND(W$3&gt;=代码!$D86,W$3&lt;=代码!$E86),"是","")</f>
        <v/>
      </c>
      <c r="X87" s="30" t="str">
        <f>IF(AND(X$3&gt;=代码!$D86,X$3&lt;=代码!$E86),"是","")</f>
        <v/>
      </c>
      <c r="Y87" s="30" t="str">
        <f>IF(AND(Y$3&gt;=代码!$D86,Y$3&lt;=代码!$E86),"是","")</f>
        <v/>
      </c>
      <c r="Z87" s="30" t="str">
        <f>IF(AND(Z$3&gt;=代码!$D86,Z$3&lt;=代码!$E86),"是","")</f>
        <v/>
      </c>
      <c r="AA87" s="30" t="str">
        <f>IF(AND(AA$3&gt;=代码!$D86,AA$3&lt;=代码!$E86),"是","")</f>
        <v/>
      </c>
      <c r="AB87" s="30" t="str">
        <f>IF(AND(AB$3&gt;=代码!$D86,AB$3&lt;=代码!$E86),"是","")</f>
        <v/>
      </c>
      <c r="AC87" s="30" t="str">
        <f>IF(AND(AC$3&gt;=代码!$D86,AC$3&lt;=代码!$E86),"是","")</f>
        <v/>
      </c>
      <c r="AD87" s="30" t="str">
        <f>IF(AND(AD$3&gt;=代码!$D86,AD$3&lt;=代码!$E86),"是","")</f>
        <v/>
      </c>
      <c r="AE87" s="30" t="str">
        <f>IF(AND(AE$3&gt;=代码!$D86,AE$3&lt;=代码!$E86),"是","")</f>
        <v/>
      </c>
      <c r="AF87" s="30" t="str">
        <f>IF(AND(AF$3&gt;=代码!$D86,AF$3&lt;=代码!$E86),"是","")</f>
        <v/>
      </c>
      <c r="AG87" s="30" t="str">
        <f>IF(AND(AG$3&gt;=代码!$D86,AG$3&lt;=代码!$E86),"是","")</f>
        <v/>
      </c>
    </row>
    <row r="88" spans="3:33">
      <c r="C88" s="30" t="str">
        <f>IFERROR(VLOOKUP(B88,员工信息表!N:O,2,FALSE),"")</f>
        <v>时段</v>
      </c>
      <c r="D88" s="30" t="str">
        <f>IF(AND(D$3&gt;=代码!$D87,D$3&lt;=代码!$E87),"是","")</f>
        <v/>
      </c>
      <c r="E88" s="30" t="str">
        <f>IF(AND(E$3&gt;=代码!$D87,E$3&lt;=代码!$E87),"是","")</f>
        <v/>
      </c>
      <c r="F88" s="30" t="str">
        <f>IF(AND(F$3&gt;=代码!$D87,F$3&lt;=代码!$E87),"是","")</f>
        <v/>
      </c>
      <c r="G88" s="30" t="str">
        <f>IF(AND(G$3&gt;=代码!$D87,G$3&lt;=代码!$E87),"是","")</f>
        <v/>
      </c>
      <c r="H88" s="30" t="str">
        <f>IF(AND(H$3&gt;=代码!$D87,H$3&lt;=代码!$E87),"是","")</f>
        <v/>
      </c>
      <c r="I88" s="30" t="str">
        <f>IF(AND(I$3&gt;=代码!$D87,I$3&lt;=代码!$E87),"是","")</f>
        <v/>
      </c>
      <c r="J88" s="30" t="str">
        <f>IF(AND(J$3&gt;=代码!$D87,J$3&lt;=代码!$E87),"是","")</f>
        <v/>
      </c>
      <c r="K88" s="30" t="str">
        <f>IF(AND(K$3&gt;=代码!$D87,K$3&lt;=代码!$E87),"是","")</f>
        <v/>
      </c>
      <c r="L88" s="30" t="str">
        <f>IF(AND(L$3&gt;=代码!$D87,L$3&lt;=代码!$E87),"是","")</f>
        <v/>
      </c>
      <c r="M88" s="30" t="str">
        <f>IF(AND(M$3&gt;=代码!$D87,M$3&lt;=代码!$E87),"是","")</f>
        <v/>
      </c>
      <c r="N88" s="30" t="str">
        <f>IF(AND(N$3&gt;=代码!$D87,N$3&lt;=代码!$E87),"是","")</f>
        <v/>
      </c>
      <c r="O88" s="30" t="str">
        <f>IF(AND(O$3&gt;=代码!$D87,O$3&lt;=代码!$E87),"是","")</f>
        <v/>
      </c>
      <c r="P88" s="30" t="str">
        <f>IF(AND(P$3&gt;=代码!$D87,P$3&lt;=代码!$E87),"是","")</f>
        <v/>
      </c>
      <c r="Q88" s="30" t="str">
        <f>IF(AND(Q$3&gt;=代码!$D87,Q$3&lt;=代码!$E87),"是","")</f>
        <v/>
      </c>
      <c r="R88" s="30" t="str">
        <f>IF(AND(R$3&gt;=代码!$D87,R$3&lt;=代码!$E87),"是","")</f>
        <v/>
      </c>
      <c r="S88" s="30" t="str">
        <f>IF(AND(S$3&gt;=代码!$D87,S$3&lt;=代码!$E87),"是","")</f>
        <v/>
      </c>
      <c r="T88" s="30" t="str">
        <f>IF(AND(T$3&gt;=代码!$D87,T$3&lt;=代码!$E87),"是","")</f>
        <v/>
      </c>
      <c r="U88" s="30" t="str">
        <f>IF(AND(U$3&gt;=代码!$D87,U$3&lt;=代码!$E87),"是","")</f>
        <v/>
      </c>
      <c r="V88" s="30" t="str">
        <f>IF(AND(V$3&gt;=代码!$D87,V$3&lt;=代码!$E87),"是","")</f>
        <v/>
      </c>
      <c r="W88" s="30" t="str">
        <f>IF(AND(W$3&gt;=代码!$D87,W$3&lt;=代码!$E87),"是","")</f>
        <v/>
      </c>
      <c r="X88" s="30" t="str">
        <f>IF(AND(X$3&gt;=代码!$D87,X$3&lt;=代码!$E87),"是","")</f>
        <v/>
      </c>
      <c r="Y88" s="30" t="str">
        <f>IF(AND(Y$3&gt;=代码!$D87,Y$3&lt;=代码!$E87),"是","")</f>
        <v/>
      </c>
      <c r="Z88" s="30" t="str">
        <f>IF(AND(Z$3&gt;=代码!$D87,Z$3&lt;=代码!$E87),"是","")</f>
        <v/>
      </c>
      <c r="AA88" s="30" t="str">
        <f>IF(AND(AA$3&gt;=代码!$D87,AA$3&lt;=代码!$E87),"是","")</f>
        <v/>
      </c>
      <c r="AB88" s="30" t="str">
        <f>IF(AND(AB$3&gt;=代码!$D87,AB$3&lt;=代码!$E87),"是","")</f>
        <v/>
      </c>
      <c r="AC88" s="30" t="str">
        <f>IF(AND(AC$3&gt;=代码!$D87,AC$3&lt;=代码!$E87),"是","")</f>
        <v/>
      </c>
      <c r="AD88" s="30" t="str">
        <f>IF(AND(AD$3&gt;=代码!$D87,AD$3&lt;=代码!$E87),"是","")</f>
        <v/>
      </c>
      <c r="AE88" s="30" t="str">
        <f>IF(AND(AE$3&gt;=代码!$D87,AE$3&lt;=代码!$E87),"是","")</f>
        <v/>
      </c>
      <c r="AF88" s="30" t="str">
        <f>IF(AND(AF$3&gt;=代码!$D87,AF$3&lt;=代码!$E87),"是","")</f>
        <v/>
      </c>
      <c r="AG88" s="30" t="str">
        <f>IF(AND(AG$3&gt;=代码!$D87,AG$3&lt;=代码!$E87),"是","")</f>
        <v/>
      </c>
    </row>
    <row r="89" spans="3:33">
      <c r="C89" s="30" t="str">
        <f>IFERROR(VLOOKUP(B89,员工信息表!N:O,2,FALSE),"")</f>
        <v>时段</v>
      </c>
      <c r="D89" s="30" t="str">
        <f>IF(AND(D$3&gt;=代码!$D88,D$3&lt;=代码!$E88),"是","")</f>
        <v/>
      </c>
      <c r="E89" s="30" t="str">
        <f>IF(AND(E$3&gt;=代码!$D88,E$3&lt;=代码!$E88),"是","")</f>
        <v/>
      </c>
      <c r="F89" s="30" t="str">
        <f>IF(AND(F$3&gt;=代码!$D88,F$3&lt;=代码!$E88),"是","")</f>
        <v/>
      </c>
      <c r="G89" s="30" t="str">
        <f>IF(AND(G$3&gt;=代码!$D88,G$3&lt;=代码!$E88),"是","")</f>
        <v/>
      </c>
      <c r="H89" s="30" t="str">
        <f>IF(AND(H$3&gt;=代码!$D88,H$3&lt;=代码!$E88),"是","")</f>
        <v/>
      </c>
      <c r="I89" s="30" t="str">
        <f>IF(AND(I$3&gt;=代码!$D88,I$3&lt;=代码!$E88),"是","")</f>
        <v/>
      </c>
      <c r="J89" s="30" t="str">
        <f>IF(AND(J$3&gt;=代码!$D88,J$3&lt;=代码!$E88),"是","")</f>
        <v/>
      </c>
      <c r="K89" s="30" t="str">
        <f>IF(AND(K$3&gt;=代码!$D88,K$3&lt;=代码!$E88),"是","")</f>
        <v/>
      </c>
      <c r="L89" s="30" t="str">
        <f>IF(AND(L$3&gt;=代码!$D88,L$3&lt;=代码!$E88),"是","")</f>
        <v/>
      </c>
      <c r="M89" s="30" t="str">
        <f>IF(AND(M$3&gt;=代码!$D88,M$3&lt;=代码!$E88),"是","")</f>
        <v/>
      </c>
      <c r="N89" s="30" t="str">
        <f>IF(AND(N$3&gt;=代码!$D88,N$3&lt;=代码!$E88),"是","")</f>
        <v/>
      </c>
      <c r="O89" s="30" t="str">
        <f>IF(AND(O$3&gt;=代码!$D88,O$3&lt;=代码!$E88),"是","")</f>
        <v/>
      </c>
      <c r="P89" s="30" t="str">
        <f>IF(AND(P$3&gt;=代码!$D88,P$3&lt;=代码!$E88),"是","")</f>
        <v/>
      </c>
      <c r="Q89" s="30" t="str">
        <f>IF(AND(Q$3&gt;=代码!$D88,Q$3&lt;=代码!$E88),"是","")</f>
        <v/>
      </c>
      <c r="R89" s="30" t="str">
        <f>IF(AND(R$3&gt;=代码!$D88,R$3&lt;=代码!$E88),"是","")</f>
        <v/>
      </c>
      <c r="S89" s="30" t="str">
        <f>IF(AND(S$3&gt;=代码!$D88,S$3&lt;=代码!$E88),"是","")</f>
        <v/>
      </c>
      <c r="T89" s="30" t="str">
        <f>IF(AND(T$3&gt;=代码!$D88,T$3&lt;=代码!$E88),"是","")</f>
        <v/>
      </c>
      <c r="U89" s="30" t="str">
        <f>IF(AND(U$3&gt;=代码!$D88,U$3&lt;=代码!$E88),"是","")</f>
        <v/>
      </c>
      <c r="V89" s="30" t="str">
        <f>IF(AND(V$3&gt;=代码!$D88,V$3&lt;=代码!$E88),"是","")</f>
        <v/>
      </c>
      <c r="W89" s="30" t="str">
        <f>IF(AND(W$3&gt;=代码!$D88,W$3&lt;=代码!$E88),"是","")</f>
        <v/>
      </c>
      <c r="X89" s="30" t="str">
        <f>IF(AND(X$3&gt;=代码!$D88,X$3&lt;=代码!$E88),"是","")</f>
        <v/>
      </c>
      <c r="Y89" s="30" t="str">
        <f>IF(AND(Y$3&gt;=代码!$D88,Y$3&lt;=代码!$E88),"是","")</f>
        <v/>
      </c>
      <c r="Z89" s="30" t="str">
        <f>IF(AND(Z$3&gt;=代码!$D88,Z$3&lt;=代码!$E88),"是","")</f>
        <v/>
      </c>
      <c r="AA89" s="30" t="str">
        <f>IF(AND(AA$3&gt;=代码!$D88,AA$3&lt;=代码!$E88),"是","")</f>
        <v/>
      </c>
      <c r="AB89" s="30" t="str">
        <f>IF(AND(AB$3&gt;=代码!$D88,AB$3&lt;=代码!$E88),"是","")</f>
        <v/>
      </c>
      <c r="AC89" s="30" t="str">
        <f>IF(AND(AC$3&gt;=代码!$D88,AC$3&lt;=代码!$E88),"是","")</f>
        <v/>
      </c>
      <c r="AD89" s="30" t="str">
        <f>IF(AND(AD$3&gt;=代码!$D88,AD$3&lt;=代码!$E88),"是","")</f>
        <v/>
      </c>
      <c r="AE89" s="30" t="str">
        <f>IF(AND(AE$3&gt;=代码!$D88,AE$3&lt;=代码!$E88),"是","")</f>
        <v/>
      </c>
      <c r="AF89" s="30" t="str">
        <f>IF(AND(AF$3&gt;=代码!$D88,AF$3&lt;=代码!$E88),"是","")</f>
        <v/>
      </c>
      <c r="AG89" s="30" t="str">
        <f>IF(AND(AG$3&gt;=代码!$D88,AG$3&lt;=代码!$E88),"是","")</f>
        <v/>
      </c>
    </row>
    <row r="90" spans="3:33">
      <c r="C90" s="30" t="str">
        <f>IFERROR(VLOOKUP(B90,员工信息表!N:O,2,FALSE),"")</f>
        <v>时段</v>
      </c>
      <c r="D90" s="30" t="str">
        <f>IF(AND(D$3&gt;=代码!$D89,D$3&lt;=代码!$E89),"是","")</f>
        <v/>
      </c>
      <c r="E90" s="30" t="str">
        <f>IF(AND(E$3&gt;=代码!$D89,E$3&lt;=代码!$E89),"是","")</f>
        <v/>
      </c>
      <c r="F90" s="30" t="str">
        <f>IF(AND(F$3&gt;=代码!$D89,F$3&lt;=代码!$E89),"是","")</f>
        <v/>
      </c>
      <c r="G90" s="30" t="str">
        <f>IF(AND(G$3&gt;=代码!$D89,G$3&lt;=代码!$E89),"是","")</f>
        <v/>
      </c>
      <c r="H90" s="30" t="str">
        <f>IF(AND(H$3&gt;=代码!$D89,H$3&lt;=代码!$E89),"是","")</f>
        <v/>
      </c>
      <c r="I90" s="30" t="str">
        <f>IF(AND(I$3&gt;=代码!$D89,I$3&lt;=代码!$E89),"是","")</f>
        <v/>
      </c>
      <c r="J90" s="30" t="str">
        <f>IF(AND(J$3&gt;=代码!$D89,J$3&lt;=代码!$E89),"是","")</f>
        <v/>
      </c>
      <c r="K90" s="30" t="str">
        <f>IF(AND(K$3&gt;=代码!$D89,K$3&lt;=代码!$E89),"是","")</f>
        <v/>
      </c>
      <c r="L90" s="30" t="str">
        <f>IF(AND(L$3&gt;=代码!$D89,L$3&lt;=代码!$E89),"是","")</f>
        <v/>
      </c>
      <c r="M90" s="30" t="str">
        <f>IF(AND(M$3&gt;=代码!$D89,M$3&lt;=代码!$E89),"是","")</f>
        <v/>
      </c>
      <c r="N90" s="30" t="str">
        <f>IF(AND(N$3&gt;=代码!$D89,N$3&lt;=代码!$E89),"是","")</f>
        <v/>
      </c>
      <c r="O90" s="30" t="str">
        <f>IF(AND(O$3&gt;=代码!$D89,O$3&lt;=代码!$E89),"是","")</f>
        <v/>
      </c>
      <c r="P90" s="30" t="str">
        <f>IF(AND(P$3&gt;=代码!$D89,P$3&lt;=代码!$E89),"是","")</f>
        <v/>
      </c>
      <c r="Q90" s="30" t="str">
        <f>IF(AND(Q$3&gt;=代码!$D89,Q$3&lt;=代码!$E89),"是","")</f>
        <v/>
      </c>
      <c r="R90" s="30" t="str">
        <f>IF(AND(R$3&gt;=代码!$D89,R$3&lt;=代码!$E89),"是","")</f>
        <v/>
      </c>
      <c r="S90" s="30" t="str">
        <f>IF(AND(S$3&gt;=代码!$D89,S$3&lt;=代码!$E89),"是","")</f>
        <v/>
      </c>
      <c r="T90" s="30" t="str">
        <f>IF(AND(T$3&gt;=代码!$D89,T$3&lt;=代码!$E89),"是","")</f>
        <v/>
      </c>
      <c r="U90" s="30" t="str">
        <f>IF(AND(U$3&gt;=代码!$D89,U$3&lt;=代码!$E89),"是","")</f>
        <v/>
      </c>
      <c r="V90" s="30" t="str">
        <f>IF(AND(V$3&gt;=代码!$D89,V$3&lt;=代码!$E89),"是","")</f>
        <v/>
      </c>
      <c r="W90" s="30" t="str">
        <f>IF(AND(W$3&gt;=代码!$D89,W$3&lt;=代码!$E89),"是","")</f>
        <v/>
      </c>
      <c r="X90" s="30" t="str">
        <f>IF(AND(X$3&gt;=代码!$D89,X$3&lt;=代码!$E89),"是","")</f>
        <v/>
      </c>
      <c r="Y90" s="30" t="str">
        <f>IF(AND(Y$3&gt;=代码!$D89,Y$3&lt;=代码!$E89),"是","")</f>
        <v/>
      </c>
      <c r="Z90" s="30" t="str">
        <f>IF(AND(Z$3&gt;=代码!$D89,Z$3&lt;=代码!$E89),"是","")</f>
        <v/>
      </c>
      <c r="AA90" s="30" t="str">
        <f>IF(AND(AA$3&gt;=代码!$D89,AA$3&lt;=代码!$E89),"是","")</f>
        <v/>
      </c>
      <c r="AB90" s="30" t="str">
        <f>IF(AND(AB$3&gt;=代码!$D89,AB$3&lt;=代码!$E89),"是","")</f>
        <v/>
      </c>
      <c r="AC90" s="30" t="str">
        <f>IF(AND(AC$3&gt;=代码!$D89,AC$3&lt;=代码!$E89),"是","")</f>
        <v/>
      </c>
      <c r="AD90" s="30" t="str">
        <f>IF(AND(AD$3&gt;=代码!$D89,AD$3&lt;=代码!$E89),"是","")</f>
        <v/>
      </c>
      <c r="AE90" s="30" t="str">
        <f>IF(AND(AE$3&gt;=代码!$D89,AE$3&lt;=代码!$E89),"是","")</f>
        <v/>
      </c>
      <c r="AF90" s="30" t="str">
        <f>IF(AND(AF$3&gt;=代码!$D89,AF$3&lt;=代码!$E89),"是","")</f>
        <v/>
      </c>
      <c r="AG90" s="30" t="str">
        <f>IF(AND(AG$3&gt;=代码!$D89,AG$3&lt;=代码!$E89),"是","")</f>
        <v/>
      </c>
    </row>
    <row r="91" spans="3:33">
      <c r="C91" s="30" t="str">
        <f>IFERROR(VLOOKUP(B91,员工信息表!N:O,2,FALSE),"")</f>
        <v>时段</v>
      </c>
      <c r="D91" s="30" t="str">
        <f>IF(AND(D$3&gt;=代码!$D90,D$3&lt;=代码!$E90),"是","")</f>
        <v/>
      </c>
      <c r="E91" s="30" t="str">
        <f>IF(AND(E$3&gt;=代码!$D90,E$3&lt;=代码!$E90),"是","")</f>
        <v/>
      </c>
      <c r="F91" s="30" t="str">
        <f>IF(AND(F$3&gt;=代码!$D90,F$3&lt;=代码!$E90),"是","")</f>
        <v/>
      </c>
      <c r="G91" s="30" t="str">
        <f>IF(AND(G$3&gt;=代码!$D90,G$3&lt;=代码!$E90),"是","")</f>
        <v/>
      </c>
      <c r="H91" s="30" t="str">
        <f>IF(AND(H$3&gt;=代码!$D90,H$3&lt;=代码!$E90),"是","")</f>
        <v/>
      </c>
      <c r="I91" s="30" t="str">
        <f>IF(AND(I$3&gt;=代码!$D90,I$3&lt;=代码!$E90),"是","")</f>
        <v/>
      </c>
      <c r="J91" s="30" t="str">
        <f>IF(AND(J$3&gt;=代码!$D90,J$3&lt;=代码!$E90),"是","")</f>
        <v/>
      </c>
      <c r="K91" s="30" t="str">
        <f>IF(AND(K$3&gt;=代码!$D90,K$3&lt;=代码!$E90),"是","")</f>
        <v/>
      </c>
      <c r="L91" s="30" t="str">
        <f>IF(AND(L$3&gt;=代码!$D90,L$3&lt;=代码!$E90),"是","")</f>
        <v/>
      </c>
      <c r="M91" s="30" t="str">
        <f>IF(AND(M$3&gt;=代码!$D90,M$3&lt;=代码!$E90),"是","")</f>
        <v/>
      </c>
      <c r="N91" s="30" t="str">
        <f>IF(AND(N$3&gt;=代码!$D90,N$3&lt;=代码!$E90),"是","")</f>
        <v/>
      </c>
      <c r="O91" s="30" t="str">
        <f>IF(AND(O$3&gt;=代码!$D90,O$3&lt;=代码!$E90),"是","")</f>
        <v/>
      </c>
      <c r="P91" s="30" t="str">
        <f>IF(AND(P$3&gt;=代码!$D90,P$3&lt;=代码!$E90),"是","")</f>
        <v/>
      </c>
      <c r="Q91" s="30" t="str">
        <f>IF(AND(Q$3&gt;=代码!$D90,Q$3&lt;=代码!$E90),"是","")</f>
        <v/>
      </c>
      <c r="R91" s="30" t="str">
        <f>IF(AND(R$3&gt;=代码!$D90,R$3&lt;=代码!$E90),"是","")</f>
        <v/>
      </c>
      <c r="S91" s="30" t="str">
        <f>IF(AND(S$3&gt;=代码!$D90,S$3&lt;=代码!$E90),"是","")</f>
        <v/>
      </c>
      <c r="T91" s="30" t="str">
        <f>IF(AND(T$3&gt;=代码!$D90,T$3&lt;=代码!$E90),"是","")</f>
        <v/>
      </c>
      <c r="U91" s="30" t="str">
        <f>IF(AND(U$3&gt;=代码!$D90,U$3&lt;=代码!$E90),"是","")</f>
        <v/>
      </c>
      <c r="V91" s="30" t="str">
        <f>IF(AND(V$3&gt;=代码!$D90,V$3&lt;=代码!$E90),"是","")</f>
        <v/>
      </c>
      <c r="W91" s="30" t="str">
        <f>IF(AND(W$3&gt;=代码!$D90,W$3&lt;=代码!$E90),"是","")</f>
        <v/>
      </c>
      <c r="X91" s="30" t="str">
        <f>IF(AND(X$3&gt;=代码!$D90,X$3&lt;=代码!$E90),"是","")</f>
        <v/>
      </c>
      <c r="Y91" s="30" t="str">
        <f>IF(AND(Y$3&gt;=代码!$D90,Y$3&lt;=代码!$E90),"是","")</f>
        <v/>
      </c>
      <c r="Z91" s="30" t="str">
        <f>IF(AND(Z$3&gt;=代码!$D90,Z$3&lt;=代码!$E90),"是","")</f>
        <v/>
      </c>
      <c r="AA91" s="30" t="str">
        <f>IF(AND(AA$3&gt;=代码!$D90,AA$3&lt;=代码!$E90),"是","")</f>
        <v/>
      </c>
      <c r="AB91" s="30" t="str">
        <f>IF(AND(AB$3&gt;=代码!$D90,AB$3&lt;=代码!$E90),"是","")</f>
        <v/>
      </c>
      <c r="AC91" s="30" t="str">
        <f>IF(AND(AC$3&gt;=代码!$D90,AC$3&lt;=代码!$E90),"是","")</f>
        <v/>
      </c>
      <c r="AD91" s="30" t="str">
        <f>IF(AND(AD$3&gt;=代码!$D90,AD$3&lt;=代码!$E90),"是","")</f>
        <v/>
      </c>
      <c r="AE91" s="30" t="str">
        <f>IF(AND(AE$3&gt;=代码!$D90,AE$3&lt;=代码!$E90),"是","")</f>
        <v/>
      </c>
      <c r="AF91" s="30" t="str">
        <f>IF(AND(AF$3&gt;=代码!$D90,AF$3&lt;=代码!$E90),"是","")</f>
        <v/>
      </c>
      <c r="AG91" s="30" t="str">
        <f>IF(AND(AG$3&gt;=代码!$D90,AG$3&lt;=代码!$E90),"是","")</f>
        <v/>
      </c>
    </row>
    <row r="92" spans="3:33">
      <c r="C92" s="30" t="str">
        <f>IFERROR(VLOOKUP(B92,员工信息表!N:O,2,FALSE),"")</f>
        <v>时段</v>
      </c>
      <c r="D92" s="30" t="str">
        <f>IF(AND(D$3&gt;=代码!$D91,D$3&lt;=代码!$E91),"是","")</f>
        <v/>
      </c>
      <c r="E92" s="30" t="str">
        <f>IF(AND(E$3&gt;=代码!$D91,E$3&lt;=代码!$E91),"是","")</f>
        <v/>
      </c>
      <c r="F92" s="30" t="str">
        <f>IF(AND(F$3&gt;=代码!$D91,F$3&lt;=代码!$E91),"是","")</f>
        <v/>
      </c>
      <c r="G92" s="30" t="str">
        <f>IF(AND(G$3&gt;=代码!$D91,G$3&lt;=代码!$E91),"是","")</f>
        <v/>
      </c>
      <c r="H92" s="30" t="str">
        <f>IF(AND(H$3&gt;=代码!$D91,H$3&lt;=代码!$E91),"是","")</f>
        <v/>
      </c>
      <c r="I92" s="30" t="str">
        <f>IF(AND(I$3&gt;=代码!$D91,I$3&lt;=代码!$E91),"是","")</f>
        <v/>
      </c>
      <c r="J92" s="30" t="str">
        <f>IF(AND(J$3&gt;=代码!$D91,J$3&lt;=代码!$E91),"是","")</f>
        <v/>
      </c>
      <c r="K92" s="30" t="str">
        <f>IF(AND(K$3&gt;=代码!$D91,K$3&lt;=代码!$E91),"是","")</f>
        <v/>
      </c>
      <c r="L92" s="30" t="str">
        <f>IF(AND(L$3&gt;=代码!$D91,L$3&lt;=代码!$E91),"是","")</f>
        <v/>
      </c>
      <c r="M92" s="30" t="str">
        <f>IF(AND(M$3&gt;=代码!$D91,M$3&lt;=代码!$E91),"是","")</f>
        <v/>
      </c>
      <c r="N92" s="30" t="str">
        <f>IF(AND(N$3&gt;=代码!$D91,N$3&lt;=代码!$E91),"是","")</f>
        <v/>
      </c>
      <c r="O92" s="30" t="str">
        <f>IF(AND(O$3&gt;=代码!$D91,O$3&lt;=代码!$E91),"是","")</f>
        <v/>
      </c>
      <c r="P92" s="30" t="str">
        <f>IF(AND(P$3&gt;=代码!$D91,P$3&lt;=代码!$E91),"是","")</f>
        <v/>
      </c>
      <c r="Q92" s="30" t="str">
        <f>IF(AND(Q$3&gt;=代码!$D91,Q$3&lt;=代码!$E91),"是","")</f>
        <v/>
      </c>
      <c r="R92" s="30" t="str">
        <f>IF(AND(R$3&gt;=代码!$D91,R$3&lt;=代码!$E91),"是","")</f>
        <v/>
      </c>
      <c r="S92" s="30" t="str">
        <f>IF(AND(S$3&gt;=代码!$D91,S$3&lt;=代码!$E91),"是","")</f>
        <v/>
      </c>
      <c r="T92" s="30" t="str">
        <f>IF(AND(T$3&gt;=代码!$D91,T$3&lt;=代码!$E91),"是","")</f>
        <v/>
      </c>
      <c r="U92" s="30" t="str">
        <f>IF(AND(U$3&gt;=代码!$D91,U$3&lt;=代码!$E91),"是","")</f>
        <v/>
      </c>
      <c r="V92" s="30" t="str">
        <f>IF(AND(V$3&gt;=代码!$D91,V$3&lt;=代码!$E91),"是","")</f>
        <v/>
      </c>
      <c r="W92" s="30" t="str">
        <f>IF(AND(W$3&gt;=代码!$D91,W$3&lt;=代码!$E91),"是","")</f>
        <v/>
      </c>
      <c r="X92" s="30" t="str">
        <f>IF(AND(X$3&gt;=代码!$D91,X$3&lt;=代码!$E91),"是","")</f>
        <v/>
      </c>
      <c r="Y92" s="30" t="str">
        <f>IF(AND(Y$3&gt;=代码!$D91,Y$3&lt;=代码!$E91),"是","")</f>
        <v/>
      </c>
      <c r="Z92" s="30" t="str">
        <f>IF(AND(Z$3&gt;=代码!$D91,Z$3&lt;=代码!$E91),"是","")</f>
        <v/>
      </c>
      <c r="AA92" s="30" t="str">
        <f>IF(AND(AA$3&gt;=代码!$D91,AA$3&lt;=代码!$E91),"是","")</f>
        <v/>
      </c>
      <c r="AB92" s="30" t="str">
        <f>IF(AND(AB$3&gt;=代码!$D91,AB$3&lt;=代码!$E91),"是","")</f>
        <v/>
      </c>
      <c r="AC92" s="30" t="str">
        <f>IF(AND(AC$3&gt;=代码!$D91,AC$3&lt;=代码!$E91),"是","")</f>
        <v/>
      </c>
      <c r="AD92" s="30" t="str">
        <f>IF(AND(AD$3&gt;=代码!$D91,AD$3&lt;=代码!$E91),"是","")</f>
        <v/>
      </c>
      <c r="AE92" s="30" t="str">
        <f>IF(AND(AE$3&gt;=代码!$D91,AE$3&lt;=代码!$E91),"是","")</f>
        <v/>
      </c>
      <c r="AF92" s="30" t="str">
        <f>IF(AND(AF$3&gt;=代码!$D91,AF$3&lt;=代码!$E91),"是","")</f>
        <v/>
      </c>
      <c r="AG92" s="30" t="str">
        <f>IF(AND(AG$3&gt;=代码!$D91,AG$3&lt;=代码!$E91),"是","")</f>
        <v/>
      </c>
    </row>
    <row r="93" spans="3:33">
      <c r="C93" s="30" t="str">
        <f>IFERROR(VLOOKUP(B93,员工信息表!N:O,2,FALSE),"")</f>
        <v>时段</v>
      </c>
      <c r="D93" s="30" t="str">
        <f>IF(AND(D$3&gt;=代码!$D92,D$3&lt;=代码!$E92),"是","")</f>
        <v/>
      </c>
      <c r="E93" s="30" t="str">
        <f>IF(AND(E$3&gt;=代码!$D92,E$3&lt;=代码!$E92),"是","")</f>
        <v/>
      </c>
      <c r="F93" s="30" t="str">
        <f>IF(AND(F$3&gt;=代码!$D92,F$3&lt;=代码!$E92),"是","")</f>
        <v/>
      </c>
      <c r="G93" s="30" t="str">
        <f>IF(AND(G$3&gt;=代码!$D92,G$3&lt;=代码!$E92),"是","")</f>
        <v/>
      </c>
      <c r="H93" s="30" t="str">
        <f>IF(AND(H$3&gt;=代码!$D92,H$3&lt;=代码!$E92),"是","")</f>
        <v/>
      </c>
      <c r="I93" s="30" t="str">
        <f>IF(AND(I$3&gt;=代码!$D92,I$3&lt;=代码!$E92),"是","")</f>
        <v/>
      </c>
      <c r="J93" s="30" t="str">
        <f>IF(AND(J$3&gt;=代码!$D92,J$3&lt;=代码!$E92),"是","")</f>
        <v/>
      </c>
      <c r="K93" s="30" t="str">
        <f>IF(AND(K$3&gt;=代码!$D92,K$3&lt;=代码!$E92),"是","")</f>
        <v/>
      </c>
      <c r="L93" s="30" t="str">
        <f>IF(AND(L$3&gt;=代码!$D92,L$3&lt;=代码!$E92),"是","")</f>
        <v/>
      </c>
      <c r="M93" s="30" t="str">
        <f>IF(AND(M$3&gt;=代码!$D92,M$3&lt;=代码!$E92),"是","")</f>
        <v/>
      </c>
      <c r="N93" s="30" t="str">
        <f>IF(AND(N$3&gt;=代码!$D92,N$3&lt;=代码!$E92),"是","")</f>
        <v/>
      </c>
      <c r="O93" s="30" t="str">
        <f>IF(AND(O$3&gt;=代码!$D92,O$3&lt;=代码!$E92),"是","")</f>
        <v/>
      </c>
      <c r="P93" s="30" t="str">
        <f>IF(AND(P$3&gt;=代码!$D92,P$3&lt;=代码!$E92),"是","")</f>
        <v/>
      </c>
      <c r="Q93" s="30" t="str">
        <f>IF(AND(Q$3&gt;=代码!$D92,Q$3&lt;=代码!$E92),"是","")</f>
        <v/>
      </c>
      <c r="R93" s="30" t="str">
        <f>IF(AND(R$3&gt;=代码!$D92,R$3&lt;=代码!$E92),"是","")</f>
        <v/>
      </c>
      <c r="S93" s="30" t="str">
        <f>IF(AND(S$3&gt;=代码!$D92,S$3&lt;=代码!$E92),"是","")</f>
        <v/>
      </c>
      <c r="T93" s="30" t="str">
        <f>IF(AND(T$3&gt;=代码!$D92,T$3&lt;=代码!$E92),"是","")</f>
        <v/>
      </c>
      <c r="U93" s="30" t="str">
        <f>IF(AND(U$3&gt;=代码!$D92,U$3&lt;=代码!$E92),"是","")</f>
        <v/>
      </c>
      <c r="V93" s="30" t="str">
        <f>IF(AND(V$3&gt;=代码!$D92,V$3&lt;=代码!$E92),"是","")</f>
        <v/>
      </c>
      <c r="W93" s="30" t="str">
        <f>IF(AND(W$3&gt;=代码!$D92,W$3&lt;=代码!$E92),"是","")</f>
        <v/>
      </c>
      <c r="X93" s="30" t="str">
        <f>IF(AND(X$3&gt;=代码!$D92,X$3&lt;=代码!$E92),"是","")</f>
        <v/>
      </c>
      <c r="Y93" s="30" t="str">
        <f>IF(AND(Y$3&gt;=代码!$D92,Y$3&lt;=代码!$E92),"是","")</f>
        <v/>
      </c>
      <c r="Z93" s="30" t="str">
        <f>IF(AND(Z$3&gt;=代码!$D92,Z$3&lt;=代码!$E92),"是","")</f>
        <v/>
      </c>
      <c r="AA93" s="30" t="str">
        <f>IF(AND(AA$3&gt;=代码!$D92,AA$3&lt;=代码!$E92),"是","")</f>
        <v/>
      </c>
      <c r="AB93" s="30" t="str">
        <f>IF(AND(AB$3&gt;=代码!$D92,AB$3&lt;=代码!$E92),"是","")</f>
        <v/>
      </c>
      <c r="AC93" s="30" t="str">
        <f>IF(AND(AC$3&gt;=代码!$D92,AC$3&lt;=代码!$E92),"是","")</f>
        <v/>
      </c>
      <c r="AD93" s="30" t="str">
        <f>IF(AND(AD$3&gt;=代码!$D92,AD$3&lt;=代码!$E92),"是","")</f>
        <v/>
      </c>
      <c r="AE93" s="30" t="str">
        <f>IF(AND(AE$3&gt;=代码!$D92,AE$3&lt;=代码!$E92),"是","")</f>
        <v/>
      </c>
      <c r="AF93" s="30" t="str">
        <f>IF(AND(AF$3&gt;=代码!$D92,AF$3&lt;=代码!$E92),"是","")</f>
        <v/>
      </c>
      <c r="AG93" s="30" t="str">
        <f>IF(AND(AG$3&gt;=代码!$D92,AG$3&lt;=代码!$E92),"是","")</f>
        <v/>
      </c>
    </row>
    <row r="94" spans="3:33">
      <c r="C94" s="30" t="str">
        <f>IFERROR(VLOOKUP(B94,员工信息表!N:O,2,FALSE),"")</f>
        <v>时段</v>
      </c>
      <c r="D94" s="30" t="str">
        <f>IF(AND(D$3&gt;=代码!$D93,D$3&lt;=代码!$E93),"是","")</f>
        <v/>
      </c>
      <c r="E94" s="30" t="str">
        <f>IF(AND(E$3&gt;=代码!$D93,E$3&lt;=代码!$E93),"是","")</f>
        <v/>
      </c>
      <c r="F94" s="30" t="str">
        <f>IF(AND(F$3&gt;=代码!$D93,F$3&lt;=代码!$E93),"是","")</f>
        <v/>
      </c>
      <c r="G94" s="30" t="str">
        <f>IF(AND(G$3&gt;=代码!$D93,G$3&lt;=代码!$E93),"是","")</f>
        <v/>
      </c>
      <c r="H94" s="30" t="str">
        <f>IF(AND(H$3&gt;=代码!$D93,H$3&lt;=代码!$E93),"是","")</f>
        <v/>
      </c>
      <c r="I94" s="30" t="str">
        <f>IF(AND(I$3&gt;=代码!$D93,I$3&lt;=代码!$E93),"是","")</f>
        <v/>
      </c>
      <c r="J94" s="30" t="str">
        <f>IF(AND(J$3&gt;=代码!$D93,J$3&lt;=代码!$E93),"是","")</f>
        <v/>
      </c>
      <c r="K94" s="30" t="str">
        <f>IF(AND(K$3&gt;=代码!$D93,K$3&lt;=代码!$E93),"是","")</f>
        <v/>
      </c>
      <c r="L94" s="30" t="str">
        <f>IF(AND(L$3&gt;=代码!$D93,L$3&lt;=代码!$E93),"是","")</f>
        <v/>
      </c>
      <c r="M94" s="30" t="str">
        <f>IF(AND(M$3&gt;=代码!$D93,M$3&lt;=代码!$E93),"是","")</f>
        <v/>
      </c>
      <c r="N94" s="30" t="str">
        <f>IF(AND(N$3&gt;=代码!$D93,N$3&lt;=代码!$E93),"是","")</f>
        <v/>
      </c>
      <c r="O94" s="30" t="str">
        <f>IF(AND(O$3&gt;=代码!$D93,O$3&lt;=代码!$E93),"是","")</f>
        <v/>
      </c>
      <c r="P94" s="30" t="str">
        <f>IF(AND(P$3&gt;=代码!$D93,P$3&lt;=代码!$E93),"是","")</f>
        <v/>
      </c>
      <c r="Q94" s="30" t="str">
        <f>IF(AND(Q$3&gt;=代码!$D93,Q$3&lt;=代码!$E93),"是","")</f>
        <v/>
      </c>
      <c r="R94" s="30" t="str">
        <f>IF(AND(R$3&gt;=代码!$D93,R$3&lt;=代码!$E93),"是","")</f>
        <v/>
      </c>
      <c r="S94" s="30" t="str">
        <f>IF(AND(S$3&gt;=代码!$D93,S$3&lt;=代码!$E93),"是","")</f>
        <v/>
      </c>
      <c r="T94" s="30" t="str">
        <f>IF(AND(T$3&gt;=代码!$D93,T$3&lt;=代码!$E93),"是","")</f>
        <v/>
      </c>
      <c r="U94" s="30" t="str">
        <f>IF(AND(U$3&gt;=代码!$D93,U$3&lt;=代码!$E93),"是","")</f>
        <v/>
      </c>
      <c r="V94" s="30" t="str">
        <f>IF(AND(V$3&gt;=代码!$D93,V$3&lt;=代码!$E93),"是","")</f>
        <v/>
      </c>
      <c r="W94" s="30" t="str">
        <f>IF(AND(W$3&gt;=代码!$D93,W$3&lt;=代码!$E93),"是","")</f>
        <v/>
      </c>
      <c r="X94" s="30" t="str">
        <f>IF(AND(X$3&gt;=代码!$D93,X$3&lt;=代码!$E93),"是","")</f>
        <v/>
      </c>
      <c r="Y94" s="30" t="str">
        <f>IF(AND(Y$3&gt;=代码!$D93,Y$3&lt;=代码!$E93),"是","")</f>
        <v/>
      </c>
      <c r="Z94" s="30" t="str">
        <f>IF(AND(Z$3&gt;=代码!$D93,Z$3&lt;=代码!$E93),"是","")</f>
        <v/>
      </c>
      <c r="AA94" s="30" t="str">
        <f>IF(AND(AA$3&gt;=代码!$D93,AA$3&lt;=代码!$E93),"是","")</f>
        <v/>
      </c>
      <c r="AB94" s="30" t="str">
        <f>IF(AND(AB$3&gt;=代码!$D93,AB$3&lt;=代码!$E93),"是","")</f>
        <v/>
      </c>
      <c r="AC94" s="30" t="str">
        <f>IF(AND(AC$3&gt;=代码!$D93,AC$3&lt;=代码!$E93),"是","")</f>
        <v/>
      </c>
      <c r="AD94" s="30" t="str">
        <f>IF(AND(AD$3&gt;=代码!$D93,AD$3&lt;=代码!$E93),"是","")</f>
        <v/>
      </c>
      <c r="AE94" s="30" t="str">
        <f>IF(AND(AE$3&gt;=代码!$D93,AE$3&lt;=代码!$E93),"是","")</f>
        <v/>
      </c>
      <c r="AF94" s="30" t="str">
        <f>IF(AND(AF$3&gt;=代码!$D93,AF$3&lt;=代码!$E93),"是","")</f>
        <v/>
      </c>
      <c r="AG94" s="30" t="str">
        <f>IF(AND(AG$3&gt;=代码!$D93,AG$3&lt;=代码!$E93),"是","")</f>
        <v/>
      </c>
    </row>
    <row r="95" spans="3:33">
      <c r="C95" s="30" t="str">
        <f>IFERROR(VLOOKUP(B95,员工信息表!N:O,2,FALSE),"")</f>
        <v>时段</v>
      </c>
      <c r="D95" s="30" t="str">
        <f>IF(AND(D$3&gt;=代码!$D94,D$3&lt;=代码!$E94),"是","")</f>
        <v/>
      </c>
      <c r="E95" s="30" t="str">
        <f>IF(AND(E$3&gt;=代码!$D94,E$3&lt;=代码!$E94),"是","")</f>
        <v/>
      </c>
      <c r="F95" s="30" t="str">
        <f>IF(AND(F$3&gt;=代码!$D94,F$3&lt;=代码!$E94),"是","")</f>
        <v/>
      </c>
      <c r="G95" s="30" t="str">
        <f>IF(AND(G$3&gt;=代码!$D94,G$3&lt;=代码!$E94),"是","")</f>
        <v/>
      </c>
      <c r="H95" s="30" t="str">
        <f>IF(AND(H$3&gt;=代码!$D94,H$3&lt;=代码!$E94),"是","")</f>
        <v/>
      </c>
      <c r="I95" s="30" t="str">
        <f>IF(AND(I$3&gt;=代码!$D94,I$3&lt;=代码!$E94),"是","")</f>
        <v/>
      </c>
      <c r="J95" s="30" t="str">
        <f>IF(AND(J$3&gt;=代码!$D94,J$3&lt;=代码!$E94),"是","")</f>
        <v/>
      </c>
      <c r="K95" s="30" t="str">
        <f>IF(AND(K$3&gt;=代码!$D94,K$3&lt;=代码!$E94),"是","")</f>
        <v/>
      </c>
      <c r="L95" s="30" t="str">
        <f>IF(AND(L$3&gt;=代码!$D94,L$3&lt;=代码!$E94),"是","")</f>
        <v/>
      </c>
      <c r="M95" s="30" t="str">
        <f>IF(AND(M$3&gt;=代码!$D94,M$3&lt;=代码!$E94),"是","")</f>
        <v/>
      </c>
      <c r="N95" s="30" t="str">
        <f>IF(AND(N$3&gt;=代码!$D94,N$3&lt;=代码!$E94),"是","")</f>
        <v/>
      </c>
      <c r="O95" s="30" t="str">
        <f>IF(AND(O$3&gt;=代码!$D94,O$3&lt;=代码!$E94),"是","")</f>
        <v/>
      </c>
      <c r="P95" s="30" t="str">
        <f>IF(AND(P$3&gt;=代码!$D94,P$3&lt;=代码!$E94),"是","")</f>
        <v/>
      </c>
      <c r="Q95" s="30" t="str">
        <f>IF(AND(Q$3&gt;=代码!$D94,Q$3&lt;=代码!$E94),"是","")</f>
        <v/>
      </c>
      <c r="R95" s="30" t="str">
        <f>IF(AND(R$3&gt;=代码!$D94,R$3&lt;=代码!$E94),"是","")</f>
        <v/>
      </c>
      <c r="S95" s="30" t="str">
        <f>IF(AND(S$3&gt;=代码!$D94,S$3&lt;=代码!$E94),"是","")</f>
        <v/>
      </c>
      <c r="T95" s="30" t="str">
        <f>IF(AND(T$3&gt;=代码!$D94,T$3&lt;=代码!$E94),"是","")</f>
        <v/>
      </c>
      <c r="U95" s="30" t="str">
        <f>IF(AND(U$3&gt;=代码!$D94,U$3&lt;=代码!$E94),"是","")</f>
        <v/>
      </c>
      <c r="V95" s="30" t="str">
        <f>IF(AND(V$3&gt;=代码!$D94,V$3&lt;=代码!$E94),"是","")</f>
        <v/>
      </c>
      <c r="W95" s="30" t="str">
        <f>IF(AND(W$3&gt;=代码!$D94,W$3&lt;=代码!$E94),"是","")</f>
        <v/>
      </c>
      <c r="X95" s="30" t="str">
        <f>IF(AND(X$3&gt;=代码!$D94,X$3&lt;=代码!$E94),"是","")</f>
        <v/>
      </c>
      <c r="Y95" s="30" t="str">
        <f>IF(AND(Y$3&gt;=代码!$D94,Y$3&lt;=代码!$E94),"是","")</f>
        <v/>
      </c>
      <c r="Z95" s="30" t="str">
        <f>IF(AND(Z$3&gt;=代码!$D94,Z$3&lt;=代码!$E94),"是","")</f>
        <v/>
      </c>
      <c r="AA95" s="30" t="str">
        <f>IF(AND(AA$3&gt;=代码!$D94,AA$3&lt;=代码!$E94),"是","")</f>
        <v/>
      </c>
      <c r="AB95" s="30" t="str">
        <f>IF(AND(AB$3&gt;=代码!$D94,AB$3&lt;=代码!$E94),"是","")</f>
        <v/>
      </c>
      <c r="AC95" s="30" t="str">
        <f>IF(AND(AC$3&gt;=代码!$D94,AC$3&lt;=代码!$E94),"是","")</f>
        <v/>
      </c>
      <c r="AD95" s="30" t="str">
        <f>IF(AND(AD$3&gt;=代码!$D94,AD$3&lt;=代码!$E94),"是","")</f>
        <v/>
      </c>
      <c r="AE95" s="30" t="str">
        <f>IF(AND(AE$3&gt;=代码!$D94,AE$3&lt;=代码!$E94),"是","")</f>
        <v/>
      </c>
      <c r="AF95" s="30" t="str">
        <f>IF(AND(AF$3&gt;=代码!$D94,AF$3&lt;=代码!$E94),"是","")</f>
        <v/>
      </c>
      <c r="AG95" s="30" t="str">
        <f>IF(AND(AG$3&gt;=代码!$D94,AG$3&lt;=代码!$E94),"是","")</f>
        <v/>
      </c>
    </row>
    <row r="96" spans="3:33">
      <c r="C96" s="30" t="str">
        <f>IFERROR(VLOOKUP(B96,员工信息表!N:O,2,FALSE),"")</f>
        <v>时段</v>
      </c>
      <c r="D96" s="30" t="str">
        <f>IF(AND(D$3&gt;=代码!$D95,D$3&lt;=代码!$E95),"是","")</f>
        <v/>
      </c>
      <c r="E96" s="30" t="str">
        <f>IF(AND(E$3&gt;=代码!$D95,E$3&lt;=代码!$E95),"是","")</f>
        <v/>
      </c>
      <c r="F96" s="30" t="str">
        <f>IF(AND(F$3&gt;=代码!$D95,F$3&lt;=代码!$E95),"是","")</f>
        <v/>
      </c>
      <c r="G96" s="30" t="str">
        <f>IF(AND(G$3&gt;=代码!$D95,G$3&lt;=代码!$E95),"是","")</f>
        <v/>
      </c>
      <c r="H96" s="30" t="str">
        <f>IF(AND(H$3&gt;=代码!$D95,H$3&lt;=代码!$E95),"是","")</f>
        <v/>
      </c>
      <c r="I96" s="30" t="str">
        <f>IF(AND(I$3&gt;=代码!$D95,I$3&lt;=代码!$E95),"是","")</f>
        <v/>
      </c>
      <c r="J96" s="30" t="str">
        <f>IF(AND(J$3&gt;=代码!$D95,J$3&lt;=代码!$E95),"是","")</f>
        <v/>
      </c>
      <c r="K96" s="30" t="str">
        <f>IF(AND(K$3&gt;=代码!$D95,K$3&lt;=代码!$E95),"是","")</f>
        <v/>
      </c>
      <c r="L96" s="30" t="str">
        <f>IF(AND(L$3&gt;=代码!$D95,L$3&lt;=代码!$E95),"是","")</f>
        <v/>
      </c>
      <c r="M96" s="30" t="str">
        <f>IF(AND(M$3&gt;=代码!$D95,M$3&lt;=代码!$E95),"是","")</f>
        <v/>
      </c>
      <c r="N96" s="30" t="str">
        <f>IF(AND(N$3&gt;=代码!$D95,N$3&lt;=代码!$E95),"是","")</f>
        <v/>
      </c>
      <c r="O96" s="30" t="str">
        <f>IF(AND(O$3&gt;=代码!$D95,O$3&lt;=代码!$E95),"是","")</f>
        <v/>
      </c>
      <c r="P96" s="30" t="str">
        <f>IF(AND(P$3&gt;=代码!$D95,P$3&lt;=代码!$E95),"是","")</f>
        <v/>
      </c>
      <c r="Q96" s="30" t="str">
        <f>IF(AND(Q$3&gt;=代码!$D95,Q$3&lt;=代码!$E95),"是","")</f>
        <v/>
      </c>
      <c r="R96" s="30" t="str">
        <f>IF(AND(R$3&gt;=代码!$D95,R$3&lt;=代码!$E95),"是","")</f>
        <v/>
      </c>
      <c r="S96" s="30" t="str">
        <f>IF(AND(S$3&gt;=代码!$D95,S$3&lt;=代码!$E95),"是","")</f>
        <v/>
      </c>
      <c r="T96" s="30" t="str">
        <f>IF(AND(T$3&gt;=代码!$D95,T$3&lt;=代码!$E95),"是","")</f>
        <v/>
      </c>
      <c r="U96" s="30" t="str">
        <f>IF(AND(U$3&gt;=代码!$D95,U$3&lt;=代码!$E95),"是","")</f>
        <v/>
      </c>
      <c r="V96" s="30" t="str">
        <f>IF(AND(V$3&gt;=代码!$D95,V$3&lt;=代码!$E95),"是","")</f>
        <v/>
      </c>
      <c r="W96" s="30" t="str">
        <f>IF(AND(W$3&gt;=代码!$D95,W$3&lt;=代码!$E95),"是","")</f>
        <v/>
      </c>
      <c r="X96" s="30" t="str">
        <f>IF(AND(X$3&gt;=代码!$D95,X$3&lt;=代码!$E95),"是","")</f>
        <v/>
      </c>
      <c r="Y96" s="30" t="str">
        <f>IF(AND(Y$3&gt;=代码!$D95,Y$3&lt;=代码!$E95),"是","")</f>
        <v/>
      </c>
      <c r="Z96" s="30" t="str">
        <f>IF(AND(Z$3&gt;=代码!$D95,Z$3&lt;=代码!$E95),"是","")</f>
        <v/>
      </c>
      <c r="AA96" s="30" t="str">
        <f>IF(AND(AA$3&gt;=代码!$D95,AA$3&lt;=代码!$E95),"是","")</f>
        <v/>
      </c>
      <c r="AB96" s="30" t="str">
        <f>IF(AND(AB$3&gt;=代码!$D95,AB$3&lt;=代码!$E95),"是","")</f>
        <v/>
      </c>
      <c r="AC96" s="30" t="str">
        <f>IF(AND(AC$3&gt;=代码!$D95,AC$3&lt;=代码!$E95),"是","")</f>
        <v/>
      </c>
      <c r="AD96" s="30" t="str">
        <f>IF(AND(AD$3&gt;=代码!$D95,AD$3&lt;=代码!$E95),"是","")</f>
        <v/>
      </c>
      <c r="AE96" s="30" t="str">
        <f>IF(AND(AE$3&gt;=代码!$D95,AE$3&lt;=代码!$E95),"是","")</f>
        <v/>
      </c>
      <c r="AF96" s="30" t="str">
        <f>IF(AND(AF$3&gt;=代码!$D95,AF$3&lt;=代码!$E95),"是","")</f>
        <v/>
      </c>
      <c r="AG96" s="30" t="str">
        <f>IF(AND(AG$3&gt;=代码!$D95,AG$3&lt;=代码!$E95),"是","")</f>
        <v/>
      </c>
    </row>
    <row r="97" spans="3:33">
      <c r="C97" s="30" t="str">
        <f>IFERROR(VLOOKUP(B97,员工信息表!N:O,2,FALSE),"")</f>
        <v>时段</v>
      </c>
      <c r="D97" s="30" t="str">
        <f>IF(AND(D$3&gt;=代码!$D96,D$3&lt;=代码!$E96),"是","")</f>
        <v/>
      </c>
      <c r="E97" s="30" t="str">
        <f>IF(AND(E$3&gt;=代码!$D96,E$3&lt;=代码!$E96),"是","")</f>
        <v/>
      </c>
      <c r="F97" s="30" t="str">
        <f>IF(AND(F$3&gt;=代码!$D96,F$3&lt;=代码!$E96),"是","")</f>
        <v/>
      </c>
      <c r="G97" s="30" t="str">
        <f>IF(AND(G$3&gt;=代码!$D96,G$3&lt;=代码!$E96),"是","")</f>
        <v/>
      </c>
      <c r="H97" s="30" t="str">
        <f>IF(AND(H$3&gt;=代码!$D96,H$3&lt;=代码!$E96),"是","")</f>
        <v/>
      </c>
      <c r="I97" s="30" t="str">
        <f>IF(AND(I$3&gt;=代码!$D96,I$3&lt;=代码!$E96),"是","")</f>
        <v/>
      </c>
      <c r="J97" s="30" t="str">
        <f>IF(AND(J$3&gt;=代码!$D96,J$3&lt;=代码!$E96),"是","")</f>
        <v/>
      </c>
      <c r="K97" s="30" t="str">
        <f>IF(AND(K$3&gt;=代码!$D96,K$3&lt;=代码!$E96),"是","")</f>
        <v/>
      </c>
      <c r="L97" s="30" t="str">
        <f>IF(AND(L$3&gt;=代码!$D96,L$3&lt;=代码!$E96),"是","")</f>
        <v/>
      </c>
      <c r="M97" s="30" t="str">
        <f>IF(AND(M$3&gt;=代码!$D96,M$3&lt;=代码!$E96),"是","")</f>
        <v/>
      </c>
      <c r="N97" s="30" t="str">
        <f>IF(AND(N$3&gt;=代码!$D96,N$3&lt;=代码!$E96),"是","")</f>
        <v/>
      </c>
      <c r="O97" s="30" t="str">
        <f>IF(AND(O$3&gt;=代码!$D96,O$3&lt;=代码!$E96),"是","")</f>
        <v/>
      </c>
      <c r="P97" s="30" t="str">
        <f>IF(AND(P$3&gt;=代码!$D96,P$3&lt;=代码!$E96),"是","")</f>
        <v/>
      </c>
      <c r="Q97" s="30" t="str">
        <f>IF(AND(Q$3&gt;=代码!$D96,Q$3&lt;=代码!$E96),"是","")</f>
        <v/>
      </c>
      <c r="R97" s="30" t="str">
        <f>IF(AND(R$3&gt;=代码!$D96,R$3&lt;=代码!$E96),"是","")</f>
        <v/>
      </c>
      <c r="S97" s="30" t="str">
        <f>IF(AND(S$3&gt;=代码!$D96,S$3&lt;=代码!$E96),"是","")</f>
        <v/>
      </c>
      <c r="T97" s="30" t="str">
        <f>IF(AND(T$3&gt;=代码!$D96,T$3&lt;=代码!$E96),"是","")</f>
        <v/>
      </c>
      <c r="U97" s="30" t="str">
        <f>IF(AND(U$3&gt;=代码!$D96,U$3&lt;=代码!$E96),"是","")</f>
        <v/>
      </c>
      <c r="V97" s="30" t="str">
        <f>IF(AND(V$3&gt;=代码!$D96,V$3&lt;=代码!$E96),"是","")</f>
        <v/>
      </c>
      <c r="W97" s="30" t="str">
        <f>IF(AND(W$3&gt;=代码!$D96,W$3&lt;=代码!$E96),"是","")</f>
        <v/>
      </c>
      <c r="X97" s="30" t="str">
        <f>IF(AND(X$3&gt;=代码!$D96,X$3&lt;=代码!$E96),"是","")</f>
        <v/>
      </c>
      <c r="Y97" s="30" t="str">
        <f>IF(AND(Y$3&gt;=代码!$D96,Y$3&lt;=代码!$E96),"是","")</f>
        <v/>
      </c>
      <c r="Z97" s="30" t="str">
        <f>IF(AND(Z$3&gt;=代码!$D96,Z$3&lt;=代码!$E96),"是","")</f>
        <v/>
      </c>
      <c r="AA97" s="30" t="str">
        <f>IF(AND(AA$3&gt;=代码!$D96,AA$3&lt;=代码!$E96),"是","")</f>
        <v/>
      </c>
      <c r="AB97" s="30" t="str">
        <f>IF(AND(AB$3&gt;=代码!$D96,AB$3&lt;=代码!$E96),"是","")</f>
        <v/>
      </c>
      <c r="AC97" s="30" t="str">
        <f>IF(AND(AC$3&gt;=代码!$D96,AC$3&lt;=代码!$E96),"是","")</f>
        <v/>
      </c>
      <c r="AD97" s="30" t="str">
        <f>IF(AND(AD$3&gt;=代码!$D96,AD$3&lt;=代码!$E96),"是","")</f>
        <v/>
      </c>
      <c r="AE97" s="30" t="str">
        <f>IF(AND(AE$3&gt;=代码!$D96,AE$3&lt;=代码!$E96),"是","")</f>
        <v/>
      </c>
      <c r="AF97" s="30" t="str">
        <f>IF(AND(AF$3&gt;=代码!$D96,AF$3&lt;=代码!$E96),"是","")</f>
        <v/>
      </c>
      <c r="AG97" s="30" t="str">
        <f>IF(AND(AG$3&gt;=代码!$D96,AG$3&lt;=代码!$E96),"是","")</f>
        <v/>
      </c>
    </row>
    <row r="98" spans="3:33">
      <c r="C98" s="30" t="str">
        <f>IFERROR(VLOOKUP(B98,员工信息表!N:O,2,FALSE),"")</f>
        <v>时段</v>
      </c>
      <c r="D98" s="30" t="str">
        <f>IF(AND(D$3&gt;=代码!$D97,D$3&lt;=代码!$E97),"是","")</f>
        <v/>
      </c>
      <c r="E98" s="30" t="str">
        <f>IF(AND(E$3&gt;=代码!$D97,E$3&lt;=代码!$E97),"是","")</f>
        <v/>
      </c>
      <c r="F98" s="30" t="str">
        <f>IF(AND(F$3&gt;=代码!$D97,F$3&lt;=代码!$E97),"是","")</f>
        <v/>
      </c>
      <c r="G98" s="30" t="str">
        <f>IF(AND(G$3&gt;=代码!$D97,G$3&lt;=代码!$E97),"是","")</f>
        <v/>
      </c>
      <c r="H98" s="30" t="str">
        <f>IF(AND(H$3&gt;=代码!$D97,H$3&lt;=代码!$E97),"是","")</f>
        <v/>
      </c>
      <c r="I98" s="30" t="str">
        <f>IF(AND(I$3&gt;=代码!$D97,I$3&lt;=代码!$E97),"是","")</f>
        <v/>
      </c>
      <c r="J98" s="30" t="str">
        <f>IF(AND(J$3&gt;=代码!$D97,J$3&lt;=代码!$E97),"是","")</f>
        <v/>
      </c>
      <c r="K98" s="30" t="str">
        <f>IF(AND(K$3&gt;=代码!$D97,K$3&lt;=代码!$E97),"是","")</f>
        <v/>
      </c>
      <c r="L98" s="30" t="str">
        <f>IF(AND(L$3&gt;=代码!$D97,L$3&lt;=代码!$E97),"是","")</f>
        <v/>
      </c>
      <c r="M98" s="30" t="str">
        <f>IF(AND(M$3&gt;=代码!$D97,M$3&lt;=代码!$E97),"是","")</f>
        <v/>
      </c>
      <c r="N98" s="30" t="str">
        <f>IF(AND(N$3&gt;=代码!$D97,N$3&lt;=代码!$E97),"是","")</f>
        <v/>
      </c>
      <c r="O98" s="30" t="str">
        <f>IF(AND(O$3&gt;=代码!$D97,O$3&lt;=代码!$E97),"是","")</f>
        <v/>
      </c>
      <c r="P98" s="30" t="str">
        <f>IF(AND(P$3&gt;=代码!$D97,P$3&lt;=代码!$E97),"是","")</f>
        <v/>
      </c>
      <c r="Q98" s="30" t="str">
        <f>IF(AND(Q$3&gt;=代码!$D97,Q$3&lt;=代码!$E97),"是","")</f>
        <v/>
      </c>
      <c r="R98" s="30" t="str">
        <f>IF(AND(R$3&gt;=代码!$D97,R$3&lt;=代码!$E97),"是","")</f>
        <v/>
      </c>
      <c r="S98" s="30" t="str">
        <f>IF(AND(S$3&gt;=代码!$D97,S$3&lt;=代码!$E97),"是","")</f>
        <v/>
      </c>
      <c r="T98" s="30" t="str">
        <f>IF(AND(T$3&gt;=代码!$D97,T$3&lt;=代码!$E97),"是","")</f>
        <v/>
      </c>
      <c r="U98" s="30" t="str">
        <f>IF(AND(U$3&gt;=代码!$D97,U$3&lt;=代码!$E97),"是","")</f>
        <v/>
      </c>
      <c r="V98" s="30" t="str">
        <f>IF(AND(V$3&gt;=代码!$D97,V$3&lt;=代码!$E97),"是","")</f>
        <v/>
      </c>
      <c r="W98" s="30" t="str">
        <f>IF(AND(W$3&gt;=代码!$D97,W$3&lt;=代码!$E97),"是","")</f>
        <v/>
      </c>
      <c r="X98" s="30" t="str">
        <f>IF(AND(X$3&gt;=代码!$D97,X$3&lt;=代码!$E97),"是","")</f>
        <v/>
      </c>
      <c r="Y98" s="30" t="str">
        <f>IF(AND(Y$3&gt;=代码!$D97,Y$3&lt;=代码!$E97),"是","")</f>
        <v/>
      </c>
      <c r="Z98" s="30" t="str">
        <f>IF(AND(Z$3&gt;=代码!$D97,Z$3&lt;=代码!$E97),"是","")</f>
        <v/>
      </c>
      <c r="AA98" s="30" t="str">
        <f>IF(AND(AA$3&gt;=代码!$D97,AA$3&lt;=代码!$E97),"是","")</f>
        <v/>
      </c>
      <c r="AB98" s="30" t="str">
        <f>IF(AND(AB$3&gt;=代码!$D97,AB$3&lt;=代码!$E97),"是","")</f>
        <v/>
      </c>
      <c r="AC98" s="30" t="str">
        <f>IF(AND(AC$3&gt;=代码!$D97,AC$3&lt;=代码!$E97),"是","")</f>
        <v/>
      </c>
      <c r="AD98" s="30" t="str">
        <f>IF(AND(AD$3&gt;=代码!$D97,AD$3&lt;=代码!$E97),"是","")</f>
        <v/>
      </c>
      <c r="AE98" s="30" t="str">
        <f>IF(AND(AE$3&gt;=代码!$D97,AE$3&lt;=代码!$E97),"是","")</f>
        <v/>
      </c>
      <c r="AF98" s="30" t="str">
        <f>IF(AND(AF$3&gt;=代码!$D97,AF$3&lt;=代码!$E97),"是","")</f>
        <v/>
      </c>
      <c r="AG98" s="30" t="str">
        <f>IF(AND(AG$3&gt;=代码!$D97,AG$3&lt;=代码!$E97),"是","")</f>
        <v/>
      </c>
    </row>
    <row r="99" spans="3:33">
      <c r="C99" s="30" t="str">
        <f>IFERROR(VLOOKUP(B99,员工信息表!N:O,2,FALSE),"")</f>
        <v>时段</v>
      </c>
      <c r="D99" s="30" t="str">
        <f>IF(AND(D$3&gt;=代码!$D98,D$3&lt;=代码!$E98),"是","")</f>
        <v/>
      </c>
      <c r="E99" s="30" t="str">
        <f>IF(AND(E$3&gt;=代码!$D98,E$3&lt;=代码!$E98),"是","")</f>
        <v/>
      </c>
      <c r="F99" s="30" t="str">
        <f>IF(AND(F$3&gt;=代码!$D98,F$3&lt;=代码!$E98),"是","")</f>
        <v/>
      </c>
      <c r="G99" s="30" t="str">
        <f>IF(AND(G$3&gt;=代码!$D98,G$3&lt;=代码!$E98),"是","")</f>
        <v/>
      </c>
      <c r="H99" s="30" t="str">
        <f>IF(AND(H$3&gt;=代码!$D98,H$3&lt;=代码!$E98),"是","")</f>
        <v/>
      </c>
      <c r="I99" s="30" t="str">
        <f>IF(AND(I$3&gt;=代码!$D98,I$3&lt;=代码!$E98),"是","")</f>
        <v/>
      </c>
      <c r="J99" s="30" t="str">
        <f>IF(AND(J$3&gt;=代码!$D98,J$3&lt;=代码!$E98),"是","")</f>
        <v/>
      </c>
      <c r="K99" s="30" t="str">
        <f>IF(AND(K$3&gt;=代码!$D98,K$3&lt;=代码!$E98),"是","")</f>
        <v/>
      </c>
      <c r="L99" s="30" t="str">
        <f>IF(AND(L$3&gt;=代码!$D98,L$3&lt;=代码!$E98),"是","")</f>
        <v/>
      </c>
      <c r="M99" s="30" t="str">
        <f>IF(AND(M$3&gt;=代码!$D98,M$3&lt;=代码!$E98),"是","")</f>
        <v/>
      </c>
      <c r="N99" s="30" t="str">
        <f>IF(AND(N$3&gt;=代码!$D98,N$3&lt;=代码!$E98),"是","")</f>
        <v/>
      </c>
      <c r="O99" s="30" t="str">
        <f>IF(AND(O$3&gt;=代码!$D98,O$3&lt;=代码!$E98),"是","")</f>
        <v/>
      </c>
      <c r="P99" s="30" t="str">
        <f>IF(AND(P$3&gt;=代码!$D98,P$3&lt;=代码!$E98),"是","")</f>
        <v/>
      </c>
      <c r="Q99" s="30" t="str">
        <f>IF(AND(Q$3&gt;=代码!$D98,Q$3&lt;=代码!$E98),"是","")</f>
        <v/>
      </c>
      <c r="R99" s="30" t="str">
        <f>IF(AND(R$3&gt;=代码!$D98,R$3&lt;=代码!$E98),"是","")</f>
        <v/>
      </c>
      <c r="S99" s="30" t="str">
        <f>IF(AND(S$3&gt;=代码!$D98,S$3&lt;=代码!$E98),"是","")</f>
        <v/>
      </c>
      <c r="T99" s="30" t="str">
        <f>IF(AND(T$3&gt;=代码!$D98,T$3&lt;=代码!$E98),"是","")</f>
        <v/>
      </c>
      <c r="U99" s="30" t="str">
        <f>IF(AND(U$3&gt;=代码!$D98,U$3&lt;=代码!$E98),"是","")</f>
        <v/>
      </c>
      <c r="V99" s="30" t="str">
        <f>IF(AND(V$3&gt;=代码!$D98,V$3&lt;=代码!$E98),"是","")</f>
        <v/>
      </c>
      <c r="W99" s="30" t="str">
        <f>IF(AND(W$3&gt;=代码!$D98,W$3&lt;=代码!$E98),"是","")</f>
        <v/>
      </c>
      <c r="X99" s="30" t="str">
        <f>IF(AND(X$3&gt;=代码!$D98,X$3&lt;=代码!$E98),"是","")</f>
        <v/>
      </c>
      <c r="Y99" s="30" t="str">
        <f>IF(AND(Y$3&gt;=代码!$D98,Y$3&lt;=代码!$E98),"是","")</f>
        <v/>
      </c>
      <c r="Z99" s="30" t="str">
        <f>IF(AND(Z$3&gt;=代码!$D98,Z$3&lt;=代码!$E98),"是","")</f>
        <v/>
      </c>
      <c r="AA99" s="30" t="str">
        <f>IF(AND(AA$3&gt;=代码!$D98,AA$3&lt;=代码!$E98),"是","")</f>
        <v/>
      </c>
      <c r="AB99" s="30" t="str">
        <f>IF(AND(AB$3&gt;=代码!$D98,AB$3&lt;=代码!$E98),"是","")</f>
        <v/>
      </c>
      <c r="AC99" s="30" t="str">
        <f>IF(AND(AC$3&gt;=代码!$D98,AC$3&lt;=代码!$E98),"是","")</f>
        <v/>
      </c>
      <c r="AD99" s="30" t="str">
        <f>IF(AND(AD$3&gt;=代码!$D98,AD$3&lt;=代码!$E98),"是","")</f>
        <v/>
      </c>
      <c r="AE99" s="30" t="str">
        <f>IF(AND(AE$3&gt;=代码!$D98,AE$3&lt;=代码!$E98),"是","")</f>
        <v/>
      </c>
      <c r="AF99" s="30" t="str">
        <f>IF(AND(AF$3&gt;=代码!$D98,AF$3&lt;=代码!$E98),"是","")</f>
        <v/>
      </c>
      <c r="AG99" s="30" t="str">
        <f>IF(AND(AG$3&gt;=代码!$D98,AG$3&lt;=代码!$E98),"是","")</f>
        <v/>
      </c>
    </row>
    <row r="100" spans="3:33">
      <c r="C100" s="30" t="str">
        <f>IFERROR(VLOOKUP(B100,员工信息表!N:O,2,FALSE),"")</f>
        <v>时段</v>
      </c>
      <c r="D100" s="30" t="str">
        <f>IF(AND(D$3&gt;=代码!$D99,D$3&lt;=代码!$E99),"是","")</f>
        <v/>
      </c>
      <c r="E100" s="30" t="str">
        <f>IF(AND(E$3&gt;=代码!$D99,E$3&lt;=代码!$E99),"是","")</f>
        <v/>
      </c>
      <c r="F100" s="30" t="str">
        <f>IF(AND(F$3&gt;=代码!$D99,F$3&lt;=代码!$E99),"是","")</f>
        <v/>
      </c>
      <c r="G100" s="30" t="str">
        <f>IF(AND(G$3&gt;=代码!$D99,G$3&lt;=代码!$E99),"是","")</f>
        <v/>
      </c>
      <c r="H100" s="30" t="str">
        <f>IF(AND(H$3&gt;=代码!$D99,H$3&lt;=代码!$E99),"是","")</f>
        <v/>
      </c>
      <c r="I100" s="30" t="str">
        <f>IF(AND(I$3&gt;=代码!$D99,I$3&lt;=代码!$E99),"是","")</f>
        <v/>
      </c>
      <c r="J100" s="30" t="str">
        <f>IF(AND(J$3&gt;=代码!$D99,J$3&lt;=代码!$E99),"是","")</f>
        <v/>
      </c>
      <c r="K100" s="30" t="str">
        <f>IF(AND(K$3&gt;=代码!$D99,K$3&lt;=代码!$E99),"是","")</f>
        <v/>
      </c>
      <c r="L100" s="30" t="str">
        <f>IF(AND(L$3&gt;=代码!$D99,L$3&lt;=代码!$E99),"是","")</f>
        <v/>
      </c>
      <c r="M100" s="30" t="str">
        <f>IF(AND(M$3&gt;=代码!$D99,M$3&lt;=代码!$E99),"是","")</f>
        <v/>
      </c>
      <c r="N100" s="30" t="str">
        <f>IF(AND(N$3&gt;=代码!$D99,N$3&lt;=代码!$E99),"是","")</f>
        <v/>
      </c>
      <c r="O100" s="30" t="str">
        <f>IF(AND(O$3&gt;=代码!$D99,O$3&lt;=代码!$E99),"是","")</f>
        <v/>
      </c>
      <c r="P100" s="30" t="str">
        <f>IF(AND(P$3&gt;=代码!$D99,P$3&lt;=代码!$E99),"是","")</f>
        <v/>
      </c>
      <c r="Q100" s="30" t="str">
        <f>IF(AND(Q$3&gt;=代码!$D99,Q$3&lt;=代码!$E99),"是","")</f>
        <v/>
      </c>
      <c r="R100" s="30" t="str">
        <f>IF(AND(R$3&gt;=代码!$D99,R$3&lt;=代码!$E99),"是","")</f>
        <v/>
      </c>
      <c r="S100" s="30" t="str">
        <f>IF(AND(S$3&gt;=代码!$D99,S$3&lt;=代码!$E99),"是","")</f>
        <v/>
      </c>
      <c r="T100" s="30" t="str">
        <f>IF(AND(T$3&gt;=代码!$D99,T$3&lt;=代码!$E99),"是","")</f>
        <v/>
      </c>
      <c r="U100" s="30" t="str">
        <f>IF(AND(U$3&gt;=代码!$D99,U$3&lt;=代码!$E99),"是","")</f>
        <v/>
      </c>
      <c r="V100" s="30" t="str">
        <f>IF(AND(V$3&gt;=代码!$D99,V$3&lt;=代码!$E99),"是","")</f>
        <v/>
      </c>
      <c r="W100" s="30" t="str">
        <f>IF(AND(W$3&gt;=代码!$D99,W$3&lt;=代码!$E99),"是","")</f>
        <v/>
      </c>
      <c r="X100" s="30" t="str">
        <f>IF(AND(X$3&gt;=代码!$D99,X$3&lt;=代码!$E99),"是","")</f>
        <v/>
      </c>
      <c r="Y100" s="30" t="str">
        <f>IF(AND(Y$3&gt;=代码!$D99,Y$3&lt;=代码!$E99),"是","")</f>
        <v/>
      </c>
      <c r="Z100" s="30" t="str">
        <f>IF(AND(Z$3&gt;=代码!$D99,Z$3&lt;=代码!$E99),"是","")</f>
        <v/>
      </c>
      <c r="AA100" s="30" t="str">
        <f>IF(AND(AA$3&gt;=代码!$D99,AA$3&lt;=代码!$E99),"是","")</f>
        <v/>
      </c>
      <c r="AB100" s="30" t="str">
        <f>IF(AND(AB$3&gt;=代码!$D99,AB$3&lt;=代码!$E99),"是","")</f>
        <v/>
      </c>
      <c r="AC100" s="30" t="str">
        <f>IF(AND(AC$3&gt;=代码!$D99,AC$3&lt;=代码!$E99),"是","")</f>
        <v/>
      </c>
      <c r="AD100" s="30" t="str">
        <f>IF(AND(AD$3&gt;=代码!$D99,AD$3&lt;=代码!$E99),"是","")</f>
        <v/>
      </c>
      <c r="AE100" s="30" t="str">
        <f>IF(AND(AE$3&gt;=代码!$D99,AE$3&lt;=代码!$E99),"是","")</f>
        <v/>
      </c>
      <c r="AF100" s="30" t="str">
        <f>IF(AND(AF$3&gt;=代码!$D99,AF$3&lt;=代码!$E99),"是","")</f>
        <v/>
      </c>
      <c r="AG100" s="30" t="str">
        <f>IF(AND(AG$3&gt;=代码!$D99,AG$3&lt;=代码!$E99),"是","")</f>
        <v/>
      </c>
    </row>
  </sheetData>
  <mergeCells count="1">
    <mergeCell ref="A2:B2"/>
  </mergeCells>
  <conditionalFormatting sqref="D2:AG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A5 B3:B1048576 C2:XFD1048576">
    <cfRule type="containsText" dxfId="0" priority="1" operator="between" text="是">
      <formula>NOT(ISERROR(SEARCH("是",A2)))</formula>
    </cfRule>
    <cfRule type="notContainsBlanks" dxfId="1" priority="4">
      <formula>LEN(TRIM(A2))&gt;0</formula>
    </cfRule>
  </conditionalFormatting>
  <dataValidations count="1">
    <dataValidation type="list" allowBlank="1" showInputMessage="1" showErrorMessage="1" sqref="A2">
      <formula1>排班表!$C$4:$AG$4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4"/>
  </sheetPr>
  <dimension ref="B1:Q150"/>
  <sheetViews>
    <sheetView workbookViewId="0">
      <pane ySplit="1" topLeftCell="A2" activePane="bottomLeft" state="frozen"/>
      <selection/>
      <selection pane="bottomLeft" activeCell="D3" sqref="D3"/>
    </sheetView>
  </sheetViews>
  <sheetFormatPr defaultColWidth="9.16071428571429" defaultRowHeight="28.8"/>
  <cols>
    <col min="1" max="1" width="9.16071428571429" style="24"/>
    <col min="2" max="6" width="12.8571428571429" style="24" customWidth="1"/>
    <col min="7" max="7" width="9.16071428571429" style="24"/>
    <col min="8" max="12" width="12.8571428571429" style="24" customWidth="1"/>
    <col min="13" max="13" width="9.16071428571429" style="24"/>
    <col min="14" max="14" width="12.8571428571429" style="25" customWidth="1"/>
    <col min="15" max="15" width="18.5714285714286" style="24" customWidth="1"/>
    <col min="16" max="16" width="9" style="24" customWidth="1"/>
    <col min="17" max="17" width="99.6964285714286" style="26" customWidth="1"/>
    <col min="18" max="16384" width="9.16071428571429" style="24"/>
  </cols>
  <sheetData>
    <row r="1" spans="2:17">
      <c r="B1" s="27" t="s">
        <v>5</v>
      </c>
      <c r="C1" s="27" t="s">
        <v>6</v>
      </c>
      <c r="D1" s="27" t="s">
        <v>7</v>
      </c>
      <c r="E1" s="27" t="s">
        <v>8</v>
      </c>
      <c r="F1" s="27" t="s">
        <v>9</v>
      </c>
      <c r="H1" s="28" t="s">
        <v>10</v>
      </c>
      <c r="I1" s="28" t="s">
        <v>11</v>
      </c>
      <c r="J1" s="28" t="s">
        <v>12</v>
      </c>
      <c r="K1" s="28" t="s">
        <v>13</v>
      </c>
      <c r="L1" s="29" t="s">
        <v>14</v>
      </c>
      <c r="N1" s="24" cm="1">
        <f t="array" ref="N1:N150">入转离!A1:A150</f>
        <v>0</v>
      </c>
      <c r="O1" s="24" t="s">
        <v>4</v>
      </c>
      <c r="P1" s="24" t="s">
        <v>15</v>
      </c>
      <c r="Q1" s="26" t="s">
        <v>16</v>
      </c>
    </row>
    <row r="2" spans="2:17">
      <c r="B2" s="27">
        <f>COUNTIF(N2:N150,"*")-F2</f>
        <v>0</v>
      </c>
      <c r="C2" s="27">
        <f>COUNTIF($P:$P,C1)</f>
        <v>0</v>
      </c>
      <c r="D2" s="27">
        <f>COUNTIF($P:$P,D1)</f>
        <v>0</v>
      </c>
      <c r="E2" s="27">
        <f>COUNTIF($P:$P,E1)</f>
        <v>0</v>
      </c>
      <c r="F2" s="27">
        <f>COUNTIF($P:$P,F1)</f>
        <v>0</v>
      </c>
      <c r="H2" s="28">
        <f>COUNTIF($Q:$Q,"*"&amp;H1&amp;"*")</f>
        <v>0</v>
      </c>
      <c r="I2" s="28">
        <f>COUNTIF($Q:$Q,"*"&amp;I1&amp;"*")</f>
        <v>0</v>
      </c>
      <c r="J2" s="28">
        <f>COUNTIF($Q:$Q,"*"&amp;J1&amp;"*")</f>
        <v>0</v>
      </c>
      <c r="K2" s="28">
        <f>COUNTIF($Q:$Q,"*"&amp;K1&amp;"*")</f>
        <v>0</v>
      </c>
      <c r="L2" s="28">
        <f>COUNTIF($Q:$Q,"*"&amp;L1&amp;"*")</f>
        <v>0</v>
      </c>
      <c r="N2" s="24">
        <v>0</v>
      </c>
      <c r="O2" s="24" cm="1">
        <f t="array" ref="O2">_xlfn.XLOOKUP(1,(员工流水!$B:$B=$N2)*(员工流水!$A:$A=MAX(IF(员工流水!$B:$B=$N2,员工流水!$A:$A))),员工流水!C:C,"")</f>
        <v>0</v>
      </c>
      <c r="P2" s="24" cm="1">
        <f t="array" ref="P2">_xlfn.XLOOKUP(1,(员工流水!$B:$B=$N2)*(员工流水!$A:$A=MAX(IF(员工流水!$B:$B=$N2,员工流水!$A:$A))),员工流水!D:D,"空")</f>
        <v>0</v>
      </c>
      <c r="Q2" s="26" cm="1">
        <f t="array" ref="Q2">_xlfn.XLOOKUP(1,(员工流水!$B:$B=$N2)*(员工流水!$A:$A=MAX(IF(员工流水!$B:$B=$N2,员工流水!$A:$A))),员工流水!E:E,"")</f>
        <v>0</v>
      </c>
    </row>
    <row r="3" spans="2:17">
      <c r="B3" s="27" t="s">
        <v>6</v>
      </c>
      <c r="H3" s="24" t="str" cm="1">
        <f t="array" ref="H3">_xlfn._xlws.FILTER($N:$N,ISNUMBER(SEARCH(H1,$Q:$Q)),"未找到")</f>
        <v>未找到</v>
      </c>
      <c r="I3" s="24" t="str" cm="1">
        <f t="array" ref="I3">_xlfn._xlws.FILTER($N:$N,ISNUMBER(SEARCH(I1,$Q:$Q)),"未找到")</f>
        <v>未找到</v>
      </c>
      <c r="J3" s="24" t="str" cm="1">
        <f t="array" ref="J3">_xlfn._xlws.FILTER($N:$N,ISNUMBER(SEARCH(J1,$Q:$Q)),"未找到")</f>
        <v>未找到</v>
      </c>
      <c r="K3" s="24" t="str" cm="1">
        <f t="array" ref="K3">_xlfn._xlws.FILTER($N:$N,ISNUMBER(SEARCH(K1,$Q:$Q)),"未找到")</f>
        <v>未找到</v>
      </c>
      <c r="L3" s="24" t="str" cm="1">
        <f t="array" ref="L3">_xlfn._xlws.FILTER($N:$N,ISNUMBER(SEARCH(L1,$Q:$Q)),"未找到")</f>
        <v>未找到</v>
      </c>
      <c r="N3" s="24">
        <v>0</v>
      </c>
      <c r="O3" s="24" cm="1">
        <f t="array" ref="O3">_xlfn.XLOOKUP(1,(员工流水!$B:$B=$N3)*(员工流水!$A:$A=MAX(IF(员工流水!$B:$B=$N3,员工流水!$A:$A))),员工流水!C:C,"")</f>
        <v>0</v>
      </c>
      <c r="P3" s="24" cm="1">
        <f t="array" ref="P3">_xlfn.XLOOKUP(1,(员工流水!$B:$B=$N3)*(员工流水!$A:$A=MAX(IF(员工流水!$B:$B=$N3,员工流水!$A:$A))),员工流水!D:D,"空")</f>
        <v>0</v>
      </c>
      <c r="Q3" s="26" cm="1">
        <f t="array" ref="Q3">_xlfn.XLOOKUP(1,(员工流水!$B:$B=$N3)*(员工流水!$A:$A=MAX(IF(员工流水!$B:$B=$N3,员工流水!$A:$A))),员工流水!E:E,"")</f>
        <v>0</v>
      </c>
    </row>
    <row r="4" spans="2:17">
      <c r="B4" s="27">
        <f>COUNTIF($P:$P,B3)</f>
        <v>0</v>
      </c>
      <c r="N4" s="24">
        <v>0</v>
      </c>
      <c r="O4" s="24" cm="1">
        <f t="array" ref="O4">_xlfn.XLOOKUP(1,(员工流水!$B:$B=$N4)*(员工流水!$A:$A=MAX(IF(员工流水!$B:$B=$N4,员工流水!$A:$A))),员工流水!C:C,"")</f>
        <v>0</v>
      </c>
      <c r="P4" s="24" cm="1">
        <f t="array" ref="P4">_xlfn.XLOOKUP(1,(员工流水!$B:$B=$N4)*(员工流水!$A:$A=MAX(IF(员工流水!$B:$B=$N4,员工流水!$A:$A))),员工流水!D:D,"空")</f>
        <v>0</v>
      </c>
      <c r="Q4" s="26" cm="1">
        <f t="array" ref="Q4">_xlfn.XLOOKUP(1,(员工流水!$B:$B=$N4)*(员工流水!$A:$A=MAX(IF(员工流水!$B:$B=$N4,员工流水!$A:$A))),员工流水!E:E,"")</f>
        <v>0</v>
      </c>
    </row>
    <row r="5" spans="2:17">
      <c r="B5" s="24" t="str" cm="1">
        <f t="array" ref="B5">_xlfn._xlws.FILTER($N:$N,$P:$P=B3,"未找到")</f>
        <v>未找到</v>
      </c>
      <c r="N5" s="24">
        <v>0</v>
      </c>
      <c r="O5" s="24" cm="1">
        <f t="array" ref="O5">_xlfn.XLOOKUP(1,(员工流水!$B:$B=$N5)*(员工流水!$A:$A=MAX(IF(员工流水!$B:$B=$N5,员工流水!$A:$A))),员工流水!C:C,"")</f>
        <v>0</v>
      </c>
      <c r="P5" s="24" cm="1">
        <f t="array" ref="P5">_xlfn.XLOOKUP(1,(员工流水!$B:$B=$N5)*(员工流水!$A:$A=MAX(IF(员工流水!$B:$B=$N5,员工流水!$A:$A))),员工流水!D:D,"空")</f>
        <v>0</v>
      </c>
      <c r="Q5" s="26" cm="1">
        <f t="array" ref="Q5">_xlfn.XLOOKUP(1,(员工流水!$B:$B=$N5)*(员工流水!$A:$A=MAX(IF(员工流水!$B:$B=$N5,员工流水!$A:$A))),员工流水!E:E,"")</f>
        <v>0</v>
      </c>
    </row>
    <row r="6" spans="14:17">
      <c r="N6" s="24">
        <v>0</v>
      </c>
      <c r="O6" s="24" cm="1">
        <f t="array" ref="O6">_xlfn.XLOOKUP(1,(员工流水!$B:$B=$N6)*(员工流水!$A:$A=MAX(IF(员工流水!$B:$B=$N6,员工流水!$A:$A))),员工流水!C:C,"")</f>
        <v>0</v>
      </c>
      <c r="P6" s="24" cm="1">
        <f t="array" ref="P6">_xlfn.XLOOKUP(1,(员工流水!$B:$B=$N6)*(员工流水!$A:$A=MAX(IF(员工流水!$B:$B=$N6,员工流水!$A:$A))),员工流水!D:D,"空")</f>
        <v>0</v>
      </c>
      <c r="Q6" s="26" cm="1">
        <f t="array" ref="Q6">_xlfn.XLOOKUP(1,(员工流水!$B:$B=$N6)*(员工流水!$A:$A=MAX(IF(员工流水!$B:$B=$N6,员工流水!$A:$A))),员工流水!E:E,"")</f>
        <v>0</v>
      </c>
    </row>
    <row r="7" spans="14:17">
      <c r="N7" s="24">
        <v>0</v>
      </c>
      <c r="O7" s="24" cm="1">
        <f t="array" ref="O7">_xlfn.XLOOKUP(1,(员工流水!$B:$B=$N7)*(员工流水!$A:$A=MAX(IF(员工流水!$B:$B=$N7,员工流水!$A:$A))),员工流水!C:C,"")</f>
        <v>0</v>
      </c>
      <c r="P7" s="24" cm="1">
        <f t="array" ref="P7">_xlfn.XLOOKUP(1,(员工流水!$B:$B=$N7)*(员工流水!$A:$A=MAX(IF(员工流水!$B:$B=$N7,员工流水!$A:$A))),员工流水!D:D,"空")</f>
        <v>0</v>
      </c>
      <c r="Q7" s="26" cm="1">
        <f t="array" ref="Q7">_xlfn.XLOOKUP(1,(员工流水!$B:$B=$N7)*(员工流水!$A:$A=MAX(IF(员工流水!$B:$B=$N7,员工流水!$A:$A))),员工流水!E:E,"")</f>
        <v>0</v>
      </c>
    </row>
    <row r="8" spans="14:17">
      <c r="N8" s="24">
        <v>0</v>
      </c>
      <c r="O8" s="24" cm="1">
        <f t="array" ref="O8">_xlfn.XLOOKUP(1,(员工流水!$B:$B=$N8)*(员工流水!$A:$A=MAX(IF(员工流水!$B:$B=$N8,员工流水!$A:$A))),员工流水!C:C,"")</f>
        <v>0</v>
      </c>
      <c r="P8" s="24" cm="1">
        <f t="array" ref="P8">_xlfn.XLOOKUP(1,(员工流水!$B:$B=$N8)*(员工流水!$A:$A=MAX(IF(员工流水!$B:$B=$N8,员工流水!$A:$A))),员工流水!D:D,"空")</f>
        <v>0</v>
      </c>
      <c r="Q8" s="26" cm="1">
        <f t="array" ref="Q8">_xlfn.XLOOKUP(1,(员工流水!$B:$B=$N8)*(员工流水!$A:$A=MAX(IF(员工流水!$B:$B=$N8,员工流水!$A:$A))),员工流水!E:E,"")</f>
        <v>0</v>
      </c>
    </row>
    <row r="9" spans="14:17">
      <c r="N9" s="24">
        <v>0</v>
      </c>
      <c r="O9" s="24" cm="1">
        <f t="array" ref="O9">_xlfn.XLOOKUP(1,(员工流水!$B:$B=$N9)*(员工流水!$A:$A=MAX(IF(员工流水!$B:$B=$N9,员工流水!$A:$A))),员工流水!C:C,"")</f>
        <v>0</v>
      </c>
      <c r="P9" s="24" cm="1">
        <f t="array" ref="P9">_xlfn.XLOOKUP(1,(员工流水!$B:$B=$N9)*(员工流水!$A:$A=MAX(IF(员工流水!$B:$B=$N9,员工流水!$A:$A))),员工流水!D:D,"空")</f>
        <v>0</v>
      </c>
      <c r="Q9" s="26" cm="1">
        <f t="array" ref="Q9">_xlfn.XLOOKUP(1,(员工流水!$B:$B=$N9)*(员工流水!$A:$A=MAX(IF(员工流水!$B:$B=$N9,员工流水!$A:$A))),员工流水!E:E,"")</f>
        <v>0</v>
      </c>
    </row>
    <row r="10" spans="14:17">
      <c r="N10" s="24">
        <v>0</v>
      </c>
      <c r="O10" s="24" cm="1">
        <f t="array" ref="O10">_xlfn.XLOOKUP(1,(员工流水!$B:$B=$N10)*(员工流水!$A:$A=MAX(IF(员工流水!$B:$B=$N10,员工流水!$A:$A))),员工流水!C:C,"")</f>
        <v>0</v>
      </c>
      <c r="P10" s="24" cm="1">
        <f t="array" ref="P10">_xlfn.XLOOKUP(1,(员工流水!$B:$B=$N10)*(员工流水!$A:$A=MAX(IF(员工流水!$B:$B=$N10,员工流水!$A:$A))),员工流水!D:D,"空")</f>
        <v>0</v>
      </c>
      <c r="Q10" s="26" cm="1">
        <f t="array" ref="Q10">_xlfn.XLOOKUP(1,(员工流水!$B:$B=$N10)*(员工流水!$A:$A=MAX(IF(员工流水!$B:$B=$N10,员工流水!$A:$A))),员工流水!E:E,"")</f>
        <v>0</v>
      </c>
    </row>
    <row r="11" spans="14:17">
      <c r="N11" s="24">
        <v>0</v>
      </c>
      <c r="O11" s="24" cm="1">
        <f t="array" ref="O11">_xlfn.XLOOKUP(1,(员工流水!$B:$B=$N11)*(员工流水!$A:$A=MAX(IF(员工流水!$B:$B=$N11,员工流水!$A:$A))),员工流水!C:C,"")</f>
        <v>0</v>
      </c>
      <c r="P11" s="24" cm="1">
        <f t="array" ref="P11">_xlfn.XLOOKUP(1,(员工流水!$B:$B=$N11)*(员工流水!$A:$A=MAX(IF(员工流水!$B:$B=$N11,员工流水!$A:$A))),员工流水!D:D,"空")</f>
        <v>0</v>
      </c>
      <c r="Q11" s="26" cm="1">
        <f t="array" ref="Q11">_xlfn.XLOOKUP(1,(员工流水!$B:$B=$N11)*(员工流水!$A:$A=MAX(IF(员工流水!$B:$B=$N11,员工流水!$A:$A))),员工流水!E:E,"")</f>
        <v>0</v>
      </c>
    </row>
    <row r="12" spans="14:17">
      <c r="N12" s="24">
        <v>0</v>
      </c>
      <c r="O12" s="24" cm="1">
        <f t="array" ref="O12">_xlfn.XLOOKUP(1,(员工流水!$B:$B=$N12)*(员工流水!$A:$A=MAX(IF(员工流水!$B:$B=$N12,员工流水!$A:$A))),员工流水!C:C,"")</f>
        <v>0</v>
      </c>
      <c r="P12" s="24" cm="1">
        <f t="array" ref="P12">_xlfn.XLOOKUP(1,(员工流水!$B:$B=$N12)*(员工流水!$A:$A=MAX(IF(员工流水!$B:$B=$N12,员工流水!$A:$A))),员工流水!D:D,"空")</f>
        <v>0</v>
      </c>
      <c r="Q12" s="26" cm="1">
        <f t="array" ref="Q12">_xlfn.XLOOKUP(1,(员工流水!$B:$B=$N12)*(员工流水!$A:$A=MAX(IF(员工流水!$B:$B=$N12,员工流水!$A:$A))),员工流水!E:E,"")</f>
        <v>0</v>
      </c>
    </row>
    <row r="13" spans="14:17">
      <c r="N13" s="24">
        <v>0</v>
      </c>
      <c r="O13" s="24" cm="1">
        <f t="array" ref="O13">_xlfn.XLOOKUP(1,(员工流水!$B:$B=$N13)*(员工流水!$A:$A=MAX(IF(员工流水!$B:$B=$N13,员工流水!$A:$A))),员工流水!C:C,"")</f>
        <v>0</v>
      </c>
      <c r="P13" s="24" cm="1">
        <f t="array" ref="P13">_xlfn.XLOOKUP(1,(员工流水!$B:$B=$N13)*(员工流水!$A:$A=MAX(IF(员工流水!$B:$B=$N13,员工流水!$A:$A))),员工流水!D:D,"空")</f>
        <v>0</v>
      </c>
      <c r="Q13" s="26" cm="1">
        <f t="array" ref="Q13">_xlfn.XLOOKUP(1,(员工流水!$B:$B=$N13)*(员工流水!$A:$A=MAX(IF(员工流水!$B:$B=$N13,员工流水!$A:$A))),员工流水!E:E,"")</f>
        <v>0</v>
      </c>
    </row>
    <row r="14" spans="14:17">
      <c r="N14" s="24">
        <v>0</v>
      </c>
      <c r="O14" s="24" cm="1">
        <f t="array" ref="O14">_xlfn.XLOOKUP(1,(员工流水!$B:$B=$N14)*(员工流水!$A:$A=MAX(IF(员工流水!$B:$B=$N14,员工流水!$A:$A))),员工流水!C:C,"")</f>
        <v>0</v>
      </c>
      <c r="P14" s="24" cm="1">
        <f t="array" ref="P14">_xlfn.XLOOKUP(1,(员工流水!$B:$B=$N14)*(员工流水!$A:$A=MAX(IF(员工流水!$B:$B=$N14,员工流水!$A:$A))),员工流水!D:D,"空")</f>
        <v>0</v>
      </c>
      <c r="Q14" s="26" cm="1">
        <f t="array" ref="Q14">_xlfn.XLOOKUP(1,(员工流水!$B:$B=$N14)*(员工流水!$A:$A=MAX(IF(员工流水!$B:$B=$N14,员工流水!$A:$A))),员工流水!E:E,"")</f>
        <v>0</v>
      </c>
    </row>
    <row r="15" spans="14:17">
      <c r="N15" s="24">
        <v>0</v>
      </c>
      <c r="O15" s="24" cm="1">
        <f t="array" ref="O15">_xlfn.XLOOKUP(1,(员工流水!$B:$B=$N15)*(员工流水!$A:$A=MAX(IF(员工流水!$B:$B=$N15,员工流水!$A:$A))),员工流水!C:C,"")</f>
        <v>0</v>
      </c>
      <c r="P15" s="24" cm="1">
        <f t="array" ref="P15">_xlfn.XLOOKUP(1,(员工流水!$B:$B=$N15)*(员工流水!$A:$A=MAX(IF(员工流水!$B:$B=$N15,员工流水!$A:$A))),员工流水!D:D,"空")</f>
        <v>0</v>
      </c>
      <c r="Q15" s="26" cm="1">
        <f t="array" ref="Q15">_xlfn.XLOOKUP(1,(员工流水!$B:$B=$N15)*(员工流水!$A:$A=MAX(IF(员工流水!$B:$B=$N15,员工流水!$A:$A))),员工流水!E:E,"")</f>
        <v>0</v>
      </c>
    </row>
    <row r="16" spans="14:17">
      <c r="N16" s="24">
        <v>0</v>
      </c>
      <c r="O16" s="24" cm="1">
        <f t="array" ref="O16">_xlfn.XLOOKUP(1,(员工流水!$B:$B=$N16)*(员工流水!$A:$A=MAX(IF(员工流水!$B:$B=$N16,员工流水!$A:$A))),员工流水!C:C,"")</f>
        <v>0</v>
      </c>
      <c r="P16" s="24" cm="1">
        <f t="array" ref="P16">_xlfn.XLOOKUP(1,(员工流水!$B:$B=$N16)*(员工流水!$A:$A=MAX(IF(员工流水!$B:$B=$N16,员工流水!$A:$A))),员工流水!D:D,"空")</f>
        <v>0</v>
      </c>
      <c r="Q16" s="26" cm="1">
        <f t="array" ref="Q16">_xlfn.XLOOKUP(1,(员工流水!$B:$B=$N16)*(员工流水!$A:$A=MAX(IF(员工流水!$B:$B=$N16,员工流水!$A:$A))),员工流水!E:E,"")</f>
        <v>0</v>
      </c>
    </row>
    <row r="17" spans="14:17">
      <c r="N17" s="24">
        <v>0</v>
      </c>
      <c r="O17" s="24" cm="1">
        <f t="array" ref="O17">_xlfn.XLOOKUP(1,(员工流水!$B:$B=$N17)*(员工流水!$A:$A=MAX(IF(员工流水!$B:$B=$N17,员工流水!$A:$A))),员工流水!C:C,"")</f>
        <v>0</v>
      </c>
      <c r="P17" s="24" cm="1">
        <f t="array" ref="P17">_xlfn.XLOOKUP(1,(员工流水!$B:$B=$N17)*(员工流水!$A:$A=MAX(IF(员工流水!$B:$B=$N17,员工流水!$A:$A))),员工流水!D:D,"空")</f>
        <v>0</v>
      </c>
      <c r="Q17" s="26" cm="1">
        <f t="array" ref="Q17">_xlfn.XLOOKUP(1,(员工流水!$B:$B=$N17)*(员工流水!$A:$A=MAX(IF(员工流水!$B:$B=$N17,员工流水!$A:$A))),员工流水!E:E,"")</f>
        <v>0</v>
      </c>
    </row>
    <row r="18" spans="14:17">
      <c r="N18" s="24">
        <v>0</v>
      </c>
      <c r="O18" s="24" cm="1">
        <f t="array" ref="O18">_xlfn.XLOOKUP(1,(员工流水!$B:$B=$N18)*(员工流水!$A:$A=MAX(IF(员工流水!$B:$B=$N18,员工流水!$A:$A))),员工流水!C:C,"")</f>
        <v>0</v>
      </c>
      <c r="P18" s="24" cm="1">
        <f t="array" ref="P18">_xlfn.XLOOKUP(1,(员工流水!$B:$B=$N18)*(员工流水!$A:$A=MAX(IF(员工流水!$B:$B=$N18,员工流水!$A:$A))),员工流水!D:D,"空")</f>
        <v>0</v>
      </c>
      <c r="Q18" s="26" cm="1">
        <f t="array" ref="Q18">_xlfn.XLOOKUP(1,(员工流水!$B:$B=$N18)*(员工流水!$A:$A=MAX(IF(员工流水!$B:$B=$N18,员工流水!$A:$A))),员工流水!E:E,"")</f>
        <v>0</v>
      </c>
    </row>
    <row r="19" spans="14:17">
      <c r="N19" s="24">
        <v>0</v>
      </c>
      <c r="O19" s="24" cm="1">
        <f t="array" ref="O19">_xlfn.XLOOKUP(1,(员工流水!$B:$B=$N19)*(员工流水!$A:$A=MAX(IF(员工流水!$B:$B=$N19,员工流水!$A:$A))),员工流水!C:C,"")</f>
        <v>0</v>
      </c>
      <c r="P19" s="24" cm="1">
        <f t="array" ref="P19">_xlfn.XLOOKUP(1,(员工流水!$B:$B=$N19)*(员工流水!$A:$A=MAX(IF(员工流水!$B:$B=$N19,员工流水!$A:$A))),员工流水!D:D,"空")</f>
        <v>0</v>
      </c>
      <c r="Q19" s="26" cm="1">
        <f t="array" ref="Q19">_xlfn.XLOOKUP(1,(员工流水!$B:$B=$N19)*(员工流水!$A:$A=MAX(IF(员工流水!$B:$B=$N19,员工流水!$A:$A))),员工流水!E:E,"")</f>
        <v>0</v>
      </c>
    </row>
    <row r="20" spans="14:17">
      <c r="N20" s="24">
        <v>0</v>
      </c>
      <c r="O20" s="24" cm="1">
        <f t="array" ref="O20">_xlfn.XLOOKUP(1,(员工流水!$B:$B=$N20)*(员工流水!$A:$A=MAX(IF(员工流水!$B:$B=$N20,员工流水!$A:$A))),员工流水!C:C,"")</f>
        <v>0</v>
      </c>
      <c r="P20" s="24" cm="1">
        <f t="array" ref="P20">_xlfn.XLOOKUP(1,(员工流水!$B:$B=$N20)*(员工流水!$A:$A=MAX(IF(员工流水!$B:$B=$N20,员工流水!$A:$A))),员工流水!D:D,"空")</f>
        <v>0</v>
      </c>
      <c r="Q20" s="26" cm="1">
        <f t="array" ref="Q20">_xlfn.XLOOKUP(1,(员工流水!$B:$B=$N20)*(员工流水!$A:$A=MAX(IF(员工流水!$B:$B=$N20,员工流水!$A:$A))),员工流水!E:E,"")</f>
        <v>0</v>
      </c>
    </row>
    <row r="21" spans="14:17">
      <c r="N21" s="24">
        <v>0</v>
      </c>
      <c r="O21" s="24" cm="1">
        <f t="array" ref="O21">_xlfn.XLOOKUP(1,(员工流水!$B:$B=$N21)*(员工流水!$A:$A=MAX(IF(员工流水!$B:$B=$N21,员工流水!$A:$A))),员工流水!C:C,"")</f>
        <v>0</v>
      </c>
      <c r="P21" s="24" cm="1">
        <f t="array" ref="P21">_xlfn.XLOOKUP(1,(员工流水!$B:$B=$N21)*(员工流水!$A:$A=MAX(IF(员工流水!$B:$B=$N21,员工流水!$A:$A))),员工流水!D:D,"空")</f>
        <v>0</v>
      </c>
      <c r="Q21" s="26" cm="1">
        <f t="array" ref="Q21">_xlfn.XLOOKUP(1,(员工流水!$B:$B=$N21)*(员工流水!$A:$A=MAX(IF(员工流水!$B:$B=$N21,员工流水!$A:$A))),员工流水!E:E,"")</f>
        <v>0</v>
      </c>
    </row>
    <row r="22" spans="14:17">
      <c r="N22" s="24">
        <v>0</v>
      </c>
      <c r="O22" s="24" cm="1">
        <f t="array" ref="O22">_xlfn.XLOOKUP(1,(员工流水!$B:$B=$N22)*(员工流水!$A:$A=MAX(IF(员工流水!$B:$B=$N22,员工流水!$A:$A))),员工流水!C:C,"")</f>
        <v>0</v>
      </c>
      <c r="P22" s="24" cm="1">
        <f t="array" ref="P22">_xlfn.XLOOKUP(1,(员工流水!$B:$B=$N22)*(员工流水!$A:$A=MAX(IF(员工流水!$B:$B=$N22,员工流水!$A:$A))),员工流水!D:D,"空")</f>
        <v>0</v>
      </c>
      <c r="Q22" s="26" cm="1">
        <f t="array" ref="Q22">_xlfn.XLOOKUP(1,(员工流水!$B:$B=$N22)*(员工流水!$A:$A=MAX(IF(员工流水!$B:$B=$N22,员工流水!$A:$A))),员工流水!E:E,"")</f>
        <v>0</v>
      </c>
    </row>
    <row r="23" spans="14:17">
      <c r="N23" s="24">
        <v>0</v>
      </c>
      <c r="O23" s="24" cm="1">
        <f t="array" ref="O23">_xlfn.XLOOKUP(1,(员工流水!$B:$B=$N23)*(员工流水!$A:$A=MAX(IF(员工流水!$B:$B=$N23,员工流水!$A:$A))),员工流水!C:C,"")</f>
        <v>0</v>
      </c>
      <c r="P23" s="24" cm="1">
        <f t="array" ref="P23">_xlfn.XLOOKUP(1,(员工流水!$B:$B=$N23)*(员工流水!$A:$A=MAX(IF(员工流水!$B:$B=$N23,员工流水!$A:$A))),员工流水!D:D,"空")</f>
        <v>0</v>
      </c>
      <c r="Q23" s="26" cm="1">
        <f t="array" ref="Q23">_xlfn.XLOOKUP(1,(员工流水!$B:$B=$N23)*(员工流水!$A:$A=MAX(IF(员工流水!$B:$B=$N23,员工流水!$A:$A))),员工流水!E:E,"")</f>
        <v>0</v>
      </c>
    </row>
    <row r="24" spans="14:17">
      <c r="N24" s="24">
        <v>0</v>
      </c>
      <c r="O24" s="24" cm="1">
        <f t="array" ref="O24">_xlfn.XLOOKUP(1,(员工流水!$B:$B=$N24)*(员工流水!$A:$A=MAX(IF(员工流水!$B:$B=$N24,员工流水!$A:$A))),员工流水!C:C,"")</f>
        <v>0</v>
      </c>
      <c r="P24" s="24" cm="1">
        <f t="array" ref="P24">_xlfn.XLOOKUP(1,(员工流水!$B:$B=$N24)*(员工流水!$A:$A=MAX(IF(员工流水!$B:$B=$N24,员工流水!$A:$A))),员工流水!D:D,"空")</f>
        <v>0</v>
      </c>
      <c r="Q24" s="26" cm="1">
        <f t="array" ref="Q24">_xlfn.XLOOKUP(1,(员工流水!$B:$B=$N24)*(员工流水!$A:$A=MAX(IF(员工流水!$B:$B=$N24,员工流水!$A:$A))),员工流水!E:E,"")</f>
        <v>0</v>
      </c>
    </row>
    <row r="25" spans="14:17">
      <c r="N25" s="24">
        <v>0</v>
      </c>
      <c r="O25" s="24" cm="1">
        <f t="array" ref="O25">_xlfn.XLOOKUP(1,(员工流水!$B:$B=$N25)*(员工流水!$A:$A=MAX(IF(员工流水!$B:$B=$N25,员工流水!$A:$A))),员工流水!C:C,"")</f>
        <v>0</v>
      </c>
      <c r="P25" s="24" cm="1">
        <f t="array" ref="P25">_xlfn.XLOOKUP(1,(员工流水!$B:$B=$N25)*(员工流水!$A:$A=MAX(IF(员工流水!$B:$B=$N25,员工流水!$A:$A))),员工流水!D:D,"空")</f>
        <v>0</v>
      </c>
      <c r="Q25" s="26" cm="1">
        <f t="array" ref="Q25">_xlfn.XLOOKUP(1,(员工流水!$B:$B=$N25)*(员工流水!$A:$A=MAX(IF(员工流水!$B:$B=$N25,员工流水!$A:$A))),员工流水!E:E,"")</f>
        <v>0</v>
      </c>
    </row>
    <row r="26" spans="14:17">
      <c r="N26" s="24">
        <v>0</v>
      </c>
      <c r="O26" s="24" cm="1">
        <f t="array" ref="O26">_xlfn.XLOOKUP(1,(员工流水!$B:$B=$N26)*(员工流水!$A:$A=MAX(IF(员工流水!$B:$B=$N26,员工流水!$A:$A))),员工流水!C:C,"")</f>
        <v>0</v>
      </c>
      <c r="P26" s="24" cm="1">
        <f t="array" ref="P26">_xlfn.XLOOKUP(1,(员工流水!$B:$B=$N26)*(员工流水!$A:$A=MAX(IF(员工流水!$B:$B=$N26,员工流水!$A:$A))),员工流水!D:D,"空")</f>
        <v>0</v>
      </c>
      <c r="Q26" s="26" cm="1">
        <f t="array" ref="Q26">_xlfn.XLOOKUP(1,(员工流水!$B:$B=$N26)*(员工流水!$A:$A=MAX(IF(员工流水!$B:$B=$N26,员工流水!$A:$A))),员工流水!E:E,"")</f>
        <v>0</v>
      </c>
    </row>
    <row r="27" spans="14:17">
      <c r="N27" s="24">
        <v>0</v>
      </c>
      <c r="O27" s="24" cm="1">
        <f t="array" ref="O27">_xlfn.XLOOKUP(1,(员工流水!$B:$B=$N27)*(员工流水!$A:$A=MAX(IF(员工流水!$B:$B=$N27,员工流水!$A:$A))),员工流水!C:C,"")</f>
        <v>0</v>
      </c>
      <c r="P27" s="24" cm="1">
        <f t="array" ref="P27">_xlfn.XLOOKUP(1,(员工流水!$B:$B=$N27)*(员工流水!$A:$A=MAX(IF(员工流水!$B:$B=$N27,员工流水!$A:$A))),员工流水!D:D,"空")</f>
        <v>0</v>
      </c>
      <c r="Q27" s="26" cm="1">
        <f t="array" ref="Q27">_xlfn.XLOOKUP(1,(员工流水!$B:$B=$N27)*(员工流水!$A:$A=MAX(IF(员工流水!$B:$B=$N27,员工流水!$A:$A))),员工流水!E:E,"")</f>
        <v>0</v>
      </c>
    </row>
    <row r="28" spans="14:17">
      <c r="N28" s="24">
        <v>0</v>
      </c>
      <c r="O28" s="24" cm="1">
        <f t="array" ref="O28">_xlfn.XLOOKUP(1,(员工流水!$B:$B=$N28)*(员工流水!$A:$A=MAX(IF(员工流水!$B:$B=$N28,员工流水!$A:$A))),员工流水!C:C,"")</f>
        <v>0</v>
      </c>
      <c r="P28" s="24" cm="1">
        <f t="array" ref="P28">_xlfn.XLOOKUP(1,(员工流水!$B:$B=$N28)*(员工流水!$A:$A=MAX(IF(员工流水!$B:$B=$N28,员工流水!$A:$A))),员工流水!D:D,"空")</f>
        <v>0</v>
      </c>
      <c r="Q28" s="26" cm="1">
        <f t="array" ref="Q28">_xlfn.XLOOKUP(1,(员工流水!$B:$B=$N28)*(员工流水!$A:$A=MAX(IF(员工流水!$B:$B=$N28,员工流水!$A:$A))),员工流水!E:E,"")</f>
        <v>0</v>
      </c>
    </row>
    <row r="29" spans="14:17">
      <c r="N29" s="24">
        <v>0</v>
      </c>
      <c r="O29" s="24" cm="1">
        <f t="array" ref="O29">_xlfn.XLOOKUP(1,(员工流水!$B:$B=$N29)*(员工流水!$A:$A=MAX(IF(员工流水!$B:$B=$N29,员工流水!$A:$A))),员工流水!C:C,"")</f>
        <v>0</v>
      </c>
      <c r="P29" s="24" cm="1">
        <f t="array" ref="P29">_xlfn.XLOOKUP(1,(员工流水!$B:$B=$N29)*(员工流水!$A:$A=MAX(IF(员工流水!$B:$B=$N29,员工流水!$A:$A))),员工流水!D:D,"空")</f>
        <v>0</v>
      </c>
      <c r="Q29" s="26" cm="1">
        <f t="array" ref="Q29">_xlfn.XLOOKUP(1,(员工流水!$B:$B=$N29)*(员工流水!$A:$A=MAX(IF(员工流水!$B:$B=$N29,员工流水!$A:$A))),员工流水!E:E,"")</f>
        <v>0</v>
      </c>
    </row>
    <row r="30" spans="14:17">
      <c r="N30" s="24">
        <v>0</v>
      </c>
      <c r="O30" s="24" cm="1">
        <f t="array" ref="O30">_xlfn.XLOOKUP(1,(员工流水!$B:$B=$N30)*(员工流水!$A:$A=MAX(IF(员工流水!$B:$B=$N30,员工流水!$A:$A))),员工流水!C:C,"")</f>
        <v>0</v>
      </c>
      <c r="P30" s="24" cm="1">
        <f t="array" ref="P30">_xlfn.XLOOKUP(1,(员工流水!$B:$B=$N30)*(员工流水!$A:$A=MAX(IF(员工流水!$B:$B=$N30,员工流水!$A:$A))),员工流水!D:D,"空")</f>
        <v>0</v>
      </c>
      <c r="Q30" s="26" cm="1">
        <f t="array" ref="Q30">_xlfn.XLOOKUP(1,(员工流水!$B:$B=$N30)*(员工流水!$A:$A=MAX(IF(员工流水!$B:$B=$N30,员工流水!$A:$A))),员工流水!E:E,"")</f>
        <v>0</v>
      </c>
    </row>
    <row r="31" spans="14:17">
      <c r="N31" s="24">
        <v>0</v>
      </c>
      <c r="O31" s="24" cm="1">
        <f t="array" ref="O31">_xlfn.XLOOKUP(1,(员工流水!$B:$B=$N31)*(员工流水!$A:$A=MAX(IF(员工流水!$B:$B=$N31,员工流水!$A:$A))),员工流水!C:C,"")</f>
        <v>0</v>
      </c>
      <c r="P31" s="24" cm="1">
        <f t="array" ref="P31">_xlfn.XLOOKUP(1,(员工流水!$B:$B=$N31)*(员工流水!$A:$A=MAX(IF(员工流水!$B:$B=$N31,员工流水!$A:$A))),员工流水!D:D,"空")</f>
        <v>0</v>
      </c>
      <c r="Q31" s="26" cm="1">
        <f t="array" ref="Q31">_xlfn.XLOOKUP(1,(员工流水!$B:$B=$N31)*(员工流水!$A:$A=MAX(IF(员工流水!$B:$B=$N31,员工流水!$A:$A))),员工流水!E:E,"")</f>
        <v>0</v>
      </c>
    </row>
    <row r="32" spans="14:17">
      <c r="N32" s="24">
        <v>0</v>
      </c>
      <c r="O32" s="24" cm="1">
        <f t="array" ref="O32">_xlfn.XLOOKUP(1,(员工流水!$B:$B=$N32)*(员工流水!$A:$A=MAX(IF(员工流水!$B:$B=$N32,员工流水!$A:$A))),员工流水!C:C,"")</f>
        <v>0</v>
      </c>
      <c r="P32" s="24" cm="1">
        <f t="array" ref="P32">_xlfn.XLOOKUP(1,(员工流水!$B:$B=$N32)*(员工流水!$A:$A=MAX(IF(员工流水!$B:$B=$N32,员工流水!$A:$A))),员工流水!D:D,"空")</f>
        <v>0</v>
      </c>
      <c r="Q32" s="26" cm="1">
        <f t="array" ref="Q32">_xlfn.XLOOKUP(1,(员工流水!$B:$B=$N32)*(员工流水!$A:$A=MAX(IF(员工流水!$B:$B=$N32,员工流水!$A:$A))),员工流水!E:E,"")</f>
        <v>0</v>
      </c>
    </row>
    <row r="33" spans="14:17">
      <c r="N33" s="24">
        <v>0</v>
      </c>
      <c r="O33" s="24" cm="1">
        <f t="array" ref="O33">_xlfn.XLOOKUP(1,(员工流水!$B:$B=$N33)*(员工流水!$A:$A=MAX(IF(员工流水!$B:$B=$N33,员工流水!$A:$A))),员工流水!C:C,"")</f>
        <v>0</v>
      </c>
      <c r="P33" s="24" cm="1">
        <f t="array" ref="P33">_xlfn.XLOOKUP(1,(员工流水!$B:$B=$N33)*(员工流水!$A:$A=MAX(IF(员工流水!$B:$B=$N33,员工流水!$A:$A))),员工流水!D:D,"空")</f>
        <v>0</v>
      </c>
      <c r="Q33" s="26" cm="1">
        <f t="array" ref="Q33">_xlfn.XLOOKUP(1,(员工流水!$B:$B=$N33)*(员工流水!$A:$A=MAX(IF(员工流水!$B:$B=$N33,员工流水!$A:$A))),员工流水!E:E,"")</f>
        <v>0</v>
      </c>
    </row>
    <row r="34" spans="14:17">
      <c r="N34" s="24">
        <v>0</v>
      </c>
      <c r="O34" s="24" cm="1">
        <f t="array" ref="O34">_xlfn.XLOOKUP(1,(员工流水!$B:$B=$N34)*(员工流水!$A:$A=MAX(IF(员工流水!$B:$B=$N34,员工流水!$A:$A))),员工流水!C:C,"")</f>
        <v>0</v>
      </c>
      <c r="P34" s="24" cm="1">
        <f t="array" ref="P34">_xlfn.XLOOKUP(1,(员工流水!$B:$B=$N34)*(员工流水!$A:$A=MAX(IF(员工流水!$B:$B=$N34,员工流水!$A:$A))),员工流水!D:D,"空")</f>
        <v>0</v>
      </c>
      <c r="Q34" s="26" cm="1">
        <f t="array" ref="Q34">_xlfn.XLOOKUP(1,(员工流水!$B:$B=$N34)*(员工流水!$A:$A=MAX(IF(员工流水!$B:$B=$N34,员工流水!$A:$A))),员工流水!E:E,"")</f>
        <v>0</v>
      </c>
    </row>
    <row r="35" spans="14:17">
      <c r="N35" s="24">
        <v>0</v>
      </c>
      <c r="O35" s="24" cm="1">
        <f t="array" ref="O35">_xlfn.XLOOKUP(1,(员工流水!$B:$B=$N35)*(员工流水!$A:$A=MAX(IF(员工流水!$B:$B=$N35,员工流水!$A:$A))),员工流水!C:C,"")</f>
        <v>0</v>
      </c>
      <c r="P35" s="24" cm="1">
        <f t="array" ref="P35">_xlfn.XLOOKUP(1,(员工流水!$B:$B=$N35)*(员工流水!$A:$A=MAX(IF(员工流水!$B:$B=$N35,员工流水!$A:$A))),员工流水!D:D,"空")</f>
        <v>0</v>
      </c>
      <c r="Q35" s="26" cm="1">
        <f t="array" ref="Q35">_xlfn.XLOOKUP(1,(员工流水!$B:$B=$N35)*(员工流水!$A:$A=MAX(IF(员工流水!$B:$B=$N35,员工流水!$A:$A))),员工流水!E:E,"")</f>
        <v>0</v>
      </c>
    </row>
    <row r="36" spans="14:17">
      <c r="N36" s="24">
        <v>0</v>
      </c>
      <c r="O36" s="24" cm="1">
        <f t="array" ref="O36">_xlfn.XLOOKUP(1,(员工流水!$B:$B=$N36)*(员工流水!$A:$A=MAX(IF(员工流水!$B:$B=$N36,员工流水!$A:$A))),员工流水!C:C,"")</f>
        <v>0</v>
      </c>
      <c r="P36" s="24" cm="1">
        <f t="array" ref="P36">_xlfn.XLOOKUP(1,(员工流水!$B:$B=$N36)*(员工流水!$A:$A=MAX(IF(员工流水!$B:$B=$N36,员工流水!$A:$A))),员工流水!D:D,"空")</f>
        <v>0</v>
      </c>
      <c r="Q36" s="26" cm="1">
        <f t="array" ref="Q36">_xlfn.XLOOKUP(1,(员工流水!$B:$B=$N36)*(员工流水!$A:$A=MAX(IF(员工流水!$B:$B=$N36,员工流水!$A:$A))),员工流水!E:E,"")</f>
        <v>0</v>
      </c>
    </row>
    <row r="37" spans="14:17">
      <c r="N37" s="24">
        <v>0</v>
      </c>
      <c r="O37" s="24" cm="1">
        <f t="array" ref="O37">_xlfn.XLOOKUP(1,(员工流水!$B:$B=$N37)*(员工流水!$A:$A=MAX(IF(员工流水!$B:$B=$N37,员工流水!$A:$A))),员工流水!C:C,"")</f>
        <v>0</v>
      </c>
      <c r="P37" s="24" cm="1">
        <f t="array" ref="P37">_xlfn.XLOOKUP(1,(员工流水!$B:$B=$N37)*(员工流水!$A:$A=MAX(IF(员工流水!$B:$B=$N37,员工流水!$A:$A))),员工流水!D:D,"空")</f>
        <v>0</v>
      </c>
      <c r="Q37" s="26" cm="1">
        <f t="array" ref="Q37">_xlfn.XLOOKUP(1,(员工流水!$B:$B=$N37)*(员工流水!$A:$A=MAX(IF(员工流水!$B:$B=$N37,员工流水!$A:$A))),员工流水!E:E,"")</f>
        <v>0</v>
      </c>
    </row>
    <row r="38" spans="14:17">
      <c r="N38" s="24">
        <v>0</v>
      </c>
      <c r="O38" s="24" cm="1">
        <f t="array" ref="O38">_xlfn.XLOOKUP(1,(员工流水!$B:$B=$N38)*(员工流水!$A:$A=MAX(IF(员工流水!$B:$B=$N38,员工流水!$A:$A))),员工流水!C:C,"")</f>
        <v>0</v>
      </c>
      <c r="P38" s="24" cm="1">
        <f t="array" ref="P38">_xlfn.XLOOKUP(1,(员工流水!$B:$B=$N38)*(员工流水!$A:$A=MAX(IF(员工流水!$B:$B=$N38,员工流水!$A:$A))),员工流水!D:D,"空")</f>
        <v>0</v>
      </c>
      <c r="Q38" s="26" cm="1">
        <f t="array" ref="Q38">_xlfn.XLOOKUP(1,(员工流水!$B:$B=$N38)*(员工流水!$A:$A=MAX(IF(员工流水!$B:$B=$N38,员工流水!$A:$A))),员工流水!E:E,"")</f>
        <v>0</v>
      </c>
    </row>
    <row r="39" spans="14:17">
      <c r="N39" s="24">
        <v>0</v>
      </c>
      <c r="O39" s="24" cm="1">
        <f t="array" ref="O39">_xlfn.XLOOKUP(1,(员工流水!$B:$B=$N39)*(员工流水!$A:$A=MAX(IF(员工流水!$B:$B=$N39,员工流水!$A:$A))),员工流水!C:C,"")</f>
        <v>0</v>
      </c>
      <c r="P39" s="24" cm="1">
        <f t="array" ref="P39">_xlfn.XLOOKUP(1,(员工流水!$B:$B=$N39)*(员工流水!$A:$A=MAX(IF(员工流水!$B:$B=$N39,员工流水!$A:$A))),员工流水!D:D,"空")</f>
        <v>0</v>
      </c>
      <c r="Q39" s="26" cm="1">
        <f t="array" ref="Q39">_xlfn.XLOOKUP(1,(员工流水!$B:$B=$N39)*(员工流水!$A:$A=MAX(IF(员工流水!$B:$B=$N39,员工流水!$A:$A))),员工流水!E:E,"")</f>
        <v>0</v>
      </c>
    </row>
    <row r="40" spans="14:17">
      <c r="N40" s="24">
        <v>0</v>
      </c>
      <c r="O40" s="24" cm="1">
        <f t="array" ref="O40">_xlfn.XLOOKUP(1,(员工流水!$B:$B=$N40)*(员工流水!$A:$A=MAX(IF(员工流水!$B:$B=$N40,员工流水!$A:$A))),员工流水!C:C,"")</f>
        <v>0</v>
      </c>
      <c r="P40" s="24" cm="1">
        <f t="array" ref="P40">_xlfn.XLOOKUP(1,(员工流水!$B:$B=$N40)*(员工流水!$A:$A=MAX(IF(员工流水!$B:$B=$N40,员工流水!$A:$A))),员工流水!D:D,"空")</f>
        <v>0</v>
      </c>
      <c r="Q40" s="26" cm="1">
        <f t="array" ref="Q40">_xlfn.XLOOKUP(1,(员工流水!$B:$B=$N40)*(员工流水!$A:$A=MAX(IF(员工流水!$B:$B=$N40,员工流水!$A:$A))),员工流水!E:E,"")</f>
        <v>0</v>
      </c>
    </row>
    <row r="41" spans="14:17">
      <c r="N41" s="24">
        <v>0</v>
      </c>
      <c r="O41" s="24" cm="1">
        <f t="array" ref="O41">_xlfn.XLOOKUP(1,(员工流水!$B:$B=$N41)*(员工流水!$A:$A=MAX(IF(员工流水!$B:$B=$N41,员工流水!$A:$A))),员工流水!C:C,"")</f>
        <v>0</v>
      </c>
      <c r="P41" s="24" cm="1">
        <f t="array" ref="P41">_xlfn.XLOOKUP(1,(员工流水!$B:$B=$N41)*(员工流水!$A:$A=MAX(IF(员工流水!$B:$B=$N41,员工流水!$A:$A))),员工流水!D:D,"空")</f>
        <v>0</v>
      </c>
      <c r="Q41" s="26" cm="1">
        <f t="array" ref="Q41">_xlfn.XLOOKUP(1,(员工流水!$B:$B=$N41)*(员工流水!$A:$A=MAX(IF(员工流水!$B:$B=$N41,员工流水!$A:$A))),员工流水!E:E,"")</f>
        <v>0</v>
      </c>
    </row>
    <row r="42" spans="14:17">
      <c r="N42" s="24">
        <v>0</v>
      </c>
      <c r="O42" s="24" cm="1">
        <f t="array" ref="O42">_xlfn.XLOOKUP(1,(员工流水!$B:$B=$N42)*(员工流水!$A:$A=MAX(IF(员工流水!$B:$B=$N42,员工流水!$A:$A))),员工流水!C:C,"")</f>
        <v>0</v>
      </c>
      <c r="P42" s="24" cm="1">
        <f t="array" ref="P42">_xlfn.XLOOKUP(1,(员工流水!$B:$B=$N42)*(员工流水!$A:$A=MAX(IF(员工流水!$B:$B=$N42,员工流水!$A:$A))),员工流水!D:D,"空")</f>
        <v>0</v>
      </c>
      <c r="Q42" s="26" cm="1">
        <f t="array" ref="Q42">_xlfn.XLOOKUP(1,(员工流水!$B:$B=$N42)*(员工流水!$A:$A=MAX(IF(员工流水!$B:$B=$N42,员工流水!$A:$A))),员工流水!E:E,"")</f>
        <v>0</v>
      </c>
    </row>
    <row r="43" spans="14:17">
      <c r="N43" s="24">
        <v>0</v>
      </c>
      <c r="O43" s="24" cm="1">
        <f t="array" ref="O43">_xlfn.XLOOKUP(1,(员工流水!$B:$B=$N43)*(员工流水!$A:$A=MAX(IF(员工流水!$B:$B=$N43,员工流水!$A:$A))),员工流水!C:C,"")</f>
        <v>0</v>
      </c>
      <c r="P43" s="24" cm="1">
        <f t="array" ref="P43">_xlfn.XLOOKUP(1,(员工流水!$B:$B=$N43)*(员工流水!$A:$A=MAX(IF(员工流水!$B:$B=$N43,员工流水!$A:$A))),员工流水!D:D,"空")</f>
        <v>0</v>
      </c>
      <c r="Q43" s="26" cm="1">
        <f t="array" ref="Q43">_xlfn.XLOOKUP(1,(员工流水!$B:$B=$N43)*(员工流水!$A:$A=MAX(IF(员工流水!$B:$B=$N43,员工流水!$A:$A))),员工流水!E:E,"")</f>
        <v>0</v>
      </c>
    </row>
    <row r="44" spans="14:17">
      <c r="N44" s="24">
        <v>0</v>
      </c>
      <c r="O44" s="24" cm="1">
        <f t="array" ref="O44">_xlfn.XLOOKUP(1,(员工流水!$B:$B=$N44)*(员工流水!$A:$A=MAX(IF(员工流水!$B:$B=$N44,员工流水!$A:$A))),员工流水!C:C,"")</f>
        <v>0</v>
      </c>
      <c r="P44" s="24" cm="1">
        <f t="array" ref="P44">_xlfn.XLOOKUP(1,(员工流水!$B:$B=$N44)*(员工流水!$A:$A=MAX(IF(员工流水!$B:$B=$N44,员工流水!$A:$A))),员工流水!D:D,"空")</f>
        <v>0</v>
      </c>
      <c r="Q44" s="26" cm="1">
        <f t="array" ref="Q44">_xlfn.XLOOKUP(1,(员工流水!$B:$B=$N44)*(员工流水!$A:$A=MAX(IF(员工流水!$B:$B=$N44,员工流水!$A:$A))),员工流水!E:E,"")</f>
        <v>0</v>
      </c>
    </row>
    <row r="45" spans="14:17">
      <c r="N45" s="24">
        <v>0</v>
      </c>
      <c r="O45" s="24" cm="1">
        <f t="array" ref="O45">_xlfn.XLOOKUP(1,(员工流水!$B:$B=$N45)*(员工流水!$A:$A=MAX(IF(员工流水!$B:$B=$N45,员工流水!$A:$A))),员工流水!C:C,"")</f>
        <v>0</v>
      </c>
      <c r="P45" s="24" cm="1">
        <f t="array" ref="P45">_xlfn.XLOOKUP(1,(员工流水!$B:$B=$N45)*(员工流水!$A:$A=MAX(IF(员工流水!$B:$B=$N45,员工流水!$A:$A))),员工流水!D:D,"空")</f>
        <v>0</v>
      </c>
      <c r="Q45" s="26" cm="1">
        <f t="array" ref="Q45">_xlfn.XLOOKUP(1,(员工流水!$B:$B=$N45)*(员工流水!$A:$A=MAX(IF(员工流水!$B:$B=$N45,员工流水!$A:$A))),员工流水!E:E,"")</f>
        <v>0</v>
      </c>
    </row>
    <row r="46" spans="14:17">
      <c r="N46" s="24">
        <v>0</v>
      </c>
      <c r="O46" s="24" cm="1">
        <f t="array" ref="O46">_xlfn.XLOOKUP(1,(员工流水!$B:$B=$N46)*(员工流水!$A:$A=MAX(IF(员工流水!$B:$B=$N46,员工流水!$A:$A))),员工流水!C:C,"")</f>
        <v>0</v>
      </c>
      <c r="P46" s="24" cm="1">
        <f t="array" ref="P46">_xlfn.XLOOKUP(1,(员工流水!$B:$B=$N46)*(员工流水!$A:$A=MAX(IF(员工流水!$B:$B=$N46,员工流水!$A:$A))),员工流水!D:D,"空")</f>
        <v>0</v>
      </c>
      <c r="Q46" s="26" cm="1">
        <f t="array" ref="Q46">_xlfn.XLOOKUP(1,(员工流水!$B:$B=$N46)*(员工流水!$A:$A=MAX(IF(员工流水!$B:$B=$N46,员工流水!$A:$A))),员工流水!E:E,"")</f>
        <v>0</v>
      </c>
    </row>
    <row r="47" spans="14:17">
      <c r="N47" s="24">
        <v>0</v>
      </c>
      <c r="O47" s="24" cm="1">
        <f t="array" ref="O47">_xlfn.XLOOKUP(1,(员工流水!$B:$B=$N47)*(员工流水!$A:$A=MAX(IF(员工流水!$B:$B=$N47,员工流水!$A:$A))),员工流水!C:C,"")</f>
        <v>0</v>
      </c>
      <c r="P47" s="24" cm="1">
        <f t="array" ref="P47">_xlfn.XLOOKUP(1,(员工流水!$B:$B=$N47)*(员工流水!$A:$A=MAX(IF(员工流水!$B:$B=$N47,员工流水!$A:$A))),员工流水!D:D,"空")</f>
        <v>0</v>
      </c>
      <c r="Q47" s="26" cm="1">
        <f t="array" ref="Q47">_xlfn.XLOOKUP(1,(员工流水!$B:$B=$N47)*(员工流水!$A:$A=MAX(IF(员工流水!$B:$B=$N47,员工流水!$A:$A))),员工流水!E:E,"")</f>
        <v>0</v>
      </c>
    </row>
    <row r="48" spans="14:17">
      <c r="N48" s="24">
        <v>0</v>
      </c>
      <c r="O48" s="24" cm="1">
        <f t="array" ref="O48">_xlfn.XLOOKUP(1,(员工流水!$B:$B=$N48)*(员工流水!$A:$A=MAX(IF(员工流水!$B:$B=$N48,员工流水!$A:$A))),员工流水!C:C,"")</f>
        <v>0</v>
      </c>
      <c r="P48" s="24" cm="1">
        <f t="array" ref="P48">_xlfn.XLOOKUP(1,(员工流水!$B:$B=$N48)*(员工流水!$A:$A=MAX(IF(员工流水!$B:$B=$N48,员工流水!$A:$A))),员工流水!D:D,"空")</f>
        <v>0</v>
      </c>
      <c r="Q48" s="26" cm="1">
        <f t="array" ref="Q48">_xlfn.XLOOKUP(1,(员工流水!$B:$B=$N48)*(员工流水!$A:$A=MAX(IF(员工流水!$B:$B=$N48,员工流水!$A:$A))),员工流水!E:E,"")</f>
        <v>0</v>
      </c>
    </row>
    <row r="49" spans="14:17">
      <c r="N49" s="24">
        <v>0</v>
      </c>
      <c r="O49" s="24" cm="1">
        <f t="array" ref="O49">_xlfn.XLOOKUP(1,(员工流水!$B:$B=$N49)*(员工流水!$A:$A=MAX(IF(员工流水!$B:$B=$N49,员工流水!$A:$A))),员工流水!C:C,"")</f>
        <v>0</v>
      </c>
      <c r="P49" s="24" cm="1">
        <f t="array" ref="P49">_xlfn.XLOOKUP(1,(员工流水!$B:$B=$N49)*(员工流水!$A:$A=MAX(IF(员工流水!$B:$B=$N49,员工流水!$A:$A))),员工流水!D:D,"空")</f>
        <v>0</v>
      </c>
      <c r="Q49" s="26" cm="1">
        <f t="array" ref="Q49">_xlfn.XLOOKUP(1,(员工流水!$B:$B=$N49)*(员工流水!$A:$A=MAX(IF(员工流水!$B:$B=$N49,员工流水!$A:$A))),员工流水!E:E,"")</f>
        <v>0</v>
      </c>
    </row>
    <row r="50" spans="14:17">
      <c r="N50" s="24">
        <v>0</v>
      </c>
      <c r="O50" s="24" cm="1">
        <f t="array" ref="O50">_xlfn.XLOOKUP(1,(员工流水!$B:$B=$N50)*(员工流水!$A:$A=MAX(IF(员工流水!$B:$B=$N50,员工流水!$A:$A))),员工流水!C:C,"")</f>
        <v>0</v>
      </c>
      <c r="P50" s="24" cm="1">
        <f t="array" ref="P50">_xlfn.XLOOKUP(1,(员工流水!$B:$B=$N50)*(员工流水!$A:$A=MAX(IF(员工流水!$B:$B=$N50,员工流水!$A:$A))),员工流水!D:D,"空")</f>
        <v>0</v>
      </c>
      <c r="Q50" s="26" cm="1">
        <f t="array" ref="Q50">_xlfn.XLOOKUP(1,(员工流水!$B:$B=$N50)*(员工流水!$A:$A=MAX(IF(员工流水!$B:$B=$N50,员工流水!$A:$A))),员工流水!E:E,"")</f>
        <v>0</v>
      </c>
    </row>
    <row r="51" spans="14:17">
      <c r="N51" s="24">
        <v>0</v>
      </c>
      <c r="O51" s="24" cm="1">
        <f t="array" ref="O51">_xlfn.XLOOKUP(1,(员工流水!$B:$B=$N51)*(员工流水!$A:$A=MAX(IF(员工流水!$B:$B=$N51,员工流水!$A:$A))),员工流水!C:C,"")</f>
        <v>0</v>
      </c>
      <c r="P51" s="24" cm="1">
        <f t="array" ref="P51">_xlfn.XLOOKUP(1,(员工流水!$B:$B=$N51)*(员工流水!$A:$A=MAX(IF(员工流水!$B:$B=$N51,员工流水!$A:$A))),员工流水!D:D,"空")</f>
        <v>0</v>
      </c>
      <c r="Q51" s="26" cm="1">
        <f t="array" ref="Q51">_xlfn.XLOOKUP(1,(员工流水!$B:$B=$N51)*(员工流水!$A:$A=MAX(IF(员工流水!$B:$B=$N51,员工流水!$A:$A))),员工流水!E:E,"")</f>
        <v>0</v>
      </c>
    </row>
    <row r="52" spans="14:17">
      <c r="N52" s="24">
        <v>0</v>
      </c>
      <c r="O52" s="24" cm="1">
        <f t="array" ref="O52">_xlfn.XLOOKUP(1,(员工流水!$B:$B=$N52)*(员工流水!$A:$A=MAX(IF(员工流水!$B:$B=$N52,员工流水!$A:$A))),员工流水!C:C,"")</f>
        <v>0</v>
      </c>
      <c r="P52" s="24" cm="1">
        <f t="array" ref="P52">_xlfn.XLOOKUP(1,(员工流水!$B:$B=$N52)*(员工流水!$A:$A=MAX(IF(员工流水!$B:$B=$N52,员工流水!$A:$A))),员工流水!D:D,"空")</f>
        <v>0</v>
      </c>
      <c r="Q52" s="26" cm="1">
        <f t="array" ref="Q52">_xlfn.XLOOKUP(1,(员工流水!$B:$B=$N52)*(员工流水!$A:$A=MAX(IF(员工流水!$B:$B=$N52,员工流水!$A:$A))),员工流水!E:E,"")</f>
        <v>0</v>
      </c>
    </row>
    <row r="53" spans="14:17">
      <c r="N53" s="24">
        <v>0</v>
      </c>
      <c r="O53" s="24" cm="1">
        <f t="array" ref="O53">_xlfn.XLOOKUP(1,(员工流水!$B:$B=$N53)*(员工流水!$A:$A=MAX(IF(员工流水!$B:$B=$N53,员工流水!$A:$A))),员工流水!C:C,"")</f>
        <v>0</v>
      </c>
      <c r="P53" s="24" cm="1">
        <f t="array" ref="P53">_xlfn.XLOOKUP(1,(员工流水!$B:$B=$N53)*(员工流水!$A:$A=MAX(IF(员工流水!$B:$B=$N53,员工流水!$A:$A))),员工流水!D:D,"空")</f>
        <v>0</v>
      </c>
      <c r="Q53" s="26" cm="1">
        <f t="array" ref="Q53">_xlfn.XLOOKUP(1,(员工流水!$B:$B=$N53)*(员工流水!$A:$A=MAX(IF(员工流水!$B:$B=$N53,员工流水!$A:$A))),员工流水!E:E,"")</f>
        <v>0</v>
      </c>
    </row>
    <row r="54" spans="14:17">
      <c r="N54" s="24">
        <v>0</v>
      </c>
      <c r="O54" s="24" cm="1">
        <f t="array" ref="O54">_xlfn.XLOOKUP(1,(员工流水!$B:$B=$N54)*(员工流水!$A:$A=MAX(IF(员工流水!$B:$B=$N54,员工流水!$A:$A))),员工流水!C:C,"")</f>
        <v>0</v>
      </c>
      <c r="P54" s="24" cm="1">
        <f t="array" ref="P54">_xlfn.XLOOKUP(1,(员工流水!$B:$B=$N54)*(员工流水!$A:$A=MAX(IF(员工流水!$B:$B=$N54,员工流水!$A:$A))),员工流水!D:D,"空")</f>
        <v>0</v>
      </c>
      <c r="Q54" s="26" cm="1">
        <f t="array" ref="Q54">_xlfn.XLOOKUP(1,(员工流水!$B:$B=$N54)*(员工流水!$A:$A=MAX(IF(员工流水!$B:$B=$N54,员工流水!$A:$A))),员工流水!E:E,"")</f>
        <v>0</v>
      </c>
    </row>
    <row r="55" spans="14:17">
      <c r="N55" s="24">
        <v>0</v>
      </c>
      <c r="O55" s="24" cm="1">
        <f t="array" ref="O55">_xlfn.XLOOKUP(1,(员工流水!$B:$B=$N55)*(员工流水!$A:$A=MAX(IF(员工流水!$B:$B=$N55,员工流水!$A:$A))),员工流水!C:C,"")</f>
        <v>0</v>
      </c>
      <c r="P55" s="24" cm="1">
        <f t="array" ref="P55">_xlfn.XLOOKUP(1,(员工流水!$B:$B=$N55)*(员工流水!$A:$A=MAX(IF(员工流水!$B:$B=$N55,员工流水!$A:$A))),员工流水!D:D,"空")</f>
        <v>0</v>
      </c>
      <c r="Q55" s="26" cm="1">
        <f t="array" ref="Q55">_xlfn.XLOOKUP(1,(员工流水!$B:$B=$N55)*(员工流水!$A:$A=MAX(IF(员工流水!$B:$B=$N55,员工流水!$A:$A))),员工流水!E:E,"")</f>
        <v>0</v>
      </c>
    </row>
    <row r="56" spans="14:17">
      <c r="N56" s="24">
        <v>0</v>
      </c>
      <c r="O56" s="24" cm="1">
        <f t="array" ref="O56">_xlfn.XLOOKUP(1,(员工流水!$B:$B=$N56)*(员工流水!$A:$A=MAX(IF(员工流水!$B:$B=$N56,员工流水!$A:$A))),员工流水!C:C,"")</f>
        <v>0</v>
      </c>
      <c r="P56" s="24" cm="1">
        <f t="array" ref="P56">_xlfn.XLOOKUP(1,(员工流水!$B:$B=$N56)*(员工流水!$A:$A=MAX(IF(员工流水!$B:$B=$N56,员工流水!$A:$A))),员工流水!D:D,"空")</f>
        <v>0</v>
      </c>
      <c r="Q56" s="26" cm="1">
        <f t="array" ref="Q56">_xlfn.XLOOKUP(1,(员工流水!$B:$B=$N56)*(员工流水!$A:$A=MAX(IF(员工流水!$B:$B=$N56,员工流水!$A:$A))),员工流水!E:E,"")</f>
        <v>0</v>
      </c>
    </row>
    <row r="57" spans="14:17">
      <c r="N57" s="24">
        <v>0</v>
      </c>
      <c r="O57" s="24" cm="1">
        <f t="array" ref="O57">_xlfn.XLOOKUP(1,(员工流水!$B:$B=$N57)*(员工流水!$A:$A=MAX(IF(员工流水!$B:$B=$N57,员工流水!$A:$A))),员工流水!C:C,"")</f>
        <v>0</v>
      </c>
      <c r="P57" s="24" cm="1">
        <f t="array" ref="P57">_xlfn.XLOOKUP(1,(员工流水!$B:$B=$N57)*(员工流水!$A:$A=MAX(IF(员工流水!$B:$B=$N57,员工流水!$A:$A))),员工流水!D:D,"空")</f>
        <v>0</v>
      </c>
      <c r="Q57" s="26" cm="1">
        <f t="array" ref="Q57">_xlfn.XLOOKUP(1,(员工流水!$B:$B=$N57)*(员工流水!$A:$A=MAX(IF(员工流水!$B:$B=$N57,员工流水!$A:$A))),员工流水!E:E,"")</f>
        <v>0</v>
      </c>
    </row>
    <row r="58" spans="14:17">
      <c r="N58" s="24">
        <v>0</v>
      </c>
      <c r="O58" s="24" cm="1">
        <f t="array" ref="O58">_xlfn.XLOOKUP(1,(员工流水!$B:$B=$N58)*(员工流水!$A:$A=MAX(IF(员工流水!$B:$B=$N58,员工流水!$A:$A))),员工流水!C:C,"")</f>
        <v>0</v>
      </c>
      <c r="P58" s="24" cm="1">
        <f t="array" ref="P58">_xlfn.XLOOKUP(1,(员工流水!$B:$B=$N58)*(员工流水!$A:$A=MAX(IF(员工流水!$B:$B=$N58,员工流水!$A:$A))),员工流水!D:D,"空")</f>
        <v>0</v>
      </c>
      <c r="Q58" s="26" cm="1">
        <f t="array" ref="Q58">_xlfn.XLOOKUP(1,(员工流水!$B:$B=$N58)*(员工流水!$A:$A=MAX(IF(员工流水!$B:$B=$N58,员工流水!$A:$A))),员工流水!E:E,"")</f>
        <v>0</v>
      </c>
    </row>
    <row r="59" spans="14:17">
      <c r="N59" s="24">
        <v>0</v>
      </c>
      <c r="O59" s="24" cm="1">
        <f t="array" ref="O59">_xlfn.XLOOKUP(1,(员工流水!$B:$B=$N59)*(员工流水!$A:$A=MAX(IF(员工流水!$B:$B=$N59,员工流水!$A:$A))),员工流水!C:C,"")</f>
        <v>0</v>
      </c>
      <c r="P59" s="24" cm="1">
        <f t="array" ref="P59">_xlfn.XLOOKUP(1,(员工流水!$B:$B=$N59)*(员工流水!$A:$A=MAX(IF(员工流水!$B:$B=$N59,员工流水!$A:$A))),员工流水!D:D,"空")</f>
        <v>0</v>
      </c>
      <c r="Q59" s="26" cm="1">
        <f t="array" ref="Q59">_xlfn.XLOOKUP(1,(员工流水!$B:$B=$N59)*(员工流水!$A:$A=MAX(IF(员工流水!$B:$B=$N59,员工流水!$A:$A))),员工流水!E:E,"")</f>
        <v>0</v>
      </c>
    </row>
    <row r="60" spans="14:17">
      <c r="N60" s="24">
        <v>0</v>
      </c>
      <c r="O60" s="24" cm="1">
        <f t="array" ref="O60">_xlfn.XLOOKUP(1,(员工流水!$B:$B=$N60)*(员工流水!$A:$A=MAX(IF(员工流水!$B:$B=$N60,员工流水!$A:$A))),员工流水!C:C,"")</f>
        <v>0</v>
      </c>
      <c r="P60" s="24" cm="1">
        <f t="array" ref="P60">_xlfn.XLOOKUP(1,(员工流水!$B:$B=$N60)*(员工流水!$A:$A=MAX(IF(员工流水!$B:$B=$N60,员工流水!$A:$A))),员工流水!D:D,"空")</f>
        <v>0</v>
      </c>
      <c r="Q60" s="26" cm="1">
        <f t="array" ref="Q60">_xlfn.XLOOKUP(1,(员工流水!$B:$B=$N60)*(员工流水!$A:$A=MAX(IF(员工流水!$B:$B=$N60,员工流水!$A:$A))),员工流水!E:E,"")</f>
        <v>0</v>
      </c>
    </row>
    <row r="61" spans="14:17">
      <c r="N61" s="24">
        <v>0</v>
      </c>
      <c r="O61" s="24" cm="1">
        <f t="array" ref="O61">_xlfn.XLOOKUP(1,(员工流水!$B:$B=$N61)*(员工流水!$A:$A=MAX(IF(员工流水!$B:$B=$N61,员工流水!$A:$A))),员工流水!C:C,"")</f>
        <v>0</v>
      </c>
      <c r="P61" s="24" cm="1">
        <f t="array" ref="P61">_xlfn.XLOOKUP(1,(员工流水!$B:$B=$N61)*(员工流水!$A:$A=MAX(IF(员工流水!$B:$B=$N61,员工流水!$A:$A))),员工流水!D:D,"空")</f>
        <v>0</v>
      </c>
      <c r="Q61" s="26" cm="1">
        <f t="array" ref="Q61">_xlfn.XLOOKUP(1,(员工流水!$B:$B=$N61)*(员工流水!$A:$A=MAX(IF(员工流水!$B:$B=$N61,员工流水!$A:$A))),员工流水!E:E,"")</f>
        <v>0</v>
      </c>
    </row>
    <row r="62" spans="14:17">
      <c r="N62" s="24">
        <v>0</v>
      </c>
      <c r="O62" s="24" cm="1">
        <f t="array" ref="O62">_xlfn.XLOOKUP(1,(员工流水!$B:$B=$N62)*(员工流水!$A:$A=MAX(IF(员工流水!$B:$B=$N62,员工流水!$A:$A))),员工流水!C:C,"")</f>
        <v>0</v>
      </c>
      <c r="P62" s="24" cm="1">
        <f t="array" ref="P62">_xlfn.XLOOKUP(1,(员工流水!$B:$B=$N62)*(员工流水!$A:$A=MAX(IF(员工流水!$B:$B=$N62,员工流水!$A:$A))),员工流水!D:D,"空")</f>
        <v>0</v>
      </c>
      <c r="Q62" s="26" cm="1">
        <f t="array" ref="Q62">_xlfn.XLOOKUP(1,(员工流水!$B:$B=$N62)*(员工流水!$A:$A=MAX(IF(员工流水!$B:$B=$N62,员工流水!$A:$A))),员工流水!E:E,"")</f>
        <v>0</v>
      </c>
    </row>
    <row r="63" spans="14:17">
      <c r="N63" s="24">
        <v>0</v>
      </c>
      <c r="O63" s="24" cm="1">
        <f t="array" ref="O63">_xlfn.XLOOKUP(1,(员工流水!$B:$B=$N63)*(员工流水!$A:$A=MAX(IF(员工流水!$B:$B=$N63,员工流水!$A:$A))),员工流水!C:C,"")</f>
        <v>0</v>
      </c>
      <c r="P63" s="24" cm="1">
        <f t="array" ref="P63">_xlfn.XLOOKUP(1,(员工流水!$B:$B=$N63)*(员工流水!$A:$A=MAX(IF(员工流水!$B:$B=$N63,员工流水!$A:$A))),员工流水!D:D,"空")</f>
        <v>0</v>
      </c>
      <c r="Q63" s="26" cm="1">
        <f t="array" ref="Q63">_xlfn.XLOOKUP(1,(员工流水!$B:$B=$N63)*(员工流水!$A:$A=MAX(IF(员工流水!$B:$B=$N63,员工流水!$A:$A))),员工流水!E:E,"")</f>
        <v>0</v>
      </c>
    </row>
    <row r="64" spans="14:17">
      <c r="N64" s="24">
        <v>0</v>
      </c>
      <c r="O64" s="24" cm="1">
        <f t="array" ref="O64">_xlfn.XLOOKUP(1,(员工流水!$B:$B=$N64)*(员工流水!$A:$A=MAX(IF(员工流水!$B:$B=$N64,员工流水!$A:$A))),员工流水!C:C,"")</f>
        <v>0</v>
      </c>
      <c r="P64" s="24" cm="1">
        <f t="array" ref="P64">_xlfn.XLOOKUP(1,(员工流水!$B:$B=$N64)*(员工流水!$A:$A=MAX(IF(员工流水!$B:$B=$N64,员工流水!$A:$A))),员工流水!D:D,"空")</f>
        <v>0</v>
      </c>
      <c r="Q64" s="26" cm="1">
        <f t="array" ref="Q64">_xlfn.XLOOKUP(1,(员工流水!$B:$B=$N64)*(员工流水!$A:$A=MAX(IF(员工流水!$B:$B=$N64,员工流水!$A:$A))),员工流水!E:E,"")</f>
        <v>0</v>
      </c>
    </row>
    <row r="65" spans="14:17">
      <c r="N65" s="24">
        <v>0</v>
      </c>
      <c r="O65" s="24" cm="1">
        <f t="array" ref="O65">_xlfn.XLOOKUP(1,(员工流水!$B:$B=$N65)*(员工流水!$A:$A=MAX(IF(员工流水!$B:$B=$N65,员工流水!$A:$A))),员工流水!C:C,"")</f>
        <v>0</v>
      </c>
      <c r="P65" s="24" cm="1">
        <f t="array" ref="P65">_xlfn.XLOOKUP(1,(员工流水!$B:$B=$N65)*(员工流水!$A:$A=MAX(IF(员工流水!$B:$B=$N65,员工流水!$A:$A))),员工流水!D:D,"空")</f>
        <v>0</v>
      </c>
      <c r="Q65" s="26" cm="1">
        <f t="array" ref="Q65">_xlfn.XLOOKUP(1,(员工流水!$B:$B=$N65)*(员工流水!$A:$A=MAX(IF(员工流水!$B:$B=$N65,员工流水!$A:$A))),员工流水!E:E,"")</f>
        <v>0</v>
      </c>
    </row>
    <row r="66" spans="14:17">
      <c r="N66" s="24">
        <v>0</v>
      </c>
      <c r="O66" s="24" cm="1">
        <f t="array" ref="O66">_xlfn.XLOOKUP(1,(员工流水!$B:$B=$N66)*(员工流水!$A:$A=MAX(IF(员工流水!$B:$B=$N66,员工流水!$A:$A))),员工流水!C:C,"")</f>
        <v>0</v>
      </c>
      <c r="P66" s="24" cm="1">
        <f t="array" ref="P66">_xlfn.XLOOKUP(1,(员工流水!$B:$B=$N66)*(员工流水!$A:$A=MAX(IF(员工流水!$B:$B=$N66,员工流水!$A:$A))),员工流水!D:D,"空")</f>
        <v>0</v>
      </c>
      <c r="Q66" s="26" cm="1">
        <f t="array" ref="Q66">_xlfn.XLOOKUP(1,(员工流水!$B:$B=$N66)*(员工流水!$A:$A=MAX(IF(员工流水!$B:$B=$N66,员工流水!$A:$A))),员工流水!E:E,"")</f>
        <v>0</v>
      </c>
    </row>
    <row r="67" spans="14:17">
      <c r="N67" s="24">
        <v>0</v>
      </c>
      <c r="O67" s="24" cm="1">
        <f t="array" ref="O67">_xlfn.XLOOKUP(1,(员工流水!$B:$B=$N67)*(员工流水!$A:$A=MAX(IF(员工流水!$B:$B=$N67,员工流水!$A:$A))),员工流水!C:C,"")</f>
        <v>0</v>
      </c>
      <c r="P67" s="24" cm="1">
        <f t="array" ref="P67">_xlfn.XLOOKUP(1,(员工流水!$B:$B=$N67)*(员工流水!$A:$A=MAX(IF(员工流水!$B:$B=$N67,员工流水!$A:$A))),员工流水!D:D,"空")</f>
        <v>0</v>
      </c>
      <c r="Q67" s="26" cm="1">
        <f t="array" ref="Q67">_xlfn.XLOOKUP(1,(员工流水!$B:$B=$N67)*(员工流水!$A:$A=MAX(IF(员工流水!$B:$B=$N67,员工流水!$A:$A))),员工流水!E:E,"")</f>
        <v>0</v>
      </c>
    </row>
    <row r="68" spans="14:17">
      <c r="N68" s="24">
        <v>0</v>
      </c>
      <c r="O68" s="24" cm="1">
        <f t="array" ref="O68">_xlfn.XLOOKUP(1,(员工流水!$B:$B=$N68)*(员工流水!$A:$A=MAX(IF(员工流水!$B:$B=$N68,员工流水!$A:$A))),员工流水!C:C,"")</f>
        <v>0</v>
      </c>
      <c r="P68" s="24" cm="1">
        <f t="array" ref="P68">_xlfn.XLOOKUP(1,(员工流水!$B:$B=$N68)*(员工流水!$A:$A=MAX(IF(员工流水!$B:$B=$N68,员工流水!$A:$A))),员工流水!D:D,"空")</f>
        <v>0</v>
      </c>
      <c r="Q68" s="26" cm="1">
        <f t="array" ref="Q68">_xlfn.XLOOKUP(1,(员工流水!$B:$B=$N68)*(员工流水!$A:$A=MAX(IF(员工流水!$B:$B=$N68,员工流水!$A:$A))),员工流水!E:E,"")</f>
        <v>0</v>
      </c>
    </row>
    <row r="69" spans="14:17">
      <c r="N69" s="24">
        <v>0</v>
      </c>
      <c r="O69" s="24" cm="1">
        <f t="array" ref="O69">_xlfn.XLOOKUP(1,(员工流水!$B:$B=$N69)*(员工流水!$A:$A=MAX(IF(员工流水!$B:$B=$N69,员工流水!$A:$A))),员工流水!C:C,"")</f>
        <v>0</v>
      </c>
      <c r="P69" s="24" cm="1">
        <f t="array" ref="P69">_xlfn.XLOOKUP(1,(员工流水!$B:$B=$N69)*(员工流水!$A:$A=MAX(IF(员工流水!$B:$B=$N69,员工流水!$A:$A))),员工流水!D:D,"空")</f>
        <v>0</v>
      </c>
      <c r="Q69" s="26" cm="1">
        <f t="array" ref="Q69">_xlfn.XLOOKUP(1,(员工流水!$B:$B=$N69)*(员工流水!$A:$A=MAX(IF(员工流水!$B:$B=$N69,员工流水!$A:$A))),员工流水!E:E,"")</f>
        <v>0</v>
      </c>
    </row>
    <row r="70" spans="14:17">
      <c r="N70" s="24">
        <v>0</v>
      </c>
      <c r="O70" s="24" cm="1">
        <f t="array" ref="O70">_xlfn.XLOOKUP(1,(员工流水!$B:$B=$N70)*(员工流水!$A:$A=MAX(IF(员工流水!$B:$B=$N70,员工流水!$A:$A))),员工流水!C:C,"")</f>
        <v>0</v>
      </c>
      <c r="P70" s="24" cm="1">
        <f t="array" ref="P70">_xlfn.XLOOKUP(1,(员工流水!$B:$B=$N70)*(员工流水!$A:$A=MAX(IF(员工流水!$B:$B=$N70,员工流水!$A:$A))),员工流水!D:D,"空")</f>
        <v>0</v>
      </c>
      <c r="Q70" s="26" cm="1">
        <f t="array" ref="Q70">_xlfn.XLOOKUP(1,(员工流水!$B:$B=$N70)*(员工流水!$A:$A=MAX(IF(员工流水!$B:$B=$N70,员工流水!$A:$A))),员工流水!E:E,"")</f>
        <v>0</v>
      </c>
    </row>
    <row r="71" spans="14:17">
      <c r="N71" s="24">
        <v>0</v>
      </c>
      <c r="O71" s="24" cm="1">
        <f t="array" ref="O71">_xlfn.XLOOKUP(1,(员工流水!$B:$B=$N71)*(员工流水!$A:$A=MAX(IF(员工流水!$B:$B=$N71,员工流水!$A:$A))),员工流水!C:C,"")</f>
        <v>0</v>
      </c>
      <c r="P71" s="24" cm="1">
        <f t="array" ref="P71">_xlfn.XLOOKUP(1,(员工流水!$B:$B=$N71)*(员工流水!$A:$A=MAX(IF(员工流水!$B:$B=$N71,员工流水!$A:$A))),员工流水!D:D,"空")</f>
        <v>0</v>
      </c>
      <c r="Q71" s="26" cm="1">
        <f t="array" ref="Q71">_xlfn.XLOOKUP(1,(员工流水!$B:$B=$N71)*(员工流水!$A:$A=MAX(IF(员工流水!$B:$B=$N71,员工流水!$A:$A))),员工流水!E:E,"")</f>
        <v>0</v>
      </c>
    </row>
    <row r="72" spans="14:17">
      <c r="N72" s="24">
        <v>0</v>
      </c>
      <c r="O72" s="24" cm="1">
        <f t="array" ref="O72">_xlfn.XLOOKUP(1,(员工流水!$B:$B=$N72)*(员工流水!$A:$A=MAX(IF(员工流水!$B:$B=$N72,员工流水!$A:$A))),员工流水!C:C,"")</f>
        <v>0</v>
      </c>
      <c r="P72" s="24" cm="1">
        <f t="array" ref="P72">_xlfn.XLOOKUP(1,(员工流水!$B:$B=$N72)*(员工流水!$A:$A=MAX(IF(员工流水!$B:$B=$N72,员工流水!$A:$A))),员工流水!D:D,"空")</f>
        <v>0</v>
      </c>
      <c r="Q72" s="26" cm="1">
        <f t="array" ref="Q72">_xlfn.XLOOKUP(1,(员工流水!$B:$B=$N72)*(员工流水!$A:$A=MAX(IF(员工流水!$B:$B=$N72,员工流水!$A:$A))),员工流水!E:E,"")</f>
        <v>0</v>
      </c>
    </row>
    <row r="73" spans="14:17">
      <c r="N73" s="24">
        <v>0</v>
      </c>
      <c r="O73" s="24" cm="1">
        <f t="array" ref="O73">_xlfn.XLOOKUP(1,(员工流水!$B:$B=$N73)*(员工流水!$A:$A=MAX(IF(员工流水!$B:$B=$N73,员工流水!$A:$A))),员工流水!C:C,"")</f>
        <v>0</v>
      </c>
      <c r="P73" s="24" cm="1">
        <f t="array" ref="P73">_xlfn.XLOOKUP(1,(员工流水!$B:$B=$N73)*(员工流水!$A:$A=MAX(IF(员工流水!$B:$B=$N73,员工流水!$A:$A))),员工流水!D:D,"空")</f>
        <v>0</v>
      </c>
      <c r="Q73" s="26" cm="1">
        <f t="array" ref="Q73">_xlfn.XLOOKUP(1,(员工流水!$B:$B=$N73)*(员工流水!$A:$A=MAX(IF(员工流水!$B:$B=$N73,员工流水!$A:$A))),员工流水!E:E,"")</f>
        <v>0</v>
      </c>
    </row>
    <row r="74" spans="14:17">
      <c r="N74" s="24">
        <v>0</v>
      </c>
      <c r="O74" s="24" cm="1">
        <f t="array" ref="O74">_xlfn.XLOOKUP(1,(员工流水!$B:$B=$N74)*(员工流水!$A:$A=MAX(IF(员工流水!$B:$B=$N74,员工流水!$A:$A))),员工流水!C:C,"")</f>
        <v>0</v>
      </c>
      <c r="P74" s="24" cm="1">
        <f t="array" ref="P74">_xlfn.XLOOKUP(1,(员工流水!$B:$B=$N74)*(员工流水!$A:$A=MAX(IF(员工流水!$B:$B=$N74,员工流水!$A:$A))),员工流水!D:D,"空")</f>
        <v>0</v>
      </c>
      <c r="Q74" s="26" cm="1">
        <f t="array" ref="Q74">_xlfn.XLOOKUP(1,(员工流水!$B:$B=$N74)*(员工流水!$A:$A=MAX(IF(员工流水!$B:$B=$N74,员工流水!$A:$A))),员工流水!E:E,"")</f>
        <v>0</v>
      </c>
    </row>
    <row r="75" spans="14:17">
      <c r="N75" s="24">
        <v>0</v>
      </c>
      <c r="O75" s="24" cm="1">
        <f t="array" ref="O75">_xlfn.XLOOKUP(1,(员工流水!$B:$B=$N75)*(员工流水!$A:$A=MAX(IF(员工流水!$B:$B=$N75,员工流水!$A:$A))),员工流水!C:C,"")</f>
        <v>0</v>
      </c>
      <c r="P75" s="24" cm="1">
        <f t="array" ref="P75">_xlfn.XLOOKUP(1,(员工流水!$B:$B=$N75)*(员工流水!$A:$A=MAX(IF(员工流水!$B:$B=$N75,员工流水!$A:$A))),员工流水!D:D,"空")</f>
        <v>0</v>
      </c>
      <c r="Q75" s="26" cm="1">
        <f t="array" ref="Q75">_xlfn.XLOOKUP(1,(员工流水!$B:$B=$N75)*(员工流水!$A:$A=MAX(IF(员工流水!$B:$B=$N75,员工流水!$A:$A))),员工流水!E:E,"")</f>
        <v>0</v>
      </c>
    </row>
    <row r="76" spans="14:17">
      <c r="N76" s="24">
        <v>0</v>
      </c>
      <c r="O76" s="24" cm="1">
        <f t="array" ref="O76">_xlfn.XLOOKUP(1,(员工流水!$B:$B=$N76)*(员工流水!$A:$A=MAX(IF(员工流水!$B:$B=$N76,员工流水!$A:$A))),员工流水!C:C,"")</f>
        <v>0</v>
      </c>
      <c r="P76" s="24" cm="1">
        <f t="array" ref="P76">_xlfn.XLOOKUP(1,(员工流水!$B:$B=$N76)*(员工流水!$A:$A=MAX(IF(员工流水!$B:$B=$N76,员工流水!$A:$A))),员工流水!D:D,"空")</f>
        <v>0</v>
      </c>
      <c r="Q76" s="26" cm="1">
        <f t="array" ref="Q76">_xlfn.XLOOKUP(1,(员工流水!$B:$B=$N76)*(员工流水!$A:$A=MAX(IF(员工流水!$B:$B=$N76,员工流水!$A:$A))),员工流水!E:E,"")</f>
        <v>0</v>
      </c>
    </row>
    <row r="77" spans="14:17">
      <c r="N77" s="24">
        <v>0</v>
      </c>
      <c r="O77" s="24" cm="1">
        <f t="array" ref="O77">_xlfn.XLOOKUP(1,(员工流水!$B:$B=$N77)*(员工流水!$A:$A=MAX(IF(员工流水!$B:$B=$N77,员工流水!$A:$A))),员工流水!C:C,"")</f>
        <v>0</v>
      </c>
      <c r="P77" s="24" cm="1">
        <f t="array" ref="P77">_xlfn.XLOOKUP(1,(员工流水!$B:$B=$N77)*(员工流水!$A:$A=MAX(IF(员工流水!$B:$B=$N77,员工流水!$A:$A))),员工流水!D:D,"空")</f>
        <v>0</v>
      </c>
      <c r="Q77" s="26" cm="1">
        <f t="array" ref="Q77">_xlfn.XLOOKUP(1,(员工流水!$B:$B=$N77)*(员工流水!$A:$A=MAX(IF(员工流水!$B:$B=$N77,员工流水!$A:$A))),员工流水!E:E,"")</f>
        <v>0</v>
      </c>
    </row>
    <row r="78" spans="14:17">
      <c r="N78" s="24">
        <v>0</v>
      </c>
      <c r="O78" s="24" cm="1">
        <f t="array" ref="O78">_xlfn.XLOOKUP(1,(员工流水!$B:$B=$N78)*(员工流水!$A:$A=MAX(IF(员工流水!$B:$B=$N78,员工流水!$A:$A))),员工流水!C:C,"")</f>
        <v>0</v>
      </c>
      <c r="P78" s="24" cm="1">
        <f t="array" ref="P78">_xlfn.XLOOKUP(1,(员工流水!$B:$B=$N78)*(员工流水!$A:$A=MAX(IF(员工流水!$B:$B=$N78,员工流水!$A:$A))),员工流水!D:D,"空")</f>
        <v>0</v>
      </c>
      <c r="Q78" s="26" cm="1">
        <f t="array" ref="Q78">_xlfn.XLOOKUP(1,(员工流水!$B:$B=$N78)*(员工流水!$A:$A=MAX(IF(员工流水!$B:$B=$N78,员工流水!$A:$A))),员工流水!E:E,"")</f>
        <v>0</v>
      </c>
    </row>
    <row r="79" spans="14:17">
      <c r="N79" s="24">
        <v>0</v>
      </c>
      <c r="O79" s="24" cm="1">
        <f t="array" ref="O79">_xlfn.XLOOKUP(1,(员工流水!$B:$B=$N79)*(员工流水!$A:$A=MAX(IF(员工流水!$B:$B=$N79,员工流水!$A:$A))),员工流水!C:C,"")</f>
        <v>0</v>
      </c>
      <c r="P79" s="24" cm="1">
        <f t="array" ref="P79">_xlfn.XLOOKUP(1,(员工流水!$B:$B=$N79)*(员工流水!$A:$A=MAX(IF(员工流水!$B:$B=$N79,员工流水!$A:$A))),员工流水!D:D,"空")</f>
        <v>0</v>
      </c>
      <c r="Q79" s="26" cm="1">
        <f t="array" ref="Q79">_xlfn.XLOOKUP(1,(员工流水!$B:$B=$N79)*(员工流水!$A:$A=MAX(IF(员工流水!$B:$B=$N79,员工流水!$A:$A))),员工流水!E:E,"")</f>
        <v>0</v>
      </c>
    </row>
    <row r="80" spans="14:17">
      <c r="N80" s="24">
        <v>0</v>
      </c>
      <c r="O80" s="24" cm="1">
        <f t="array" ref="O80">_xlfn.XLOOKUP(1,(员工流水!$B:$B=$N80)*(员工流水!$A:$A=MAX(IF(员工流水!$B:$B=$N80,员工流水!$A:$A))),员工流水!C:C,"")</f>
        <v>0</v>
      </c>
      <c r="P80" s="24" cm="1">
        <f t="array" ref="P80">_xlfn.XLOOKUP(1,(员工流水!$B:$B=$N80)*(员工流水!$A:$A=MAX(IF(员工流水!$B:$B=$N80,员工流水!$A:$A))),员工流水!D:D,"空")</f>
        <v>0</v>
      </c>
      <c r="Q80" s="26" cm="1">
        <f t="array" ref="Q80">_xlfn.XLOOKUP(1,(员工流水!$B:$B=$N80)*(员工流水!$A:$A=MAX(IF(员工流水!$B:$B=$N80,员工流水!$A:$A))),员工流水!E:E,"")</f>
        <v>0</v>
      </c>
    </row>
    <row r="81" spans="14:17">
      <c r="N81" s="24">
        <v>0</v>
      </c>
      <c r="O81" s="24" cm="1">
        <f t="array" ref="O81">_xlfn.XLOOKUP(1,(员工流水!$B:$B=$N81)*(员工流水!$A:$A=MAX(IF(员工流水!$B:$B=$N81,员工流水!$A:$A))),员工流水!C:C,"")</f>
        <v>0</v>
      </c>
      <c r="P81" s="24" cm="1">
        <f t="array" ref="P81">_xlfn.XLOOKUP(1,(员工流水!$B:$B=$N81)*(员工流水!$A:$A=MAX(IF(员工流水!$B:$B=$N81,员工流水!$A:$A))),员工流水!D:D,"空")</f>
        <v>0</v>
      </c>
      <c r="Q81" s="26" cm="1">
        <f t="array" ref="Q81">_xlfn.XLOOKUP(1,(员工流水!$B:$B=$N81)*(员工流水!$A:$A=MAX(IF(员工流水!$B:$B=$N81,员工流水!$A:$A))),员工流水!E:E,"")</f>
        <v>0</v>
      </c>
    </row>
    <row r="82" spans="14:17">
      <c r="N82" s="24">
        <v>0</v>
      </c>
      <c r="O82" s="24" cm="1">
        <f t="array" ref="O82">_xlfn.XLOOKUP(1,(员工流水!$B:$B=$N82)*(员工流水!$A:$A=MAX(IF(员工流水!$B:$B=$N82,员工流水!$A:$A))),员工流水!C:C,"")</f>
        <v>0</v>
      </c>
      <c r="P82" s="24" cm="1">
        <f t="array" ref="P82">_xlfn.XLOOKUP(1,(员工流水!$B:$B=$N82)*(员工流水!$A:$A=MAX(IF(员工流水!$B:$B=$N82,员工流水!$A:$A))),员工流水!D:D,"空")</f>
        <v>0</v>
      </c>
      <c r="Q82" s="26" cm="1">
        <f t="array" ref="Q82">_xlfn.XLOOKUP(1,(员工流水!$B:$B=$N82)*(员工流水!$A:$A=MAX(IF(员工流水!$B:$B=$N82,员工流水!$A:$A))),员工流水!E:E,"")</f>
        <v>0</v>
      </c>
    </row>
    <row r="83" spans="14:17">
      <c r="N83" s="24">
        <v>0</v>
      </c>
      <c r="O83" s="24" cm="1">
        <f t="array" ref="O83">_xlfn.XLOOKUP(1,(员工流水!$B:$B=$N83)*(员工流水!$A:$A=MAX(IF(员工流水!$B:$B=$N83,员工流水!$A:$A))),员工流水!C:C,"")</f>
        <v>0</v>
      </c>
      <c r="P83" s="24" cm="1">
        <f t="array" ref="P83">_xlfn.XLOOKUP(1,(员工流水!$B:$B=$N83)*(员工流水!$A:$A=MAX(IF(员工流水!$B:$B=$N83,员工流水!$A:$A))),员工流水!D:D,"空")</f>
        <v>0</v>
      </c>
      <c r="Q83" s="26" cm="1">
        <f t="array" ref="Q83">_xlfn.XLOOKUP(1,(员工流水!$B:$B=$N83)*(员工流水!$A:$A=MAX(IF(员工流水!$B:$B=$N83,员工流水!$A:$A))),员工流水!E:E,"")</f>
        <v>0</v>
      </c>
    </row>
    <row r="84" spans="14:17">
      <c r="N84" s="24">
        <v>0</v>
      </c>
      <c r="O84" s="24" cm="1">
        <f t="array" ref="O84">_xlfn.XLOOKUP(1,(员工流水!$B:$B=$N84)*(员工流水!$A:$A=MAX(IF(员工流水!$B:$B=$N84,员工流水!$A:$A))),员工流水!C:C,"")</f>
        <v>0</v>
      </c>
      <c r="P84" s="24" cm="1">
        <f t="array" ref="P84">_xlfn.XLOOKUP(1,(员工流水!$B:$B=$N84)*(员工流水!$A:$A=MAX(IF(员工流水!$B:$B=$N84,员工流水!$A:$A))),员工流水!D:D,"空")</f>
        <v>0</v>
      </c>
      <c r="Q84" s="26" cm="1">
        <f t="array" ref="Q84">_xlfn.XLOOKUP(1,(员工流水!$B:$B=$N84)*(员工流水!$A:$A=MAX(IF(员工流水!$B:$B=$N84,员工流水!$A:$A))),员工流水!E:E,"")</f>
        <v>0</v>
      </c>
    </row>
    <row r="85" spans="14:17">
      <c r="N85" s="24">
        <v>0</v>
      </c>
      <c r="O85" s="24" cm="1">
        <f t="array" ref="O85">_xlfn.XLOOKUP(1,(员工流水!$B:$B=$N85)*(员工流水!$A:$A=MAX(IF(员工流水!$B:$B=$N85,员工流水!$A:$A))),员工流水!C:C,"")</f>
        <v>0</v>
      </c>
      <c r="P85" s="24" cm="1">
        <f t="array" ref="P85">_xlfn.XLOOKUP(1,(员工流水!$B:$B=$N85)*(员工流水!$A:$A=MAX(IF(员工流水!$B:$B=$N85,员工流水!$A:$A))),员工流水!D:D,"空")</f>
        <v>0</v>
      </c>
      <c r="Q85" s="26" cm="1">
        <f t="array" ref="Q85">_xlfn.XLOOKUP(1,(员工流水!$B:$B=$N85)*(员工流水!$A:$A=MAX(IF(员工流水!$B:$B=$N85,员工流水!$A:$A))),员工流水!E:E,"")</f>
        <v>0</v>
      </c>
    </row>
    <row r="86" spans="14:17">
      <c r="N86" s="24">
        <v>0</v>
      </c>
      <c r="O86" s="24" cm="1">
        <f t="array" ref="O86">_xlfn.XLOOKUP(1,(员工流水!$B:$B=$N86)*(员工流水!$A:$A=MAX(IF(员工流水!$B:$B=$N86,员工流水!$A:$A))),员工流水!C:C,"")</f>
        <v>0</v>
      </c>
      <c r="P86" s="24" cm="1">
        <f t="array" ref="P86">_xlfn.XLOOKUP(1,(员工流水!$B:$B=$N86)*(员工流水!$A:$A=MAX(IF(员工流水!$B:$B=$N86,员工流水!$A:$A))),员工流水!D:D,"空")</f>
        <v>0</v>
      </c>
      <c r="Q86" s="26" cm="1">
        <f t="array" ref="Q86">_xlfn.XLOOKUP(1,(员工流水!$B:$B=$N86)*(员工流水!$A:$A=MAX(IF(员工流水!$B:$B=$N86,员工流水!$A:$A))),员工流水!E:E,"")</f>
        <v>0</v>
      </c>
    </row>
    <row r="87" spans="14:17">
      <c r="N87" s="24">
        <v>0</v>
      </c>
      <c r="O87" s="24" cm="1">
        <f t="array" ref="O87">_xlfn.XLOOKUP(1,(员工流水!$B:$B=$N87)*(员工流水!$A:$A=MAX(IF(员工流水!$B:$B=$N87,员工流水!$A:$A))),员工流水!C:C,"")</f>
        <v>0</v>
      </c>
      <c r="P87" s="24" cm="1">
        <f t="array" ref="P87">_xlfn.XLOOKUP(1,(员工流水!$B:$B=$N87)*(员工流水!$A:$A=MAX(IF(员工流水!$B:$B=$N87,员工流水!$A:$A))),员工流水!D:D,"空")</f>
        <v>0</v>
      </c>
      <c r="Q87" s="26" cm="1">
        <f t="array" ref="Q87">_xlfn.XLOOKUP(1,(员工流水!$B:$B=$N87)*(员工流水!$A:$A=MAX(IF(员工流水!$B:$B=$N87,员工流水!$A:$A))),员工流水!E:E,"")</f>
        <v>0</v>
      </c>
    </row>
    <row r="88" spans="14:17">
      <c r="N88" s="24">
        <v>0</v>
      </c>
      <c r="O88" s="24" cm="1">
        <f t="array" ref="O88">_xlfn.XLOOKUP(1,(员工流水!$B:$B=$N88)*(员工流水!$A:$A=MAX(IF(员工流水!$B:$B=$N88,员工流水!$A:$A))),员工流水!C:C,"")</f>
        <v>0</v>
      </c>
      <c r="P88" s="24" cm="1">
        <f t="array" ref="P88">_xlfn.XLOOKUP(1,(员工流水!$B:$B=$N88)*(员工流水!$A:$A=MAX(IF(员工流水!$B:$B=$N88,员工流水!$A:$A))),员工流水!D:D,"空")</f>
        <v>0</v>
      </c>
      <c r="Q88" s="26" cm="1">
        <f t="array" ref="Q88">_xlfn.XLOOKUP(1,(员工流水!$B:$B=$N88)*(员工流水!$A:$A=MAX(IF(员工流水!$B:$B=$N88,员工流水!$A:$A))),员工流水!E:E,"")</f>
        <v>0</v>
      </c>
    </row>
    <row r="89" spans="14:17">
      <c r="N89" s="24">
        <v>0</v>
      </c>
      <c r="O89" s="24" cm="1">
        <f t="array" ref="O89">_xlfn.XLOOKUP(1,(员工流水!$B:$B=$N89)*(员工流水!$A:$A=MAX(IF(员工流水!$B:$B=$N89,员工流水!$A:$A))),员工流水!C:C,"")</f>
        <v>0</v>
      </c>
      <c r="P89" s="24" cm="1">
        <f t="array" ref="P89">_xlfn.XLOOKUP(1,(员工流水!$B:$B=$N89)*(员工流水!$A:$A=MAX(IF(员工流水!$B:$B=$N89,员工流水!$A:$A))),员工流水!D:D,"空")</f>
        <v>0</v>
      </c>
      <c r="Q89" s="26" cm="1">
        <f t="array" ref="Q89">_xlfn.XLOOKUP(1,(员工流水!$B:$B=$N89)*(员工流水!$A:$A=MAX(IF(员工流水!$B:$B=$N89,员工流水!$A:$A))),员工流水!E:E,"")</f>
        <v>0</v>
      </c>
    </row>
    <row r="90" spans="14:17">
      <c r="N90" s="24">
        <v>0</v>
      </c>
      <c r="O90" s="24" cm="1">
        <f t="array" ref="O90">_xlfn.XLOOKUP(1,(员工流水!$B:$B=$N90)*(员工流水!$A:$A=MAX(IF(员工流水!$B:$B=$N90,员工流水!$A:$A))),员工流水!C:C,"")</f>
        <v>0</v>
      </c>
      <c r="P90" s="24" cm="1">
        <f t="array" ref="P90">_xlfn.XLOOKUP(1,(员工流水!$B:$B=$N90)*(员工流水!$A:$A=MAX(IF(员工流水!$B:$B=$N90,员工流水!$A:$A))),员工流水!D:D,"空")</f>
        <v>0</v>
      </c>
      <c r="Q90" s="26" cm="1">
        <f t="array" ref="Q90">_xlfn.XLOOKUP(1,(员工流水!$B:$B=$N90)*(员工流水!$A:$A=MAX(IF(员工流水!$B:$B=$N90,员工流水!$A:$A))),员工流水!E:E,"")</f>
        <v>0</v>
      </c>
    </row>
    <row r="91" spans="14:17">
      <c r="N91" s="24">
        <v>0</v>
      </c>
      <c r="O91" s="24" cm="1">
        <f t="array" ref="O91">_xlfn.XLOOKUP(1,(员工流水!$B:$B=$N91)*(员工流水!$A:$A=MAX(IF(员工流水!$B:$B=$N91,员工流水!$A:$A))),员工流水!C:C,"")</f>
        <v>0</v>
      </c>
      <c r="P91" s="24" cm="1">
        <f t="array" ref="P91">_xlfn.XLOOKUP(1,(员工流水!$B:$B=$N91)*(员工流水!$A:$A=MAX(IF(员工流水!$B:$B=$N91,员工流水!$A:$A))),员工流水!D:D,"空")</f>
        <v>0</v>
      </c>
      <c r="Q91" s="26" cm="1">
        <f t="array" ref="Q91">_xlfn.XLOOKUP(1,(员工流水!$B:$B=$N91)*(员工流水!$A:$A=MAX(IF(员工流水!$B:$B=$N91,员工流水!$A:$A))),员工流水!E:E,"")</f>
        <v>0</v>
      </c>
    </row>
    <row r="92" spans="14:17">
      <c r="N92" s="24">
        <v>0</v>
      </c>
      <c r="O92" s="24" cm="1">
        <f t="array" ref="O92">_xlfn.XLOOKUP(1,(员工流水!$B:$B=$N92)*(员工流水!$A:$A=MAX(IF(员工流水!$B:$B=$N92,员工流水!$A:$A))),员工流水!C:C,"")</f>
        <v>0</v>
      </c>
      <c r="P92" s="24" cm="1">
        <f t="array" ref="P92">_xlfn.XLOOKUP(1,(员工流水!$B:$B=$N92)*(员工流水!$A:$A=MAX(IF(员工流水!$B:$B=$N92,员工流水!$A:$A))),员工流水!D:D,"空")</f>
        <v>0</v>
      </c>
      <c r="Q92" s="26" cm="1">
        <f t="array" ref="Q92">_xlfn.XLOOKUP(1,(员工流水!$B:$B=$N92)*(员工流水!$A:$A=MAX(IF(员工流水!$B:$B=$N92,员工流水!$A:$A))),员工流水!E:E,"")</f>
        <v>0</v>
      </c>
    </row>
    <row r="93" spans="14:17">
      <c r="N93" s="24">
        <v>0</v>
      </c>
      <c r="O93" s="24" cm="1">
        <f t="array" ref="O93">_xlfn.XLOOKUP(1,(员工流水!$B:$B=$N93)*(员工流水!$A:$A=MAX(IF(员工流水!$B:$B=$N93,员工流水!$A:$A))),员工流水!C:C,"")</f>
        <v>0</v>
      </c>
      <c r="P93" s="24" cm="1">
        <f t="array" ref="P93">_xlfn.XLOOKUP(1,(员工流水!$B:$B=$N93)*(员工流水!$A:$A=MAX(IF(员工流水!$B:$B=$N93,员工流水!$A:$A))),员工流水!D:D,"空")</f>
        <v>0</v>
      </c>
      <c r="Q93" s="26" cm="1">
        <f t="array" ref="Q93">_xlfn.XLOOKUP(1,(员工流水!$B:$B=$N93)*(员工流水!$A:$A=MAX(IF(员工流水!$B:$B=$N93,员工流水!$A:$A))),员工流水!E:E,"")</f>
        <v>0</v>
      </c>
    </row>
    <row r="94" spans="14:17">
      <c r="N94" s="24">
        <v>0</v>
      </c>
      <c r="O94" s="24" cm="1">
        <f t="array" ref="O94">_xlfn.XLOOKUP(1,(员工流水!$B:$B=$N94)*(员工流水!$A:$A=MAX(IF(员工流水!$B:$B=$N94,员工流水!$A:$A))),员工流水!C:C,"")</f>
        <v>0</v>
      </c>
      <c r="P94" s="24" cm="1">
        <f t="array" ref="P94">_xlfn.XLOOKUP(1,(员工流水!$B:$B=$N94)*(员工流水!$A:$A=MAX(IF(员工流水!$B:$B=$N94,员工流水!$A:$A))),员工流水!D:D,"空")</f>
        <v>0</v>
      </c>
      <c r="Q94" s="26" cm="1">
        <f t="array" ref="Q94">_xlfn.XLOOKUP(1,(员工流水!$B:$B=$N94)*(员工流水!$A:$A=MAX(IF(员工流水!$B:$B=$N94,员工流水!$A:$A))),员工流水!E:E,"")</f>
        <v>0</v>
      </c>
    </row>
    <row r="95" spans="14:17">
      <c r="N95" s="24">
        <v>0</v>
      </c>
      <c r="O95" s="24" cm="1">
        <f t="array" ref="O95">_xlfn.XLOOKUP(1,(员工流水!$B:$B=$N95)*(员工流水!$A:$A=MAX(IF(员工流水!$B:$B=$N95,员工流水!$A:$A))),员工流水!C:C,"")</f>
        <v>0</v>
      </c>
      <c r="P95" s="24" cm="1">
        <f t="array" ref="P95">_xlfn.XLOOKUP(1,(员工流水!$B:$B=$N95)*(员工流水!$A:$A=MAX(IF(员工流水!$B:$B=$N95,员工流水!$A:$A))),员工流水!D:D,"空")</f>
        <v>0</v>
      </c>
      <c r="Q95" s="26" cm="1">
        <f t="array" ref="Q95">_xlfn.XLOOKUP(1,(员工流水!$B:$B=$N95)*(员工流水!$A:$A=MAX(IF(员工流水!$B:$B=$N95,员工流水!$A:$A))),员工流水!E:E,"")</f>
        <v>0</v>
      </c>
    </row>
    <row r="96" spans="14:17">
      <c r="N96" s="24">
        <v>0</v>
      </c>
      <c r="O96" s="24" cm="1">
        <f t="array" ref="O96">_xlfn.XLOOKUP(1,(员工流水!$B:$B=$N96)*(员工流水!$A:$A=MAX(IF(员工流水!$B:$B=$N96,员工流水!$A:$A))),员工流水!C:C,"")</f>
        <v>0</v>
      </c>
      <c r="P96" s="24" cm="1">
        <f t="array" ref="P96">_xlfn.XLOOKUP(1,(员工流水!$B:$B=$N96)*(员工流水!$A:$A=MAX(IF(员工流水!$B:$B=$N96,员工流水!$A:$A))),员工流水!D:D,"空")</f>
        <v>0</v>
      </c>
      <c r="Q96" s="26" cm="1">
        <f t="array" ref="Q96">_xlfn.XLOOKUP(1,(员工流水!$B:$B=$N96)*(员工流水!$A:$A=MAX(IF(员工流水!$B:$B=$N96,员工流水!$A:$A))),员工流水!E:E,"")</f>
        <v>0</v>
      </c>
    </row>
    <row r="97" spans="14:17">
      <c r="N97" s="24">
        <v>0</v>
      </c>
      <c r="O97" s="24" cm="1">
        <f t="array" ref="O97">_xlfn.XLOOKUP(1,(员工流水!$B:$B=$N97)*(员工流水!$A:$A=MAX(IF(员工流水!$B:$B=$N97,员工流水!$A:$A))),员工流水!C:C,"")</f>
        <v>0</v>
      </c>
      <c r="P97" s="24" cm="1">
        <f t="array" ref="P97">_xlfn.XLOOKUP(1,(员工流水!$B:$B=$N97)*(员工流水!$A:$A=MAX(IF(员工流水!$B:$B=$N97,员工流水!$A:$A))),员工流水!D:D,"空")</f>
        <v>0</v>
      </c>
      <c r="Q97" s="26" cm="1">
        <f t="array" ref="Q97">_xlfn.XLOOKUP(1,(员工流水!$B:$B=$N97)*(员工流水!$A:$A=MAX(IF(员工流水!$B:$B=$N97,员工流水!$A:$A))),员工流水!E:E,"")</f>
        <v>0</v>
      </c>
    </row>
    <row r="98" spans="14:17">
      <c r="N98" s="24">
        <v>0</v>
      </c>
      <c r="O98" s="24" cm="1">
        <f t="array" ref="O98">_xlfn.XLOOKUP(1,(员工流水!$B:$B=$N98)*(员工流水!$A:$A=MAX(IF(员工流水!$B:$B=$N98,员工流水!$A:$A))),员工流水!C:C,"")</f>
        <v>0</v>
      </c>
      <c r="P98" s="24" cm="1">
        <f t="array" ref="P98">_xlfn.XLOOKUP(1,(员工流水!$B:$B=$N98)*(员工流水!$A:$A=MAX(IF(员工流水!$B:$B=$N98,员工流水!$A:$A))),员工流水!D:D,"空")</f>
        <v>0</v>
      </c>
      <c r="Q98" s="26" cm="1">
        <f t="array" ref="Q98">_xlfn.XLOOKUP(1,(员工流水!$B:$B=$N98)*(员工流水!$A:$A=MAX(IF(员工流水!$B:$B=$N98,员工流水!$A:$A))),员工流水!E:E,"")</f>
        <v>0</v>
      </c>
    </row>
    <row r="99" spans="14:17">
      <c r="N99" s="24">
        <v>0</v>
      </c>
      <c r="O99" s="24" cm="1">
        <f t="array" ref="O99">_xlfn.XLOOKUP(1,(员工流水!$B:$B=$N99)*(员工流水!$A:$A=MAX(IF(员工流水!$B:$B=$N99,员工流水!$A:$A))),员工流水!C:C,"")</f>
        <v>0</v>
      </c>
      <c r="P99" s="24" cm="1">
        <f t="array" ref="P99">_xlfn.XLOOKUP(1,(员工流水!$B:$B=$N99)*(员工流水!$A:$A=MAX(IF(员工流水!$B:$B=$N99,员工流水!$A:$A))),员工流水!D:D,"空")</f>
        <v>0</v>
      </c>
      <c r="Q99" s="26" cm="1">
        <f t="array" ref="Q99">_xlfn.XLOOKUP(1,(员工流水!$B:$B=$N99)*(员工流水!$A:$A=MAX(IF(员工流水!$B:$B=$N99,员工流水!$A:$A))),员工流水!E:E,"")</f>
        <v>0</v>
      </c>
    </row>
    <row r="100" spans="14:17">
      <c r="N100" s="24">
        <v>0</v>
      </c>
      <c r="O100" s="24" cm="1">
        <f t="array" ref="O100">_xlfn.XLOOKUP(1,(员工流水!$B:$B=$N100)*(员工流水!$A:$A=MAX(IF(员工流水!$B:$B=$N100,员工流水!$A:$A))),员工流水!C:C,"")</f>
        <v>0</v>
      </c>
      <c r="P100" s="24" cm="1">
        <f t="array" ref="P100">_xlfn.XLOOKUP(1,(员工流水!$B:$B=$N100)*(员工流水!$A:$A=MAX(IF(员工流水!$B:$B=$N100,员工流水!$A:$A))),员工流水!D:D,"空")</f>
        <v>0</v>
      </c>
      <c r="Q100" s="26" cm="1">
        <f t="array" ref="Q100">_xlfn.XLOOKUP(1,(员工流水!$B:$B=$N100)*(员工流水!$A:$A=MAX(IF(员工流水!$B:$B=$N100,员工流水!$A:$A))),员工流水!E:E,"")</f>
        <v>0</v>
      </c>
    </row>
    <row r="101" spans="14:17">
      <c r="N101" s="24">
        <v>0</v>
      </c>
      <c r="O101" s="24" cm="1">
        <f t="array" ref="O101">_xlfn.XLOOKUP(1,(员工流水!$B:$B=$N101)*(员工流水!$A:$A=MAX(IF(员工流水!$B:$B=$N101,员工流水!$A:$A))),员工流水!C:C,"")</f>
        <v>0</v>
      </c>
      <c r="P101" s="24" cm="1">
        <f t="array" ref="P101">_xlfn.XLOOKUP(1,(员工流水!$B:$B=$N101)*(员工流水!$A:$A=MAX(IF(员工流水!$B:$B=$N101,员工流水!$A:$A))),员工流水!D:D,"空")</f>
        <v>0</v>
      </c>
      <c r="Q101" s="26" cm="1">
        <f t="array" ref="Q101">_xlfn.XLOOKUP(1,(员工流水!$B:$B=$N101)*(员工流水!$A:$A=MAX(IF(员工流水!$B:$B=$N101,员工流水!$A:$A))),员工流水!E:E,"")</f>
        <v>0</v>
      </c>
    </row>
    <row r="102" spans="14:17">
      <c r="N102" s="24">
        <v>0</v>
      </c>
      <c r="O102" s="24" cm="1">
        <f t="array" ref="O102">_xlfn.XLOOKUP(1,(员工流水!$B:$B=$N102)*(员工流水!$A:$A=MAX(IF(员工流水!$B:$B=$N102,员工流水!$A:$A))),员工流水!C:C,"")</f>
        <v>0</v>
      </c>
      <c r="P102" s="24" cm="1">
        <f t="array" ref="P102">_xlfn.XLOOKUP(1,(员工流水!$B:$B=$N102)*(员工流水!$A:$A=MAX(IF(员工流水!$B:$B=$N102,员工流水!$A:$A))),员工流水!D:D,"空")</f>
        <v>0</v>
      </c>
      <c r="Q102" s="26" cm="1">
        <f t="array" ref="Q102">_xlfn.XLOOKUP(1,(员工流水!$B:$B=$N102)*(员工流水!$A:$A=MAX(IF(员工流水!$B:$B=$N102,员工流水!$A:$A))),员工流水!E:E,"")</f>
        <v>0</v>
      </c>
    </row>
    <row r="103" spans="14:17">
      <c r="N103" s="24">
        <v>0</v>
      </c>
      <c r="O103" s="24" cm="1">
        <f t="array" ref="O103">_xlfn.XLOOKUP(1,(员工流水!$B:$B=$N103)*(员工流水!$A:$A=MAX(IF(员工流水!$B:$B=$N103,员工流水!$A:$A))),员工流水!C:C,"")</f>
        <v>0</v>
      </c>
      <c r="P103" s="24" cm="1">
        <f t="array" ref="P103">_xlfn.XLOOKUP(1,(员工流水!$B:$B=$N103)*(员工流水!$A:$A=MAX(IF(员工流水!$B:$B=$N103,员工流水!$A:$A))),员工流水!D:D,"空")</f>
        <v>0</v>
      </c>
      <c r="Q103" s="26" cm="1">
        <f t="array" ref="Q103">_xlfn.XLOOKUP(1,(员工流水!$B:$B=$N103)*(员工流水!$A:$A=MAX(IF(员工流水!$B:$B=$N103,员工流水!$A:$A))),员工流水!E:E,"")</f>
        <v>0</v>
      </c>
    </row>
    <row r="104" spans="14:17">
      <c r="N104" s="24">
        <v>0</v>
      </c>
      <c r="O104" s="24" cm="1">
        <f t="array" ref="O104">_xlfn.XLOOKUP(1,(员工流水!$B:$B=$N104)*(员工流水!$A:$A=MAX(IF(员工流水!$B:$B=$N104,员工流水!$A:$A))),员工流水!C:C,"")</f>
        <v>0</v>
      </c>
      <c r="P104" s="24" cm="1">
        <f t="array" ref="P104">_xlfn.XLOOKUP(1,(员工流水!$B:$B=$N104)*(员工流水!$A:$A=MAX(IF(员工流水!$B:$B=$N104,员工流水!$A:$A))),员工流水!D:D,"空")</f>
        <v>0</v>
      </c>
      <c r="Q104" s="26" cm="1">
        <f t="array" ref="Q104">_xlfn.XLOOKUP(1,(员工流水!$B:$B=$N104)*(员工流水!$A:$A=MAX(IF(员工流水!$B:$B=$N104,员工流水!$A:$A))),员工流水!E:E,"")</f>
        <v>0</v>
      </c>
    </row>
    <row r="105" spans="14:17">
      <c r="N105" s="24">
        <v>0</v>
      </c>
      <c r="O105" s="24" cm="1">
        <f t="array" ref="O105">_xlfn.XLOOKUP(1,(员工流水!$B:$B=$N105)*(员工流水!$A:$A=MAX(IF(员工流水!$B:$B=$N105,员工流水!$A:$A))),员工流水!C:C,"")</f>
        <v>0</v>
      </c>
      <c r="P105" s="24" cm="1">
        <f t="array" ref="P105">_xlfn.XLOOKUP(1,(员工流水!$B:$B=$N105)*(员工流水!$A:$A=MAX(IF(员工流水!$B:$B=$N105,员工流水!$A:$A))),员工流水!D:D,"空")</f>
        <v>0</v>
      </c>
      <c r="Q105" s="26" cm="1">
        <f t="array" ref="Q105">_xlfn.XLOOKUP(1,(员工流水!$B:$B=$N105)*(员工流水!$A:$A=MAX(IF(员工流水!$B:$B=$N105,员工流水!$A:$A))),员工流水!E:E,"")</f>
        <v>0</v>
      </c>
    </row>
    <row r="106" spans="14:17">
      <c r="N106" s="24">
        <v>0</v>
      </c>
      <c r="O106" s="24" cm="1">
        <f t="array" ref="O106">_xlfn.XLOOKUP(1,(员工流水!$B:$B=$N106)*(员工流水!$A:$A=MAX(IF(员工流水!$B:$B=$N106,员工流水!$A:$A))),员工流水!C:C,"")</f>
        <v>0</v>
      </c>
      <c r="P106" s="24" cm="1">
        <f t="array" ref="P106">_xlfn.XLOOKUP(1,(员工流水!$B:$B=$N106)*(员工流水!$A:$A=MAX(IF(员工流水!$B:$B=$N106,员工流水!$A:$A))),员工流水!D:D,"空")</f>
        <v>0</v>
      </c>
      <c r="Q106" s="26" cm="1">
        <f t="array" ref="Q106">_xlfn.XLOOKUP(1,(员工流水!$B:$B=$N106)*(员工流水!$A:$A=MAX(IF(员工流水!$B:$B=$N106,员工流水!$A:$A))),员工流水!E:E,"")</f>
        <v>0</v>
      </c>
    </row>
    <row r="107" spans="14:17">
      <c r="N107" s="24">
        <v>0</v>
      </c>
      <c r="O107" s="24" cm="1">
        <f t="array" ref="O107">_xlfn.XLOOKUP(1,(员工流水!$B:$B=$N107)*(员工流水!$A:$A=MAX(IF(员工流水!$B:$B=$N107,员工流水!$A:$A))),员工流水!C:C,"")</f>
        <v>0</v>
      </c>
      <c r="P107" s="24" cm="1">
        <f t="array" ref="P107">_xlfn.XLOOKUP(1,(员工流水!$B:$B=$N107)*(员工流水!$A:$A=MAX(IF(员工流水!$B:$B=$N107,员工流水!$A:$A))),员工流水!D:D,"空")</f>
        <v>0</v>
      </c>
      <c r="Q107" s="26" cm="1">
        <f t="array" ref="Q107">_xlfn.XLOOKUP(1,(员工流水!$B:$B=$N107)*(员工流水!$A:$A=MAX(IF(员工流水!$B:$B=$N107,员工流水!$A:$A))),员工流水!E:E,"")</f>
        <v>0</v>
      </c>
    </row>
    <row r="108" spans="14:17">
      <c r="N108" s="24">
        <v>0</v>
      </c>
      <c r="O108" s="24" cm="1">
        <f t="array" ref="O108">_xlfn.XLOOKUP(1,(员工流水!$B:$B=$N108)*(员工流水!$A:$A=MAX(IF(员工流水!$B:$B=$N108,员工流水!$A:$A))),员工流水!C:C,"")</f>
        <v>0</v>
      </c>
      <c r="P108" s="24" cm="1">
        <f t="array" ref="P108">_xlfn.XLOOKUP(1,(员工流水!$B:$B=$N108)*(员工流水!$A:$A=MAX(IF(员工流水!$B:$B=$N108,员工流水!$A:$A))),员工流水!D:D,"空")</f>
        <v>0</v>
      </c>
      <c r="Q108" s="26" cm="1">
        <f t="array" ref="Q108">_xlfn.XLOOKUP(1,(员工流水!$B:$B=$N108)*(员工流水!$A:$A=MAX(IF(员工流水!$B:$B=$N108,员工流水!$A:$A))),员工流水!E:E,"")</f>
        <v>0</v>
      </c>
    </row>
    <row r="109" spans="14:17">
      <c r="N109" s="24">
        <v>0</v>
      </c>
      <c r="O109" s="24" cm="1">
        <f t="array" ref="O109">_xlfn.XLOOKUP(1,(员工流水!$B:$B=$N109)*(员工流水!$A:$A=MAX(IF(员工流水!$B:$B=$N109,员工流水!$A:$A))),员工流水!C:C,"")</f>
        <v>0</v>
      </c>
      <c r="P109" s="24" cm="1">
        <f t="array" ref="P109">_xlfn.XLOOKUP(1,(员工流水!$B:$B=$N109)*(员工流水!$A:$A=MAX(IF(员工流水!$B:$B=$N109,员工流水!$A:$A))),员工流水!D:D,"空")</f>
        <v>0</v>
      </c>
      <c r="Q109" s="26" cm="1">
        <f t="array" ref="Q109">_xlfn.XLOOKUP(1,(员工流水!$B:$B=$N109)*(员工流水!$A:$A=MAX(IF(员工流水!$B:$B=$N109,员工流水!$A:$A))),员工流水!E:E,"")</f>
        <v>0</v>
      </c>
    </row>
    <row r="110" spans="14:17">
      <c r="N110" s="24">
        <v>0</v>
      </c>
      <c r="O110" s="24" cm="1">
        <f t="array" ref="O110">_xlfn.XLOOKUP(1,(员工流水!$B:$B=$N110)*(员工流水!$A:$A=MAX(IF(员工流水!$B:$B=$N110,员工流水!$A:$A))),员工流水!C:C,"")</f>
        <v>0</v>
      </c>
      <c r="P110" s="24" cm="1">
        <f t="array" ref="P110">_xlfn.XLOOKUP(1,(员工流水!$B:$B=$N110)*(员工流水!$A:$A=MAX(IF(员工流水!$B:$B=$N110,员工流水!$A:$A))),员工流水!D:D,"空")</f>
        <v>0</v>
      </c>
      <c r="Q110" s="26" cm="1">
        <f t="array" ref="Q110">_xlfn.XLOOKUP(1,(员工流水!$B:$B=$N110)*(员工流水!$A:$A=MAX(IF(员工流水!$B:$B=$N110,员工流水!$A:$A))),员工流水!E:E,"")</f>
        <v>0</v>
      </c>
    </row>
    <row r="111" spans="14:17">
      <c r="N111" s="24">
        <v>0</v>
      </c>
      <c r="O111" s="24" cm="1">
        <f t="array" ref="O111">_xlfn.XLOOKUP(1,(员工流水!$B:$B=$N111)*(员工流水!$A:$A=MAX(IF(员工流水!$B:$B=$N111,员工流水!$A:$A))),员工流水!C:C,"")</f>
        <v>0</v>
      </c>
      <c r="P111" s="24" cm="1">
        <f t="array" ref="P111">_xlfn.XLOOKUP(1,(员工流水!$B:$B=$N111)*(员工流水!$A:$A=MAX(IF(员工流水!$B:$B=$N111,员工流水!$A:$A))),员工流水!D:D,"空")</f>
        <v>0</v>
      </c>
      <c r="Q111" s="26" cm="1">
        <f t="array" ref="Q111">_xlfn.XLOOKUP(1,(员工流水!$B:$B=$N111)*(员工流水!$A:$A=MAX(IF(员工流水!$B:$B=$N111,员工流水!$A:$A))),员工流水!E:E,"")</f>
        <v>0</v>
      </c>
    </row>
    <row r="112" spans="14:17">
      <c r="N112" s="24">
        <v>0</v>
      </c>
      <c r="O112" s="24" cm="1">
        <f t="array" ref="O112">_xlfn.XLOOKUP(1,(员工流水!$B:$B=$N112)*(员工流水!$A:$A=MAX(IF(员工流水!$B:$B=$N112,员工流水!$A:$A))),员工流水!C:C,"")</f>
        <v>0</v>
      </c>
      <c r="P112" s="24" cm="1">
        <f t="array" ref="P112">_xlfn.XLOOKUP(1,(员工流水!$B:$B=$N112)*(员工流水!$A:$A=MAX(IF(员工流水!$B:$B=$N112,员工流水!$A:$A))),员工流水!D:D,"空")</f>
        <v>0</v>
      </c>
      <c r="Q112" s="26" cm="1">
        <f t="array" ref="Q112">_xlfn.XLOOKUP(1,(员工流水!$B:$B=$N112)*(员工流水!$A:$A=MAX(IF(员工流水!$B:$B=$N112,员工流水!$A:$A))),员工流水!E:E,"")</f>
        <v>0</v>
      </c>
    </row>
    <row r="113" spans="14:17">
      <c r="N113" s="24">
        <v>0</v>
      </c>
      <c r="O113" s="24" cm="1">
        <f t="array" ref="O113">_xlfn.XLOOKUP(1,(员工流水!$B:$B=$N113)*(员工流水!$A:$A=MAX(IF(员工流水!$B:$B=$N113,员工流水!$A:$A))),员工流水!C:C,"")</f>
        <v>0</v>
      </c>
      <c r="P113" s="24" cm="1">
        <f t="array" ref="P113">_xlfn.XLOOKUP(1,(员工流水!$B:$B=$N113)*(员工流水!$A:$A=MAX(IF(员工流水!$B:$B=$N113,员工流水!$A:$A))),员工流水!D:D,"空")</f>
        <v>0</v>
      </c>
      <c r="Q113" s="26" cm="1">
        <f t="array" ref="Q113">_xlfn.XLOOKUP(1,(员工流水!$B:$B=$N113)*(员工流水!$A:$A=MAX(IF(员工流水!$B:$B=$N113,员工流水!$A:$A))),员工流水!E:E,"")</f>
        <v>0</v>
      </c>
    </row>
    <row r="114" spans="14:17">
      <c r="N114" s="24">
        <v>0</v>
      </c>
      <c r="O114" s="24" cm="1">
        <f t="array" ref="O114">_xlfn.XLOOKUP(1,(员工流水!$B:$B=$N114)*(员工流水!$A:$A=MAX(IF(员工流水!$B:$B=$N114,员工流水!$A:$A))),员工流水!C:C,"")</f>
        <v>0</v>
      </c>
      <c r="P114" s="24" cm="1">
        <f t="array" ref="P114">_xlfn.XLOOKUP(1,(员工流水!$B:$B=$N114)*(员工流水!$A:$A=MAX(IF(员工流水!$B:$B=$N114,员工流水!$A:$A))),员工流水!D:D,"空")</f>
        <v>0</v>
      </c>
      <c r="Q114" s="26" cm="1">
        <f t="array" ref="Q114">_xlfn.XLOOKUP(1,(员工流水!$B:$B=$N114)*(员工流水!$A:$A=MAX(IF(员工流水!$B:$B=$N114,员工流水!$A:$A))),员工流水!E:E,"")</f>
        <v>0</v>
      </c>
    </row>
    <row r="115" spans="14:17">
      <c r="N115" s="24">
        <v>0</v>
      </c>
      <c r="O115" s="24" cm="1">
        <f t="array" ref="O115">_xlfn.XLOOKUP(1,(员工流水!$B:$B=$N115)*(员工流水!$A:$A=MAX(IF(员工流水!$B:$B=$N115,员工流水!$A:$A))),员工流水!C:C,"")</f>
        <v>0</v>
      </c>
      <c r="P115" s="24" cm="1">
        <f t="array" ref="P115">_xlfn.XLOOKUP(1,(员工流水!$B:$B=$N115)*(员工流水!$A:$A=MAX(IF(员工流水!$B:$B=$N115,员工流水!$A:$A))),员工流水!D:D,"空")</f>
        <v>0</v>
      </c>
      <c r="Q115" s="26" cm="1">
        <f t="array" ref="Q115">_xlfn.XLOOKUP(1,(员工流水!$B:$B=$N115)*(员工流水!$A:$A=MAX(IF(员工流水!$B:$B=$N115,员工流水!$A:$A))),员工流水!E:E,"")</f>
        <v>0</v>
      </c>
    </row>
    <row r="116" spans="14:17">
      <c r="N116" s="24">
        <v>0</v>
      </c>
      <c r="O116" s="24" cm="1">
        <f t="array" ref="O116">_xlfn.XLOOKUP(1,(员工流水!$B:$B=$N116)*(员工流水!$A:$A=MAX(IF(员工流水!$B:$B=$N116,员工流水!$A:$A))),员工流水!C:C,"")</f>
        <v>0</v>
      </c>
      <c r="P116" s="24" cm="1">
        <f t="array" ref="P116">_xlfn.XLOOKUP(1,(员工流水!$B:$B=$N116)*(员工流水!$A:$A=MAX(IF(员工流水!$B:$B=$N116,员工流水!$A:$A))),员工流水!D:D,"空")</f>
        <v>0</v>
      </c>
      <c r="Q116" s="26" cm="1">
        <f t="array" ref="Q116">_xlfn.XLOOKUP(1,(员工流水!$B:$B=$N116)*(员工流水!$A:$A=MAX(IF(员工流水!$B:$B=$N116,员工流水!$A:$A))),员工流水!E:E,"")</f>
        <v>0</v>
      </c>
    </row>
    <row r="117" spans="14:17">
      <c r="N117" s="24">
        <v>0</v>
      </c>
      <c r="O117" s="24" cm="1">
        <f t="array" ref="O117">_xlfn.XLOOKUP(1,(员工流水!$B:$B=$N117)*(员工流水!$A:$A=MAX(IF(员工流水!$B:$B=$N117,员工流水!$A:$A))),员工流水!C:C,"")</f>
        <v>0</v>
      </c>
      <c r="P117" s="24" cm="1">
        <f t="array" ref="P117">_xlfn.XLOOKUP(1,(员工流水!$B:$B=$N117)*(员工流水!$A:$A=MAX(IF(员工流水!$B:$B=$N117,员工流水!$A:$A))),员工流水!D:D,"空")</f>
        <v>0</v>
      </c>
      <c r="Q117" s="26" cm="1">
        <f t="array" ref="Q117">_xlfn.XLOOKUP(1,(员工流水!$B:$B=$N117)*(员工流水!$A:$A=MAX(IF(员工流水!$B:$B=$N117,员工流水!$A:$A))),员工流水!E:E,"")</f>
        <v>0</v>
      </c>
    </row>
    <row r="118" spans="14:17">
      <c r="N118" s="24">
        <v>0</v>
      </c>
      <c r="O118" s="24" cm="1">
        <f t="array" ref="O118">_xlfn.XLOOKUP(1,(员工流水!$B:$B=$N118)*(员工流水!$A:$A=MAX(IF(员工流水!$B:$B=$N118,员工流水!$A:$A))),员工流水!C:C,"")</f>
        <v>0</v>
      </c>
      <c r="P118" s="24" cm="1">
        <f t="array" ref="P118">_xlfn.XLOOKUP(1,(员工流水!$B:$B=$N118)*(员工流水!$A:$A=MAX(IF(员工流水!$B:$B=$N118,员工流水!$A:$A))),员工流水!D:D,"空")</f>
        <v>0</v>
      </c>
      <c r="Q118" s="26" cm="1">
        <f t="array" ref="Q118">_xlfn.XLOOKUP(1,(员工流水!$B:$B=$N118)*(员工流水!$A:$A=MAX(IF(员工流水!$B:$B=$N118,员工流水!$A:$A))),员工流水!E:E,"")</f>
        <v>0</v>
      </c>
    </row>
    <row r="119" spans="14:17">
      <c r="N119" s="24">
        <v>0</v>
      </c>
      <c r="O119" s="24" cm="1">
        <f t="array" ref="O119">_xlfn.XLOOKUP(1,(员工流水!$B:$B=$N119)*(员工流水!$A:$A=MAX(IF(员工流水!$B:$B=$N119,员工流水!$A:$A))),员工流水!C:C,"")</f>
        <v>0</v>
      </c>
      <c r="P119" s="24" cm="1">
        <f t="array" ref="P119">_xlfn.XLOOKUP(1,(员工流水!$B:$B=$N119)*(员工流水!$A:$A=MAX(IF(员工流水!$B:$B=$N119,员工流水!$A:$A))),员工流水!D:D,"空")</f>
        <v>0</v>
      </c>
      <c r="Q119" s="26" cm="1">
        <f t="array" ref="Q119">_xlfn.XLOOKUP(1,(员工流水!$B:$B=$N119)*(员工流水!$A:$A=MAX(IF(员工流水!$B:$B=$N119,员工流水!$A:$A))),员工流水!E:E,"")</f>
        <v>0</v>
      </c>
    </row>
    <row r="120" spans="14:17">
      <c r="N120" s="24">
        <v>0</v>
      </c>
      <c r="O120" s="24" cm="1">
        <f t="array" ref="O120">_xlfn.XLOOKUP(1,(员工流水!$B:$B=$N120)*(员工流水!$A:$A=MAX(IF(员工流水!$B:$B=$N120,员工流水!$A:$A))),员工流水!C:C,"")</f>
        <v>0</v>
      </c>
      <c r="P120" s="24" cm="1">
        <f t="array" ref="P120">_xlfn.XLOOKUP(1,(员工流水!$B:$B=$N120)*(员工流水!$A:$A=MAX(IF(员工流水!$B:$B=$N120,员工流水!$A:$A))),员工流水!D:D,"空")</f>
        <v>0</v>
      </c>
      <c r="Q120" s="26" cm="1">
        <f t="array" ref="Q120">_xlfn.XLOOKUP(1,(员工流水!$B:$B=$N120)*(员工流水!$A:$A=MAX(IF(员工流水!$B:$B=$N120,员工流水!$A:$A))),员工流水!E:E,"")</f>
        <v>0</v>
      </c>
    </row>
    <row r="121" spans="14:17">
      <c r="N121" s="24">
        <v>0</v>
      </c>
      <c r="O121" s="24" cm="1">
        <f t="array" ref="O121">_xlfn.XLOOKUP(1,(员工流水!$B:$B=$N121)*(员工流水!$A:$A=MAX(IF(员工流水!$B:$B=$N121,员工流水!$A:$A))),员工流水!C:C,"")</f>
        <v>0</v>
      </c>
      <c r="P121" s="24" cm="1">
        <f t="array" ref="P121">_xlfn.XLOOKUP(1,(员工流水!$B:$B=$N121)*(员工流水!$A:$A=MAX(IF(员工流水!$B:$B=$N121,员工流水!$A:$A))),员工流水!D:D,"空")</f>
        <v>0</v>
      </c>
      <c r="Q121" s="26" cm="1">
        <f t="array" ref="Q121">_xlfn.XLOOKUP(1,(员工流水!$B:$B=$N121)*(员工流水!$A:$A=MAX(IF(员工流水!$B:$B=$N121,员工流水!$A:$A))),员工流水!E:E,"")</f>
        <v>0</v>
      </c>
    </row>
    <row r="122" spans="14:17">
      <c r="N122" s="24">
        <v>0</v>
      </c>
      <c r="O122" s="24" cm="1">
        <f t="array" ref="O122">_xlfn.XLOOKUP(1,(员工流水!$B:$B=$N122)*(员工流水!$A:$A=MAX(IF(员工流水!$B:$B=$N122,员工流水!$A:$A))),员工流水!C:C,"")</f>
        <v>0</v>
      </c>
      <c r="P122" s="24" cm="1">
        <f t="array" ref="P122">_xlfn.XLOOKUP(1,(员工流水!$B:$B=$N122)*(员工流水!$A:$A=MAX(IF(员工流水!$B:$B=$N122,员工流水!$A:$A))),员工流水!D:D,"空")</f>
        <v>0</v>
      </c>
      <c r="Q122" s="26" cm="1">
        <f t="array" ref="Q122">_xlfn.XLOOKUP(1,(员工流水!$B:$B=$N122)*(员工流水!$A:$A=MAX(IF(员工流水!$B:$B=$N122,员工流水!$A:$A))),员工流水!E:E,"")</f>
        <v>0</v>
      </c>
    </row>
    <row r="123" spans="14:17">
      <c r="N123" s="24">
        <v>0</v>
      </c>
      <c r="O123" s="24" cm="1">
        <f t="array" ref="O123">_xlfn.XLOOKUP(1,(员工流水!$B:$B=$N123)*(员工流水!$A:$A=MAX(IF(员工流水!$B:$B=$N123,员工流水!$A:$A))),员工流水!C:C,"")</f>
        <v>0</v>
      </c>
      <c r="P123" s="24" cm="1">
        <f t="array" ref="P123">_xlfn.XLOOKUP(1,(员工流水!$B:$B=$N123)*(员工流水!$A:$A=MAX(IF(员工流水!$B:$B=$N123,员工流水!$A:$A))),员工流水!D:D,"空")</f>
        <v>0</v>
      </c>
      <c r="Q123" s="26" cm="1">
        <f t="array" ref="Q123">_xlfn.XLOOKUP(1,(员工流水!$B:$B=$N123)*(员工流水!$A:$A=MAX(IF(员工流水!$B:$B=$N123,员工流水!$A:$A))),员工流水!E:E,"")</f>
        <v>0</v>
      </c>
    </row>
    <row r="124" spans="14:17">
      <c r="N124" s="24">
        <v>0</v>
      </c>
      <c r="O124" s="24" cm="1">
        <f t="array" ref="O124">_xlfn.XLOOKUP(1,(员工流水!$B:$B=$N124)*(员工流水!$A:$A=MAX(IF(员工流水!$B:$B=$N124,员工流水!$A:$A))),员工流水!C:C,"")</f>
        <v>0</v>
      </c>
      <c r="P124" s="24" cm="1">
        <f t="array" ref="P124">_xlfn.XLOOKUP(1,(员工流水!$B:$B=$N124)*(员工流水!$A:$A=MAX(IF(员工流水!$B:$B=$N124,员工流水!$A:$A))),员工流水!D:D,"空")</f>
        <v>0</v>
      </c>
      <c r="Q124" s="26" cm="1">
        <f t="array" ref="Q124">_xlfn.XLOOKUP(1,(员工流水!$B:$B=$N124)*(员工流水!$A:$A=MAX(IF(员工流水!$B:$B=$N124,员工流水!$A:$A))),员工流水!E:E,"")</f>
        <v>0</v>
      </c>
    </row>
    <row r="125" spans="14:17">
      <c r="N125" s="24">
        <v>0</v>
      </c>
      <c r="O125" s="24" cm="1">
        <f t="array" ref="O125">_xlfn.XLOOKUP(1,(员工流水!$B:$B=$N125)*(员工流水!$A:$A=MAX(IF(员工流水!$B:$B=$N125,员工流水!$A:$A))),员工流水!C:C,"")</f>
        <v>0</v>
      </c>
      <c r="P125" s="24" cm="1">
        <f t="array" ref="P125">_xlfn.XLOOKUP(1,(员工流水!$B:$B=$N125)*(员工流水!$A:$A=MAX(IF(员工流水!$B:$B=$N125,员工流水!$A:$A))),员工流水!D:D,"空")</f>
        <v>0</v>
      </c>
      <c r="Q125" s="26" cm="1">
        <f t="array" ref="Q125">_xlfn.XLOOKUP(1,(员工流水!$B:$B=$N125)*(员工流水!$A:$A=MAX(IF(员工流水!$B:$B=$N125,员工流水!$A:$A))),员工流水!E:E,"")</f>
        <v>0</v>
      </c>
    </row>
    <row r="126" spans="14:17">
      <c r="N126" s="24">
        <v>0</v>
      </c>
      <c r="O126" s="24" cm="1">
        <f t="array" ref="O126">_xlfn.XLOOKUP(1,(员工流水!$B:$B=$N126)*(员工流水!$A:$A=MAX(IF(员工流水!$B:$B=$N126,员工流水!$A:$A))),员工流水!C:C,"")</f>
        <v>0</v>
      </c>
      <c r="P126" s="24" cm="1">
        <f t="array" ref="P126">_xlfn.XLOOKUP(1,(员工流水!$B:$B=$N126)*(员工流水!$A:$A=MAX(IF(员工流水!$B:$B=$N126,员工流水!$A:$A))),员工流水!D:D,"空")</f>
        <v>0</v>
      </c>
      <c r="Q126" s="26" cm="1">
        <f t="array" ref="Q126">_xlfn.XLOOKUP(1,(员工流水!$B:$B=$N126)*(员工流水!$A:$A=MAX(IF(员工流水!$B:$B=$N126,员工流水!$A:$A))),员工流水!E:E,"")</f>
        <v>0</v>
      </c>
    </row>
    <row r="127" spans="14:17">
      <c r="N127" s="24">
        <v>0</v>
      </c>
      <c r="O127" s="24" cm="1">
        <f t="array" ref="O127">_xlfn.XLOOKUP(1,(员工流水!$B:$B=$N127)*(员工流水!$A:$A=MAX(IF(员工流水!$B:$B=$N127,员工流水!$A:$A))),员工流水!C:C,"")</f>
        <v>0</v>
      </c>
      <c r="P127" s="24" cm="1">
        <f t="array" ref="P127">_xlfn.XLOOKUP(1,(员工流水!$B:$B=$N127)*(员工流水!$A:$A=MAX(IF(员工流水!$B:$B=$N127,员工流水!$A:$A))),员工流水!D:D,"空")</f>
        <v>0</v>
      </c>
      <c r="Q127" s="26" cm="1">
        <f t="array" ref="Q127">_xlfn.XLOOKUP(1,(员工流水!$B:$B=$N127)*(员工流水!$A:$A=MAX(IF(员工流水!$B:$B=$N127,员工流水!$A:$A))),员工流水!E:E,"")</f>
        <v>0</v>
      </c>
    </row>
    <row r="128" spans="14:17">
      <c r="N128" s="24">
        <v>0</v>
      </c>
      <c r="O128" s="24" cm="1">
        <f t="array" ref="O128">_xlfn.XLOOKUP(1,(员工流水!$B:$B=$N128)*(员工流水!$A:$A=MAX(IF(员工流水!$B:$B=$N128,员工流水!$A:$A))),员工流水!C:C,"")</f>
        <v>0</v>
      </c>
      <c r="P128" s="24" cm="1">
        <f t="array" ref="P128">_xlfn.XLOOKUP(1,(员工流水!$B:$B=$N128)*(员工流水!$A:$A=MAX(IF(员工流水!$B:$B=$N128,员工流水!$A:$A))),员工流水!D:D,"空")</f>
        <v>0</v>
      </c>
      <c r="Q128" s="26" cm="1">
        <f t="array" ref="Q128">_xlfn.XLOOKUP(1,(员工流水!$B:$B=$N128)*(员工流水!$A:$A=MAX(IF(员工流水!$B:$B=$N128,员工流水!$A:$A))),员工流水!E:E,"")</f>
        <v>0</v>
      </c>
    </row>
    <row r="129" spans="14:17">
      <c r="N129" s="24">
        <v>0</v>
      </c>
      <c r="O129" s="24" cm="1">
        <f t="array" ref="O129">_xlfn.XLOOKUP(1,(员工流水!$B:$B=$N129)*(员工流水!$A:$A=MAX(IF(员工流水!$B:$B=$N129,员工流水!$A:$A))),员工流水!C:C,"")</f>
        <v>0</v>
      </c>
      <c r="P129" s="24" cm="1">
        <f t="array" ref="P129">_xlfn.XLOOKUP(1,(员工流水!$B:$B=$N129)*(员工流水!$A:$A=MAX(IF(员工流水!$B:$B=$N129,员工流水!$A:$A))),员工流水!D:D,"空")</f>
        <v>0</v>
      </c>
      <c r="Q129" s="26" cm="1">
        <f t="array" ref="Q129">_xlfn.XLOOKUP(1,(员工流水!$B:$B=$N129)*(员工流水!$A:$A=MAX(IF(员工流水!$B:$B=$N129,员工流水!$A:$A))),员工流水!E:E,"")</f>
        <v>0</v>
      </c>
    </row>
    <row r="130" spans="14:17">
      <c r="N130" s="24">
        <v>0</v>
      </c>
      <c r="O130" s="24" cm="1">
        <f t="array" ref="O130">_xlfn.XLOOKUP(1,(员工流水!$B:$B=$N130)*(员工流水!$A:$A=MAX(IF(员工流水!$B:$B=$N130,员工流水!$A:$A))),员工流水!C:C,"")</f>
        <v>0</v>
      </c>
      <c r="P130" s="24" cm="1">
        <f t="array" ref="P130">_xlfn.XLOOKUP(1,(员工流水!$B:$B=$N130)*(员工流水!$A:$A=MAX(IF(员工流水!$B:$B=$N130,员工流水!$A:$A))),员工流水!D:D,"空")</f>
        <v>0</v>
      </c>
      <c r="Q130" s="26" cm="1">
        <f t="array" ref="Q130">_xlfn.XLOOKUP(1,(员工流水!$B:$B=$N130)*(员工流水!$A:$A=MAX(IF(员工流水!$B:$B=$N130,员工流水!$A:$A))),员工流水!E:E,"")</f>
        <v>0</v>
      </c>
    </row>
    <row r="131" spans="14:17">
      <c r="N131" s="24">
        <v>0</v>
      </c>
      <c r="O131" s="24" cm="1">
        <f t="array" ref="O131">_xlfn.XLOOKUP(1,(员工流水!$B:$B=$N131)*(员工流水!$A:$A=MAX(IF(员工流水!$B:$B=$N131,员工流水!$A:$A))),员工流水!C:C,"")</f>
        <v>0</v>
      </c>
      <c r="P131" s="24" cm="1">
        <f t="array" ref="P131">_xlfn.XLOOKUP(1,(员工流水!$B:$B=$N131)*(员工流水!$A:$A=MAX(IF(员工流水!$B:$B=$N131,员工流水!$A:$A))),员工流水!D:D,"空")</f>
        <v>0</v>
      </c>
      <c r="Q131" s="26" cm="1">
        <f t="array" ref="Q131">_xlfn.XLOOKUP(1,(员工流水!$B:$B=$N131)*(员工流水!$A:$A=MAX(IF(员工流水!$B:$B=$N131,员工流水!$A:$A))),员工流水!E:E,"")</f>
        <v>0</v>
      </c>
    </row>
    <row r="132" spans="14:17">
      <c r="N132" s="24">
        <v>0</v>
      </c>
      <c r="O132" s="24" cm="1">
        <f t="array" ref="O132">_xlfn.XLOOKUP(1,(员工流水!$B:$B=$N132)*(员工流水!$A:$A=MAX(IF(员工流水!$B:$B=$N132,员工流水!$A:$A))),员工流水!C:C,"")</f>
        <v>0</v>
      </c>
      <c r="P132" s="24" cm="1">
        <f t="array" ref="P132">_xlfn.XLOOKUP(1,(员工流水!$B:$B=$N132)*(员工流水!$A:$A=MAX(IF(员工流水!$B:$B=$N132,员工流水!$A:$A))),员工流水!D:D,"空")</f>
        <v>0</v>
      </c>
      <c r="Q132" s="26" cm="1">
        <f t="array" ref="Q132">_xlfn.XLOOKUP(1,(员工流水!$B:$B=$N132)*(员工流水!$A:$A=MAX(IF(员工流水!$B:$B=$N132,员工流水!$A:$A))),员工流水!E:E,"")</f>
        <v>0</v>
      </c>
    </row>
    <row r="133" spans="14:17">
      <c r="N133" s="24">
        <v>0</v>
      </c>
      <c r="O133" s="24" cm="1">
        <f t="array" ref="O133">_xlfn.XLOOKUP(1,(员工流水!$B:$B=$N133)*(员工流水!$A:$A=MAX(IF(员工流水!$B:$B=$N133,员工流水!$A:$A))),员工流水!C:C,"")</f>
        <v>0</v>
      </c>
      <c r="P133" s="24" cm="1">
        <f t="array" ref="P133">_xlfn.XLOOKUP(1,(员工流水!$B:$B=$N133)*(员工流水!$A:$A=MAX(IF(员工流水!$B:$B=$N133,员工流水!$A:$A))),员工流水!D:D,"空")</f>
        <v>0</v>
      </c>
      <c r="Q133" s="26" cm="1">
        <f t="array" ref="Q133">_xlfn.XLOOKUP(1,(员工流水!$B:$B=$N133)*(员工流水!$A:$A=MAX(IF(员工流水!$B:$B=$N133,员工流水!$A:$A))),员工流水!E:E,"")</f>
        <v>0</v>
      </c>
    </row>
    <row r="134" spans="14:17">
      <c r="N134" s="24">
        <v>0</v>
      </c>
      <c r="O134" s="24" cm="1">
        <f t="array" ref="O134">_xlfn.XLOOKUP(1,(员工流水!$B:$B=$N134)*(员工流水!$A:$A=MAX(IF(员工流水!$B:$B=$N134,员工流水!$A:$A))),员工流水!C:C,"")</f>
        <v>0</v>
      </c>
      <c r="P134" s="24" cm="1">
        <f t="array" ref="P134">_xlfn.XLOOKUP(1,(员工流水!$B:$B=$N134)*(员工流水!$A:$A=MAX(IF(员工流水!$B:$B=$N134,员工流水!$A:$A))),员工流水!D:D,"空")</f>
        <v>0</v>
      </c>
      <c r="Q134" s="26" cm="1">
        <f t="array" ref="Q134">_xlfn.XLOOKUP(1,(员工流水!$B:$B=$N134)*(员工流水!$A:$A=MAX(IF(员工流水!$B:$B=$N134,员工流水!$A:$A))),员工流水!E:E,"")</f>
        <v>0</v>
      </c>
    </row>
    <row r="135" spans="14:17">
      <c r="N135" s="24">
        <v>0</v>
      </c>
      <c r="O135" s="24" cm="1">
        <f t="array" ref="O135">_xlfn.XLOOKUP(1,(员工流水!$B:$B=$N135)*(员工流水!$A:$A=MAX(IF(员工流水!$B:$B=$N135,员工流水!$A:$A))),员工流水!C:C,"")</f>
        <v>0</v>
      </c>
      <c r="P135" s="24" cm="1">
        <f t="array" ref="P135">_xlfn.XLOOKUP(1,(员工流水!$B:$B=$N135)*(员工流水!$A:$A=MAX(IF(员工流水!$B:$B=$N135,员工流水!$A:$A))),员工流水!D:D,"空")</f>
        <v>0</v>
      </c>
      <c r="Q135" s="26" cm="1">
        <f t="array" ref="Q135">_xlfn.XLOOKUP(1,(员工流水!$B:$B=$N135)*(员工流水!$A:$A=MAX(IF(员工流水!$B:$B=$N135,员工流水!$A:$A))),员工流水!E:E,"")</f>
        <v>0</v>
      </c>
    </row>
    <row r="136" spans="14:17">
      <c r="N136" s="24">
        <v>0</v>
      </c>
      <c r="O136" s="24" cm="1">
        <f t="array" ref="O136">_xlfn.XLOOKUP(1,(员工流水!$B:$B=$N136)*(员工流水!$A:$A=MAX(IF(员工流水!$B:$B=$N136,员工流水!$A:$A))),员工流水!C:C,"")</f>
        <v>0</v>
      </c>
      <c r="P136" s="24" cm="1">
        <f t="array" ref="P136">_xlfn.XLOOKUP(1,(员工流水!$B:$B=$N136)*(员工流水!$A:$A=MAX(IF(员工流水!$B:$B=$N136,员工流水!$A:$A))),员工流水!D:D,"空")</f>
        <v>0</v>
      </c>
      <c r="Q136" s="26" cm="1">
        <f t="array" ref="Q136">_xlfn.XLOOKUP(1,(员工流水!$B:$B=$N136)*(员工流水!$A:$A=MAX(IF(员工流水!$B:$B=$N136,员工流水!$A:$A))),员工流水!E:E,"")</f>
        <v>0</v>
      </c>
    </row>
    <row r="137" spans="14:17">
      <c r="N137" s="24">
        <v>0</v>
      </c>
      <c r="O137" s="24" cm="1">
        <f t="array" ref="O137">_xlfn.XLOOKUP(1,(员工流水!$B:$B=$N137)*(员工流水!$A:$A=MAX(IF(员工流水!$B:$B=$N137,员工流水!$A:$A))),员工流水!C:C,"")</f>
        <v>0</v>
      </c>
      <c r="P137" s="24" cm="1">
        <f t="array" ref="P137">_xlfn.XLOOKUP(1,(员工流水!$B:$B=$N137)*(员工流水!$A:$A=MAX(IF(员工流水!$B:$B=$N137,员工流水!$A:$A))),员工流水!D:D,"空")</f>
        <v>0</v>
      </c>
      <c r="Q137" s="26" cm="1">
        <f t="array" ref="Q137">_xlfn.XLOOKUP(1,(员工流水!$B:$B=$N137)*(员工流水!$A:$A=MAX(IF(员工流水!$B:$B=$N137,员工流水!$A:$A))),员工流水!E:E,"")</f>
        <v>0</v>
      </c>
    </row>
    <row r="138" spans="14:17">
      <c r="N138" s="24">
        <v>0</v>
      </c>
      <c r="O138" s="24" cm="1">
        <f t="array" ref="O138">_xlfn.XLOOKUP(1,(员工流水!$B:$B=$N138)*(员工流水!$A:$A=MAX(IF(员工流水!$B:$B=$N138,员工流水!$A:$A))),员工流水!C:C,"")</f>
        <v>0</v>
      </c>
      <c r="P138" s="24" cm="1">
        <f t="array" ref="P138">_xlfn.XLOOKUP(1,(员工流水!$B:$B=$N138)*(员工流水!$A:$A=MAX(IF(员工流水!$B:$B=$N138,员工流水!$A:$A))),员工流水!D:D,"空")</f>
        <v>0</v>
      </c>
      <c r="Q138" s="26" cm="1">
        <f t="array" ref="Q138">_xlfn.XLOOKUP(1,(员工流水!$B:$B=$N138)*(员工流水!$A:$A=MAX(IF(员工流水!$B:$B=$N138,员工流水!$A:$A))),员工流水!E:E,"")</f>
        <v>0</v>
      </c>
    </row>
    <row r="139" spans="14:17">
      <c r="N139" s="24">
        <v>0</v>
      </c>
      <c r="O139" s="24" cm="1">
        <f t="array" ref="O139">_xlfn.XLOOKUP(1,(员工流水!$B:$B=$N139)*(员工流水!$A:$A=MAX(IF(员工流水!$B:$B=$N139,员工流水!$A:$A))),员工流水!C:C,"")</f>
        <v>0</v>
      </c>
      <c r="P139" s="24" cm="1">
        <f t="array" ref="P139">_xlfn.XLOOKUP(1,(员工流水!$B:$B=$N139)*(员工流水!$A:$A=MAX(IF(员工流水!$B:$B=$N139,员工流水!$A:$A))),员工流水!D:D,"空")</f>
        <v>0</v>
      </c>
      <c r="Q139" s="26" cm="1">
        <f t="array" ref="Q139">_xlfn.XLOOKUP(1,(员工流水!$B:$B=$N139)*(员工流水!$A:$A=MAX(IF(员工流水!$B:$B=$N139,员工流水!$A:$A))),员工流水!E:E,"")</f>
        <v>0</v>
      </c>
    </row>
    <row r="140" spans="14:17">
      <c r="N140" s="24">
        <v>0</v>
      </c>
      <c r="O140" s="24" cm="1">
        <f t="array" ref="O140">_xlfn.XLOOKUP(1,(员工流水!$B:$B=$N140)*(员工流水!$A:$A=MAX(IF(员工流水!$B:$B=$N140,员工流水!$A:$A))),员工流水!C:C,"")</f>
        <v>0</v>
      </c>
      <c r="P140" s="24" cm="1">
        <f t="array" ref="P140">_xlfn.XLOOKUP(1,(员工流水!$B:$B=$N140)*(员工流水!$A:$A=MAX(IF(员工流水!$B:$B=$N140,员工流水!$A:$A))),员工流水!D:D,"空")</f>
        <v>0</v>
      </c>
      <c r="Q140" s="26" cm="1">
        <f t="array" ref="Q140">_xlfn.XLOOKUP(1,(员工流水!$B:$B=$N140)*(员工流水!$A:$A=MAX(IF(员工流水!$B:$B=$N140,员工流水!$A:$A))),员工流水!E:E,"")</f>
        <v>0</v>
      </c>
    </row>
    <row r="141" spans="14:17">
      <c r="N141" s="24">
        <v>0</v>
      </c>
      <c r="O141" s="24" cm="1">
        <f t="array" ref="O141">_xlfn.XLOOKUP(1,(员工流水!$B:$B=$N141)*(员工流水!$A:$A=MAX(IF(员工流水!$B:$B=$N141,员工流水!$A:$A))),员工流水!C:C,"")</f>
        <v>0</v>
      </c>
      <c r="P141" s="24" cm="1">
        <f t="array" ref="P141">_xlfn.XLOOKUP(1,(员工流水!$B:$B=$N141)*(员工流水!$A:$A=MAX(IF(员工流水!$B:$B=$N141,员工流水!$A:$A))),员工流水!D:D,"空")</f>
        <v>0</v>
      </c>
      <c r="Q141" s="26" cm="1">
        <f t="array" ref="Q141">_xlfn.XLOOKUP(1,(员工流水!$B:$B=$N141)*(员工流水!$A:$A=MAX(IF(员工流水!$B:$B=$N141,员工流水!$A:$A))),员工流水!E:E,"")</f>
        <v>0</v>
      </c>
    </row>
    <row r="142" spans="14:17">
      <c r="N142" s="24">
        <v>0</v>
      </c>
      <c r="O142" s="24" cm="1">
        <f t="array" ref="O142">_xlfn.XLOOKUP(1,(员工流水!$B:$B=$N142)*(员工流水!$A:$A=MAX(IF(员工流水!$B:$B=$N142,员工流水!$A:$A))),员工流水!C:C,"")</f>
        <v>0</v>
      </c>
      <c r="P142" s="24" cm="1">
        <f t="array" ref="P142">_xlfn.XLOOKUP(1,(员工流水!$B:$B=$N142)*(员工流水!$A:$A=MAX(IF(员工流水!$B:$B=$N142,员工流水!$A:$A))),员工流水!D:D,"空")</f>
        <v>0</v>
      </c>
      <c r="Q142" s="26" cm="1">
        <f t="array" ref="Q142">_xlfn.XLOOKUP(1,(员工流水!$B:$B=$N142)*(员工流水!$A:$A=MAX(IF(员工流水!$B:$B=$N142,员工流水!$A:$A))),员工流水!E:E,"")</f>
        <v>0</v>
      </c>
    </row>
    <row r="143" spans="14:17">
      <c r="N143" s="24">
        <v>0</v>
      </c>
      <c r="O143" s="24" cm="1">
        <f t="array" ref="O143">_xlfn.XLOOKUP(1,(员工流水!$B:$B=$N143)*(员工流水!$A:$A=MAX(IF(员工流水!$B:$B=$N143,员工流水!$A:$A))),员工流水!C:C,"")</f>
        <v>0</v>
      </c>
      <c r="P143" s="24" cm="1">
        <f t="array" ref="P143">_xlfn.XLOOKUP(1,(员工流水!$B:$B=$N143)*(员工流水!$A:$A=MAX(IF(员工流水!$B:$B=$N143,员工流水!$A:$A))),员工流水!D:D,"空")</f>
        <v>0</v>
      </c>
      <c r="Q143" s="26" cm="1">
        <f t="array" ref="Q143">_xlfn.XLOOKUP(1,(员工流水!$B:$B=$N143)*(员工流水!$A:$A=MAX(IF(员工流水!$B:$B=$N143,员工流水!$A:$A))),员工流水!E:E,"")</f>
        <v>0</v>
      </c>
    </row>
    <row r="144" spans="14:17">
      <c r="N144" s="24">
        <v>0</v>
      </c>
      <c r="O144" s="24" cm="1">
        <f t="array" ref="O144">_xlfn.XLOOKUP(1,(员工流水!$B:$B=$N144)*(员工流水!$A:$A=MAX(IF(员工流水!$B:$B=$N144,员工流水!$A:$A))),员工流水!C:C,"")</f>
        <v>0</v>
      </c>
      <c r="P144" s="24" cm="1">
        <f t="array" ref="P144">_xlfn.XLOOKUP(1,(员工流水!$B:$B=$N144)*(员工流水!$A:$A=MAX(IF(员工流水!$B:$B=$N144,员工流水!$A:$A))),员工流水!D:D,"空")</f>
        <v>0</v>
      </c>
      <c r="Q144" s="26" cm="1">
        <f t="array" ref="Q144">_xlfn.XLOOKUP(1,(员工流水!$B:$B=$N144)*(员工流水!$A:$A=MAX(IF(员工流水!$B:$B=$N144,员工流水!$A:$A))),员工流水!E:E,"")</f>
        <v>0</v>
      </c>
    </row>
    <row r="145" spans="14:17">
      <c r="N145" s="24">
        <v>0</v>
      </c>
      <c r="O145" s="24" cm="1">
        <f t="array" ref="O145">_xlfn.XLOOKUP(1,(员工流水!$B:$B=$N145)*(员工流水!$A:$A=MAX(IF(员工流水!$B:$B=$N145,员工流水!$A:$A))),员工流水!C:C,"")</f>
        <v>0</v>
      </c>
      <c r="P145" s="24" cm="1">
        <f t="array" ref="P145">_xlfn.XLOOKUP(1,(员工流水!$B:$B=$N145)*(员工流水!$A:$A=MAX(IF(员工流水!$B:$B=$N145,员工流水!$A:$A))),员工流水!D:D,"空")</f>
        <v>0</v>
      </c>
      <c r="Q145" s="26" cm="1">
        <f t="array" ref="Q145">_xlfn.XLOOKUP(1,(员工流水!$B:$B=$N145)*(员工流水!$A:$A=MAX(IF(员工流水!$B:$B=$N145,员工流水!$A:$A))),员工流水!E:E,"")</f>
        <v>0</v>
      </c>
    </row>
    <row r="146" spans="14:17">
      <c r="N146" s="24">
        <v>0</v>
      </c>
      <c r="O146" s="24" cm="1">
        <f t="array" ref="O146">_xlfn.XLOOKUP(1,(员工流水!$B:$B=$N146)*(员工流水!$A:$A=MAX(IF(员工流水!$B:$B=$N146,员工流水!$A:$A))),员工流水!C:C,"")</f>
        <v>0</v>
      </c>
      <c r="P146" s="24" cm="1">
        <f t="array" ref="P146">_xlfn.XLOOKUP(1,(员工流水!$B:$B=$N146)*(员工流水!$A:$A=MAX(IF(员工流水!$B:$B=$N146,员工流水!$A:$A))),员工流水!D:D,"空")</f>
        <v>0</v>
      </c>
      <c r="Q146" s="26" cm="1">
        <f t="array" ref="Q146">_xlfn.XLOOKUP(1,(员工流水!$B:$B=$N146)*(员工流水!$A:$A=MAX(IF(员工流水!$B:$B=$N146,员工流水!$A:$A))),员工流水!E:E,"")</f>
        <v>0</v>
      </c>
    </row>
    <row r="147" spans="14:17">
      <c r="N147" s="24">
        <v>0</v>
      </c>
      <c r="O147" s="24" cm="1">
        <f t="array" ref="O147">_xlfn.XLOOKUP(1,(员工流水!$B:$B=$N147)*(员工流水!$A:$A=MAX(IF(员工流水!$B:$B=$N147,员工流水!$A:$A))),员工流水!C:C,"")</f>
        <v>0</v>
      </c>
      <c r="P147" s="24" cm="1">
        <f t="array" ref="P147">_xlfn.XLOOKUP(1,(员工流水!$B:$B=$N147)*(员工流水!$A:$A=MAX(IF(员工流水!$B:$B=$N147,员工流水!$A:$A))),员工流水!D:D,"空")</f>
        <v>0</v>
      </c>
      <c r="Q147" s="26" cm="1">
        <f t="array" ref="Q147">_xlfn.XLOOKUP(1,(员工流水!$B:$B=$N147)*(员工流水!$A:$A=MAX(IF(员工流水!$B:$B=$N147,员工流水!$A:$A))),员工流水!E:E,"")</f>
        <v>0</v>
      </c>
    </row>
    <row r="148" spans="14:17">
      <c r="N148" s="24">
        <v>0</v>
      </c>
      <c r="O148" s="24" cm="1">
        <f t="array" ref="O148">_xlfn.XLOOKUP(1,(员工流水!$B:$B=$N148)*(员工流水!$A:$A=MAX(IF(员工流水!$B:$B=$N148,员工流水!$A:$A))),员工流水!C:C,"")</f>
        <v>0</v>
      </c>
      <c r="P148" s="24" cm="1">
        <f t="array" ref="P148">_xlfn.XLOOKUP(1,(员工流水!$B:$B=$N148)*(员工流水!$A:$A=MAX(IF(员工流水!$B:$B=$N148,员工流水!$A:$A))),员工流水!D:D,"空")</f>
        <v>0</v>
      </c>
      <c r="Q148" s="26" cm="1">
        <f t="array" ref="Q148">_xlfn.XLOOKUP(1,(员工流水!$B:$B=$N148)*(员工流水!$A:$A=MAX(IF(员工流水!$B:$B=$N148,员工流水!$A:$A))),员工流水!E:E,"")</f>
        <v>0</v>
      </c>
    </row>
    <row r="149" spans="14:17">
      <c r="N149" s="24">
        <v>0</v>
      </c>
      <c r="O149" s="24" cm="1">
        <f t="array" ref="O149">_xlfn.XLOOKUP(1,(员工流水!$B:$B=$N149)*(员工流水!$A:$A=MAX(IF(员工流水!$B:$B=$N149,员工流水!$A:$A))),员工流水!C:C,"")</f>
        <v>0</v>
      </c>
      <c r="P149" s="24" cm="1">
        <f t="array" ref="P149">_xlfn.XLOOKUP(1,(员工流水!$B:$B=$N149)*(员工流水!$A:$A=MAX(IF(员工流水!$B:$B=$N149,员工流水!$A:$A))),员工流水!D:D,"空")</f>
        <v>0</v>
      </c>
      <c r="Q149" s="26" cm="1">
        <f t="array" ref="Q149">_xlfn.XLOOKUP(1,(员工流水!$B:$B=$N149)*(员工流水!$A:$A=MAX(IF(员工流水!$B:$B=$N149,员工流水!$A:$A))),员工流水!E:E,"")</f>
        <v>0</v>
      </c>
    </row>
    <row r="150" spans="14:17">
      <c r="N150" s="24">
        <v>0</v>
      </c>
      <c r="O150" s="24" cm="1">
        <f t="array" ref="O150">_xlfn.XLOOKUP(1,(员工流水!$B:$B=$N150)*(员工流水!$A:$A=MAX(IF(员工流水!$B:$B=$N150,员工流水!$A:$A))),员工流水!C:C,"")</f>
        <v>0</v>
      </c>
      <c r="P150" s="24" cm="1">
        <f t="array" ref="P150">_xlfn.XLOOKUP(1,(员工流水!$B:$B=$N150)*(员工流水!$A:$A=MAX(IF(员工流水!$B:$B=$N150,员工流水!$A:$A))),员工流水!D:D,"空")</f>
        <v>0</v>
      </c>
      <c r="Q150" s="26" cm="1">
        <f t="array" ref="Q150">_xlfn.XLOOKUP(1,(员工流水!$B:$B=$N150)*(员工流水!$A:$A=MAX(IF(员工流水!$B:$B=$N150,员工流水!$A:$A))),员工流水!E:E,"")</f>
        <v>0</v>
      </c>
    </row>
  </sheetData>
  <conditionalFormatting sqref="C1:C2">
    <cfRule type="notContainsBlanks" dxfId="1" priority="1">
      <formula>LEN(TRIM(C1))&gt;0</formula>
    </cfRule>
  </conditionalFormatting>
  <conditionalFormatting sqref="D$1:XFD$1048576 A$1:B$1048576 C21:C1048576">
    <cfRule type="notContainsBlanks" dxfId="1" priority="2">
      <formula>LEN(TRIM(A1))&gt;0</formula>
    </cfRule>
  </conditionalFormatting>
  <dataValidations count="1">
    <dataValidation type="list" allowBlank="1" showInputMessage="1" showErrorMessage="1" sqref="C1 B3">
      <formula1>"全职,盒心,灵活,空"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00B050"/>
  </sheetPr>
  <dimension ref="A1:S77"/>
  <sheetViews>
    <sheetView workbookViewId="0">
      <pane ySplit="1" topLeftCell="A2" activePane="bottomLeft" state="frozen"/>
      <selection/>
      <selection pane="bottomLeft" activeCell="A3" sqref="A3:E46"/>
    </sheetView>
  </sheetViews>
  <sheetFormatPr defaultColWidth="9.16071428571429" defaultRowHeight="28.8"/>
  <cols>
    <col min="1" max="1" width="14.3571428571429" style="14" customWidth="1"/>
    <col min="2" max="2" width="12.8571428571429" style="14" customWidth="1"/>
    <col min="3" max="3" width="18.5714285714286" style="14" customWidth="1"/>
    <col min="4" max="4" width="9" style="14" customWidth="1"/>
    <col min="5" max="5" width="16.8571428571429" style="14" customWidth="1"/>
    <col min="6" max="6" width="5.14285714285714" style="14" customWidth="1"/>
    <col min="7" max="8" width="12.3571428571429" style="14" customWidth="1"/>
    <col min="9" max="9" width="16.8571428571429" style="14" customWidth="1"/>
    <col min="10" max="10" width="6.92857142857143" style="14" customWidth="1"/>
    <col min="11" max="11" width="5.14285714285714" style="14" customWidth="1"/>
    <col min="12" max="13" width="12.3571428571429" style="14" customWidth="1"/>
    <col min="14" max="14" width="11.9285714285714" style="14" customWidth="1"/>
    <col min="15" max="15" width="11.7142857142857" style="14" customWidth="1"/>
    <col min="16" max="16" width="6.92857142857143" style="14" customWidth="1"/>
    <col min="17" max="17" width="6.71428571428571" style="14" customWidth="1"/>
    <col min="18" max="18" width="6.92857142857143" style="14" customWidth="1"/>
    <col min="19" max="19" width="6.71428571428571" style="14" customWidth="1"/>
    <col min="20" max="16384" width="9.16071428571429" style="14"/>
  </cols>
  <sheetData>
    <row r="1" spans="1:19">
      <c r="A1" s="14" t="s">
        <v>17</v>
      </c>
      <c r="B1" s="14" t="s">
        <v>18</v>
      </c>
      <c r="C1" s="14" t="s">
        <v>4</v>
      </c>
      <c r="D1" s="14" t="s">
        <v>15</v>
      </c>
      <c r="E1" s="14" t="s">
        <v>16</v>
      </c>
      <c r="I1" s="14" t="s">
        <v>19</v>
      </c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>
      <c r="A2" s="15">
        <v>45857</v>
      </c>
      <c r="B2" s="14" t="s">
        <v>20</v>
      </c>
      <c r="C2" s="14" t="s">
        <v>21</v>
      </c>
      <c r="D2" s="14" t="s">
        <v>6</v>
      </c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>
      <c r="A3" s="15"/>
      <c r="B3" s="14"/>
      <c r="C3" s="14"/>
      <c r="D3" s="14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>
      <c r="A4" s="15"/>
      <c r="B4" s="14"/>
      <c r="C4" s="14"/>
      <c r="D4" s="14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>
      <c r="A5" s="15"/>
      <c r="B5" s="14"/>
      <c r="C5" s="14"/>
      <c r="D5" s="14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>
      <c r="A6" s="15"/>
      <c r="B6" s="14"/>
      <c r="C6" s="14"/>
      <c r="D6" s="14"/>
      <c r="E6" s="14"/>
      <c r="J6" s="17"/>
      <c r="K6" s="17"/>
      <c r="L6" s="17"/>
      <c r="M6" s="17"/>
      <c r="N6" s="17"/>
      <c r="O6" s="19"/>
      <c r="P6" s="20"/>
      <c r="Q6" s="20"/>
      <c r="R6" s="20"/>
      <c r="S6" s="20"/>
    </row>
    <row r="7" spans="1:19">
      <c r="A7" s="15"/>
      <c r="B7" s="14"/>
      <c r="C7" s="14"/>
      <c r="D7" s="14"/>
      <c r="J7" s="18"/>
      <c r="K7" s="18"/>
      <c r="L7" s="18"/>
      <c r="M7" s="18"/>
      <c r="N7" s="18"/>
      <c r="O7" s="19"/>
      <c r="P7" s="21"/>
      <c r="Q7" s="21"/>
      <c r="R7" s="21"/>
      <c r="S7" s="21"/>
    </row>
    <row r="8" spans="1:19">
      <c r="A8" s="15"/>
      <c r="B8" s="14"/>
      <c r="C8" s="14"/>
      <c r="D8" s="14"/>
      <c r="J8" s="18"/>
      <c r="K8" s="18"/>
      <c r="L8" s="18"/>
      <c r="M8" s="18"/>
      <c r="N8" s="18"/>
      <c r="O8" s="19"/>
      <c r="P8" s="22"/>
      <c r="Q8" s="22"/>
      <c r="R8" s="22"/>
      <c r="S8" s="22"/>
    </row>
    <row r="9" spans="1:19">
      <c r="A9" s="15"/>
      <c r="B9" s="14"/>
      <c r="C9" s="14"/>
      <c r="D9" s="14"/>
      <c r="E9" s="14"/>
      <c r="J9" s="18"/>
      <c r="K9" s="18"/>
      <c r="L9" s="18"/>
      <c r="M9" s="18"/>
      <c r="N9" s="18"/>
      <c r="O9" s="19"/>
      <c r="P9" s="22"/>
      <c r="Q9" s="22"/>
      <c r="R9" s="22"/>
      <c r="S9" s="22"/>
    </row>
    <row r="10" spans="1:19">
      <c r="A10" s="15"/>
      <c r="B10" s="14"/>
      <c r="C10" s="14"/>
      <c r="D10" s="14"/>
      <c r="J10" s="18"/>
      <c r="K10" s="18"/>
      <c r="L10" s="18"/>
      <c r="M10" s="18"/>
      <c r="N10" s="18"/>
      <c r="O10" s="19"/>
      <c r="P10" s="22"/>
      <c r="Q10" s="22"/>
      <c r="R10" s="22"/>
      <c r="S10" s="22"/>
    </row>
    <row r="11" spans="1:19">
      <c r="A11" s="15"/>
      <c r="B11" s="14"/>
      <c r="C11" s="14"/>
      <c r="D11" s="14"/>
      <c r="J11" s="18"/>
      <c r="K11" s="18"/>
      <c r="L11" s="18"/>
      <c r="M11" s="18"/>
      <c r="N11" s="18"/>
      <c r="O11" s="19"/>
      <c r="P11" s="22"/>
      <c r="Q11" s="22"/>
      <c r="R11" s="22"/>
      <c r="S11" s="22"/>
    </row>
    <row r="12" spans="1:19">
      <c r="A12" s="15"/>
      <c r="B12" s="14"/>
      <c r="C12" s="14"/>
      <c r="D12" s="14"/>
      <c r="J12" s="18"/>
      <c r="K12" s="18"/>
      <c r="L12" s="18"/>
      <c r="M12" s="18"/>
      <c r="N12" s="18"/>
      <c r="O12" s="19"/>
      <c r="P12" s="23"/>
      <c r="Q12" s="22"/>
      <c r="R12" s="22"/>
      <c r="S12" s="22"/>
    </row>
    <row r="13" spans="1:19">
      <c r="A13" s="15"/>
      <c r="B13" s="14"/>
      <c r="C13" s="14"/>
      <c r="D13" s="14"/>
      <c r="J13" s="18"/>
      <c r="K13" s="18"/>
      <c r="L13" s="18"/>
      <c r="M13" s="18"/>
      <c r="N13" s="18"/>
      <c r="O13" s="19"/>
      <c r="P13" s="23"/>
      <c r="Q13" s="22"/>
      <c r="R13" s="22"/>
      <c r="S13" s="22"/>
    </row>
    <row r="14" spans="1:19">
      <c r="A14" s="15"/>
      <c r="B14" s="14"/>
      <c r="C14" s="14"/>
      <c r="D14" s="14"/>
      <c r="J14" s="18"/>
      <c r="K14" s="18"/>
      <c r="L14" s="18"/>
      <c r="M14" s="18"/>
      <c r="N14" s="18"/>
      <c r="O14" s="19"/>
      <c r="P14" s="22"/>
      <c r="Q14" s="22"/>
      <c r="R14" s="23"/>
      <c r="S14" s="22"/>
    </row>
    <row r="15" spans="1:19">
      <c r="A15" s="15"/>
      <c r="B15" s="14"/>
      <c r="C15" s="14"/>
      <c r="D15" s="14"/>
      <c r="J15" s="18"/>
      <c r="K15" s="18"/>
      <c r="L15" s="18"/>
      <c r="M15" s="18"/>
      <c r="N15" s="18"/>
      <c r="O15" s="19"/>
      <c r="P15" s="22"/>
      <c r="Q15" s="22"/>
      <c r="R15" s="23"/>
      <c r="S15" s="22"/>
    </row>
    <row r="16" spans="1:19">
      <c r="A16" s="15"/>
      <c r="B16" s="14"/>
      <c r="C16" s="14"/>
      <c r="D16" s="14"/>
      <c r="J16" s="18"/>
      <c r="K16" s="18"/>
      <c r="L16" s="18"/>
      <c r="M16" s="18"/>
      <c r="N16" s="18"/>
      <c r="O16" s="19"/>
      <c r="P16" s="22"/>
      <c r="Q16" s="22"/>
      <c r="R16" s="22"/>
      <c r="S16" s="22"/>
    </row>
    <row r="17" spans="1:19">
      <c r="A17" s="15"/>
      <c r="B17" s="14"/>
      <c r="C17" s="14"/>
      <c r="D17" s="14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">
      <c r="A18" s="15"/>
    </row>
    <row r="19" spans="1:1">
      <c r="A19" s="15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  <row r="25" spans="1:1">
      <c r="A25" s="15"/>
    </row>
    <row r="26" spans="1:1">
      <c r="A26" s="15"/>
    </row>
    <row r="27" spans="1:1">
      <c r="A27" s="15"/>
    </row>
    <row r="28" spans="1:1">
      <c r="A28" s="15"/>
    </row>
    <row r="29" spans="1:1">
      <c r="A29" s="15"/>
    </row>
    <row r="30" spans="1:1">
      <c r="A30" s="15"/>
    </row>
    <row r="31" spans="1:1">
      <c r="A31" s="15"/>
    </row>
    <row r="32" spans="1:1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">
      <c r="A49" s="15"/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  <row r="57" spans="1:1">
      <c r="A57" s="15"/>
    </row>
    <row r="58" spans="1:1">
      <c r="A58" s="15"/>
    </row>
    <row r="59" spans="1:1">
      <c r="A59" s="15"/>
    </row>
    <row r="60" spans="1:1">
      <c r="A60" s="15"/>
    </row>
    <row r="61" spans="1:1">
      <c r="A61" s="15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</sheetData>
  <autoFilter xmlns:etc="http://www.wps.cn/officeDocument/2017/etCustomData" ref="A1:S31" etc:filterBottomFollowUsedRange="0">
    <extLst/>
  </autoFilter>
  <mergeCells count="1">
    <mergeCell ref="O10:O12"/>
  </mergeCells>
  <conditionalFormatting sqref="B1:B54 B59:B1048576 B57">
    <cfRule type="duplicateValues" dxfId="2" priority="1"/>
  </conditionalFormatting>
  <conditionalFormatting sqref="J6:S16">
    <cfRule type="duplicateValues" dxfId="2" priority="2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50"/>
  </sheetPr>
  <dimension ref="A1:AG5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C5" sqref="C5:AA34"/>
    </sheetView>
  </sheetViews>
  <sheetFormatPr defaultColWidth="9.16071428571429" defaultRowHeight="23.2" outlineLevelRow="4"/>
  <cols>
    <col min="1" max="1" width="14.7142857142857" style="6" customWidth="1"/>
    <col min="2" max="2" width="13.5" style="7" customWidth="1"/>
    <col min="3" max="11" width="5.92857142857143" style="7" customWidth="1"/>
    <col min="12" max="32" width="7.28571428571429" style="7" customWidth="1"/>
    <col min="33" max="33" width="5.92857142857143" style="7" customWidth="1"/>
    <col min="34" max="16384" width="9.16071428571429" style="7"/>
  </cols>
  <sheetData>
    <row r="1" s="6" customFormat="1" spans="1:33">
      <c r="A1" s="8">
        <v>2025</v>
      </c>
      <c r="B1" s="9" t="s">
        <v>22</v>
      </c>
      <c r="C1" s="6">
        <f>COUNTIF(C5:C152,"假")</f>
        <v>0</v>
      </c>
      <c r="D1" s="6">
        <f t="shared" ref="D1:AG1" si="0">COUNTIF(D5:D152,"假")</f>
        <v>0</v>
      </c>
      <c r="E1" s="6">
        <f t="shared" si="0"/>
        <v>0</v>
      </c>
      <c r="F1" s="6">
        <f t="shared" si="0"/>
        <v>0</v>
      </c>
      <c r="G1" s="6">
        <f t="shared" si="0"/>
        <v>0</v>
      </c>
      <c r="H1" s="6">
        <f t="shared" si="0"/>
        <v>0</v>
      </c>
      <c r="I1" s="6">
        <f t="shared" si="0"/>
        <v>0</v>
      </c>
      <c r="J1" s="6">
        <f t="shared" si="0"/>
        <v>0</v>
      </c>
      <c r="K1" s="6">
        <f t="shared" si="0"/>
        <v>0</v>
      </c>
      <c r="L1" s="6">
        <f t="shared" si="0"/>
        <v>0</v>
      </c>
      <c r="M1" s="6">
        <f t="shared" si="0"/>
        <v>0</v>
      </c>
      <c r="N1" s="6">
        <f t="shared" si="0"/>
        <v>0</v>
      </c>
      <c r="O1" s="6">
        <f t="shared" si="0"/>
        <v>0</v>
      </c>
      <c r="P1" s="6">
        <f t="shared" si="0"/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</row>
    <row r="2" s="6" customFormat="1" spans="1:33">
      <c r="A2" s="8">
        <v>6</v>
      </c>
      <c r="B2" s="9" t="s">
        <v>23</v>
      </c>
      <c r="C2" s="6">
        <f>COUNTIF(C5:C152,"是")</f>
        <v>0</v>
      </c>
      <c r="D2" s="6">
        <f t="shared" ref="D2:AG2" si="1">COUNTIF(D5:D152,"是")</f>
        <v>0</v>
      </c>
      <c r="E2" s="6">
        <f t="shared" si="1"/>
        <v>0</v>
      </c>
      <c r="F2" s="6">
        <f t="shared" si="1"/>
        <v>0</v>
      </c>
      <c r="G2" s="6">
        <f t="shared" si="1"/>
        <v>0</v>
      </c>
      <c r="H2" s="6">
        <f t="shared" si="1"/>
        <v>0</v>
      </c>
      <c r="I2" s="6">
        <f t="shared" si="1"/>
        <v>0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0</v>
      </c>
      <c r="AB2" s="6">
        <f t="shared" si="1"/>
        <v>0</v>
      </c>
      <c r="AC2" s="6">
        <f t="shared" si="1"/>
        <v>0</v>
      </c>
      <c r="AD2" s="6">
        <f t="shared" si="1"/>
        <v>0</v>
      </c>
      <c r="AE2" s="6">
        <f t="shared" si="1"/>
        <v>0</v>
      </c>
      <c r="AF2" s="6">
        <f t="shared" si="1"/>
        <v>0</v>
      </c>
      <c r="AG2" s="6">
        <f t="shared" si="1"/>
        <v>0</v>
      </c>
    </row>
    <row r="3" s="6" customFormat="1" spans="1:33">
      <c r="A3" s="10">
        <f>DATE(A1,A2,1)</f>
        <v>45809</v>
      </c>
      <c r="B3" s="11" t="s">
        <v>24</v>
      </c>
      <c r="C3" s="12">
        <f>C4</f>
        <v>45809</v>
      </c>
      <c r="D3" s="12">
        <f t="shared" ref="D3:AG3" si="2">D4</f>
        <v>45810</v>
      </c>
      <c r="E3" s="12">
        <f t="shared" si="2"/>
        <v>45811</v>
      </c>
      <c r="F3" s="12">
        <f t="shared" si="2"/>
        <v>45812</v>
      </c>
      <c r="G3" s="12">
        <f t="shared" si="2"/>
        <v>45813</v>
      </c>
      <c r="H3" s="12">
        <f t="shared" si="2"/>
        <v>45814</v>
      </c>
      <c r="I3" s="12">
        <f t="shared" si="2"/>
        <v>45815</v>
      </c>
      <c r="J3" s="12">
        <f t="shared" si="2"/>
        <v>45816</v>
      </c>
      <c r="K3" s="12">
        <f t="shared" si="2"/>
        <v>45817</v>
      </c>
      <c r="L3" s="12">
        <f t="shared" si="2"/>
        <v>45818</v>
      </c>
      <c r="M3" s="12">
        <f t="shared" si="2"/>
        <v>45819</v>
      </c>
      <c r="N3" s="12">
        <f t="shared" si="2"/>
        <v>45820</v>
      </c>
      <c r="O3" s="12">
        <f t="shared" si="2"/>
        <v>45821</v>
      </c>
      <c r="P3" s="12">
        <f t="shared" si="2"/>
        <v>45822</v>
      </c>
      <c r="Q3" s="12">
        <f t="shared" si="2"/>
        <v>45823</v>
      </c>
      <c r="R3" s="12">
        <f t="shared" si="2"/>
        <v>45824</v>
      </c>
      <c r="S3" s="12">
        <f t="shared" si="2"/>
        <v>45825</v>
      </c>
      <c r="T3" s="12">
        <f t="shared" si="2"/>
        <v>45826</v>
      </c>
      <c r="U3" s="12">
        <f t="shared" si="2"/>
        <v>45827</v>
      </c>
      <c r="V3" s="12">
        <f t="shared" si="2"/>
        <v>45828</v>
      </c>
      <c r="W3" s="12">
        <f t="shared" si="2"/>
        <v>45829</v>
      </c>
      <c r="X3" s="12">
        <f t="shared" si="2"/>
        <v>45830</v>
      </c>
      <c r="Y3" s="12">
        <f t="shared" si="2"/>
        <v>45831</v>
      </c>
      <c r="Z3" s="12">
        <f t="shared" si="2"/>
        <v>45832</v>
      </c>
      <c r="AA3" s="12">
        <f t="shared" si="2"/>
        <v>45833</v>
      </c>
      <c r="AB3" s="12">
        <f t="shared" si="2"/>
        <v>45834</v>
      </c>
      <c r="AC3" s="12">
        <f t="shared" si="2"/>
        <v>45835</v>
      </c>
      <c r="AD3" s="12">
        <f t="shared" si="2"/>
        <v>45836</v>
      </c>
      <c r="AE3" s="12">
        <f t="shared" si="2"/>
        <v>45837</v>
      </c>
      <c r="AF3" s="12">
        <f t="shared" si="2"/>
        <v>45838</v>
      </c>
      <c r="AG3" s="12">
        <f t="shared" si="2"/>
        <v>45839</v>
      </c>
    </row>
    <row r="4" s="6" customFormat="1" spans="1:33">
      <c r="A4" s="9" t="s">
        <v>25</v>
      </c>
      <c r="B4" s="9" t="s">
        <v>26</v>
      </c>
      <c r="C4" s="13">
        <f>A3</f>
        <v>45809</v>
      </c>
      <c r="D4" s="13">
        <f>C4+1</f>
        <v>45810</v>
      </c>
      <c r="E4" s="13">
        <f t="shared" ref="E4:AG4" si="3">D4+1</f>
        <v>45811</v>
      </c>
      <c r="F4" s="13">
        <f t="shared" si="3"/>
        <v>45812</v>
      </c>
      <c r="G4" s="13">
        <f t="shared" si="3"/>
        <v>45813</v>
      </c>
      <c r="H4" s="13">
        <f t="shared" si="3"/>
        <v>45814</v>
      </c>
      <c r="I4" s="13">
        <f t="shared" si="3"/>
        <v>45815</v>
      </c>
      <c r="J4" s="13">
        <f t="shared" si="3"/>
        <v>45816</v>
      </c>
      <c r="K4" s="13">
        <f t="shared" si="3"/>
        <v>45817</v>
      </c>
      <c r="L4" s="13">
        <f t="shared" si="3"/>
        <v>45818</v>
      </c>
      <c r="M4" s="13">
        <f t="shared" si="3"/>
        <v>45819</v>
      </c>
      <c r="N4" s="13">
        <f t="shared" si="3"/>
        <v>45820</v>
      </c>
      <c r="O4" s="13">
        <f t="shared" si="3"/>
        <v>45821</v>
      </c>
      <c r="P4" s="13">
        <f t="shared" si="3"/>
        <v>45822</v>
      </c>
      <c r="Q4" s="13">
        <f t="shared" si="3"/>
        <v>45823</v>
      </c>
      <c r="R4" s="13">
        <f t="shared" si="3"/>
        <v>45824</v>
      </c>
      <c r="S4" s="13">
        <f t="shared" si="3"/>
        <v>45825</v>
      </c>
      <c r="T4" s="13">
        <f t="shared" si="3"/>
        <v>45826</v>
      </c>
      <c r="U4" s="13">
        <f t="shared" si="3"/>
        <v>45827</v>
      </c>
      <c r="V4" s="13">
        <f t="shared" si="3"/>
        <v>45828</v>
      </c>
      <c r="W4" s="13">
        <f t="shared" si="3"/>
        <v>45829</v>
      </c>
      <c r="X4" s="13">
        <f t="shared" si="3"/>
        <v>45830</v>
      </c>
      <c r="Y4" s="13">
        <f t="shared" si="3"/>
        <v>45831</v>
      </c>
      <c r="Z4" s="13">
        <f t="shared" si="3"/>
        <v>45832</v>
      </c>
      <c r="AA4" s="13">
        <f t="shared" si="3"/>
        <v>45833</v>
      </c>
      <c r="AB4" s="13">
        <f t="shared" si="3"/>
        <v>45834</v>
      </c>
      <c r="AC4" s="13">
        <f t="shared" si="3"/>
        <v>45835</v>
      </c>
      <c r="AD4" s="13">
        <f t="shared" si="3"/>
        <v>45836</v>
      </c>
      <c r="AE4" s="13">
        <f t="shared" si="3"/>
        <v>45837</v>
      </c>
      <c r="AF4" s="13">
        <f t="shared" si="3"/>
        <v>45838</v>
      </c>
      <c r="AG4" s="13">
        <f t="shared" si="3"/>
        <v>45839</v>
      </c>
    </row>
    <row r="5" spans="1:1">
      <c r="A5" s="6" vm="1" t="e" cm="1">
        <f t="array" ref="A5">_xlfn.UNIQUE(_xlfn.VSTACK(入转离!A2:A150,B5:B151),,TRUE)</f>
        <v>#VALUE!</v>
      </c>
    </row>
  </sheetData>
  <conditionalFormatting sqref="C$1:AG$1048576">
    <cfRule type="containsText" dxfId="3" priority="1" operator="between" text="假">
      <formula>NOT(ISERROR(SEARCH("假",C1)))</formula>
    </cfRule>
  </conditionalFormatting>
  <conditionalFormatting sqref="C2:AG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AG150">
    <cfRule type="expression" dxfId="4" priority="3">
      <formula>OR(WEEKDAY(C$3,2)=6,WEEKDAY(C$3,2)=7)</formula>
    </cfRule>
  </conditionalFormatting>
  <dataValidations count="1">
    <dataValidation type="list" allowBlank="1" showInputMessage="1" showErrorMessage="1" sqref="C5:AG102">
      <formula1>代码!$C$2:$C$5</formula1>
    </dataValidation>
  </dataValidations>
  <pageMargins left="0.75" right="0.75" top="1" bottom="1" header="0.5" footer="0.5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name="Spinner 3" r:id="rId3">
              <controlPr defaultSize="0">
                <anchor moveWithCells="1">
                  <from>
                    <xdr:col>0</xdr:col>
                    <xdr:colOff>635</xdr:colOff>
                    <xdr:row>0</xdr:row>
                    <xdr:rowOff>635</xdr:rowOff>
                  </from>
                  <to>
                    <xdr:col>0</xdr:col>
                    <xdr:colOff>432435</xdr:colOff>
                    <xdr:row>2</xdr:row>
                    <xdr:rowOff>11430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50"/>
  </sheetPr>
  <dimension ref="A1:P82"/>
  <sheetViews>
    <sheetView workbookViewId="0">
      <selection activeCell="E16" sqref="A1:Q30"/>
    </sheetView>
  </sheetViews>
  <sheetFormatPr defaultColWidth="9.16071428571429" defaultRowHeight="16.8"/>
  <cols>
    <col min="1" max="1" width="10.1607142857143" customWidth="1"/>
    <col min="2" max="2" width="11.3303571428571" customWidth="1"/>
    <col min="3" max="3" width="14.8303571428571" customWidth="1"/>
    <col min="4" max="5" width="32.6607142857143" customWidth="1"/>
    <col min="6" max="6" width="27.3303571428571" customWidth="1"/>
    <col min="7" max="7" width="21" customWidth="1"/>
    <col min="8" max="8" width="13.5" customWidth="1"/>
    <col min="9" max="9" width="26.3303571428571" customWidth="1"/>
    <col min="10" max="10" width="13.5" customWidth="1"/>
    <col min="11" max="11" width="16.6607142857143" customWidth="1"/>
    <col min="12" max="13" width="14.8303571428571" customWidth="1"/>
    <col min="14" max="14" width="16.6607142857143" customWidth="1"/>
    <col min="15" max="16" width="13.5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FF0000"/>
  </sheetPr>
  <dimension ref="C1:E150"/>
  <sheetViews>
    <sheetView workbookViewId="0">
      <selection activeCell="E10" sqref="E10"/>
    </sheetView>
  </sheetViews>
  <sheetFormatPr defaultColWidth="9.16071428571429" defaultRowHeight="28.8" outlineLevelCol="4"/>
  <cols>
    <col min="1" max="1" width="12.8303571428571" style="3" customWidth="1"/>
    <col min="2" max="2" width="9.16071428571429" style="3"/>
    <col min="3" max="3" width="16.8303571428571" style="3" customWidth="1"/>
    <col min="4" max="5" width="16.8303571428571" style="4" customWidth="1"/>
    <col min="6" max="16384" width="9.16071428571429" style="3"/>
  </cols>
  <sheetData>
    <row r="1" spans="3:4">
      <c r="C1" s="3" t="s">
        <v>27</v>
      </c>
      <c r="D1" s="4" t="s">
        <v>28</v>
      </c>
    </row>
    <row r="2" spans="3:5">
      <c r="C2" s="3" t="s">
        <v>29</v>
      </c>
      <c r="D2" s="4" t="s">
        <v>30</v>
      </c>
      <c r="E2" s="4" t="s">
        <v>31</v>
      </c>
    </row>
    <row r="3" spans="3:5">
      <c r="C3" s="3" t="s">
        <v>32</v>
      </c>
      <c r="D3" s="4" t="str">
        <f>IFERROR(TIMEVALUE(LEFT(时段出勤!C4,FIND("-",时段出勤!C4)-1)),"")</f>
        <v/>
      </c>
      <c r="E3" s="4" t="str">
        <f>IFERROR(TIMEVALUE(RIGHT(时段出勤!C4,LEN(时段出勤!C4)-FIND("-",时段出勤!C4))),"")</f>
        <v/>
      </c>
    </row>
    <row r="4" spans="4:5">
      <c r="D4" s="4" t="str">
        <f>IFERROR(TIMEVALUE(LEFT(时段出勤!C5,FIND("-",时段出勤!C5)-1)),"")</f>
        <v/>
      </c>
      <c r="E4" s="4" t="str">
        <f>IFERROR(TIMEVALUE(RIGHT(时段出勤!C5,LEN(时段出勤!C5)-FIND("-",时段出勤!C5))),"")</f>
        <v/>
      </c>
    </row>
    <row r="5" spans="4:5">
      <c r="D5" s="4" t="str">
        <f>IFERROR(TIMEVALUE(LEFT(时段出勤!C6,FIND("-",时段出勤!C6)-1)),"")</f>
        <v/>
      </c>
      <c r="E5" s="4" t="str">
        <f>IFERROR(TIMEVALUE(RIGHT(时段出勤!C6,LEN(时段出勤!C6)-FIND("-",时段出勤!C6))),"")</f>
        <v/>
      </c>
    </row>
    <row r="6" spans="4:5">
      <c r="D6" s="4" t="str">
        <f>IFERROR(TIMEVALUE(LEFT(时段出勤!C7,FIND("-",时段出勤!C7)-1)),"")</f>
        <v/>
      </c>
      <c r="E6" s="4" t="str">
        <f>IFERROR(TIMEVALUE(RIGHT(时段出勤!C7,LEN(时段出勤!C7)-FIND("-",时段出勤!C7))),"")</f>
        <v/>
      </c>
    </row>
    <row r="7" spans="4:5">
      <c r="D7" s="4" t="str">
        <f>IFERROR(TIMEVALUE(LEFT(时段出勤!C8,FIND("-",时段出勤!C8)-1)),"")</f>
        <v/>
      </c>
      <c r="E7" s="4" t="str">
        <f>IFERROR(TIMEVALUE(RIGHT(时段出勤!C8,LEN(时段出勤!C8)-FIND("-",时段出勤!C8))),"")</f>
        <v/>
      </c>
    </row>
    <row r="8" spans="4:5">
      <c r="D8" s="4" t="str">
        <f>IFERROR(TIMEVALUE(LEFT(时段出勤!C9,FIND("-",时段出勤!C9)-1)),"")</f>
        <v/>
      </c>
      <c r="E8" s="4" t="str">
        <f>IFERROR(TIMEVALUE(RIGHT(时段出勤!C9,LEN(时段出勤!C9)-FIND("-",时段出勤!C9))),"")</f>
        <v/>
      </c>
    </row>
    <row r="9" spans="4:5">
      <c r="D9" s="4" t="str">
        <f>IFERROR(TIMEVALUE(LEFT(时段出勤!C10,FIND("-",时段出勤!C10)-1)),"")</f>
        <v/>
      </c>
      <c r="E9" s="4" t="str">
        <f>IFERROR(TIMEVALUE(RIGHT(时段出勤!C10,LEN(时段出勤!C10)-FIND("-",时段出勤!C10))),"")</f>
        <v/>
      </c>
    </row>
    <row r="10" spans="4:5">
      <c r="D10" s="4" t="str">
        <f>IFERROR(TIMEVALUE(LEFT(时段出勤!C11,FIND("-",时段出勤!C11)-1)),"")</f>
        <v/>
      </c>
      <c r="E10" s="4" t="str">
        <f>IFERROR(TIMEVALUE(RIGHT(时段出勤!C11,LEN(时段出勤!C11)-FIND("-",时段出勤!C11))),"")</f>
        <v/>
      </c>
    </row>
    <row r="11" spans="4:5">
      <c r="D11" s="4" t="str">
        <f>IFERROR(TIMEVALUE(LEFT(时段出勤!C12,FIND("-",时段出勤!C12)-1)),"")</f>
        <v/>
      </c>
      <c r="E11" s="4" t="str">
        <f>IFERROR(TIMEVALUE(RIGHT(时段出勤!C12,LEN(时段出勤!C12)-FIND("-",时段出勤!C12))),"")</f>
        <v/>
      </c>
    </row>
    <row r="12" spans="4:5">
      <c r="D12" s="4" t="str">
        <f>IFERROR(TIMEVALUE(LEFT(时段出勤!C13,FIND("-",时段出勤!C13)-1)),"")</f>
        <v/>
      </c>
      <c r="E12" s="4" t="str">
        <f>IFERROR(TIMEVALUE(RIGHT(时段出勤!C13,LEN(时段出勤!C13)-FIND("-",时段出勤!C13))),"")</f>
        <v/>
      </c>
    </row>
    <row r="13" spans="4:5">
      <c r="D13" s="4" t="str">
        <f>IFERROR(TIMEVALUE(LEFT(时段出勤!C14,FIND("-",时段出勤!C14)-1)),"")</f>
        <v/>
      </c>
      <c r="E13" s="4" t="str">
        <f>IFERROR(TIMEVALUE(RIGHT(时段出勤!C14,LEN(时段出勤!C14)-FIND("-",时段出勤!C14))),"")</f>
        <v/>
      </c>
    </row>
    <row r="14" spans="4:5">
      <c r="D14" s="4" t="str">
        <f>IFERROR(TIMEVALUE(LEFT(时段出勤!C15,FIND("-",时段出勤!C15)-1)),"")</f>
        <v/>
      </c>
      <c r="E14" s="4" t="str">
        <f>IFERROR(TIMEVALUE(RIGHT(时段出勤!C15,LEN(时段出勤!C15)-FIND("-",时段出勤!C15))),"")</f>
        <v/>
      </c>
    </row>
    <row r="15" spans="4:5">
      <c r="D15" s="4" t="str">
        <f>IFERROR(TIMEVALUE(LEFT(时段出勤!C16,FIND("-",时段出勤!C16)-1)),"")</f>
        <v/>
      </c>
      <c r="E15" s="4" t="str">
        <f>IFERROR(TIMEVALUE(RIGHT(时段出勤!C16,LEN(时段出勤!C16)-FIND("-",时段出勤!C16))),"")</f>
        <v/>
      </c>
    </row>
    <row r="16" spans="4:5">
      <c r="D16" s="4" t="str">
        <f>IFERROR(TIMEVALUE(LEFT(时段出勤!C17,FIND("-",时段出勤!C17)-1)),"")</f>
        <v/>
      </c>
      <c r="E16" s="4" t="str">
        <f>IFERROR(TIMEVALUE(RIGHT(时段出勤!C17,LEN(时段出勤!C17)-FIND("-",时段出勤!C17))),"")</f>
        <v/>
      </c>
    </row>
    <row r="17" spans="4:5">
      <c r="D17" s="4" t="str">
        <f>IFERROR(TIMEVALUE(LEFT(时段出勤!C18,FIND("-",时段出勤!C18)-1)),"")</f>
        <v/>
      </c>
      <c r="E17" s="4" t="str">
        <f>IFERROR(TIMEVALUE(RIGHT(时段出勤!C18,LEN(时段出勤!C18)-FIND("-",时段出勤!C18))),"")</f>
        <v/>
      </c>
    </row>
    <row r="18" spans="4:5">
      <c r="D18" s="4" t="str">
        <f>IFERROR(TIMEVALUE(LEFT(时段出勤!C19,FIND("-",时段出勤!C19)-1)),"")</f>
        <v/>
      </c>
      <c r="E18" s="4" t="str">
        <f>IFERROR(TIMEVALUE(RIGHT(时段出勤!C19,LEN(时段出勤!C19)-FIND("-",时段出勤!C19))),"")</f>
        <v/>
      </c>
    </row>
    <row r="19" spans="4:5">
      <c r="D19" s="4" t="str">
        <f>IFERROR(TIMEVALUE(LEFT(时段出勤!C20,FIND("-",时段出勤!C20)-1)),"")</f>
        <v/>
      </c>
      <c r="E19" s="4" t="str">
        <f>IFERROR(TIMEVALUE(RIGHT(时段出勤!C20,LEN(时段出勤!C20)-FIND("-",时段出勤!C20))),"")</f>
        <v/>
      </c>
    </row>
    <row r="20" spans="4:5">
      <c r="D20" s="4" t="str">
        <f>IFERROR(TIMEVALUE(LEFT(时段出勤!C21,FIND("-",时段出勤!C21)-1)),"")</f>
        <v/>
      </c>
      <c r="E20" s="4" t="str">
        <f>IFERROR(TIMEVALUE(RIGHT(时段出勤!C21,LEN(时段出勤!C21)-FIND("-",时段出勤!C21))),"")</f>
        <v/>
      </c>
    </row>
    <row r="21" spans="4:5">
      <c r="D21" s="4" t="str">
        <f>IFERROR(TIMEVALUE(LEFT(时段出勤!C22,FIND("-",时段出勤!C22)-1)),"")</f>
        <v/>
      </c>
      <c r="E21" s="4" t="str">
        <f>IFERROR(TIMEVALUE(RIGHT(时段出勤!C22,LEN(时段出勤!C22)-FIND("-",时段出勤!C22))),"")</f>
        <v/>
      </c>
    </row>
    <row r="22" spans="4:5">
      <c r="D22" s="4" t="str">
        <f>IFERROR(TIMEVALUE(LEFT(时段出勤!C23,FIND("-",时段出勤!C23)-1)),"")</f>
        <v/>
      </c>
      <c r="E22" s="4" t="str">
        <f>IFERROR(TIMEVALUE(RIGHT(时段出勤!C23,LEN(时段出勤!C23)-FIND("-",时段出勤!C23))),"")</f>
        <v/>
      </c>
    </row>
    <row r="23" spans="4:5">
      <c r="D23" s="4" t="str">
        <f>IFERROR(TIMEVALUE(LEFT(时段出勤!C24,FIND("-",时段出勤!C24)-1)),"")</f>
        <v/>
      </c>
      <c r="E23" s="4" t="str">
        <f>IFERROR(TIMEVALUE(RIGHT(时段出勤!C24,LEN(时段出勤!C24)-FIND("-",时段出勤!C24))),"")</f>
        <v/>
      </c>
    </row>
    <row r="24" spans="4:5">
      <c r="D24" s="4" t="str">
        <f>IFERROR(TIMEVALUE(LEFT(时段出勤!C25,FIND("-",时段出勤!C25)-1)),"")</f>
        <v/>
      </c>
      <c r="E24" s="4" t="str">
        <f>IFERROR(TIMEVALUE(RIGHT(时段出勤!C25,LEN(时段出勤!C25)-FIND("-",时段出勤!C25))),"")</f>
        <v/>
      </c>
    </row>
    <row r="25" spans="4:5">
      <c r="D25" s="4" t="str">
        <f>IFERROR(TIMEVALUE(LEFT(时段出勤!C26,FIND("-",时段出勤!C26)-1)),"")</f>
        <v/>
      </c>
      <c r="E25" s="4" t="str">
        <f>IFERROR(TIMEVALUE(RIGHT(时段出勤!C26,LEN(时段出勤!C26)-FIND("-",时段出勤!C26))),"")</f>
        <v/>
      </c>
    </row>
    <row r="26" spans="4:5">
      <c r="D26" s="4" t="str">
        <f>IFERROR(TIMEVALUE(LEFT(时段出勤!C27,FIND("-",时段出勤!C27)-1)),"")</f>
        <v/>
      </c>
      <c r="E26" s="4" t="str">
        <f>IFERROR(TIMEVALUE(RIGHT(时段出勤!C27,LEN(时段出勤!C27)-FIND("-",时段出勤!C27))),"")</f>
        <v/>
      </c>
    </row>
    <row r="27" spans="4:5">
      <c r="D27" s="4" t="str">
        <f>IFERROR(TIMEVALUE(LEFT(时段出勤!C28,FIND("-",时段出勤!C28)-1)),"")</f>
        <v/>
      </c>
      <c r="E27" s="4" t="str">
        <f>IFERROR(TIMEVALUE(RIGHT(时段出勤!C28,LEN(时段出勤!C28)-FIND("-",时段出勤!C28))),"")</f>
        <v/>
      </c>
    </row>
    <row r="28" spans="4:5">
      <c r="D28" s="4" t="str">
        <f>IFERROR(TIMEVALUE(LEFT(时段出勤!C29,FIND("-",时段出勤!C29)-1)),"")</f>
        <v/>
      </c>
      <c r="E28" s="4" t="str">
        <f>IFERROR(TIMEVALUE(RIGHT(时段出勤!C29,LEN(时段出勤!C29)-FIND("-",时段出勤!C29))),"")</f>
        <v/>
      </c>
    </row>
    <row r="29" spans="4:5">
      <c r="D29" s="4" t="str">
        <f>IFERROR(TIMEVALUE(LEFT(时段出勤!C30,FIND("-",时段出勤!C30)-1)),"")</f>
        <v/>
      </c>
      <c r="E29" s="4" t="str">
        <f>IFERROR(TIMEVALUE(RIGHT(时段出勤!C30,LEN(时段出勤!C30)-FIND("-",时段出勤!C30))),"")</f>
        <v/>
      </c>
    </row>
    <row r="30" spans="4:5">
      <c r="D30" s="4" t="str">
        <f>IFERROR(TIMEVALUE(LEFT(时段出勤!C31,FIND("-",时段出勤!C31)-1)),"")</f>
        <v/>
      </c>
      <c r="E30" s="4" t="str">
        <f>IFERROR(TIMEVALUE(RIGHT(时段出勤!C31,LEN(时段出勤!C31)-FIND("-",时段出勤!C31))),"")</f>
        <v/>
      </c>
    </row>
    <row r="31" spans="4:5">
      <c r="D31" s="4" t="str">
        <f>IFERROR(TIMEVALUE(LEFT(时段出勤!C32,FIND("-",时段出勤!C32)-1)),"")</f>
        <v/>
      </c>
      <c r="E31" s="4" t="str">
        <f>IFERROR(TIMEVALUE(RIGHT(时段出勤!C32,LEN(时段出勤!C32)-FIND("-",时段出勤!C32))),"")</f>
        <v/>
      </c>
    </row>
    <row r="32" spans="4:5">
      <c r="D32" s="4" t="str">
        <f>IFERROR(TIMEVALUE(LEFT(时段出勤!C33,FIND("-",时段出勤!C33)-1)),"")</f>
        <v/>
      </c>
      <c r="E32" s="4" t="str">
        <f>IFERROR(TIMEVALUE(RIGHT(时段出勤!C33,LEN(时段出勤!C33)-FIND("-",时段出勤!C33))),"")</f>
        <v/>
      </c>
    </row>
    <row r="33" spans="4:5">
      <c r="D33" s="4" t="str">
        <f>IFERROR(TIMEVALUE(LEFT(时段出勤!C34,FIND("-",时段出勤!C34)-1)),"")</f>
        <v/>
      </c>
      <c r="E33" s="4" t="str">
        <f>IFERROR(TIMEVALUE(RIGHT(时段出勤!C34,LEN(时段出勤!C34)-FIND("-",时段出勤!C34))),"")</f>
        <v/>
      </c>
    </row>
    <row r="34" spans="4:5">
      <c r="D34" s="4" t="str">
        <f>IFERROR(TIMEVALUE(LEFT(时段出勤!C35,FIND("-",时段出勤!C35)-1)),"")</f>
        <v/>
      </c>
      <c r="E34" s="4" t="str">
        <f>IFERROR(TIMEVALUE(RIGHT(时段出勤!C35,LEN(时段出勤!C35)-FIND("-",时段出勤!C35))),"")</f>
        <v/>
      </c>
    </row>
    <row r="35" spans="4:5">
      <c r="D35" s="4" t="str">
        <f>IFERROR(TIMEVALUE(LEFT(时段出勤!C36,FIND("-",时段出勤!C36)-1)),"")</f>
        <v/>
      </c>
      <c r="E35" s="4" t="str">
        <f>IFERROR(TIMEVALUE(RIGHT(时段出勤!C36,LEN(时段出勤!C36)-FIND("-",时段出勤!C36))),"")</f>
        <v/>
      </c>
    </row>
    <row r="36" spans="4:5">
      <c r="D36" s="4" t="str">
        <f>IFERROR(TIMEVALUE(LEFT(时段出勤!C37,FIND("-",时段出勤!C37)-1)),"")</f>
        <v/>
      </c>
      <c r="E36" s="4" t="str">
        <f>IFERROR(TIMEVALUE(RIGHT(时段出勤!C37,LEN(时段出勤!C37)-FIND("-",时段出勤!C37))),"")</f>
        <v/>
      </c>
    </row>
    <row r="37" spans="4:5">
      <c r="D37" s="4" t="str">
        <f>IFERROR(TIMEVALUE(LEFT(时段出勤!C38,FIND("-",时段出勤!C38)-1)),"")</f>
        <v/>
      </c>
      <c r="E37" s="4" t="str">
        <f>IFERROR(TIMEVALUE(RIGHT(时段出勤!C38,LEN(时段出勤!C38)-FIND("-",时段出勤!C38))),"")</f>
        <v/>
      </c>
    </row>
    <row r="38" spans="4:5">
      <c r="D38" s="4" t="str">
        <f>IFERROR(TIMEVALUE(LEFT(时段出勤!C39,FIND("-",时段出勤!C39)-1)),"")</f>
        <v/>
      </c>
      <c r="E38" s="4" t="str">
        <f>IFERROR(TIMEVALUE(RIGHT(时段出勤!C39,LEN(时段出勤!C39)-FIND("-",时段出勤!C39))),"")</f>
        <v/>
      </c>
    </row>
    <row r="39" spans="4:5">
      <c r="D39" s="4" t="str">
        <f>IFERROR(TIMEVALUE(LEFT(时段出勤!C40,FIND("-",时段出勤!C40)-1)),"")</f>
        <v/>
      </c>
      <c r="E39" s="4" t="str">
        <f>IFERROR(TIMEVALUE(RIGHT(时段出勤!C40,LEN(时段出勤!C40)-FIND("-",时段出勤!C40))),"")</f>
        <v/>
      </c>
    </row>
    <row r="40" spans="4:5">
      <c r="D40" s="4" t="str">
        <f>IFERROR(TIMEVALUE(LEFT(时段出勤!C41,FIND("-",时段出勤!C41)-1)),"")</f>
        <v/>
      </c>
      <c r="E40" s="4" t="str">
        <f>IFERROR(TIMEVALUE(RIGHT(时段出勤!C41,LEN(时段出勤!C41)-FIND("-",时段出勤!C41))),"")</f>
        <v/>
      </c>
    </row>
    <row r="41" spans="4:5">
      <c r="D41" s="4" t="str">
        <f>IFERROR(TIMEVALUE(LEFT(时段出勤!C42,FIND("-",时段出勤!C42)-1)),"")</f>
        <v/>
      </c>
      <c r="E41" s="4" t="str">
        <f>IFERROR(TIMEVALUE(RIGHT(时段出勤!C42,LEN(时段出勤!C42)-FIND("-",时段出勤!C42))),"")</f>
        <v/>
      </c>
    </row>
    <row r="42" spans="4:5">
      <c r="D42" s="4" t="str">
        <f>IFERROR(TIMEVALUE(LEFT(时段出勤!C43,FIND("-",时段出勤!C43)-1)),"")</f>
        <v/>
      </c>
      <c r="E42" s="4" t="str">
        <f>IFERROR(TIMEVALUE(RIGHT(时段出勤!C43,LEN(时段出勤!C43)-FIND("-",时段出勤!C43))),"")</f>
        <v/>
      </c>
    </row>
    <row r="43" spans="4:5">
      <c r="D43" s="4" t="str">
        <f>IFERROR(TIMEVALUE(LEFT(时段出勤!C44,FIND("-",时段出勤!C44)-1)),"")</f>
        <v/>
      </c>
      <c r="E43" s="4" t="str">
        <f>IFERROR(TIMEVALUE(RIGHT(时段出勤!C44,LEN(时段出勤!C44)-FIND("-",时段出勤!C44))),"")</f>
        <v/>
      </c>
    </row>
    <row r="44" spans="4:5">
      <c r="D44" s="4" t="str">
        <f>IFERROR(TIMEVALUE(LEFT(时段出勤!C45,FIND("-",时段出勤!C45)-1)),"")</f>
        <v/>
      </c>
      <c r="E44" s="4" t="str">
        <f>IFERROR(TIMEVALUE(RIGHT(时段出勤!C45,LEN(时段出勤!C45)-FIND("-",时段出勤!C45))),"")</f>
        <v/>
      </c>
    </row>
    <row r="45" spans="4:5">
      <c r="D45" s="4" t="str">
        <f>IFERROR(TIMEVALUE(LEFT(时段出勤!C46,FIND("-",时段出勤!C46)-1)),"")</f>
        <v/>
      </c>
      <c r="E45" s="4" t="str">
        <f>IFERROR(TIMEVALUE(RIGHT(时段出勤!C46,LEN(时段出勤!C46)-FIND("-",时段出勤!C46))),"")</f>
        <v/>
      </c>
    </row>
    <row r="46" spans="4:5">
      <c r="D46" s="4" t="str">
        <f>IFERROR(TIMEVALUE(LEFT(时段出勤!C47,FIND("-",时段出勤!C47)-1)),"")</f>
        <v/>
      </c>
      <c r="E46" s="4" t="str">
        <f>IFERROR(TIMEVALUE(RIGHT(时段出勤!C47,LEN(时段出勤!C47)-FIND("-",时段出勤!C47))),"")</f>
        <v/>
      </c>
    </row>
    <row r="47" spans="4:5">
      <c r="D47" s="4" t="str">
        <f>IFERROR(TIMEVALUE(LEFT(时段出勤!C48,FIND("-",时段出勤!C48)-1)),"")</f>
        <v/>
      </c>
      <c r="E47" s="4" t="str">
        <f>IFERROR(TIMEVALUE(RIGHT(时段出勤!C48,LEN(时段出勤!C48)-FIND("-",时段出勤!C48))),"")</f>
        <v/>
      </c>
    </row>
    <row r="48" spans="4:5">
      <c r="D48" s="4" t="str">
        <f>IFERROR(TIMEVALUE(LEFT(时段出勤!C49,FIND("-",时段出勤!C49)-1)),"")</f>
        <v/>
      </c>
      <c r="E48" s="4" t="str">
        <f>IFERROR(TIMEVALUE(RIGHT(时段出勤!C49,LEN(时段出勤!C49)-FIND("-",时段出勤!C49))),"")</f>
        <v/>
      </c>
    </row>
    <row r="49" spans="4:5">
      <c r="D49" s="4" t="str">
        <f>IFERROR(TIMEVALUE(LEFT(时段出勤!C50,FIND("-",时段出勤!C50)-1)),"")</f>
        <v/>
      </c>
      <c r="E49" s="4" t="str">
        <f>IFERROR(TIMEVALUE(RIGHT(时段出勤!C50,LEN(时段出勤!C50)-FIND("-",时段出勤!C50))),"")</f>
        <v/>
      </c>
    </row>
    <row r="50" spans="4:5">
      <c r="D50" s="4" t="str">
        <f>IFERROR(TIMEVALUE(LEFT(时段出勤!C51,FIND("-",时段出勤!C51)-1)),"")</f>
        <v/>
      </c>
      <c r="E50" s="4" t="str">
        <f>IFERROR(TIMEVALUE(RIGHT(时段出勤!C51,LEN(时段出勤!C51)-FIND("-",时段出勤!C51))),"")</f>
        <v/>
      </c>
    </row>
    <row r="51" spans="4:5">
      <c r="D51" s="4" t="str">
        <f>IFERROR(TIMEVALUE(LEFT(时段出勤!C52,FIND("-",时段出勤!C52)-1)),"")</f>
        <v/>
      </c>
      <c r="E51" s="4" t="str">
        <f>IFERROR(TIMEVALUE(RIGHT(时段出勤!C52,LEN(时段出勤!C52)-FIND("-",时段出勤!C52))),"")</f>
        <v/>
      </c>
    </row>
    <row r="52" spans="4:5">
      <c r="D52" s="4" t="str">
        <f>IFERROR(TIMEVALUE(LEFT(时段出勤!C53,FIND("-",时段出勤!C53)-1)),"")</f>
        <v/>
      </c>
      <c r="E52" s="4" t="str">
        <f>IFERROR(TIMEVALUE(RIGHT(时段出勤!C53,LEN(时段出勤!C53)-FIND("-",时段出勤!C53))),"")</f>
        <v/>
      </c>
    </row>
    <row r="53" spans="4:5">
      <c r="D53" s="4" t="str">
        <f>IFERROR(TIMEVALUE(LEFT(时段出勤!C54,FIND("-",时段出勤!C54)-1)),"")</f>
        <v/>
      </c>
      <c r="E53" s="4" t="str">
        <f>IFERROR(TIMEVALUE(RIGHT(时段出勤!C54,LEN(时段出勤!C54)-FIND("-",时段出勤!C54))),"")</f>
        <v/>
      </c>
    </row>
    <row r="54" spans="4:5">
      <c r="D54" s="4" t="str">
        <f>IFERROR(TIMEVALUE(LEFT(时段出勤!C55,FIND("-",时段出勤!C55)-1)),"")</f>
        <v/>
      </c>
      <c r="E54" s="4" t="str">
        <f>IFERROR(TIMEVALUE(RIGHT(时段出勤!C55,LEN(时段出勤!C55)-FIND("-",时段出勤!C55))),"")</f>
        <v/>
      </c>
    </row>
    <row r="55" spans="4:5">
      <c r="D55" s="4" t="str">
        <f>IFERROR(TIMEVALUE(LEFT(时段出勤!C56,FIND("-",时段出勤!C56)-1)),"")</f>
        <v/>
      </c>
      <c r="E55" s="4" t="str">
        <f>IFERROR(TIMEVALUE(RIGHT(时段出勤!C56,LEN(时段出勤!C56)-FIND("-",时段出勤!C56))),"")</f>
        <v/>
      </c>
    </row>
    <row r="56" spans="4:5">
      <c r="D56" s="4" t="str">
        <f>IFERROR(TIMEVALUE(LEFT(时段出勤!C57,FIND("-",时段出勤!C57)-1)),"")</f>
        <v/>
      </c>
      <c r="E56" s="4" t="str">
        <f>IFERROR(TIMEVALUE(RIGHT(时段出勤!C57,LEN(时段出勤!C57)-FIND("-",时段出勤!C57))),"")</f>
        <v/>
      </c>
    </row>
    <row r="57" spans="4:5">
      <c r="D57" s="4" t="str">
        <f>IFERROR(TIMEVALUE(LEFT(时段出勤!C58,FIND("-",时段出勤!C58)-1)),"")</f>
        <v/>
      </c>
      <c r="E57" s="4" t="str">
        <f>IFERROR(TIMEVALUE(RIGHT(时段出勤!C58,LEN(时段出勤!C58)-FIND("-",时段出勤!C58))),"")</f>
        <v/>
      </c>
    </row>
    <row r="58" spans="4:5">
      <c r="D58" s="4" t="str">
        <f>IFERROR(TIMEVALUE(LEFT(时段出勤!C59,FIND("-",时段出勤!C59)-1)),"")</f>
        <v/>
      </c>
      <c r="E58" s="4" t="str">
        <f>IFERROR(TIMEVALUE(RIGHT(时段出勤!C59,LEN(时段出勤!C59)-FIND("-",时段出勤!C59))),"")</f>
        <v/>
      </c>
    </row>
    <row r="59" spans="4:5">
      <c r="D59" s="4" t="str">
        <f>IFERROR(TIMEVALUE(LEFT(时段出勤!C60,FIND("-",时段出勤!C60)-1)),"")</f>
        <v/>
      </c>
      <c r="E59" s="4" t="str">
        <f>IFERROR(TIMEVALUE(RIGHT(时段出勤!C60,LEN(时段出勤!C60)-FIND("-",时段出勤!C60))),"")</f>
        <v/>
      </c>
    </row>
    <row r="60" spans="4:5">
      <c r="D60" s="4" t="str">
        <f>IFERROR(TIMEVALUE(LEFT(时段出勤!C61,FIND("-",时段出勤!C61)-1)),"")</f>
        <v/>
      </c>
      <c r="E60" s="4" t="str">
        <f>IFERROR(TIMEVALUE(RIGHT(时段出勤!C61,LEN(时段出勤!C61)-FIND("-",时段出勤!C61))),"")</f>
        <v/>
      </c>
    </row>
    <row r="61" spans="4:5">
      <c r="D61" s="4" t="str">
        <f>IFERROR(TIMEVALUE(LEFT(时段出勤!C62,FIND("-",时段出勤!C62)-1)),"")</f>
        <v/>
      </c>
      <c r="E61" s="4" t="str">
        <f>IFERROR(TIMEVALUE(RIGHT(时段出勤!C62,LEN(时段出勤!C62)-FIND("-",时段出勤!C62))),"")</f>
        <v/>
      </c>
    </row>
    <row r="62" spans="4:5">
      <c r="D62" s="4" t="str">
        <f>IFERROR(TIMEVALUE(LEFT(时段出勤!C63,FIND("-",时段出勤!C63)-1)),"")</f>
        <v/>
      </c>
      <c r="E62" s="4" t="str">
        <f>IFERROR(TIMEVALUE(RIGHT(时段出勤!C63,LEN(时段出勤!C63)-FIND("-",时段出勤!C63))),"")</f>
        <v/>
      </c>
    </row>
    <row r="63" spans="4:5">
      <c r="D63" s="4" t="str">
        <f>IFERROR(TIMEVALUE(LEFT(时段出勤!C64,FIND("-",时段出勤!C64)-1)),"")</f>
        <v/>
      </c>
      <c r="E63" s="4" t="str">
        <f>IFERROR(TIMEVALUE(RIGHT(时段出勤!C64,LEN(时段出勤!C64)-FIND("-",时段出勤!C64))),"")</f>
        <v/>
      </c>
    </row>
    <row r="64" spans="4:5">
      <c r="D64" s="4" t="str">
        <f>IFERROR(TIMEVALUE(LEFT(时段出勤!C65,FIND("-",时段出勤!C65)-1)),"")</f>
        <v/>
      </c>
      <c r="E64" s="4" t="str">
        <f>IFERROR(TIMEVALUE(RIGHT(时段出勤!C65,LEN(时段出勤!C65)-FIND("-",时段出勤!C65))),"")</f>
        <v/>
      </c>
    </row>
    <row r="65" spans="4:5">
      <c r="D65" s="4" t="str">
        <f>IFERROR(TIMEVALUE(LEFT(时段出勤!C66,FIND("-",时段出勤!C66)-1)),"")</f>
        <v/>
      </c>
      <c r="E65" s="4" t="str">
        <f>IFERROR(TIMEVALUE(RIGHT(时段出勤!C66,LEN(时段出勤!C66)-FIND("-",时段出勤!C66))),"")</f>
        <v/>
      </c>
    </row>
    <row r="66" spans="4:5">
      <c r="D66" s="4" t="str">
        <f>IFERROR(TIMEVALUE(LEFT(时段出勤!C67,FIND("-",时段出勤!C67)-1)),"")</f>
        <v/>
      </c>
      <c r="E66" s="4" t="str">
        <f>IFERROR(TIMEVALUE(RIGHT(时段出勤!C67,LEN(时段出勤!C67)-FIND("-",时段出勤!C67))),"")</f>
        <v/>
      </c>
    </row>
    <row r="67" spans="4:5">
      <c r="D67" s="4" t="str">
        <f>IFERROR(TIMEVALUE(LEFT(时段出勤!C68,FIND("-",时段出勤!C68)-1)),"")</f>
        <v/>
      </c>
      <c r="E67" s="4" t="str">
        <f>IFERROR(TIMEVALUE(RIGHT(时段出勤!C68,LEN(时段出勤!C68)-FIND("-",时段出勤!C68))),"")</f>
        <v/>
      </c>
    </row>
    <row r="68" spans="4:5">
      <c r="D68" s="4" t="str">
        <f>IFERROR(TIMEVALUE(LEFT(时段出勤!C69,FIND("-",时段出勤!C69)-1)),"")</f>
        <v/>
      </c>
      <c r="E68" s="4" t="str">
        <f>IFERROR(TIMEVALUE(RIGHT(时段出勤!C69,LEN(时段出勤!C69)-FIND("-",时段出勤!C69))),"")</f>
        <v/>
      </c>
    </row>
    <row r="69" spans="4:5">
      <c r="D69" s="4" t="str">
        <f>IFERROR(TIMEVALUE(LEFT(时段出勤!C70,FIND("-",时段出勤!C70)-1)),"")</f>
        <v/>
      </c>
      <c r="E69" s="4" t="str">
        <f>IFERROR(TIMEVALUE(RIGHT(时段出勤!C70,LEN(时段出勤!C70)-FIND("-",时段出勤!C70))),"")</f>
        <v/>
      </c>
    </row>
    <row r="70" spans="4:5">
      <c r="D70" s="4" t="str">
        <f>IFERROR(TIMEVALUE(LEFT(时段出勤!C71,FIND("-",时段出勤!C71)-1)),"")</f>
        <v/>
      </c>
      <c r="E70" s="4" t="str">
        <f>IFERROR(TIMEVALUE(RIGHT(时段出勤!C71,LEN(时段出勤!C71)-FIND("-",时段出勤!C71))),"")</f>
        <v/>
      </c>
    </row>
    <row r="71" spans="4:5">
      <c r="D71" s="4" t="str">
        <f>IFERROR(TIMEVALUE(LEFT(时段出勤!C72,FIND("-",时段出勤!C72)-1)),"")</f>
        <v/>
      </c>
      <c r="E71" s="4" t="str">
        <f>IFERROR(TIMEVALUE(RIGHT(时段出勤!C72,LEN(时段出勤!C72)-FIND("-",时段出勤!C72))),"")</f>
        <v/>
      </c>
    </row>
    <row r="72" spans="4:5">
      <c r="D72" s="4" t="str">
        <f>IFERROR(TIMEVALUE(LEFT(时段出勤!C73,FIND("-",时段出勤!C73)-1)),"")</f>
        <v/>
      </c>
      <c r="E72" s="4" t="str">
        <f>IFERROR(TIMEVALUE(RIGHT(时段出勤!C73,LEN(时段出勤!C73)-FIND("-",时段出勤!C73))),"")</f>
        <v/>
      </c>
    </row>
    <row r="73" spans="4:5">
      <c r="D73" s="4" t="str">
        <f>IFERROR(TIMEVALUE(LEFT(时段出勤!C74,FIND("-",时段出勤!C74)-1)),"")</f>
        <v/>
      </c>
      <c r="E73" s="4" t="str">
        <f>IFERROR(TIMEVALUE(RIGHT(时段出勤!C74,LEN(时段出勤!C74)-FIND("-",时段出勤!C74))),"")</f>
        <v/>
      </c>
    </row>
    <row r="74" spans="4:5">
      <c r="D74" s="4" t="str">
        <f>IFERROR(TIMEVALUE(LEFT(时段出勤!C75,FIND("-",时段出勤!C75)-1)),"")</f>
        <v/>
      </c>
      <c r="E74" s="4" t="str">
        <f>IFERROR(TIMEVALUE(RIGHT(时段出勤!C75,LEN(时段出勤!C75)-FIND("-",时段出勤!C75))),"")</f>
        <v/>
      </c>
    </row>
    <row r="75" spans="4:5">
      <c r="D75" s="4" t="str">
        <f>IFERROR(TIMEVALUE(LEFT(时段出勤!C76,FIND("-",时段出勤!C76)-1)),"")</f>
        <v/>
      </c>
      <c r="E75" s="4" t="str">
        <f>IFERROR(TIMEVALUE(RIGHT(时段出勤!C76,LEN(时段出勤!C76)-FIND("-",时段出勤!C76))),"")</f>
        <v/>
      </c>
    </row>
    <row r="76" spans="4:5">
      <c r="D76" s="4" t="str">
        <f>IFERROR(TIMEVALUE(LEFT(时段出勤!C77,FIND("-",时段出勤!C77)-1)),"")</f>
        <v/>
      </c>
      <c r="E76" s="4" t="str">
        <f>IFERROR(TIMEVALUE(RIGHT(时段出勤!C77,LEN(时段出勤!C77)-FIND("-",时段出勤!C77))),"")</f>
        <v/>
      </c>
    </row>
    <row r="77" spans="4:5">
      <c r="D77" s="4" t="str">
        <f>IFERROR(TIMEVALUE(LEFT(时段出勤!C78,FIND("-",时段出勤!C78)-1)),"")</f>
        <v/>
      </c>
      <c r="E77" s="4" t="str">
        <f>IFERROR(TIMEVALUE(RIGHT(时段出勤!C78,LEN(时段出勤!C78)-FIND("-",时段出勤!C78))),"")</f>
        <v/>
      </c>
    </row>
    <row r="78" spans="4:5">
      <c r="D78" s="4" t="str">
        <f>IFERROR(TIMEVALUE(LEFT(时段出勤!C79,FIND("-",时段出勤!C79)-1)),"")</f>
        <v/>
      </c>
      <c r="E78" s="4" t="str">
        <f>IFERROR(TIMEVALUE(RIGHT(时段出勤!C79,LEN(时段出勤!C79)-FIND("-",时段出勤!C79))),"")</f>
        <v/>
      </c>
    </row>
    <row r="79" spans="4:5">
      <c r="D79" s="4" t="str">
        <f>IFERROR(TIMEVALUE(LEFT(时段出勤!C80,FIND("-",时段出勤!C80)-1)),"")</f>
        <v/>
      </c>
      <c r="E79" s="4" t="str">
        <f>IFERROR(TIMEVALUE(RIGHT(时段出勤!C80,LEN(时段出勤!C80)-FIND("-",时段出勤!C80))),"")</f>
        <v/>
      </c>
    </row>
    <row r="80" spans="4:5">
      <c r="D80" s="4" t="str">
        <f>IFERROR(TIMEVALUE(LEFT(时段出勤!C81,FIND("-",时段出勤!C81)-1)),"")</f>
        <v/>
      </c>
      <c r="E80" s="4" t="str">
        <f>IFERROR(TIMEVALUE(RIGHT(时段出勤!C81,LEN(时段出勤!C81)-FIND("-",时段出勤!C81))),"")</f>
        <v/>
      </c>
    </row>
    <row r="81" spans="4:5">
      <c r="D81" s="4" t="str">
        <f>IFERROR(TIMEVALUE(LEFT(时段出勤!C82,FIND("-",时段出勤!C82)-1)),"")</f>
        <v/>
      </c>
      <c r="E81" s="4" t="str">
        <f>IFERROR(TIMEVALUE(RIGHT(时段出勤!C82,LEN(时段出勤!C82)-FIND("-",时段出勤!C82))),"")</f>
        <v/>
      </c>
    </row>
    <row r="82" spans="4:5">
      <c r="D82" s="4" t="str">
        <f>IFERROR(TIMEVALUE(LEFT(时段出勤!C83,FIND("-",时段出勤!C83)-1)),"")</f>
        <v/>
      </c>
      <c r="E82" s="4" t="str">
        <f>IFERROR(TIMEVALUE(RIGHT(时段出勤!C83,LEN(时段出勤!C83)-FIND("-",时段出勤!C83))),"")</f>
        <v/>
      </c>
    </row>
    <row r="83" spans="4:5">
      <c r="D83" s="4" t="str">
        <f>IFERROR(TIMEVALUE(LEFT(时段出勤!C84,FIND("-",时段出勤!C84)-1)),"")</f>
        <v/>
      </c>
      <c r="E83" s="4" t="str">
        <f>IFERROR(TIMEVALUE(RIGHT(时段出勤!C84,LEN(时段出勤!C84)-FIND("-",时段出勤!C84))),"")</f>
        <v/>
      </c>
    </row>
    <row r="84" spans="4:5">
      <c r="D84" s="4" t="str">
        <f>IFERROR(TIMEVALUE(LEFT(时段出勤!C85,FIND("-",时段出勤!C85)-1)),"")</f>
        <v/>
      </c>
      <c r="E84" s="4" t="str">
        <f>IFERROR(TIMEVALUE(RIGHT(时段出勤!C85,LEN(时段出勤!C85)-FIND("-",时段出勤!C85))),"")</f>
        <v/>
      </c>
    </row>
    <row r="85" spans="4:5">
      <c r="D85" s="4" t="str">
        <f>IFERROR(TIMEVALUE(LEFT(时段出勤!C86,FIND("-",时段出勤!C86)-1)),"")</f>
        <v/>
      </c>
      <c r="E85" s="4" t="str">
        <f>IFERROR(TIMEVALUE(RIGHT(时段出勤!C86,LEN(时段出勤!C86)-FIND("-",时段出勤!C86))),"")</f>
        <v/>
      </c>
    </row>
    <row r="86" spans="4:5">
      <c r="D86" s="4" t="str">
        <f>IFERROR(TIMEVALUE(LEFT(时段出勤!C87,FIND("-",时段出勤!C87)-1)),"")</f>
        <v/>
      </c>
      <c r="E86" s="4" t="str">
        <f>IFERROR(TIMEVALUE(RIGHT(时段出勤!C87,LEN(时段出勤!C87)-FIND("-",时段出勤!C87))),"")</f>
        <v/>
      </c>
    </row>
    <row r="87" spans="4:5">
      <c r="D87" s="4" t="str">
        <f>IFERROR(TIMEVALUE(LEFT(时段出勤!C88,FIND("-",时段出勤!C88)-1)),"")</f>
        <v/>
      </c>
      <c r="E87" s="4" t="str">
        <f>IFERROR(TIMEVALUE(RIGHT(时段出勤!C88,LEN(时段出勤!C88)-FIND("-",时段出勤!C88))),"")</f>
        <v/>
      </c>
    </row>
    <row r="88" spans="4:5">
      <c r="D88" s="4" t="str">
        <f>IFERROR(TIMEVALUE(LEFT(时段出勤!C89,FIND("-",时段出勤!C89)-1)),"")</f>
        <v/>
      </c>
      <c r="E88" s="4" t="str">
        <f>IFERROR(TIMEVALUE(RIGHT(时段出勤!C89,LEN(时段出勤!C89)-FIND("-",时段出勤!C89))),"")</f>
        <v/>
      </c>
    </row>
    <row r="89" spans="4:5">
      <c r="D89" s="4" t="str">
        <f>IFERROR(TIMEVALUE(LEFT(时段出勤!C90,FIND("-",时段出勤!C90)-1)),"")</f>
        <v/>
      </c>
      <c r="E89" s="4" t="str">
        <f>IFERROR(TIMEVALUE(RIGHT(时段出勤!C90,LEN(时段出勤!C90)-FIND("-",时段出勤!C90))),"")</f>
        <v/>
      </c>
    </row>
    <row r="90" spans="4:5">
      <c r="D90" s="4" t="str">
        <f>IFERROR(TIMEVALUE(LEFT(时段出勤!C91,FIND("-",时段出勤!C91)-1)),"")</f>
        <v/>
      </c>
      <c r="E90" s="4" t="str">
        <f>IFERROR(TIMEVALUE(RIGHT(时段出勤!C91,LEN(时段出勤!C91)-FIND("-",时段出勤!C91))),"")</f>
        <v/>
      </c>
    </row>
    <row r="91" spans="4:5">
      <c r="D91" s="4" t="str">
        <f>IFERROR(TIMEVALUE(LEFT(时段出勤!C92,FIND("-",时段出勤!C92)-1)),"")</f>
        <v/>
      </c>
      <c r="E91" s="4" t="str">
        <f>IFERROR(TIMEVALUE(RIGHT(时段出勤!C92,LEN(时段出勤!C92)-FIND("-",时段出勤!C92))),"")</f>
        <v/>
      </c>
    </row>
    <row r="92" spans="4:5">
      <c r="D92" s="4" t="str">
        <f>IFERROR(TIMEVALUE(LEFT(时段出勤!C93,FIND("-",时段出勤!C93)-1)),"")</f>
        <v/>
      </c>
      <c r="E92" s="4" t="str">
        <f>IFERROR(TIMEVALUE(RIGHT(时段出勤!C93,LEN(时段出勤!C93)-FIND("-",时段出勤!C93))),"")</f>
        <v/>
      </c>
    </row>
    <row r="93" spans="4:5">
      <c r="D93" s="4" t="str">
        <f>IFERROR(TIMEVALUE(LEFT(时段出勤!C94,FIND("-",时段出勤!C94)-1)),"")</f>
        <v/>
      </c>
      <c r="E93" s="4" t="str">
        <f>IFERROR(TIMEVALUE(RIGHT(时段出勤!C94,LEN(时段出勤!C94)-FIND("-",时段出勤!C94))),"")</f>
        <v/>
      </c>
    </row>
    <row r="94" spans="4:5">
      <c r="D94" s="4" t="str">
        <f>IFERROR(TIMEVALUE(LEFT(时段出勤!C95,FIND("-",时段出勤!C95)-1)),"")</f>
        <v/>
      </c>
      <c r="E94" s="4" t="str">
        <f>IFERROR(TIMEVALUE(RIGHT(时段出勤!C95,LEN(时段出勤!C95)-FIND("-",时段出勤!C95))),"")</f>
        <v/>
      </c>
    </row>
    <row r="95" spans="4:5">
      <c r="D95" s="4" t="str">
        <f>IFERROR(TIMEVALUE(LEFT(时段出勤!C96,FIND("-",时段出勤!C96)-1)),"")</f>
        <v/>
      </c>
      <c r="E95" s="4" t="str">
        <f>IFERROR(TIMEVALUE(RIGHT(时段出勤!C96,LEN(时段出勤!C96)-FIND("-",时段出勤!C96))),"")</f>
        <v/>
      </c>
    </row>
    <row r="96" spans="4:5">
      <c r="D96" s="4" t="str">
        <f>IFERROR(TIMEVALUE(LEFT(时段出勤!C97,FIND("-",时段出勤!C97)-1)),"")</f>
        <v/>
      </c>
      <c r="E96" s="4" t="str">
        <f>IFERROR(TIMEVALUE(RIGHT(时段出勤!C97,LEN(时段出勤!C97)-FIND("-",时段出勤!C97))),"")</f>
        <v/>
      </c>
    </row>
    <row r="97" spans="4:5">
      <c r="D97" s="4" t="str">
        <f>IFERROR(TIMEVALUE(LEFT(时段出勤!C98,FIND("-",时段出勤!C98)-1)),"")</f>
        <v/>
      </c>
      <c r="E97" s="4" t="str">
        <f>IFERROR(TIMEVALUE(RIGHT(时段出勤!C98,LEN(时段出勤!C98)-FIND("-",时段出勤!C98))),"")</f>
        <v/>
      </c>
    </row>
    <row r="98" spans="4:5">
      <c r="D98" s="4" t="str">
        <f>IFERROR(TIMEVALUE(LEFT(时段出勤!C99,FIND("-",时段出勤!C99)-1)),"")</f>
        <v/>
      </c>
      <c r="E98" s="4" t="str">
        <f>IFERROR(TIMEVALUE(RIGHT(时段出勤!C99,LEN(时段出勤!C99)-FIND("-",时段出勤!C99))),"")</f>
        <v/>
      </c>
    </row>
    <row r="99" spans="4:5">
      <c r="D99" s="4" t="str">
        <f>IFERROR(TIMEVALUE(LEFT(时段出勤!C100,FIND("-",时段出勤!C100)-1)),"")</f>
        <v/>
      </c>
      <c r="E99" s="4" t="str">
        <f>IFERROR(TIMEVALUE(RIGHT(时段出勤!C100,LEN(时段出勤!C100)-FIND("-",时段出勤!C100))),"")</f>
        <v/>
      </c>
    </row>
    <row r="100" spans="4:5">
      <c r="D100" s="4" t="str">
        <f>IFERROR(TIMEVALUE(LEFT(时段出勤!C101,FIND("-",时段出勤!C101)-1)),"")</f>
        <v/>
      </c>
      <c r="E100" s="4" t="str">
        <f>IFERROR(TIMEVALUE(RIGHT(时段出勤!C101,LEN(时段出勤!C101)-FIND("-",时段出勤!C101))),"")</f>
        <v/>
      </c>
    </row>
    <row r="101" spans="4:5">
      <c r="D101" s="4" t="str">
        <f>IFERROR(TIMEVALUE(LEFT(时段出勤!C102,FIND("-",时段出勤!C102)-1)),"")</f>
        <v/>
      </c>
      <c r="E101" s="4" t="str">
        <f>IFERROR(TIMEVALUE(RIGHT(时段出勤!C102,LEN(时段出勤!C102)-FIND("-",时段出勤!C102))),"")</f>
        <v/>
      </c>
    </row>
    <row r="102" spans="4:5">
      <c r="D102" s="4" t="str">
        <f>IFERROR(TIMEVALUE(LEFT(时段出勤!C103,FIND("-",时段出勤!C103)-1)),"")</f>
        <v/>
      </c>
      <c r="E102" s="4" t="str">
        <f>IFERROR(TIMEVALUE(RIGHT(时段出勤!C103,LEN(时段出勤!C103)-FIND("-",时段出勤!C103))),"")</f>
        <v/>
      </c>
    </row>
    <row r="103" spans="4:5">
      <c r="D103" s="4" t="str">
        <f>IFERROR(TIMEVALUE(LEFT(时段出勤!C104,FIND("-",时段出勤!C104)-1)),"")</f>
        <v/>
      </c>
      <c r="E103" s="4" t="str">
        <f>IFERROR(TIMEVALUE(RIGHT(时段出勤!C104,LEN(时段出勤!C104)-FIND("-",时段出勤!C104))),"")</f>
        <v/>
      </c>
    </row>
    <row r="104" spans="4:5">
      <c r="D104" s="4" t="str">
        <f>IFERROR(TIMEVALUE(LEFT(时段出勤!C105,FIND("-",时段出勤!C105)-1)),"")</f>
        <v/>
      </c>
      <c r="E104" s="4" t="str">
        <f>IFERROR(TIMEVALUE(RIGHT(时段出勤!C105,LEN(时段出勤!C105)-FIND("-",时段出勤!C105))),"")</f>
        <v/>
      </c>
    </row>
    <row r="105" spans="4:5">
      <c r="D105" s="4" t="str">
        <f>IFERROR(TIMEVALUE(LEFT(时段出勤!C106,FIND("-",时段出勤!C106)-1)),"")</f>
        <v/>
      </c>
      <c r="E105" s="4" t="str">
        <f>IFERROR(TIMEVALUE(RIGHT(时段出勤!C106,LEN(时段出勤!C106)-FIND("-",时段出勤!C106))),"")</f>
        <v/>
      </c>
    </row>
    <row r="106" spans="4:5">
      <c r="D106" s="4" t="str">
        <f>IFERROR(TIMEVALUE(LEFT(时段出勤!C107,FIND("-",时段出勤!C107)-1)),"")</f>
        <v/>
      </c>
      <c r="E106" s="4" t="str">
        <f>IFERROR(TIMEVALUE(RIGHT(时段出勤!C107,LEN(时段出勤!C107)-FIND("-",时段出勤!C107))),"")</f>
        <v/>
      </c>
    </row>
    <row r="107" spans="4:5">
      <c r="D107" s="4" t="str">
        <f>IFERROR(TIMEVALUE(LEFT(时段出勤!C108,FIND("-",时段出勤!C108)-1)),"")</f>
        <v/>
      </c>
      <c r="E107" s="4" t="str">
        <f>IFERROR(TIMEVALUE(RIGHT(时段出勤!C108,LEN(时段出勤!C108)-FIND("-",时段出勤!C108))),"")</f>
        <v/>
      </c>
    </row>
    <row r="108" spans="4:5">
      <c r="D108" s="4" t="str">
        <f>IFERROR(TIMEVALUE(LEFT(时段出勤!C109,FIND("-",时段出勤!C109)-1)),"")</f>
        <v/>
      </c>
      <c r="E108" s="4" t="str">
        <f>IFERROR(TIMEVALUE(RIGHT(时段出勤!C109,LEN(时段出勤!C109)-FIND("-",时段出勤!C109))),"")</f>
        <v/>
      </c>
    </row>
    <row r="109" spans="4:5">
      <c r="D109" s="4" t="str">
        <f>IFERROR(TIMEVALUE(LEFT(时段出勤!C110,FIND("-",时段出勤!C110)-1)),"")</f>
        <v/>
      </c>
      <c r="E109" s="4" t="str">
        <f>IFERROR(TIMEVALUE(RIGHT(时段出勤!C110,LEN(时段出勤!C110)-FIND("-",时段出勤!C110))),"")</f>
        <v/>
      </c>
    </row>
    <row r="110" spans="4:5">
      <c r="D110" s="4" t="str">
        <f>IFERROR(TIMEVALUE(LEFT(时段出勤!C111,FIND("-",时段出勤!C111)-1)),"")</f>
        <v/>
      </c>
      <c r="E110" s="4" t="str">
        <f>IFERROR(TIMEVALUE(RIGHT(时段出勤!C111,LEN(时段出勤!C111)-FIND("-",时段出勤!C111))),"")</f>
        <v/>
      </c>
    </row>
    <row r="111" spans="4:5">
      <c r="D111" s="4" t="str">
        <f>IFERROR(TIMEVALUE(LEFT(时段出勤!C112,FIND("-",时段出勤!C112)-1)),"")</f>
        <v/>
      </c>
      <c r="E111" s="4" t="str">
        <f>IFERROR(TIMEVALUE(RIGHT(时段出勤!C112,LEN(时段出勤!C112)-FIND("-",时段出勤!C112))),"")</f>
        <v/>
      </c>
    </row>
    <row r="112" spans="4:5">
      <c r="D112" s="4" t="str">
        <f>IFERROR(TIMEVALUE(LEFT(时段出勤!C113,FIND("-",时段出勤!C113)-1)),"")</f>
        <v/>
      </c>
      <c r="E112" s="4" t="str">
        <f>IFERROR(TIMEVALUE(RIGHT(时段出勤!C113,LEN(时段出勤!C113)-FIND("-",时段出勤!C113))),"")</f>
        <v/>
      </c>
    </row>
    <row r="113" spans="4:5">
      <c r="D113" s="4" t="str">
        <f>IFERROR(TIMEVALUE(LEFT(时段出勤!C114,FIND("-",时段出勤!C114)-1)),"")</f>
        <v/>
      </c>
      <c r="E113" s="4" t="str">
        <f>IFERROR(TIMEVALUE(RIGHT(时段出勤!C114,LEN(时段出勤!C114)-FIND("-",时段出勤!C114))),"")</f>
        <v/>
      </c>
    </row>
    <row r="114" spans="4:5">
      <c r="D114" s="4" t="str">
        <f>IFERROR(TIMEVALUE(LEFT(时段出勤!C115,FIND("-",时段出勤!C115)-1)),"")</f>
        <v/>
      </c>
      <c r="E114" s="4" t="str">
        <f>IFERROR(TIMEVALUE(RIGHT(时段出勤!C115,LEN(时段出勤!C115)-FIND("-",时段出勤!C115))),"")</f>
        <v/>
      </c>
    </row>
    <row r="115" spans="4:5">
      <c r="D115" s="4" t="str">
        <f>IFERROR(TIMEVALUE(LEFT(时段出勤!C116,FIND("-",时段出勤!C116)-1)),"")</f>
        <v/>
      </c>
      <c r="E115" s="4" t="str">
        <f>IFERROR(TIMEVALUE(RIGHT(时段出勤!C116,LEN(时段出勤!C116)-FIND("-",时段出勤!C116))),"")</f>
        <v/>
      </c>
    </row>
    <row r="116" spans="4:5">
      <c r="D116" s="4" t="str">
        <f>IFERROR(TIMEVALUE(LEFT(时段出勤!C117,FIND("-",时段出勤!C117)-1)),"")</f>
        <v/>
      </c>
      <c r="E116" s="4" t="str">
        <f>IFERROR(TIMEVALUE(RIGHT(时段出勤!C117,LEN(时段出勤!C117)-FIND("-",时段出勤!C117))),"")</f>
        <v/>
      </c>
    </row>
    <row r="117" spans="4:5">
      <c r="D117" s="4" t="str">
        <f>IFERROR(TIMEVALUE(LEFT(时段出勤!C118,FIND("-",时段出勤!C118)-1)),"")</f>
        <v/>
      </c>
      <c r="E117" s="4" t="str">
        <f>IFERROR(TIMEVALUE(RIGHT(时段出勤!C118,LEN(时段出勤!C118)-FIND("-",时段出勤!C118))),"")</f>
        <v/>
      </c>
    </row>
    <row r="118" spans="4:5">
      <c r="D118" s="4" t="str">
        <f>IFERROR(TIMEVALUE(LEFT(时段出勤!C119,FIND("-",时段出勤!C119)-1)),"")</f>
        <v/>
      </c>
      <c r="E118" s="4" t="str">
        <f>IFERROR(TIMEVALUE(RIGHT(时段出勤!C119,LEN(时段出勤!C119)-FIND("-",时段出勤!C119))),"")</f>
        <v/>
      </c>
    </row>
    <row r="119" spans="4:5">
      <c r="D119" s="4" t="str">
        <f>IFERROR(TIMEVALUE(LEFT(时段出勤!C120,FIND("-",时段出勤!C120)-1)),"")</f>
        <v/>
      </c>
      <c r="E119" s="4" t="str">
        <f>IFERROR(TIMEVALUE(RIGHT(时段出勤!C120,LEN(时段出勤!C120)-FIND("-",时段出勤!C120))),"")</f>
        <v/>
      </c>
    </row>
    <row r="120" spans="4:5">
      <c r="D120" s="4" t="str">
        <f>IFERROR(TIMEVALUE(LEFT(时段出勤!C121,FIND("-",时段出勤!C121)-1)),"")</f>
        <v/>
      </c>
      <c r="E120" s="4" t="str">
        <f>IFERROR(TIMEVALUE(RIGHT(时段出勤!C121,LEN(时段出勤!C121)-FIND("-",时段出勤!C121))),"")</f>
        <v/>
      </c>
    </row>
    <row r="121" spans="4:5">
      <c r="D121" s="4" t="str">
        <f>IFERROR(TIMEVALUE(LEFT(时段出勤!C122,FIND("-",时段出勤!C122)-1)),"")</f>
        <v/>
      </c>
      <c r="E121" s="4" t="str">
        <f>IFERROR(TIMEVALUE(RIGHT(时段出勤!C122,LEN(时段出勤!C122)-FIND("-",时段出勤!C122))),"")</f>
        <v/>
      </c>
    </row>
    <row r="122" spans="4:5">
      <c r="D122" s="4" t="str">
        <f>IFERROR(TIMEVALUE(LEFT(时段出勤!C123,FIND("-",时段出勤!C123)-1)),"")</f>
        <v/>
      </c>
      <c r="E122" s="4" t="str">
        <f>IFERROR(TIMEVALUE(RIGHT(时段出勤!C123,LEN(时段出勤!C123)-FIND("-",时段出勤!C123))),"")</f>
        <v/>
      </c>
    </row>
    <row r="123" spans="4:5">
      <c r="D123" s="4" t="str">
        <f>IFERROR(TIMEVALUE(LEFT(时段出勤!C124,FIND("-",时段出勤!C124)-1)),"")</f>
        <v/>
      </c>
      <c r="E123" s="4" t="str">
        <f>IFERROR(TIMEVALUE(RIGHT(时段出勤!C124,LEN(时段出勤!C124)-FIND("-",时段出勤!C124))),"")</f>
        <v/>
      </c>
    </row>
    <row r="124" spans="4:5">
      <c r="D124" s="4" t="str">
        <f>IFERROR(TIMEVALUE(LEFT(时段出勤!C125,FIND("-",时段出勤!C125)-1)),"")</f>
        <v/>
      </c>
      <c r="E124" s="4" t="str">
        <f>IFERROR(TIMEVALUE(RIGHT(时段出勤!C125,LEN(时段出勤!C125)-FIND("-",时段出勤!C125))),"")</f>
        <v/>
      </c>
    </row>
    <row r="125" spans="4:5">
      <c r="D125" s="4" t="str">
        <f>IFERROR(TIMEVALUE(LEFT(时段出勤!C126,FIND("-",时段出勤!C126)-1)),"")</f>
        <v/>
      </c>
      <c r="E125" s="4" t="str">
        <f>IFERROR(TIMEVALUE(RIGHT(时段出勤!C126,LEN(时段出勤!C126)-FIND("-",时段出勤!C126))),"")</f>
        <v/>
      </c>
    </row>
    <row r="126" spans="4:5">
      <c r="D126" s="4" t="str">
        <f>IFERROR(TIMEVALUE(LEFT(时段出勤!C127,FIND("-",时段出勤!C127)-1)),"")</f>
        <v/>
      </c>
      <c r="E126" s="4" t="str">
        <f>IFERROR(TIMEVALUE(RIGHT(时段出勤!C127,LEN(时段出勤!C127)-FIND("-",时段出勤!C127))),"")</f>
        <v/>
      </c>
    </row>
    <row r="127" spans="4:5">
      <c r="D127" s="4" t="str">
        <f>IFERROR(TIMEVALUE(LEFT(时段出勤!C128,FIND("-",时段出勤!C128)-1)),"")</f>
        <v/>
      </c>
      <c r="E127" s="4" t="str">
        <f>IFERROR(TIMEVALUE(RIGHT(时段出勤!C128,LEN(时段出勤!C128)-FIND("-",时段出勤!C128))),"")</f>
        <v/>
      </c>
    </row>
    <row r="128" spans="4:5">
      <c r="D128" s="4" t="str">
        <f>IFERROR(TIMEVALUE(LEFT(时段出勤!C129,FIND("-",时段出勤!C129)-1)),"")</f>
        <v/>
      </c>
      <c r="E128" s="4" t="str">
        <f>IFERROR(TIMEVALUE(RIGHT(时段出勤!C129,LEN(时段出勤!C129)-FIND("-",时段出勤!C129))),"")</f>
        <v/>
      </c>
    </row>
    <row r="129" spans="4:5">
      <c r="D129" s="4" t="str">
        <f>IFERROR(TIMEVALUE(LEFT(时段出勤!C130,FIND("-",时段出勤!C130)-1)),"")</f>
        <v/>
      </c>
      <c r="E129" s="4" t="str">
        <f>IFERROR(TIMEVALUE(RIGHT(时段出勤!C130,LEN(时段出勤!C130)-FIND("-",时段出勤!C130))),"")</f>
        <v/>
      </c>
    </row>
    <row r="130" spans="4:5">
      <c r="D130" s="4" t="str">
        <f>IFERROR(TIMEVALUE(LEFT(时段出勤!C131,FIND("-",时段出勤!C131)-1)),"")</f>
        <v/>
      </c>
      <c r="E130" s="4" t="str">
        <f>IFERROR(TIMEVALUE(RIGHT(时段出勤!C131,LEN(时段出勤!C131)-FIND("-",时段出勤!C131))),"")</f>
        <v/>
      </c>
    </row>
    <row r="131" spans="4:5">
      <c r="D131" s="4" t="str">
        <f>IFERROR(TIMEVALUE(LEFT(时段出勤!C132,FIND("-",时段出勤!C132)-1)),"")</f>
        <v/>
      </c>
      <c r="E131" s="4" t="str">
        <f>IFERROR(TIMEVALUE(RIGHT(时段出勤!C132,LEN(时段出勤!C132)-FIND("-",时段出勤!C132))),"")</f>
        <v/>
      </c>
    </row>
    <row r="132" spans="4:5">
      <c r="D132" s="4" t="str">
        <f>IFERROR(TIMEVALUE(LEFT(时段出勤!C133,FIND("-",时段出勤!C133)-1)),"")</f>
        <v/>
      </c>
      <c r="E132" s="4" t="str">
        <f>IFERROR(TIMEVALUE(RIGHT(时段出勤!C133,LEN(时段出勤!C133)-FIND("-",时段出勤!C133))),"")</f>
        <v/>
      </c>
    </row>
    <row r="133" spans="4:5">
      <c r="D133" s="4" t="str">
        <f>IFERROR(TIMEVALUE(LEFT(时段出勤!C134,FIND("-",时段出勤!C134)-1)),"")</f>
        <v/>
      </c>
      <c r="E133" s="4" t="str">
        <f>IFERROR(TIMEVALUE(RIGHT(时段出勤!C134,LEN(时段出勤!C134)-FIND("-",时段出勤!C134))),"")</f>
        <v/>
      </c>
    </row>
    <row r="134" spans="4:5">
      <c r="D134" s="4" t="str">
        <f>IFERROR(TIMEVALUE(LEFT(时段出勤!C135,FIND("-",时段出勤!C135)-1)),"")</f>
        <v/>
      </c>
      <c r="E134" s="4" t="str">
        <f>IFERROR(TIMEVALUE(RIGHT(时段出勤!C135,LEN(时段出勤!C135)-FIND("-",时段出勤!C135))),"")</f>
        <v/>
      </c>
    </row>
    <row r="135" spans="4:5">
      <c r="D135" s="4" t="str">
        <f>IFERROR(TIMEVALUE(LEFT(时段出勤!C136,FIND("-",时段出勤!C136)-1)),"")</f>
        <v/>
      </c>
      <c r="E135" s="4" t="str">
        <f>IFERROR(TIMEVALUE(RIGHT(时段出勤!C136,LEN(时段出勤!C136)-FIND("-",时段出勤!C136))),"")</f>
        <v/>
      </c>
    </row>
    <row r="136" spans="4:5">
      <c r="D136" s="4" t="str">
        <f>IFERROR(TIMEVALUE(LEFT(时段出勤!C137,FIND("-",时段出勤!C137)-1)),"")</f>
        <v/>
      </c>
      <c r="E136" s="4" t="str">
        <f>IFERROR(TIMEVALUE(RIGHT(时段出勤!C137,LEN(时段出勤!C137)-FIND("-",时段出勤!C137))),"")</f>
        <v/>
      </c>
    </row>
    <row r="137" spans="4:5">
      <c r="D137" s="4" t="str">
        <f>IFERROR(TIMEVALUE(LEFT(时段出勤!C138,FIND("-",时段出勤!C138)-1)),"")</f>
        <v/>
      </c>
      <c r="E137" s="4" t="str">
        <f>IFERROR(TIMEVALUE(RIGHT(时段出勤!C138,LEN(时段出勤!C138)-FIND("-",时段出勤!C138))),"")</f>
        <v/>
      </c>
    </row>
    <row r="138" spans="4:5">
      <c r="D138" s="4" t="str">
        <f>IFERROR(TIMEVALUE(LEFT(时段出勤!C139,FIND("-",时段出勤!C139)-1)),"")</f>
        <v/>
      </c>
      <c r="E138" s="4" t="str">
        <f>IFERROR(TIMEVALUE(RIGHT(时段出勤!C139,LEN(时段出勤!C139)-FIND("-",时段出勤!C139))),"")</f>
        <v/>
      </c>
    </row>
    <row r="139" spans="4:5">
      <c r="D139" s="4" t="str">
        <f>IFERROR(TIMEVALUE(LEFT(时段出勤!C140,FIND("-",时段出勤!C140)-1)),"")</f>
        <v/>
      </c>
      <c r="E139" s="4" t="str">
        <f>IFERROR(TIMEVALUE(RIGHT(时段出勤!C140,LEN(时段出勤!C140)-FIND("-",时段出勤!C140))),"")</f>
        <v/>
      </c>
    </row>
    <row r="140" spans="4:5">
      <c r="D140" s="4" t="str">
        <f>IFERROR(TIMEVALUE(LEFT(时段出勤!C141,FIND("-",时段出勤!C141)-1)),"")</f>
        <v/>
      </c>
      <c r="E140" s="4" t="str">
        <f>IFERROR(TIMEVALUE(RIGHT(时段出勤!C141,LEN(时段出勤!C141)-FIND("-",时段出勤!C141))),"")</f>
        <v/>
      </c>
    </row>
    <row r="141" spans="4:5">
      <c r="D141" s="4" t="str">
        <f>IFERROR(TIMEVALUE(LEFT(时段出勤!C142,FIND("-",时段出勤!C142)-1)),"")</f>
        <v/>
      </c>
      <c r="E141" s="4" t="str">
        <f>IFERROR(TIMEVALUE(RIGHT(时段出勤!C142,LEN(时段出勤!C142)-FIND("-",时段出勤!C142))),"")</f>
        <v/>
      </c>
    </row>
    <row r="142" spans="4:5">
      <c r="D142" s="4" t="str">
        <f>IFERROR(TIMEVALUE(LEFT(时段出勤!C143,FIND("-",时段出勤!C143)-1)),"")</f>
        <v/>
      </c>
      <c r="E142" s="4" t="str">
        <f>IFERROR(TIMEVALUE(RIGHT(时段出勤!C143,LEN(时段出勤!C143)-FIND("-",时段出勤!C143))),"")</f>
        <v/>
      </c>
    </row>
    <row r="143" spans="4:5">
      <c r="D143" s="4" t="str">
        <f>IFERROR(TIMEVALUE(LEFT(时段出勤!C144,FIND("-",时段出勤!C144)-1)),"")</f>
        <v/>
      </c>
      <c r="E143" s="4" t="str">
        <f>IFERROR(TIMEVALUE(RIGHT(时段出勤!C144,LEN(时段出勤!C144)-FIND("-",时段出勤!C144))),"")</f>
        <v/>
      </c>
    </row>
    <row r="144" spans="4:5">
      <c r="D144" s="4" t="str">
        <f>IFERROR(TIMEVALUE(LEFT(时段出勤!C145,FIND("-",时段出勤!C145)-1)),"")</f>
        <v/>
      </c>
      <c r="E144" s="4" t="str">
        <f>IFERROR(TIMEVALUE(RIGHT(时段出勤!C145,LEN(时段出勤!C145)-FIND("-",时段出勤!C145))),"")</f>
        <v/>
      </c>
    </row>
    <row r="145" spans="4:5">
      <c r="D145" s="4" t="str">
        <f>IFERROR(TIMEVALUE(LEFT(时段出勤!C146,FIND("-",时段出勤!C146)-1)),"")</f>
        <v/>
      </c>
      <c r="E145" s="4" t="str">
        <f>IFERROR(TIMEVALUE(RIGHT(时段出勤!C146,LEN(时段出勤!C146)-FIND("-",时段出勤!C146))),"")</f>
        <v/>
      </c>
    </row>
    <row r="146" spans="4:5">
      <c r="D146" s="4" t="str">
        <f>IFERROR(TIMEVALUE(LEFT(时段出勤!C147,FIND("-",时段出勤!C147)-1)),"")</f>
        <v/>
      </c>
      <c r="E146" s="4" t="str">
        <f>IFERROR(TIMEVALUE(RIGHT(时段出勤!C147,LEN(时段出勤!C147)-FIND("-",时段出勤!C147))),"")</f>
        <v/>
      </c>
    </row>
    <row r="147" spans="4:5">
      <c r="D147" s="4" t="str">
        <f>IFERROR(TIMEVALUE(LEFT(时段出勤!C148,FIND("-",时段出勤!C148)-1)),"")</f>
        <v/>
      </c>
      <c r="E147" s="4" t="str">
        <f>IFERROR(TIMEVALUE(RIGHT(时段出勤!C148,LEN(时段出勤!C148)-FIND("-",时段出勤!C148))),"")</f>
        <v/>
      </c>
    </row>
    <row r="148" spans="4:5">
      <c r="D148" s="4" t="str">
        <f>IFERROR(TIMEVALUE(LEFT(时段出勤!C149,FIND("-",时段出勤!C149)-1)),"")</f>
        <v/>
      </c>
      <c r="E148" s="4" t="str">
        <f>IFERROR(TIMEVALUE(RIGHT(时段出勤!C149,LEN(时段出勤!C149)-FIND("-",时段出勤!C149))),"")</f>
        <v/>
      </c>
    </row>
    <row r="149" spans="4:5">
      <c r="D149" s="4" t="str">
        <f>IFERROR(TIMEVALUE(LEFT(时段出勤!C150,FIND("-",时段出勤!C150)-1)),"")</f>
        <v/>
      </c>
      <c r="E149" s="4" t="str">
        <f>IFERROR(TIMEVALUE(RIGHT(时段出勤!C150,LEN(时段出勤!C150)-FIND("-",时段出勤!C150))),"")</f>
        <v/>
      </c>
    </row>
    <row r="150" spans="4:5">
      <c r="D150" s="4" t="str">
        <f>IFERROR(TIMEVALUE(LEFT(时段出勤!C151,FIND("-",时段出勤!C151)-1)),"")</f>
        <v/>
      </c>
      <c r="E150" s="4" t="str">
        <f>IFERROR(TIMEVALUE(RIGHT(时段出勤!C151,LEN(时段出勤!C151)-FIND("-",时段出勤!C151))),"")</f>
        <v/>
      </c>
    </row>
  </sheetData>
  <sheetProtection algorithmName="SHA-512" hashValue="9EardWzQ/pY3elH++4uv+VdIHCjNwl7pnflijkF2VGuGYglfjUc7EnUZsK5Q5lOjpkBI+pwXrfc33gGV1Slg2g==" saltValue="fG08oOH9J4fxIMf0xcweRA==" spinCount="100000" sheet="1" objects="1"/>
  <mergeCells count="1">
    <mergeCell ref="D1: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7030A0"/>
  </sheetPr>
  <dimension ref="A1:B10"/>
  <sheetViews>
    <sheetView workbookViewId="0">
      <selection activeCell="B4" sqref="B4"/>
    </sheetView>
  </sheetViews>
  <sheetFormatPr defaultColWidth="9.16071428571429" defaultRowHeight="16.8" outlineLevelCol="1"/>
  <cols>
    <col min="1" max="1" width="18.3303571428571" customWidth="1"/>
    <col min="2" max="2" width="126.660714285714" customWidth="1"/>
  </cols>
  <sheetData>
    <row r="1" spans="1:2">
      <c r="A1" t="s">
        <v>33</v>
      </c>
      <c r="B1" t="s">
        <v>34</v>
      </c>
    </row>
    <row r="2" spans="1:2">
      <c r="A2" t="s">
        <v>35</v>
      </c>
      <c r="B2" t="s">
        <v>36</v>
      </c>
    </row>
    <row r="3" spans="1:2">
      <c r="A3" t="s">
        <v>37</v>
      </c>
      <c r="B3" t="s">
        <v>38</v>
      </c>
    </row>
    <row r="4" spans="1:2">
      <c r="A4" t="s">
        <v>39</v>
      </c>
      <c r="B4" t="s">
        <v>40</v>
      </c>
    </row>
    <row r="5" spans="1:2">
      <c r="A5" t="s">
        <v>41</v>
      </c>
      <c r="B5" t="s">
        <v>42</v>
      </c>
    </row>
    <row r="6" spans="1:2">
      <c r="A6" t="s">
        <v>43</v>
      </c>
      <c r="B6" t="s">
        <v>44</v>
      </c>
    </row>
    <row r="7" spans="1:2">
      <c r="A7" t="s">
        <v>45</v>
      </c>
      <c r="B7" t="s">
        <v>46</v>
      </c>
    </row>
    <row r="8" spans="1:2">
      <c r="A8" t="s">
        <v>47</v>
      </c>
      <c r="B8" t="s">
        <v>48</v>
      </c>
    </row>
    <row r="9" spans="1:2">
      <c r="A9" t="s">
        <v>49</v>
      </c>
      <c r="B9" t="s">
        <v>50</v>
      </c>
    </row>
    <row r="10" spans="1:2">
      <c r="A10" t="s">
        <v>51</v>
      </c>
      <c r="B10" t="s">
        <v>52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11" sqref="B11"/>
    </sheetView>
  </sheetViews>
  <sheetFormatPr defaultColWidth="2.52678571428571" defaultRowHeight="28.8" outlineLevelRow="1" outlineLevelCol="1"/>
  <cols>
    <col min="1" max="1" width="3.5" style="1" customWidth="1"/>
    <col min="2" max="2" width="92.6428571428571" style="1" customWidth="1"/>
    <col min="3" max="16384" width="2.52678571428571" style="1" customWidth="1"/>
  </cols>
  <sheetData>
    <row r="1" ht="29" spans="1:2">
      <c r="A1" s="1">
        <v>1</v>
      </c>
      <c r="B1" s="2" t="s">
        <v>53</v>
      </c>
    </row>
    <row r="2" spans="1:2">
      <c r="A2" s="1">
        <v>2</v>
      </c>
      <c r="B2" s="1" t="s">
        <v>54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  <rangeList sheetStid="4" master="" otherUserPermission="visible"/>
  <rangeList sheetStid="7" master="" otherUserPermission="visible"/>
  <rangeList sheetStid="5" master="" otherUserPermission="visible"/>
  <rangeList sheetStid="6" master="" otherUserPermission="visible"/>
  <rangeList sheetStid="2" master="" otherUserPermission="visible"/>
  <rangeList sheetStid="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时段出勤</vt:lpstr>
      <vt:lpstr>员工信息表</vt:lpstr>
      <vt:lpstr>员工流水</vt:lpstr>
      <vt:lpstr>排班表</vt:lpstr>
      <vt:lpstr>入转离</vt:lpstr>
      <vt:lpstr>代码</vt:lpstr>
      <vt:lpstr>代码记录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少星</cp:lastModifiedBy>
  <dcterms:created xsi:type="dcterms:W3CDTF">2015-06-17T10:19:00Z</dcterms:created>
  <dcterms:modified xsi:type="dcterms:W3CDTF">2025-08-02T23:45:29Z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2BF2604C6C1900831F6C3468F155EB64_43</vt:lpwstr>
  </property>
  <property fmtid="{D5CDD505-2E9C-101B-9397-08002B2CF9AE}" pid="3" name="KSOProductBuildVer">
    <vt:lpwstr>2052-12.1.21861.21861</vt:lpwstr>
  </property>
  <property fmtid="{D5CDD505-2E9C-101B-9397-08002B2CF9AE}" pid="4" name="KSOReadingLayout">
    <vt:bool>false</vt:bool>
  </property>
</Properties>
</file>